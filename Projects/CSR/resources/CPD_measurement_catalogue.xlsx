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tnt2bp_bosch_com/Documents/Documents/01_GrL/02_Project/11_CSR/Validation/resim/"/>
    </mc:Choice>
  </mc:AlternateContent>
  <xr:revisionPtr revIDLastSave="212" documentId="8_{9D117FA8-777C-4209-80D7-8B1EA40AD6F7}" xr6:coauthVersionLast="47" xr6:coauthVersionMax="47" xr10:uidLastSave="{2E72CEFE-9497-4BD0-99F9-844C813450A1}"/>
  <bookViews>
    <workbookView xWindow="-120" yWindow="-120" windowWidth="29040" windowHeight="15720" xr2:uid="{00000000-000D-0000-FFFF-FFFF00000000}"/>
  </bookViews>
  <sheets>
    <sheet name="Full_mea_list" sheetId="1" r:id="rId1"/>
    <sheet name="Full_mea_restruct" sheetId="2" state="hidden" r:id="rId2"/>
    <sheet name="Full_mea_csv" sheetId="3" state="hidden" r:id="rId3"/>
    <sheet name="focus+customer NCAP" sheetId="4" r:id="rId4"/>
    <sheet name="final" sheetId="5" r:id="rId5"/>
    <sheet name="Sheet2" sheetId="6" r:id="rId6"/>
    <sheet name="Errors" sheetId="7" r:id="rId7"/>
    <sheet name="Sheet3" sheetId="8" r:id="rId8"/>
  </sheets>
  <externalReferences>
    <externalReference r:id="rId9"/>
  </externalReferences>
  <definedNames>
    <definedName name="_xlnm._FilterDatabase" localSheetId="4" hidden="1">final!$A$1:$E$1</definedName>
    <definedName name="_xlnm._FilterDatabase" localSheetId="3" hidden="1">'focus+customer NCAP'!$A$1:$F$608</definedName>
    <definedName name="_xlnm._FilterDatabase" localSheetId="2" hidden="1">Full_mea_csv!$A$1:$U$1223</definedName>
    <definedName name="_xlnm._FilterDatabase" localSheetId="0" hidden="1">Full_mea_list!$A$1:$Y$1556</definedName>
    <definedName name="_xlnm._FilterDatabase" localSheetId="1" hidden="1">Full_mea_restruct!$A$1:$U$1223</definedName>
  </definedNames>
  <calcPr calcId="191029"/>
  <pivotCaches>
    <pivotCache cacheId="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6" l="1"/>
  <c r="G23" i="6"/>
  <c r="G22" i="6"/>
  <c r="G21" i="6"/>
  <c r="G20" i="6"/>
  <c r="G19" i="6"/>
  <c r="G18" i="6"/>
  <c r="G17" i="6"/>
  <c r="K1223" i="3"/>
  <c r="D1223" i="3"/>
  <c r="K1222" i="3"/>
  <c r="D1222" i="3"/>
  <c r="K1221" i="3"/>
  <c r="D1221" i="3"/>
  <c r="K1220" i="3"/>
  <c r="D1220" i="3"/>
  <c r="K1219" i="3"/>
  <c r="D1219" i="3"/>
  <c r="K1218" i="3"/>
  <c r="D1218" i="3"/>
  <c r="K1217" i="3"/>
  <c r="D1217" i="3"/>
  <c r="K1216" i="3"/>
  <c r="D1216" i="3"/>
  <c r="K1215" i="3"/>
  <c r="D1215" i="3"/>
  <c r="K1214" i="3"/>
  <c r="D1214" i="3"/>
  <c r="K1213" i="3"/>
  <c r="D1213" i="3"/>
  <c r="K1212" i="3"/>
  <c r="D1212" i="3"/>
  <c r="K1211" i="3"/>
  <c r="D1211" i="3"/>
  <c r="K1210" i="3"/>
  <c r="D1210" i="3"/>
  <c r="K1209" i="3"/>
  <c r="E1209" i="3"/>
  <c r="D1209" i="3"/>
  <c r="K1208" i="3"/>
  <c r="E1208" i="3"/>
  <c r="D1208" i="3"/>
  <c r="K1207" i="3"/>
  <c r="K1206" i="3"/>
  <c r="E1206" i="3"/>
  <c r="D1206" i="3"/>
  <c r="K1205" i="3"/>
  <c r="E1205" i="3"/>
  <c r="D1205" i="3"/>
  <c r="K1204" i="3"/>
  <c r="E1204" i="3"/>
  <c r="D1204" i="3"/>
  <c r="K1203" i="3"/>
  <c r="E1203" i="3"/>
  <c r="D1203" i="3"/>
  <c r="K1202" i="3"/>
  <c r="E1202" i="3"/>
  <c r="D1202" i="3"/>
  <c r="K1201" i="3"/>
  <c r="E1201" i="3"/>
  <c r="D1201" i="3"/>
  <c r="K1200" i="3"/>
  <c r="E1200" i="3"/>
  <c r="D1200" i="3"/>
  <c r="K1199" i="3"/>
  <c r="E1199" i="3"/>
  <c r="D1199" i="3"/>
  <c r="K1198" i="3"/>
  <c r="E1198" i="3"/>
  <c r="D1198" i="3"/>
  <c r="K1197" i="3"/>
  <c r="E1197" i="3"/>
  <c r="D1197" i="3"/>
  <c r="K1196" i="3"/>
  <c r="E1196" i="3"/>
  <c r="D1196" i="3"/>
  <c r="K1195" i="3"/>
  <c r="E1195" i="3"/>
  <c r="D1195" i="3"/>
  <c r="K1194" i="3"/>
  <c r="E1194" i="3"/>
  <c r="D1194" i="3"/>
  <c r="K1193" i="3"/>
  <c r="E1193" i="3"/>
  <c r="D1193" i="3"/>
  <c r="K1192" i="3"/>
  <c r="E1192" i="3"/>
  <c r="D1192" i="3"/>
  <c r="K1191" i="3"/>
  <c r="E1191" i="3"/>
  <c r="D1191" i="3"/>
  <c r="K1190" i="3"/>
  <c r="E1190" i="3"/>
  <c r="D1190" i="3"/>
  <c r="K1189" i="3"/>
  <c r="E1189" i="3"/>
  <c r="D1189" i="3"/>
  <c r="K1188" i="3"/>
  <c r="E1188" i="3"/>
  <c r="D1188" i="3"/>
  <c r="K1187" i="3"/>
  <c r="E1187" i="3"/>
  <c r="D1187" i="3"/>
  <c r="K1186" i="3"/>
  <c r="E1186" i="3"/>
  <c r="D1186" i="3"/>
  <c r="K1185" i="3"/>
  <c r="E1185" i="3"/>
  <c r="D1185" i="3"/>
  <c r="K1184" i="3"/>
  <c r="E1184" i="3"/>
  <c r="D1184" i="3"/>
  <c r="K1183" i="3"/>
  <c r="E1183" i="3"/>
  <c r="D1183" i="3"/>
  <c r="K1182" i="3"/>
  <c r="E1182" i="3"/>
  <c r="D1182" i="3"/>
  <c r="K1181" i="3"/>
  <c r="E1181" i="3"/>
  <c r="D1181" i="3"/>
  <c r="K1180" i="3"/>
  <c r="E1180" i="3"/>
  <c r="D1180" i="3"/>
  <c r="K1179" i="3"/>
  <c r="E1179" i="3"/>
  <c r="D1179" i="3"/>
  <c r="K1178" i="3"/>
  <c r="E1178" i="3"/>
  <c r="D1178" i="3"/>
  <c r="K1177" i="3"/>
  <c r="E1177" i="3"/>
  <c r="D1177" i="3"/>
  <c r="K1176" i="3"/>
  <c r="E1176" i="3"/>
  <c r="D1176" i="3"/>
  <c r="K1175" i="3"/>
  <c r="E1175" i="3"/>
  <c r="D1175" i="3"/>
  <c r="K1174" i="3"/>
  <c r="E1174" i="3"/>
  <c r="D1174" i="3"/>
  <c r="K1173" i="3"/>
  <c r="E1173" i="3"/>
  <c r="D1173" i="3"/>
  <c r="K1172" i="3"/>
  <c r="E1172" i="3"/>
  <c r="D1172" i="3"/>
  <c r="K1171" i="3"/>
  <c r="E1171" i="3"/>
  <c r="D1171" i="3"/>
  <c r="K1170" i="3"/>
  <c r="E1170" i="3"/>
  <c r="D1170" i="3"/>
  <c r="K1169" i="3"/>
  <c r="E1169" i="3"/>
  <c r="D1169" i="3"/>
  <c r="K1168" i="3"/>
  <c r="E1168" i="3"/>
  <c r="D1168" i="3"/>
  <c r="K1167" i="3"/>
  <c r="E1167" i="3"/>
  <c r="D1167" i="3"/>
  <c r="K1166" i="3"/>
  <c r="E1166" i="3"/>
  <c r="D1166" i="3"/>
  <c r="K1165" i="3"/>
  <c r="E1165" i="3"/>
  <c r="D1165" i="3"/>
  <c r="K1164" i="3"/>
  <c r="E1164" i="3"/>
  <c r="D1164" i="3"/>
  <c r="K1163" i="3"/>
  <c r="E1163" i="3"/>
  <c r="D1163" i="3"/>
  <c r="K1162" i="3"/>
  <c r="E1162" i="3"/>
  <c r="D1162" i="3"/>
  <c r="K1161" i="3"/>
  <c r="E1161" i="3"/>
  <c r="D1161" i="3"/>
  <c r="K1160" i="3"/>
  <c r="E1160" i="3"/>
  <c r="D1160" i="3"/>
  <c r="K1159" i="3"/>
  <c r="E1159" i="3"/>
  <c r="D1159" i="3"/>
  <c r="K1158" i="3"/>
  <c r="E1158" i="3"/>
  <c r="D1158" i="3"/>
  <c r="K1157" i="3"/>
  <c r="E1157" i="3"/>
  <c r="D1157" i="3"/>
  <c r="K1156" i="3"/>
  <c r="E1156" i="3"/>
  <c r="D1156" i="3"/>
  <c r="K1155" i="3"/>
  <c r="E1155" i="3"/>
  <c r="D1155" i="3"/>
  <c r="K1154" i="3"/>
  <c r="E1154" i="3"/>
  <c r="D1154" i="3"/>
  <c r="K1153" i="3"/>
  <c r="E1153" i="3"/>
  <c r="D1153" i="3"/>
  <c r="K1152" i="3"/>
  <c r="E1152" i="3"/>
  <c r="D1152" i="3"/>
  <c r="K1151" i="3"/>
  <c r="E1151" i="3"/>
  <c r="D1151" i="3"/>
  <c r="K1150" i="3"/>
  <c r="E1150" i="3"/>
  <c r="D1150" i="3"/>
  <c r="K1149" i="3"/>
  <c r="E1149" i="3"/>
  <c r="D1149" i="3"/>
  <c r="K1148" i="3"/>
  <c r="E1148" i="3"/>
  <c r="D1148" i="3"/>
  <c r="K1147" i="3"/>
  <c r="E1147" i="3"/>
  <c r="D1147" i="3"/>
  <c r="K1146" i="3"/>
  <c r="E1146" i="3"/>
  <c r="D1146" i="3"/>
  <c r="K1145" i="3"/>
  <c r="E1145" i="3"/>
  <c r="D1145" i="3"/>
  <c r="K1144" i="3"/>
  <c r="E1144" i="3"/>
  <c r="D1144" i="3"/>
  <c r="K1143" i="3"/>
  <c r="E1143" i="3"/>
  <c r="D1143" i="3"/>
  <c r="K1142" i="3"/>
  <c r="E1142" i="3"/>
  <c r="D1142" i="3"/>
  <c r="K1141" i="3"/>
  <c r="E1141" i="3"/>
  <c r="D1141" i="3"/>
  <c r="K1140" i="3"/>
  <c r="E1140" i="3"/>
  <c r="D1140" i="3"/>
  <c r="K1139" i="3"/>
  <c r="E1139" i="3"/>
  <c r="D1139" i="3"/>
  <c r="K1138" i="3"/>
  <c r="E1138" i="3"/>
  <c r="D1138" i="3"/>
  <c r="K1137" i="3"/>
  <c r="E1137" i="3"/>
  <c r="D1137" i="3"/>
  <c r="K1136" i="3"/>
  <c r="E1136" i="3"/>
  <c r="D1136" i="3"/>
  <c r="K1135" i="3"/>
  <c r="E1135" i="3"/>
  <c r="D1135" i="3"/>
  <c r="K1134" i="3"/>
  <c r="E1134" i="3"/>
  <c r="D1134" i="3"/>
  <c r="K1133" i="3"/>
  <c r="E1133" i="3"/>
  <c r="D1133" i="3"/>
  <c r="K1132" i="3"/>
  <c r="E1132" i="3"/>
  <c r="D1132" i="3"/>
  <c r="K1131" i="3"/>
  <c r="E1131" i="3"/>
  <c r="D1131" i="3"/>
  <c r="K1130" i="3"/>
  <c r="E1130" i="3"/>
  <c r="D1130" i="3"/>
  <c r="K1129" i="3"/>
  <c r="E1129" i="3"/>
  <c r="D1129" i="3"/>
  <c r="K1128" i="3"/>
  <c r="E1128" i="3"/>
  <c r="D1128" i="3"/>
  <c r="K1127" i="3"/>
  <c r="E1127" i="3"/>
  <c r="D1127" i="3"/>
  <c r="K1126" i="3"/>
  <c r="E1126" i="3"/>
  <c r="D1126" i="3"/>
  <c r="K1125" i="3"/>
  <c r="E1125" i="3"/>
  <c r="D1125" i="3"/>
  <c r="K1124" i="3"/>
  <c r="E1124" i="3"/>
  <c r="D1124" i="3"/>
  <c r="K1123" i="3"/>
  <c r="E1123" i="3"/>
  <c r="D1123" i="3"/>
  <c r="K1122" i="3"/>
  <c r="E1122" i="3"/>
  <c r="D1122" i="3"/>
  <c r="K1121" i="3"/>
  <c r="E1121" i="3"/>
  <c r="D1121" i="3"/>
  <c r="K1120" i="3"/>
  <c r="E1120" i="3"/>
  <c r="D1120" i="3"/>
  <c r="K1119" i="3"/>
  <c r="D1119" i="3"/>
  <c r="K1118" i="3"/>
  <c r="E1118" i="3"/>
  <c r="D1118" i="3"/>
  <c r="K1117" i="3"/>
  <c r="E1117" i="3"/>
  <c r="D1117" i="3"/>
  <c r="K1116" i="3"/>
  <c r="E1116" i="3"/>
  <c r="D1116" i="3"/>
  <c r="K1115" i="3"/>
  <c r="E1115" i="3"/>
  <c r="D1115" i="3"/>
  <c r="K1114" i="3"/>
  <c r="E1114" i="3"/>
  <c r="D1114" i="3"/>
  <c r="K1113" i="3"/>
  <c r="E1113" i="3"/>
  <c r="D1113" i="3"/>
  <c r="K1112" i="3"/>
  <c r="E1112" i="3"/>
  <c r="D1112" i="3"/>
  <c r="K1111" i="3"/>
  <c r="E1111" i="3"/>
  <c r="D1111" i="3"/>
  <c r="K1110" i="3"/>
  <c r="E1110" i="3"/>
  <c r="D1110" i="3"/>
  <c r="K1109" i="3"/>
  <c r="E1109" i="3"/>
  <c r="D1109" i="3"/>
  <c r="K1108" i="3"/>
  <c r="E1108" i="3"/>
  <c r="D1108" i="3"/>
  <c r="K1107" i="3"/>
  <c r="E1107" i="3"/>
  <c r="D1107" i="3"/>
  <c r="K1106" i="3"/>
  <c r="E1106" i="3"/>
  <c r="D1106" i="3"/>
  <c r="K1105" i="3"/>
  <c r="E1105" i="3"/>
  <c r="D1105" i="3"/>
  <c r="K1104" i="3"/>
  <c r="E1104" i="3"/>
  <c r="D1104" i="3"/>
  <c r="K1103" i="3"/>
  <c r="E1103" i="3"/>
  <c r="D1103" i="3"/>
  <c r="K1102" i="3"/>
  <c r="E1102" i="3"/>
  <c r="D1102" i="3"/>
  <c r="K1101" i="3"/>
  <c r="E1101" i="3"/>
  <c r="D1101" i="3"/>
  <c r="K1100" i="3"/>
  <c r="E1100" i="3"/>
  <c r="D1100" i="3"/>
  <c r="K1099" i="3"/>
  <c r="E1099" i="3"/>
  <c r="D1099" i="3"/>
  <c r="K1098" i="3"/>
  <c r="E1098" i="3"/>
  <c r="D1098" i="3"/>
  <c r="K1097" i="3"/>
  <c r="E1097" i="3"/>
  <c r="D1097" i="3"/>
  <c r="K1096" i="3"/>
  <c r="E1096" i="3"/>
  <c r="D1096" i="3"/>
  <c r="K1095" i="3"/>
  <c r="E1095" i="3"/>
  <c r="D1095" i="3"/>
  <c r="K1094" i="3"/>
  <c r="E1094" i="3"/>
  <c r="D1094" i="3"/>
  <c r="K1093" i="3"/>
  <c r="E1093" i="3"/>
  <c r="D1093" i="3"/>
  <c r="K1092" i="3"/>
  <c r="E1092" i="3"/>
  <c r="D1092" i="3"/>
  <c r="K1091" i="3"/>
  <c r="E1091" i="3"/>
  <c r="D1091" i="3"/>
  <c r="K1090" i="3"/>
  <c r="E1090" i="3"/>
  <c r="D1090" i="3"/>
  <c r="K1089" i="3"/>
  <c r="D1089" i="3"/>
  <c r="K1088" i="3"/>
  <c r="D1088" i="3"/>
  <c r="K1087" i="3"/>
  <c r="D1087" i="3"/>
  <c r="K1086" i="3"/>
  <c r="D1086" i="3"/>
  <c r="K1085" i="3"/>
  <c r="D1085" i="3"/>
  <c r="K1084" i="3"/>
  <c r="D1084" i="3"/>
  <c r="K1083" i="3"/>
  <c r="D1083" i="3"/>
  <c r="K1082" i="3"/>
  <c r="D1082" i="3"/>
  <c r="K1081" i="3"/>
  <c r="D1081" i="3"/>
  <c r="K1080" i="3"/>
  <c r="D1080" i="3"/>
  <c r="K1079" i="3"/>
  <c r="E1079" i="3"/>
  <c r="D1079" i="3"/>
  <c r="K1078" i="3"/>
  <c r="E1078" i="3"/>
  <c r="D1078" i="3"/>
  <c r="K1077" i="3"/>
  <c r="E1077" i="3"/>
  <c r="D1077" i="3"/>
  <c r="K1076" i="3"/>
  <c r="E1076" i="3"/>
  <c r="D1076" i="3"/>
  <c r="K1075" i="3"/>
  <c r="E1075" i="3"/>
  <c r="D1075" i="3"/>
  <c r="K1074" i="3"/>
  <c r="E1074" i="3"/>
  <c r="D1074" i="3"/>
  <c r="K1073" i="3"/>
  <c r="E1073" i="3"/>
  <c r="D1073" i="3"/>
  <c r="K1072" i="3"/>
  <c r="E1072" i="3"/>
  <c r="D1072" i="3"/>
  <c r="K1071" i="3"/>
  <c r="E1071" i="3"/>
  <c r="D1071" i="3"/>
  <c r="K1070" i="3"/>
  <c r="E1070" i="3"/>
  <c r="D1070" i="3"/>
  <c r="K1069" i="3"/>
  <c r="E1069" i="3"/>
  <c r="D1069" i="3"/>
  <c r="K1068" i="3"/>
  <c r="E1068" i="3"/>
  <c r="D1068" i="3"/>
  <c r="K1067" i="3"/>
  <c r="E1067" i="3"/>
  <c r="D1067" i="3"/>
  <c r="K1066" i="3"/>
  <c r="E1066" i="3"/>
  <c r="D1066" i="3"/>
  <c r="K1065" i="3"/>
  <c r="E1065" i="3"/>
  <c r="D1065" i="3"/>
  <c r="K1064" i="3"/>
  <c r="D1064" i="3"/>
  <c r="K1063" i="3"/>
  <c r="D1063" i="3"/>
  <c r="K1062" i="3"/>
  <c r="D1062" i="3"/>
  <c r="K1061" i="3"/>
  <c r="D1061" i="3"/>
  <c r="K1060" i="3"/>
  <c r="D1060" i="3"/>
  <c r="K1059" i="3"/>
  <c r="D1059" i="3"/>
  <c r="K1058" i="3"/>
  <c r="D1058" i="3"/>
  <c r="K1057" i="3"/>
  <c r="D1057" i="3"/>
  <c r="K1056" i="3"/>
  <c r="D1056" i="3"/>
  <c r="K1055" i="3"/>
  <c r="D1055" i="3"/>
  <c r="K1054" i="3"/>
  <c r="D1054" i="3"/>
  <c r="K1053" i="3"/>
  <c r="D1053" i="3"/>
  <c r="K1052" i="3"/>
  <c r="E1052" i="3"/>
  <c r="D1052" i="3"/>
  <c r="K1051" i="3"/>
  <c r="E1051" i="3"/>
  <c r="D1051" i="3"/>
  <c r="K1050" i="3"/>
  <c r="E1050" i="3"/>
  <c r="D1050" i="3"/>
  <c r="K1049" i="3"/>
  <c r="E1049" i="3"/>
  <c r="D1049" i="3"/>
  <c r="K1048" i="3"/>
  <c r="E1048" i="3"/>
  <c r="D1048" i="3"/>
  <c r="K1047" i="3"/>
  <c r="E1047" i="3"/>
  <c r="D1047" i="3"/>
  <c r="K1046" i="3"/>
  <c r="E1046" i="3"/>
  <c r="D1046" i="3"/>
  <c r="K1045" i="3"/>
  <c r="E1045" i="3"/>
  <c r="D1045" i="3"/>
  <c r="K1044" i="3"/>
  <c r="E1044" i="3"/>
  <c r="D1044" i="3"/>
  <c r="K1043" i="3"/>
  <c r="E1043" i="3"/>
  <c r="D1043" i="3"/>
  <c r="K1042" i="3"/>
  <c r="E1042" i="3"/>
  <c r="D1042" i="3"/>
  <c r="K1041" i="3"/>
  <c r="E1041" i="3"/>
  <c r="D1041" i="3"/>
  <c r="K1040" i="3"/>
  <c r="E1040" i="3"/>
  <c r="D1040" i="3"/>
  <c r="K1039" i="3"/>
  <c r="D1039" i="3"/>
  <c r="K1038" i="3"/>
  <c r="D1038" i="3"/>
  <c r="K1037" i="3"/>
  <c r="D1037" i="3"/>
  <c r="K1036" i="3"/>
  <c r="D1036" i="3"/>
  <c r="K1035" i="3"/>
  <c r="D1035" i="3"/>
  <c r="K1034" i="3"/>
  <c r="D1034" i="3"/>
  <c r="K1033" i="3"/>
  <c r="D1033" i="3"/>
  <c r="K1032" i="3"/>
  <c r="D1032" i="3"/>
  <c r="K1031" i="3"/>
  <c r="D1031" i="3"/>
  <c r="K1030" i="3"/>
  <c r="D1030" i="3"/>
  <c r="K1029" i="3"/>
  <c r="D1029" i="3"/>
  <c r="K1028" i="3"/>
  <c r="D1028" i="3"/>
  <c r="K1027" i="3"/>
  <c r="D1027" i="3"/>
  <c r="K1026" i="3"/>
  <c r="D1026" i="3"/>
  <c r="K1025" i="3"/>
  <c r="D1025" i="3"/>
  <c r="K1024" i="3"/>
  <c r="D1024" i="3"/>
  <c r="K1023" i="3"/>
  <c r="D1023" i="3"/>
  <c r="K1022" i="3"/>
  <c r="D1022" i="3"/>
  <c r="K1021" i="3"/>
  <c r="E1021" i="3"/>
  <c r="D1021" i="3"/>
  <c r="K1020" i="3"/>
  <c r="D1020" i="3"/>
  <c r="K1019" i="3"/>
  <c r="D1019" i="3"/>
  <c r="K1018" i="3"/>
  <c r="E1018" i="3"/>
  <c r="D1018" i="3"/>
  <c r="K1017" i="3"/>
  <c r="E1017" i="3"/>
  <c r="D1017" i="3"/>
  <c r="K1016" i="3"/>
  <c r="E1016" i="3"/>
  <c r="D1016" i="3"/>
  <c r="K1015" i="3"/>
  <c r="E1015" i="3"/>
  <c r="D1015" i="3"/>
  <c r="K1014" i="3"/>
  <c r="E1014" i="3"/>
  <c r="D1014" i="3"/>
  <c r="K1013" i="3"/>
  <c r="E1013" i="3"/>
  <c r="D1013" i="3"/>
  <c r="K1012" i="3"/>
  <c r="E1012" i="3"/>
  <c r="D1012" i="3"/>
  <c r="K1011" i="3"/>
  <c r="E1011" i="3"/>
  <c r="D1011" i="3"/>
  <c r="K1010" i="3"/>
  <c r="E1010" i="3"/>
  <c r="D1010" i="3"/>
  <c r="K1009" i="3"/>
  <c r="E1009" i="3"/>
  <c r="D1009" i="3"/>
  <c r="K1008" i="3"/>
  <c r="E1008" i="3"/>
  <c r="D1008" i="3"/>
  <c r="K1007" i="3"/>
  <c r="E1007" i="3"/>
  <c r="D1007" i="3"/>
  <c r="K1006" i="3"/>
  <c r="E1006" i="3"/>
  <c r="D1006" i="3"/>
  <c r="K1005" i="3"/>
  <c r="E1005" i="3"/>
  <c r="D1005" i="3"/>
  <c r="K1004" i="3"/>
  <c r="E1004" i="3"/>
  <c r="D1004" i="3"/>
  <c r="K1003" i="3"/>
  <c r="E1003" i="3"/>
  <c r="D1003" i="3"/>
  <c r="K1002" i="3"/>
  <c r="E1002" i="3"/>
  <c r="D1002" i="3"/>
  <c r="K1001" i="3"/>
  <c r="E1001" i="3"/>
  <c r="D1001" i="3"/>
  <c r="K1000" i="3"/>
  <c r="E1000" i="3"/>
  <c r="D1000" i="3"/>
  <c r="K999" i="3"/>
  <c r="E999" i="3"/>
  <c r="D999" i="3"/>
  <c r="K998" i="3"/>
  <c r="E998" i="3"/>
  <c r="D998" i="3"/>
  <c r="K997" i="3"/>
  <c r="E997" i="3"/>
  <c r="D997" i="3"/>
  <c r="K996" i="3"/>
  <c r="E996" i="3"/>
  <c r="D996" i="3"/>
  <c r="K995" i="3"/>
  <c r="E995" i="3"/>
  <c r="D995" i="3"/>
  <c r="K994" i="3"/>
  <c r="E994" i="3"/>
  <c r="D994" i="3"/>
  <c r="K993" i="3"/>
  <c r="D993" i="3"/>
  <c r="K992" i="3"/>
  <c r="D992" i="3"/>
  <c r="K991" i="3"/>
  <c r="D991" i="3"/>
  <c r="K990" i="3"/>
  <c r="D990" i="3"/>
  <c r="K989" i="3"/>
  <c r="D989" i="3"/>
  <c r="K988" i="3"/>
  <c r="D988" i="3"/>
  <c r="K987" i="3"/>
  <c r="D987" i="3"/>
  <c r="K986" i="3"/>
  <c r="D986" i="3"/>
  <c r="K985" i="3"/>
  <c r="D985" i="3"/>
  <c r="K984" i="3"/>
  <c r="D984" i="3"/>
  <c r="K983" i="3"/>
  <c r="D983" i="3"/>
  <c r="K982" i="3"/>
  <c r="D982" i="3"/>
  <c r="K981" i="3"/>
  <c r="D981" i="3"/>
  <c r="K980" i="3"/>
  <c r="D980" i="3"/>
  <c r="K979" i="3"/>
  <c r="D979" i="3"/>
  <c r="K978" i="3"/>
  <c r="D978" i="3"/>
  <c r="K977" i="3"/>
  <c r="D977" i="3"/>
  <c r="K976" i="3"/>
  <c r="D976" i="3"/>
  <c r="K975" i="3"/>
  <c r="D975" i="3"/>
  <c r="K974" i="3"/>
  <c r="D974" i="3"/>
  <c r="K973" i="3"/>
  <c r="E973" i="3"/>
  <c r="D973" i="3"/>
  <c r="K972" i="3"/>
  <c r="E972" i="3"/>
  <c r="D972" i="3"/>
  <c r="K971" i="3"/>
  <c r="E971" i="3"/>
  <c r="D971" i="3"/>
  <c r="K970" i="3"/>
  <c r="E970" i="3"/>
  <c r="D970" i="3"/>
  <c r="K969" i="3"/>
  <c r="E969" i="3"/>
  <c r="D969" i="3"/>
  <c r="K968" i="3"/>
  <c r="E968" i="3"/>
  <c r="D968" i="3"/>
  <c r="K967" i="3"/>
  <c r="E967" i="3"/>
  <c r="D967" i="3"/>
  <c r="K966" i="3"/>
  <c r="E966" i="3"/>
  <c r="D966" i="3"/>
  <c r="K965" i="3"/>
  <c r="E965" i="3"/>
  <c r="D965" i="3"/>
  <c r="K964" i="3"/>
  <c r="E964" i="3"/>
  <c r="D964" i="3"/>
  <c r="K963" i="3"/>
  <c r="E963" i="3"/>
  <c r="D963" i="3"/>
  <c r="K962" i="3"/>
  <c r="E962" i="3"/>
  <c r="D962" i="3"/>
  <c r="K961" i="3"/>
  <c r="E961" i="3"/>
  <c r="D961" i="3"/>
  <c r="K960" i="3"/>
  <c r="E960" i="3"/>
  <c r="D960" i="3"/>
  <c r="K959" i="3"/>
  <c r="E959" i="3"/>
  <c r="D959" i="3"/>
  <c r="K958" i="3"/>
  <c r="E958" i="3"/>
  <c r="D958" i="3"/>
  <c r="K957" i="3"/>
  <c r="D957" i="3"/>
  <c r="K956" i="3"/>
  <c r="E956" i="3"/>
  <c r="D956" i="3"/>
  <c r="K955" i="3"/>
  <c r="E955" i="3"/>
  <c r="D955" i="3"/>
  <c r="K954" i="3"/>
  <c r="E954" i="3"/>
  <c r="D954" i="3"/>
  <c r="K953" i="3"/>
  <c r="E953" i="3"/>
  <c r="D953" i="3"/>
  <c r="K952" i="3"/>
  <c r="E952" i="3"/>
  <c r="D952" i="3"/>
  <c r="K951" i="3"/>
  <c r="E951" i="3"/>
  <c r="D951" i="3"/>
  <c r="K950" i="3"/>
  <c r="E950" i="3"/>
  <c r="D950" i="3"/>
  <c r="K949" i="3"/>
  <c r="E949" i="3"/>
  <c r="D949" i="3"/>
  <c r="K948" i="3"/>
  <c r="E948" i="3"/>
  <c r="D948" i="3"/>
  <c r="K947" i="3"/>
  <c r="E947" i="3"/>
  <c r="D947" i="3"/>
  <c r="K946" i="3"/>
  <c r="E946" i="3"/>
  <c r="D946" i="3"/>
  <c r="K945" i="3"/>
  <c r="E945" i="3"/>
  <c r="D945" i="3"/>
  <c r="K944" i="3"/>
  <c r="E944" i="3"/>
  <c r="D944" i="3"/>
  <c r="K943" i="3"/>
  <c r="E943" i="3"/>
  <c r="D943" i="3"/>
  <c r="K942" i="3"/>
  <c r="E942" i="3"/>
  <c r="D942" i="3"/>
  <c r="K941" i="3"/>
  <c r="E941" i="3"/>
  <c r="D941" i="3"/>
  <c r="K940" i="3"/>
  <c r="E940" i="3"/>
  <c r="D940" i="3"/>
  <c r="K939" i="3"/>
  <c r="E939" i="3"/>
  <c r="D939" i="3"/>
  <c r="K938" i="3"/>
  <c r="E938" i="3"/>
  <c r="D938" i="3"/>
  <c r="K937" i="3"/>
  <c r="E937" i="3"/>
  <c r="D937" i="3"/>
  <c r="K936" i="3"/>
  <c r="E936" i="3"/>
  <c r="D936" i="3"/>
  <c r="K935" i="3"/>
  <c r="E935" i="3"/>
  <c r="D935" i="3"/>
  <c r="K934" i="3"/>
  <c r="E934" i="3"/>
  <c r="D934" i="3"/>
  <c r="K933" i="3"/>
  <c r="E933" i="3"/>
  <c r="D933" i="3"/>
  <c r="K932" i="3"/>
  <c r="E932" i="3"/>
  <c r="D932" i="3"/>
  <c r="K931" i="3"/>
  <c r="D931" i="3"/>
  <c r="K930" i="3"/>
  <c r="E930" i="3"/>
  <c r="D930" i="3"/>
  <c r="K929" i="3"/>
  <c r="E929" i="3"/>
  <c r="D929" i="3"/>
  <c r="K928" i="3"/>
  <c r="E928" i="3"/>
  <c r="D928" i="3"/>
  <c r="K927" i="3"/>
  <c r="E927" i="3"/>
  <c r="D927" i="3"/>
  <c r="K926" i="3"/>
  <c r="E926" i="3"/>
  <c r="D926" i="3"/>
  <c r="K925" i="3"/>
  <c r="D925" i="3"/>
  <c r="K924" i="3"/>
  <c r="D924" i="3"/>
  <c r="K923" i="3"/>
  <c r="D923" i="3"/>
  <c r="K922" i="3"/>
  <c r="D922" i="3"/>
  <c r="K921" i="3"/>
  <c r="D921" i="3"/>
  <c r="K920" i="3"/>
  <c r="D920" i="3"/>
  <c r="K919" i="3"/>
  <c r="D919" i="3"/>
  <c r="K918" i="3"/>
  <c r="D918" i="3"/>
  <c r="K917" i="3"/>
  <c r="D917" i="3"/>
  <c r="K916" i="3"/>
  <c r="D916" i="3"/>
  <c r="K915" i="3"/>
  <c r="E915" i="3"/>
  <c r="D915" i="3"/>
  <c r="K914" i="3"/>
  <c r="E914" i="3"/>
  <c r="D914" i="3"/>
  <c r="K913" i="3"/>
  <c r="E913" i="3"/>
  <c r="D913" i="3"/>
  <c r="K912" i="3"/>
  <c r="E912" i="3"/>
  <c r="D912" i="3"/>
  <c r="K911" i="3"/>
  <c r="E911" i="3"/>
  <c r="D911" i="3"/>
  <c r="K910" i="3"/>
  <c r="E910" i="3"/>
  <c r="D910" i="3"/>
  <c r="K909" i="3"/>
  <c r="E909" i="3"/>
  <c r="D909" i="3"/>
  <c r="K908" i="3"/>
  <c r="D908" i="3"/>
  <c r="K907" i="3"/>
  <c r="D907" i="3"/>
  <c r="K906" i="3"/>
  <c r="D906" i="3"/>
  <c r="K905" i="3"/>
  <c r="E905" i="3"/>
  <c r="D905" i="3"/>
  <c r="K904" i="3"/>
  <c r="E904" i="3"/>
  <c r="D904" i="3"/>
  <c r="K903" i="3"/>
  <c r="E903" i="3"/>
  <c r="D903" i="3"/>
  <c r="K902" i="3"/>
  <c r="E902" i="3"/>
  <c r="D902" i="3"/>
  <c r="K901" i="3"/>
  <c r="E901" i="3"/>
  <c r="D901" i="3"/>
  <c r="K900" i="3"/>
  <c r="E900" i="3"/>
  <c r="D900" i="3"/>
  <c r="K899" i="3"/>
  <c r="E899" i="3"/>
  <c r="D899" i="3"/>
  <c r="K898" i="3"/>
  <c r="E898" i="3"/>
  <c r="D898" i="3"/>
  <c r="K897" i="3"/>
  <c r="E897" i="3"/>
  <c r="D897" i="3"/>
  <c r="K896" i="3"/>
  <c r="E896" i="3"/>
  <c r="D896" i="3"/>
  <c r="K895" i="3"/>
  <c r="E895" i="3"/>
  <c r="D895" i="3"/>
  <c r="K894" i="3"/>
  <c r="E894" i="3"/>
  <c r="D894" i="3"/>
  <c r="K893" i="3"/>
  <c r="E893" i="3"/>
  <c r="D893" i="3"/>
  <c r="K892" i="3"/>
  <c r="E892" i="3"/>
  <c r="D892" i="3"/>
  <c r="K891" i="3"/>
  <c r="E891" i="3"/>
  <c r="D891" i="3"/>
  <c r="K890" i="3"/>
  <c r="E890" i="3"/>
  <c r="D890" i="3"/>
  <c r="K889" i="3"/>
  <c r="D889" i="3"/>
  <c r="K888" i="3"/>
  <c r="D888" i="3"/>
  <c r="K887" i="3"/>
  <c r="D887" i="3"/>
  <c r="K886" i="3"/>
  <c r="D886" i="3"/>
  <c r="K885" i="3"/>
  <c r="D885" i="3"/>
  <c r="K884" i="3"/>
  <c r="E884" i="3"/>
  <c r="D884" i="3"/>
  <c r="K883" i="3"/>
  <c r="E883" i="3"/>
  <c r="D883" i="3"/>
  <c r="K882" i="3"/>
  <c r="E882" i="3"/>
  <c r="D882" i="3"/>
  <c r="K881" i="3"/>
  <c r="E881" i="3"/>
  <c r="D881" i="3"/>
  <c r="K880" i="3"/>
  <c r="E880" i="3"/>
  <c r="D880" i="3"/>
  <c r="K879" i="3"/>
  <c r="E879" i="3"/>
  <c r="D879" i="3"/>
  <c r="K878" i="3"/>
  <c r="E878" i="3"/>
  <c r="D878" i="3"/>
  <c r="K877" i="3"/>
  <c r="E877" i="3"/>
  <c r="D877" i="3"/>
  <c r="K876" i="3"/>
  <c r="E876" i="3"/>
  <c r="D876" i="3"/>
  <c r="K875" i="3"/>
  <c r="E875" i="3"/>
  <c r="D875" i="3"/>
  <c r="K874" i="3"/>
  <c r="E874" i="3"/>
  <c r="D874" i="3"/>
  <c r="K873" i="3"/>
  <c r="E873" i="3"/>
  <c r="D873" i="3"/>
  <c r="K872" i="3"/>
  <c r="E872" i="3"/>
  <c r="D872" i="3"/>
  <c r="K871" i="3"/>
  <c r="E871" i="3"/>
  <c r="D871" i="3"/>
  <c r="K870" i="3"/>
  <c r="E870" i="3"/>
  <c r="D870" i="3"/>
  <c r="K869" i="3"/>
  <c r="E869" i="3"/>
  <c r="D869" i="3"/>
  <c r="K868" i="3"/>
  <c r="E868" i="3"/>
  <c r="D868" i="3"/>
  <c r="K867" i="3"/>
  <c r="E867" i="3"/>
  <c r="D867" i="3"/>
  <c r="K866" i="3"/>
  <c r="E866" i="3"/>
  <c r="D866" i="3"/>
  <c r="K865" i="3"/>
  <c r="E865" i="3"/>
  <c r="D865" i="3"/>
  <c r="K864" i="3"/>
  <c r="E864" i="3"/>
  <c r="D864" i="3"/>
  <c r="K863" i="3"/>
  <c r="E863" i="3"/>
  <c r="D863" i="3"/>
  <c r="K862" i="3"/>
  <c r="E862" i="3"/>
  <c r="D862" i="3"/>
  <c r="K861" i="3"/>
  <c r="E861" i="3"/>
  <c r="D861" i="3"/>
  <c r="K860" i="3"/>
  <c r="E860" i="3"/>
  <c r="D860" i="3"/>
  <c r="K859" i="3"/>
  <c r="D859" i="3"/>
  <c r="K858" i="3"/>
  <c r="E858" i="3"/>
  <c r="D858" i="3"/>
  <c r="K857" i="3"/>
  <c r="E857" i="3"/>
  <c r="D857" i="3"/>
  <c r="K856" i="3"/>
  <c r="E856" i="3"/>
  <c r="D856" i="3"/>
  <c r="K855" i="3"/>
  <c r="D855" i="3"/>
  <c r="K854" i="3"/>
  <c r="D854" i="3"/>
  <c r="K853" i="3"/>
  <c r="E853" i="3"/>
  <c r="D853" i="3"/>
  <c r="K852" i="3"/>
  <c r="E852" i="3"/>
  <c r="D852" i="3"/>
  <c r="K851" i="3"/>
  <c r="E851" i="3"/>
  <c r="D851" i="3"/>
  <c r="K850" i="3"/>
  <c r="E850" i="3"/>
  <c r="D850" i="3"/>
  <c r="K849" i="3"/>
  <c r="E849" i="3"/>
  <c r="D849" i="3"/>
  <c r="K848" i="3"/>
  <c r="E848" i="3"/>
  <c r="D848" i="3"/>
  <c r="K847" i="3"/>
  <c r="E847" i="3"/>
  <c r="D847" i="3"/>
  <c r="K846" i="3"/>
  <c r="E846" i="3"/>
  <c r="D846" i="3"/>
  <c r="K845" i="3"/>
  <c r="E845" i="3"/>
  <c r="D845" i="3"/>
  <c r="K844" i="3"/>
  <c r="E844" i="3"/>
  <c r="D844" i="3"/>
  <c r="K843" i="3"/>
  <c r="E843" i="3"/>
  <c r="D843" i="3"/>
  <c r="K842" i="3"/>
  <c r="E842" i="3"/>
  <c r="D842" i="3"/>
  <c r="K841" i="3"/>
  <c r="E841" i="3"/>
  <c r="D841" i="3"/>
  <c r="K840" i="3"/>
  <c r="E840" i="3"/>
  <c r="D840" i="3"/>
  <c r="K839" i="3"/>
  <c r="E839" i="3"/>
  <c r="D839" i="3"/>
  <c r="K838" i="3"/>
  <c r="E838" i="3"/>
  <c r="D838" i="3"/>
  <c r="K837" i="3"/>
  <c r="E837" i="3"/>
  <c r="D837" i="3"/>
  <c r="K836" i="3"/>
  <c r="E836" i="3"/>
  <c r="D836" i="3"/>
  <c r="K835" i="3"/>
  <c r="E835" i="3"/>
  <c r="D835" i="3"/>
  <c r="K834" i="3"/>
  <c r="E834" i="3"/>
  <c r="D834" i="3"/>
  <c r="K833" i="3"/>
  <c r="E833" i="3"/>
  <c r="D833" i="3"/>
  <c r="K832" i="3"/>
  <c r="E832" i="3"/>
  <c r="D832" i="3"/>
  <c r="K831" i="3"/>
  <c r="E831" i="3"/>
  <c r="D831" i="3"/>
  <c r="K830" i="3"/>
  <c r="E830" i="3"/>
  <c r="D830" i="3"/>
  <c r="K829" i="3"/>
  <c r="E829" i="3"/>
  <c r="D829" i="3"/>
  <c r="K828" i="3"/>
  <c r="E828" i="3"/>
  <c r="D828" i="3"/>
  <c r="K827" i="3"/>
  <c r="E827" i="3"/>
  <c r="D827" i="3"/>
  <c r="K826" i="3"/>
  <c r="E826" i="3"/>
  <c r="D826" i="3"/>
  <c r="K825" i="3"/>
  <c r="D825" i="3"/>
  <c r="K824" i="3"/>
  <c r="D824" i="3"/>
  <c r="K823" i="3"/>
  <c r="D823" i="3"/>
  <c r="K822" i="3"/>
  <c r="D822" i="3"/>
  <c r="K821" i="3"/>
  <c r="E821" i="3"/>
  <c r="D821" i="3"/>
  <c r="K820" i="3"/>
  <c r="E820" i="3"/>
  <c r="D820" i="3"/>
  <c r="K819" i="3"/>
  <c r="E819" i="3"/>
  <c r="D819" i="3"/>
  <c r="K818" i="3"/>
  <c r="E818" i="3"/>
  <c r="D818" i="3"/>
  <c r="K817" i="3"/>
  <c r="E817" i="3"/>
  <c r="D817" i="3"/>
  <c r="K816" i="3"/>
  <c r="E816" i="3"/>
  <c r="D816" i="3"/>
  <c r="K815" i="3"/>
  <c r="E815" i="3"/>
  <c r="D815" i="3"/>
  <c r="K814" i="3"/>
  <c r="E814" i="3"/>
  <c r="D814" i="3"/>
  <c r="K813" i="3"/>
  <c r="E813" i="3"/>
  <c r="D813" i="3"/>
  <c r="K812" i="3"/>
  <c r="E812" i="3"/>
  <c r="D812" i="3"/>
  <c r="K811" i="3"/>
  <c r="E811" i="3"/>
  <c r="D811" i="3"/>
  <c r="K810" i="3"/>
  <c r="E810" i="3"/>
  <c r="D810" i="3"/>
  <c r="K809" i="3"/>
  <c r="E809" i="3"/>
  <c r="D809" i="3"/>
  <c r="K808" i="3"/>
  <c r="E808" i="3"/>
  <c r="D808" i="3"/>
  <c r="K807" i="3"/>
  <c r="E807" i="3"/>
  <c r="D807" i="3"/>
  <c r="K806" i="3"/>
  <c r="E806" i="3"/>
  <c r="D806" i="3"/>
  <c r="K805" i="3"/>
  <c r="E805" i="3"/>
  <c r="D805" i="3"/>
  <c r="K804" i="3"/>
  <c r="E804" i="3"/>
  <c r="D804" i="3"/>
  <c r="K803" i="3"/>
  <c r="E803" i="3"/>
  <c r="D803" i="3"/>
  <c r="K802" i="3"/>
  <c r="E802" i="3"/>
  <c r="D802" i="3"/>
  <c r="K801" i="3"/>
  <c r="E801" i="3"/>
  <c r="D801" i="3"/>
  <c r="K800" i="3"/>
  <c r="E800" i="3"/>
  <c r="D800" i="3"/>
  <c r="K799" i="3"/>
  <c r="E799" i="3"/>
  <c r="D799" i="3"/>
  <c r="K798" i="3"/>
  <c r="E798" i="3"/>
  <c r="D798" i="3"/>
  <c r="K797" i="3"/>
  <c r="E797" i="3"/>
  <c r="D797" i="3"/>
  <c r="K796" i="3"/>
  <c r="E796" i="3"/>
  <c r="D796" i="3"/>
  <c r="K795" i="3"/>
  <c r="E795" i="3"/>
  <c r="D795" i="3"/>
  <c r="K794" i="3"/>
  <c r="E794" i="3"/>
  <c r="D794" i="3"/>
  <c r="K793" i="3"/>
  <c r="E793" i="3"/>
  <c r="D793" i="3"/>
  <c r="K792" i="3"/>
  <c r="E792" i="3"/>
  <c r="D792" i="3"/>
  <c r="K791" i="3"/>
  <c r="E791" i="3"/>
  <c r="D791" i="3"/>
  <c r="K790" i="3"/>
  <c r="E790" i="3"/>
  <c r="D790" i="3"/>
  <c r="K789" i="3"/>
  <c r="E789" i="3"/>
  <c r="D789" i="3"/>
  <c r="K788" i="3"/>
  <c r="E788" i="3"/>
  <c r="D788" i="3"/>
  <c r="K787" i="3"/>
  <c r="E787" i="3"/>
  <c r="D787" i="3"/>
  <c r="K786" i="3"/>
  <c r="E786" i="3"/>
  <c r="D786" i="3"/>
  <c r="K785" i="3"/>
  <c r="E785" i="3"/>
  <c r="D785" i="3"/>
  <c r="K784" i="3"/>
  <c r="E784" i="3"/>
  <c r="D784" i="3"/>
  <c r="K783" i="3"/>
  <c r="E783" i="3"/>
  <c r="D783" i="3"/>
  <c r="K782" i="3"/>
  <c r="E782" i="3"/>
  <c r="D782" i="3"/>
  <c r="K781" i="3"/>
  <c r="E781" i="3"/>
  <c r="D781" i="3"/>
  <c r="K780" i="3"/>
  <c r="E780" i="3"/>
  <c r="D780" i="3"/>
  <c r="K779" i="3"/>
  <c r="E779" i="3"/>
  <c r="D779" i="3"/>
  <c r="K778" i="3"/>
  <c r="E778" i="3"/>
  <c r="D778" i="3"/>
  <c r="K777" i="3"/>
  <c r="E777" i="3"/>
  <c r="D777" i="3"/>
  <c r="K776" i="3"/>
  <c r="E776" i="3"/>
  <c r="D776" i="3"/>
  <c r="K775" i="3"/>
  <c r="E775" i="3"/>
  <c r="D775" i="3"/>
  <c r="K774" i="3"/>
  <c r="E774" i="3"/>
  <c r="D774" i="3"/>
  <c r="K773" i="3"/>
  <c r="E773" i="3"/>
  <c r="D773" i="3"/>
  <c r="K772" i="3"/>
  <c r="E772" i="3"/>
  <c r="D772" i="3"/>
  <c r="K771" i="3"/>
  <c r="E771" i="3"/>
  <c r="D771" i="3"/>
  <c r="K770" i="3"/>
  <c r="E770" i="3"/>
  <c r="D770" i="3"/>
  <c r="K769" i="3"/>
  <c r="E769" i="3"/>
  <c r="D769" i="3"/>
  <c r="K768" i="3"/>
  <c r="E768" i="3"/>
  <c r="D768" i="3"/>
  <c r="K767" i="3"/>
  <c r="E767" i="3"/>
  <c r="D767" i="3"/>
  <c r="K766" i="3"/>
  <c r="E766" i="3"/>
  <c r="D766" i="3"/>
  <c r="K765" i="3"/>
  <c r="E765" i="3"/>
  <c r="D765" i="3"/>
  <c r="K764" i="3"/>
  <c r="E764" i="3"/>
  <c r="D764" i="3"/>
  <c r="K763" i="3"/>
  <c r="E763" i="3"/>
  <c r="D763" i="3"/>
  <c r="K762" i="3"/>
  <c r="D762" i="3"/>
  <c r="K761" i="3"/>
  <c r="E761" i="3"/>
  <c r="D761" i="3"/>
  <c r="K760" i="3"/>
  <c r="E760" i="3"/>
  <c r="D760" i="3"/>
  <c r="K759" i="3"/>
  <c r="E759" i="3"/>
  <c r="D759" i="3"/>
  <c r="K758" i="3"/>
  <c r="E758" i="3"/>
  <c r="D758" i="3"/>
  <c r="K757" i="3"/>
  <c r="E757" i="3"/>
  <c r="D757" i="3"/>
  <c r="K756" i="3"/>
  <c r="E756" i="3"/>
  <c r="D756" i="3"/>
  <c r="K755" i="3"/>
  <c r="K754" i="3"/>
  <c r="K753" i="3"/>
  <c r="K752" i="3"/>
  <c r="K751" i="3"/>
  <c r="K750" i="3"/>
  <c r="E750" i="3"/>
  <c r="D750" i="3"/>
  <c r="K749" i="3"/>
  <c r="E749" i="3"/>
  <c r="D749" i="3"/>
  <c r="K748" i="3"/>
  <c r="E748" i="3"/>
  <c r="D748" i="3"/>
  <c r="K747" i="3"/>
  <c r="E747" i="3"/>
  <c r="D747" i="3"/>
  <c r="K746" i="3"/>
  <c r="E746" i="3"/>
  <c r="D746" i="3"/>
  <c r="K745" i="3"/>
  <c r="E745" i="3"/>
  <c r="D745" i="3"/>
  <c r="K744" i="3"/>
  <c r="E744" i="3"/>
  <c r="D744" i="3"/>
  <c r="K743" i="3"/>
  <c r="E743" i="3"/>
  <c r="D743" i="3"/>
  <c r="K742" i="3"/>
  <c r="E742" i="3"/>
  <c r="D742" i="3"/>
  <c r="K741" i="3"/>
  <c r="E741" i="3"/>
  <c r="D741" i="3"/>
  <c r="K740" i="3"/>
  <c r="D740" i="3"/>
  <c r="K739" i="3"/>
  <c r="D739" i="3"/>
  <c r="K738" i="3"/>
  <c r="D738" i="3"/>
  <c r="K737" i="3"/>
  <c r="D737" i="3"/>
  <c r="K736" i="3"/>
  <c r="D736" i="3"/>
  <c r="K735" i="3"/>
  <c r="D735" i="3"/>
  <c r="K734" i="3"/>
  <c r="D734" i="3"/>
  <c r="K733" i="3"/>
  <c r="D733" i="3"/>
  <c r="K732" i="3"/>
  <c r="D732" i="3"/>
  <c r="K731" i="3"/>
  <c r="D731" i="3"/>
  <c r="K730" i="3"/>
  <c r="D730" i="3"/>
  <c r="K729" i="3"/>
  <c r="D729" i="3"/>
  <c r="K728" i="3"/>
  <c r="D728" i="3"/>
  <c r="K727" i="3"/>
  <c r="D727" i="3"/>
  <c r="K726" i="3"/>
  <c r="D726" i="3"/>
  <c r="K725" i="3"/>
  <c r="D725" i="3"/>
  <c r="K724" i="3"/>
  <c r="D724" i="3"/>
  <c r="K723" i="3"/>
  <c r="D723" i="3"/>
  <c r="K722" i="3"/>
  <c r="D722" i="3"/>
  <c r="K721" i="3"/>
  <c r="D721" i="3"/>
  <c r="K720" i="3"/>
  <c r="D720" i="3"/>
  <c r="K719" i="3"/>
  <c r="D719" i="3"/>
  <c r="K718" i="3"/>
  <c r="E718" i="3"/>
  <c r="D718" i="3"/>
  <c r="K717" i="3"/>
  <c r="E717" i="3"/>
  <c r="D717" i="3"/>
  <c r="K716" i="3"/>
  <c r="E716" i="3"/>
  <c r="D716" i="3"/>
  <c r="K715" i="3"/>
  <c r="E715" i="3"/>
  <c r="D715" i="3"/>
  <c r="K714" i="3"/>
  <c r="E714" i="3"/>
  <c r="D714" i="3"/>
  <c r="K713" i="3"/>
  <c r="E713" i="3"/>
  <c r="D713" i="3"/>
  <c r="K712" i="3"/>
  <c r="E712" i="3"/>
  <c r="D712" i="3"/>
  <c r="K711" i="3"/>
  <c r="E711" i="3"/>
  <c r="D711" i="3"/>
  <c r="K710" i="3"/>
  <c r="E710" i="3"/>
  <c r="D710" i="3"/>
  <c r="K709" i="3"/>
  <c r="E709" i="3"/>
  <c r="D709" i="3"/>
  <c r="K708" i="3"/>
  <c r="E708" i="3"/>
  <c r="D708" i="3"/>
  <c r="K707" i="3"/>
  <c r="E707" i="3"/>
  <c r="D707" i="3"/>
  <c r="K706" i="3"/>
  <c r="E706" i="3"/>
  <c r="D706" i="3"/>
  <c r="K705" i="3"/>
  <c r="E705" i="3"/>
  <c r="D705" i="3"/>
  <c r="K704" i="3"/>
  <c r="E704" i="3"/>
  <c r="D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E674" i="3"/>
  <c r="D674" i="3"/>
  <c r="K673" i="3"/>
  <c r="E673" i="3"/>
  <c r="D673" i="3"/>
  <c r="K672" i="3"/>
  <c r="E672" i="3"/>
  <c r="D672" i="3"/>
  <c r="K671" i="3"/>
  <c r="E671" i="3"/>
  <c r="D671" i="3"/>
  <c r="K670" i="3"/>
  <c r="E670" i="3"/>
  <c r="D670" i="3"/>
  <c r="K669" i="3"/>
  <c r="E669" i="3"/>
  <c r="D669" i="3"/>
  <c r="K668" i="3"/>
  <c r="E668" i="3"/>
  <c r="D668" i="3"/>
  <c r="K667" i="3"/>
  <c r="E667" i="3"/>
  <c r="D667" i="3"/>
  <c r="K666" i="3"/>
  <c r="E666" i="3"/>
  <c r="D666" i="3"/>
  <c r="K665" i="3"/>
  <c r="E665" i="3"/>
  <c r="D665" i="3"/>
  <c r="K664" i="3"/>
  <c r="E664" i="3"/>
  <c r="D664" i="3"/>
  <c r="K663" i="3"/>
  <c r="E663" i="3"/>
  <c r="D663" i="3"/>
  <c r="K662" i="3"/>
  <c r="E662" i="3"/>
  <c r="D662" i="3"/>
  <c r="K661" i="3"/>
  <c r="E661" i="3"/>
  <c r="D661" i="3"/>
  <c r="K660" i="3"/>
  <c r="E660" i="3"/>
  <c r="D660" i="3"/>
  <c r="K659" i="3"/>
  <c r="E659" i="3"/>
  <c r="D659" i="3"/>
  <c r="K658" i="3"/>
  <c r="E658" i="3"/>
  <c r="D658" i="3"/>
  <c r="K657" i="3"/>
  <c r="E657" i="3"/>
  <c r="D657" i="3"/>
  <c r="K656" i="3"/>
  <c r="E656" i="3"/>
  <c r="D656" i="3"/>
  <c r="K655" i="3"/>
  <c r="D655" i="3"/>
  <c r="K654" i="3"/>
  <c r="D654" i="3"/>
  <c r="K653" i="3"/>
  <c r="D653" i="3"/>
  <c r="K652" i="3"/>
  <c r="D652" i="3"/>
  <c r="K651" i="3"/>
  <c r="D651" i="3"/>
  <c r="K650" i="3"/>
  <c r="D650" i="3"/>
  <c r="K649" i="3"/>
  <c r="E649" i="3"/>
  <c r="D649" i="3"/>
  <c r="K648" i="3"/>
  <c r="E648" i="3"/>
  <c r="D648" i="3"/>
  <c r="K647" i="3"/>
  <c r="E647" i="3"/>
  <c r="D647" i="3"/>
  <c r="K646" i="3"/>
  <c r="E646" i="3"/>
  <c r="D646" i="3"/>
  <c r="K645" i="3"/>
  <c r="K644" i="3"/>
  <c r="K643" i="3"/>
  <c r="K642" i="3"/>
  <c r="K641" i="3"/>
  <c r="K640" i="3"/>
  <c r="K639" i="3"/>
  <c r="K638" i="3"/>
  <c r="K637" i="3"/>
  <c r="K636" i="3"/>
  <c r="K635" i="3"/>
  <c r="E635" i="3"/>
  <c r="D635" i="3"/>
  <c r="K634" i="3"/>
  <c r="E634" i="3"/>
  <c r="D634" i="3"/>
  <c r="K633" i="3"/>
  <c r="E633" i="3"/>
  <c r="D633" i="3"/>
  <c r="K632" i="3"/>
  <c r="E632" i="3"/>
  <c r="D632" i="3"/>
  <c r="K631" i="3"/>
  <c r="E631" i="3"/>
  <c r="D631" i="3"/>
  <c r="K630" i="3"/>
  <c r="E630" i="3"/>
  <c r="D630" i="3"/>
  <c r="K629" i="3"/>
  <c r="E629" i="3"/>
  <c r="D629" i="3"/>
  <c r="K628" i="3"/>
  <c r="E628" i="3"/>
  <c r="D628" i="3"/>
  <c r="K627" i="3"/>
  <c r="E627" i="3"/>
  <c r="D627" i="3"/>
  <c r="K626" i="3"/>
  <c r="E626" i="3"/>
  <c r="D626" i="3"/>
  <c r="K625" i="3"/>
  <c r="E625" i="3"/>
  <c r="D625" i="3"/>
  <c r="K624" i="3"/>
  <c r="E624" i="3"/>
  <c r="D624" i="3"/>
  <c r="K623" i="3"/>
  <c r="E623" i="3"/>
  <c r="D623" i="3"/>
  <c r="K622" i="3"/>
  <c r="E622" i="3"/>
  <c r="D622" i="3"/>
  <c r="K621" i="3"/>
  <c r="E621" i="3"/>
  <c r="D621" i="3"/>
  <c r="K620" i="3"/>
  <c r="E620" i="3"/>
  <c r="D620" i="3"/>
  <c r="K619" i="3"/>
  <c r="E619" i="3"/>
  <c r="D619" i="3"/>
  <c r="K618" i="3"/>
  <c r="E618" i="3"/>
  <c r="D618" i="3"/>
  <c r="K617" i="3"/>
  <c r="E617" i="3"/>
  <c r="D617" i="3"/>
  <c r="K616" i="3"/>
  <c r="E616" i="3"/>
  <c r="D616" i="3"/>
  <c r="K615" i="3"/>
  <c r="E615" i="3"/>
  <c r="D615" i="3"/>
  <c r="K614" i="3"/>
  <c r="E614" i="3"/>
  <c r="D614" i="3"/>
  <c r="K613" i="3"/>
  <c r="E613" i="3"/>
  <c r="D613" i="3"/>
  <c r="K612" i="3"/>
  <c r="E612" i="3"/>
  <c r="D612" i="3"/>
  <c r="K611" i="3"/>
  <c r="E611" i="3"/>
  <c r="D611" i="3"/>
  <c r="K610" i="3"/>
  <c r="E610" i="3"/>
  <c r="D610" i="3"/>
  <c r="K609" i="3"/>
  <c r="E609" i="3"/>
  <c r="D609" i="3"/>
  <c r="K608" i="3"/>
  <c r="E608" i="3"/>
  <c r="D608" i="3"/>
  <c r="K607" i="3"/>
  <c r="E607" i="3"/>
  <c r="D607" i="3"/>
  <c r="K606" i="3"/>
  <c r="E606" i="3"/>
  <c r="D606" i="3"/>
  <c r="K605" i="3"/>
  <c r="E605" i="3"/>
  <c r="D605" i="3"/>
  <c r="K604" i="3"/>
  <c r="E604" i="3"/>
  <c r="D604" i="3"/>
  <c r="K603" i="3"/>
  <c r="E603" i="3"/>
  <c r="D603" i="3"/>
  <c r="K602" i="3"/>
  <c r="E602" i="3"/>
  <c r="D602" i="3"/>
  <c r="K601" i="3"/>
  <c r="E601" i="3"/>
  <c r="D601" i="3"/>
  <c r="K600" i="3"/>
  <c r="E600" i="3"/>
  <c r="D600" i="3"/>
  <c r="K599" i="3"/>
  <c r="E599" i="3"/>
  <c r="D599" i="3"/>
  <c r="K598" i="3"/>
  <c r="E598" i="3"/>
  <c r="D598" i="3"/>
  <c r="K597" i="3"/>
  <c r="E597" i="3"/>
  <c r="D597" i="3"/>
  <c r="K596" i="3"/>
  <c r="E596" i="3"/>
  <c r="D596" i="3"/>
  <c r="K595" i="3"/>
  <c r="E595" i="3"/>
  <c r="D595" i="3"/>
  <c r="K594" i="3"/>
  <c r="E594" i="3"/>
  <c r="D594" i="3"/>
  <c r="K593" i="3"/>
  <c r="E593" i="3"/>
  <c r="D593" i="3"/>
  <c r="K592" i="3"/>
  <c r="E592" i="3"/>
  <c r="D592" i="3"/>
  <c r="K591" i="3"/>
  <c r="E591" i="3"/>
  <c r="D591" i="3"/>
  <c r="K590" i="3"/>
  <c r="E590" i="3"/>
  <c r="D590" i="3"/>
  <c r="K589" i="3"/>
  <c r="E589" i="3"/>
  <c r="D589" i="3"/>
  <c r="K588" i="3"/>
  <c r="E588" i="3"/>
  <c r="D588" i="3"/>
  <c r="K587" i="3"/>
  <c r="E587" i="3"/>
  <c r="D587" i="3"/>
  <c r="K586" i="3"/>
  <c r="E586" i="3"/>
  <c r="D586" i="3"/>
  <c r="K585" i="3"/>
  <c r="E585" i="3"/>
  <c r="D585" i="3"/>
  <c r="K584" i="3"/>
  <c r="E584" i="3"/>
  <c r="D584" i="3"/>
  <c r="K583" i="3"/>
  <c r="E583" i="3"/>
  <c r="D583" i="3"/>
  <c r="K582" i="3"/>
  <c r="E582" i="3"/>
  <c r="D582" i="3"/>
  <c r="K581" i="3"/>
  <c r="E581" i="3"/>
  <c r="D581" i="3"/>
  <c r="K580" i="3"/>
  <c r="E580" i="3"/>
  <c r="D580" i="3"/>
  <c r="K579" i="3"/>
  <c r="E579" i="3"/>
  <c r="D579" i="3"/>
  <c r="K578" i="3"/>
  <c r="E578" i="3"/>
  <c r="D578" i="3"/>
  <c r="K577" i="3"/>
  <c r="E577" i="3"/>
  <c r="D577" i="3"/>
  <c r="K576" i="3"/>
  <c r="E576" i="3"/>
  <c r="D576" i="3"/>
  <c r="K575" i="3"/>
  <c r="E575" i="3"/>
  <c r="D575" i="3"/>
  <c r="K574" i="3"/>
  <c r="E574" i="3"/>
  <c r="D574" i="3"/>
  <c r="K573" i="3"/>
  <c r="E573" i="3"/>
  <c r="D573" i="3"/>
  <c r="K572" i="3"/>
  <c r="E572" i="3"/>
  <c r="D572" i="3"/>
  <c r="K571" i="3"/>
  <c r="E571" i="3"/>
  <c r="D571" i="3"/>
  <c r="K570" i="3"/>
  <c r="E570" i="3"/>
  <c r="D570" i="3"/>
  <c r="K569" i="3"/>
  <c r="E569" i="3"/>
  <c r="D569" i="3"/>
  <c r="K568" i="3"/>
  <c r="E568" i="3"/>
  <c r="D568" i="3"/>
  <c r="K567" i="3"/>
  <c r="E567" i="3"/>
  <c r="D567" i="3"/>
  <c r="K566" i="3"/>
  <c r="E566" i="3"/>
  <c r="D566" i="3"/>
  <c r="K565" i="3"/>
  <c r="E565" i="3"/>
  <c r="D565" i="3"/>
  <c r="K564" i="3"/>
  <c r="E564" i="3"/>
  <c r="D564" i="3"/>
  <c r="K563" i="3"/>
  <c r="E563" i="3"/>
  <c r="D563" i="3"/>
  <c r="K562" i="3"/>
  <c r="E562" i="3"/>
  <c r="D562" i="3"/>
  <c r="K561" i="3"/>
  <c r="E561" i="3"/>
  <c r="D561" i="3"/>
  <c r="K560" i="3"/>
  <c r="E560" i="3"/>
  <c r="D560" i="3"/>
  <c r="K559" i="3"/>
  <c r="E559" i="3"/>
  <c r="D559" i="3"/>
  <c r="K558" i="3"/>
  <c r="E558" i="3"/>
  <c r="D558" i="3"/>
  <c r="K557" i="3"/>
  <c r="E557" i="3"/>
  <c r="D557" i="3"/>
  <c r="K556" i="3"/>
  <c r="E556" i="3"/>
  <c r="D556" i="3"/>
  <c r="K555" i="3"/>
  <c r="E555" i="3"/>
  <c r="D555" i="3"/>
  <c r="K554" i="3"/>
  <c r="E554" i="3"/>
  <c r="D554" i="3"/>
  <c r="K553" i="3"/>
  <c r="E553" i="3"/>
  <c r="D553" i="3"/>
  <c r="K552" i="3"/>
  <c r="E552" i="3"/>
  <c r="D552" i="3"/>
  <c r="K551" i="3"/>
  <c r="E551" i="3"/>
  <c r="D551" i="3"/>
  <c r="K550" i="3"/>
  <c r="E550" i="3"/>
  <c r="D550" i="3"/>
  <c r="K549" i="3"/>
  <c r="E549" i="3"/>
  <c r="D549" i="3"/>
  <c r="K548" i="3"/>
  <c r="E548" i="3"/>
  <c r="D548" i="3"/>
  <c r="K547" i="3"/>
  <c r="E547" i="3"/>
  <c r="D547" i="3"/>
  <c r="K546" i="3"/>
  <c r="E546" i="3"/>
  <c r="D546" i="3"/>
  <c r="K545" i="3"/>
  <c r="E545" i="3"/>
  <c r="D545" i="3"/>
  <c r="K544" i="3"/>
  <c r="E544" i="3"/>
  <c r="D544" i="3"/>
  <c r="K543" i="3"/>
  <c r="D543" i="3"/>
  <c r="K542" i="3"/>
  <c r="D542" i="3"/>
  <c r="K541" i="3"/>
  <c r="D541" i="3"/>
  <c r="K540" i="3"/>
  <c r="D540" i="3"/>
  <c r="K539" i="3"/>
  <c r="D539" i="3"/>
  <c r="K538" i="3"/>
  <c r="D538" i="3"/>
  <c r="K537" i="3"/>
  <c r="D537" i="3"/>
  <c r="K536" i="3"/>
  <c r="D536" i="3"/>
  <c r="K535" i="3"/>
  <c r="D535" i="3"/>
  <c r="K534" i="3"/>
  <c r="E534" i="3"/>
  <c r="D534" i="3"/>
  <c r="K533" i="3"/>
  <c r="E533" i="3"/>
  <c r="D533" i="3"/>
  <c r="K532" i="3"/>
  <c r="E532" i="3"/>
  <c r="D532" i="3"/>
  <c r="K531" i="3"/>
  <c r="E531" i="3"/>
  <c r="D531" i="3"/>
  <c r="K530" i="3"/>
  <c r="E530" i="3"/>
  <c r="D530" i="3"/>
  <c r="K529" i="3"/>
  <c r="E529" i="3"/>
  <c r="D529" i="3"/>
  <c r="K528" i="3"/>
  <c r="E528" i="3"/>
  <c r="D528" i="3"/>
  <c r="K527" i="3"/>
  <c r="E527" i="3"/>
  <c r="D527" i="3"/>
  <c r="K526" i="3"/>
  <c r="E526" i="3"/>
  <c r="D526" i="3"/>
  <c r="K525" i="3"/>
  <c r="E525" i="3"/>
  <c r="D525" i="3"/>
  <c r="K524" i="3"/>
  <c r="E524" i="3"/>
  <c r="D524" i="3"/>
  <c r="K523" i="3"/>
  <c r="E523" i="3"/>
  <c r="D523" i="3"/>
  <c r="K522" i="3"/>
  <c r="E522" i="3"/>
  <c r="D522" i="3"/>
  <c r="K521" i="3"/>
  <c r="E521" i="3"/>
  <c r="D521" i="3"/>
  <c r="K520" i="3"/>
  <c r="D520" i="3"/>
  <c r="K519" i="3"/>
  <c r="E519" i="3"/>
  <c r="D519" i="3"/>
  <c r="K518" i="3"/>
  <c r="D518" i="3"/>
  <c r="K517" i="3"/>
  <c r="D517" i="3"/>
  <c r="K516" i="3"/>
  <c r="D516" i="3"/>
  <c r="K515" i="3"/>
  <c r="D515" i="3"/>
  <c r="K514" i="3"/>
  <c r="E514" i="3"/>
  <c r="D514" i="3"/>
  <c r="K513" i="3"/>
  <c r="E513" i="3"/>
  <c r="D513" i="3"/>
  <c r="K512" i="3"/>
  <c r="E512" i="3"/>
  <c r="D512" i="3"/>
  <c r="K511" i="3"/>
  <c r="E511" i="3"/>
  <c r="D511" i="3"/>
  <c r="K510" i="3"/>
  <c r="D510" i="3"/>
  <c r="K509" i="3"/>
  <c r="D509" i="3"/>
  <c r="K508" i="3"/>
  <c r="E508" i="3"/>
  <c r="D508" i="3"/>
  <c r="K507" i="3"/>
  <c r="E507" i="3"/>
  <c r="D507" i="3"/>
  <c r="K506" i="3"/>
  <c r="E506" i="3"/>
  <c r="D506" i="3"/>
  <c r="K505" i="3"/>
  <c r="E505" i="3"/>
  <c r="D505" i="3"/>
  <c r="K504" i="3"/>
  <c r="E504" i="3"/>
  <c r="D504" i="3"/>
  <c r="K503" i="3"/>
  <c r="E503" i="3"/>
  <c r="D503" i="3"/>
  <c r="K502" i="3"/>
  <c r="E502" i="3"/>
  <c r="D502" i="3"/>
  <c r="K501" i="3"/>
  <c r="E501" i="3"/>
  <c r="D501" i="3"/>
  <c r="K500" i="3"/>
  <c r="E500" i="3"/>
  <c r="D500" i="3"/>
  <c r="K499" i="3"/>
  <c r="E499" i="3"/>
  <c r="D499" i="3"/>
  <c r="K498" i="3"/>
  <c r="E498" i="3"/>
  <c r="D498" i="3"/>
  <c r="K497" i="3"/>
  <c r="E497" i="3"/>
  <c r="D497" i="3"/>
  <c r="K496" i="3"/>
  <c r="E496" i="3"/>
  <c r="D496" i="3"/>
  <c r="K495" i="3"/>
  <c r="E495" i="3"/>
  <c r="D495" i="3"/>
  <c r="K494" i="3"/>
  <c r="E494" i="3"/>
  <c r="D494" i="3"/>
  <c r="K493" i="3"/>
  <c r="E493" i="3"/>
  <c r="D493" i="3"/>
  <c r="K492" i="3"/>
  <c r="E492" i="3"/>
  <c r="D492" i="3"/>
  <c r="K491" i="3"/>
  <c r="E491" i="3"/>
  <c r="D491" i="3"/>
  <c r="K490" i="3"/>
  <c r="E490" i="3"/>
  <c r="D490" i="3"/>
  <c r="K489" i="3"/>
  <c r="E489" i="3"/>
  <c r="D489" i="3"/>
  <c r="K488" i="3"/>
  <c r="E488" i="3"/>
  <c r="D488" i="3"/>
  <c r="K487" i="3"/>
  <c r="E487" i="3"/>
  <c r="D487" i="3"/>
  <c r="K486" i="3"/>
  <c r="E486" i="3"/>
  <c r="D486" i="3"/>
  <c r="K485" i="3"/>
  <c r="E485" i="3"/>
  <c r="D485" i="3"/>
  <c r="K484" i="3"/>
  <c r="E484" i="3"/>
  <c r="D484" i="3"/>
  <c r="K483" i="3"/>
  <c r="E483" i="3"/>
  <c r="D483" i="3"/>
  <c r="K482" i="3"/>
  <c r="E482" i="3"/>
  <c r="D482" i="3"/>
  <c r="K481" i="3"/>
  <c r="E481" i="3"/>
  <c r="D481" i="3"/>
  <c r="K480" i="3"/>
  <c r="E480" i="3"/>
  <c r="D480" i="3"/>
  <c r="K479" i="3"/>
  <c r="E479" i="3"/>
  <c r="D479" i="3"/>
  <c r="K478" i="3"/>
  <c r="E478" i="3"/>
  <c r="D478" i="3"/>
  <c r="K477" i="3"/>
  <c r="E477" i="3"/>
  <c r="D477" i="3"/>
  <c r="K476" i="3"/>
  <c r="E476" i="3"/>
  <c r="D476" i="3"/>
  <c r="K475" i="3"/>
  <c r="E475" i="3"/>
  <c r="D475" i="3"/>
  <c r="K474" i="3"/>
  <c r="E474" i="3"/>
  <c r="D474" i="3"/>
  <c r="K473" i="3"/>
  <c r="E473" i="3"/>
  <c r="D473" i="3"/>
  <c r="K472" i="3"/>
  <c r="E472" i="3"/>
  <c r="D472" i="3"/>
  <c r="K471" i="3"/>
  <c r="E471" i="3"/>
  <c r="D471" i="3"/>
  <c r="K470" i="3"/>
  <c r="E470" i="3"/>
  <c r="D470" i="3"/>
  <c r="K469" i="3"/>
  <c r="E469" i="3"/>
  <c r="D469" i="3"/>
  <c r="K468" i="3"/>
  <c r="E468" i="3"/>
  <c r="D468" i="3"/>
  <c r="K467" i="3"/>
  <c r="E467" i="3"/>
  <c r="D467" i="3"/>
  <c r="K466" i="3"/>
  <c r="E466" i="3"/>
  <c r="D466" i="3"/>
  <c r="K465" i="3"/>
  <c r="E465" i="3"/>
  <c r="D465" i="3"/>
  <c r="K464" i="3"/>
  <c r="E464" i="3"/>
  <c r="D464" i="3"/>
  <c r="K463" i="3"/>
  <c r="E463" i="3"/>
  <c r="D463" i="3"/>
  <c r="K462" i="3"/>
  <c r="E462" i="3"/>
  <c r="D462" i="3"/>
  <c r="K461" i="3"/>
  <c r="E461" i="3"/>
  <c r="D461" i="3"/>
  <c r="K460" i="3"/>
  <c r="E460" i="3"/>
  <c r="D460" i="3"/>
  <c r="K459" i="3"/>
  <c r="E459" i="3"/>
  <c r="D459" i="3"/>
  <c r="K458" i="3"/>
  <c r="E458" i="3"/>
  <c r="D458" i="3"/>
  <c r="K457" i="3"/>
  <c r="E457" i="3"/>
  <c r="D457" i="3"/>
  <c r="K456" i="3"/>
  <c r="E456" i="3"/>
  <c r="D456" i="3"/>
  <c r="K455" i="3"/>
  <c r="E455" i="3"/>
  <c r="D455" i="3"/>
  <c r="K454" i="3"/>
  <c r="E454" i="3"/>
  <c r="D454" i="3"/>
  <c r="K453" i="3"/>
  <c r="E453" i="3"/>
  <c r="D453" i="3"/>
  <c r="K452" i="3"/>
  <c r="E452" i="3"/>
  <c r="D452" i="3"/>
  <c r="K451" i="3"/>
  <c r="E451" i="3"/>
  <c r="D451" i="3"/>
  <c r="K450" i="3"/>
  <c r="E450" i="3"/>
  <c r="D450" i="3"/>
  <c r="K449" i="3"/>
  <c r="E449" i="3"/>
  <c r="D449" i="3"/>
  <c r="K448" i="3"/>
  <c r="E448" i="3"/>
  <c r="D448" i="3"/>
  <c r="K447" i="3"/>
  <c r="E447" i="3"/>
  <c r="D447" i="3"/>
  <c r="K446" i="3"/>
  <c r="E446" i="3"/>
  <c r="D446" i="3"/>
  <c r="K445" i="3"/>
  <c r="E445" i="3"/>
  <c r="D445" i="3"/>
  <c r="K444" i="3"/>
  <c r="E444" i="3"/>
  <c r="D444" i="3"/>
  <c r="K443" i="3"/>
  <c r="E443" i="3"/>
  <c r="D443" i="3"/>
  <c r="K442" i="3"/>
  <c r="E442" i="3"/>
  <c r="D442" i="3"/>
  <c r="K441" i="3"/>
  <c r="E441" i="3"/>
  <c r="D441" i="3"/>
  <c r="K440" i="3"/>
  <c r="E440" i="3"/>
  <c r="D440" i="3"/>
  <c r="K439" i="3"/>
  <c r="E439" i="3"/>
  <c r="D439" i="3"/>
  <c r="K438" i="3"/>
  <c r="E438" i="3"/>
  <c r="D438" i="3"/>
  <c r="K437" i="3"/>
  <c r="E437" i="3"/>
  <c r="D437" i="3"/>
  <c r="K436" i="3"/>
  <c r="E436" i="3"/>
  <c r="D436" i="3"/>
  <c r="K435" i="3"/>
  <c r="E435" i="3"/>
  <c r="D435" i="3"/>
  <c r="K434" i="3"/>
  <c r="E434" i="3"/>
  <c r="D434" i="3"/>
  <c r="K433" i="3"/>
  <c r="E433" i="3"/>
  <c r="D433" i="3"/>
  <c r="K432" i="3"/>
  <c r="E432" i="3"/>
  <c r="D432" i="3"/>
  <c r="K431" i="3"/>
  <c r="E431" i="3"/>
  <c r="D431" i="3"/>
  <c r="K430" i="3"/>
  <c r="E430" i="3"/>
  <c r="D430" i="3"/>
  <c r="K429" i="3"/>
  <c r="D429" i="3"/>
  <c r="K428" i="3"/>
  <c r="D428" i="3"/>
  <c r="K427" i="3"/>
  <c r="E427" i="3"/>
  <c r="D427" i="3"/>
  <c r="K426" i="3"/>
  <c r="E426" i="3"/>
  <c r="D426" i="3"/>
  <c r="K425" i="3"/>
  <c r="E425" i="3"/>
  <c r="D425" i="3"/>
  <c r="K424" i="3"/>
  <c r="E424" i="3"/>
  <c r="D424" i="3"/>
  <c r="K423" i="3"/>
  <c r="E423" i="3"/>
  <c r="D423" i="3"/>
  <c r="K422" i="3"/>
  <c r="E422" i="3"/>
  <c r="D422" i="3"/>
  <c r="K421" i="3"/>
  <c r="E421" i="3"/>
  <c r="D421" i="3"/>
  <c r="K420" i="3"/>
  <c r="E420" i="3"/>
  <c r="D420" i="3"/>
  <c r="K419" i="3"/>
  <c r="D419" i="3"/>
  <c r="K418" i="3"/>
  <c r="D418" i="3"/>
  <c r="K417" i="3"/>
  <c r="E417" i="3"/>
  <c r="D417" i="3"/>
  <c r="K416" i="3"/>
  <c r="E416" i="3"/>
  <c r="D416" i="3"/>
  <c r="K415" i="3"/>
  <c r="E415" i="3"/>
  <c r="D415" i="3"/>
  <c r="K414" i="3"/>
  <c r="E414" i="3"/>
  <c r="D414" i="3"/>
  <c r="K413" i="3"/>
  <c r="E413" i="3"/>
  <c r="D413" i="3"/>
  <c r="K412" i="3"/>
  <c r="E412" i="3"/>
  <c r="D412" i="3"/>
  <c r="K411" i="3"/>
  <c r="E411" i="3"/>
  <c r="D411" i="3"/>
  <c r="K410" i="3"/>
  <c r="E410" i="3"/>
  <c r="D410" i="3"/>
  <c r="K409" i="3"/>
  <c r="E409" i="3"/>
  <c r="D409" i="3"/>
  <c r="K408" i="3"/>
  <c r="E408" i="3"/>
  <c r="D408" i="3"/>
  <c r="K407" i="3"/>
  <c r="E407" i="3"/>
  <c r="D407" i="3"/>
  <c r="K406" i="3"/>
  <c r="E406" i="3"/>
  <c r="D406" i="3"/>
  <c r="K405" i="3"/>
  <c r="E405" i="3"/>
  <c r="D405" i="3"/>
  <c r="K404" i="3"/>
  <c r="E404" i="3"/>
  <c r="D404" i="3"/>
  <c r="K403" i="3"/>
  <c r="E403" i="3"/>
  <c r="D403" i="3"/>
  <c r="K402" i="3"/>
  <c r="E402" i="3"/>
  <c r="D402" i="3"/>
  <c r="K401" i="3"/>
  <c r="E401" i="3"/>
  <c r="D401" i="3"/>
  <c r="K400" i="3"/>
  <c r="E400" i="3"/>
  <c r="D400" i="3"/>
  <c r="K399" i="3"/>
  <c r="E399" i="3"/>
  <c r="D399" i="3"/>
  <c r="K398" i="3"/>
  <c r="E398" i="3"/>
  <c r="D398" i="3"/>
  <c r="K397" i="3"/>
  <c r="E397" i="3"/>
  <c r="D397" i="3"/>
  <c r="K396" i="3"/>
  <c r="E396" i="3"/>
  <c r="D396" i="3"/>
  <c r="K395" i="3"/>
  <c r="E395" i="3"/>
  <c r="D395" i="3"/>
  <c r="K394" i="3"/>
  <c r="E394" i="3"/>
  <c r="D394" i="3"/>
  <c r="K393" i="3"/>
  <c r="D393" i="3"/>
  <c r="K392" i="3"/>
  <c r="D392" i="3"/>
  <c r="K391" i="3"/>
  <c r="D391" i="3"/>
  <c r="K390" i="3"/>
  <c r="E390" i="3"/>
  <c r="D390" i="3"/>
  <c r="K389" i="3"/>
  <c r="E389" i="3"/>
  <c r="D389" i="3"/>
  <c r="K388" i="3"/>
  <c r="E388" i="3"/>
  <c r="D388" i="3"/>
  <c r="K387" i="3"/>
  <c r="E387" i="3"/>
  <c r="D387" i="3"/>
  <c r="K386" i="3"/>
  <c r="E386" i="3"/>
  <c r="D386" i="3"/>
  <c r="K385" i="3"/>
  <c r="E385" i="3"/>
  <c r="D385" i="3"/>
  <c r="K384" i="3"/>
  <c r="E384" i="3"/>
  <c r="D384" i="3"/>
  <c r="K383" i="3"/>
  <c r="E383" i="3"/>
  <c r="D383" i="3"/>
  <c r="K382" i="3"/>
  <c r="E382" i="3"/>
  <c r="D382" i="3"/>
  <c r="K381" i="3"/>
  <c r="E381" i="3"/>
  <c r="D381" i="3"/>
  <c r="K380" i="3"/>
  <c r="E380" i="3"/>
  <c r="D380" i="3"/>
  <c r="K379" i="3"/>
  <c r="E379" i="3"/>
  <c r="D379" i="3"/>
  <c r="K378" i="3"/>
  <c r="E378" i="3"/>
  <c r="D378" i="3"/>
  <c r="K377" i="3"/>
  <c r="E377" i="3"/>
  <c r="D377" i="3"/>
  <c r="K376" i="3"/>
  <c r="E376" i="3"/>
  <c r="D376" i="3"/>
  <c r="K375" i="3"/>
  <c r="E375" i="3"/>
  <c r="D375" i="3"/>
  <c r="K374" i="3"/>
  <c r="E374" i="3"/>
  <c r="D374" i="3"/>
  <c r="K373" i="3"/>
  <c r="E373" i="3"/>
  <c r="D373" i="3"/>
  <c r="K372" i="3"/>
  <c r="E372" i="3"/>
  <c r="D372" i="3"/>
  <c r="K371" i="3"/>
  <c r="E371" i="3"/>
  <c r="D371" i="3"/>
  <c r="K370" i="3"/>
  <c r="E370" i="3"/>
  <c r="D370" i="3"/>
  <c r="K369" i="3"/>
  <c r="E369" i="3"/>
  <c r="D369" i="3"/>
  <c r="K368" i="3"/>
  <c r="E368" i="3"/>
  <c r="D368" i="3"/>
  <c r="K367" i="3"/>
  <c r="E367" i="3"/>
  <c r="D367" i="3"/>
  <c r="K366" i="3"/>
  <c r="E366" i="3"/>
  <c r="D366" i="3"/>
  <c r="K365" i="3"/>
  <c r="E365" i="3"/>
  <c r="D365" i="3"/>
  <c r="K364" i="3"/>
  <c r="E364" i="3"/>
  <c r="D364" i="3"/>
  <c r="K363" i="3"/>
  <c r="E363" i="3"/>
  <c r="D363" i="3"/>
  <c r="K362" i="3"/>
  <c r="E362" i="3"/>
  <c r="D362" i="3"/>
  <c r="K361" i="3"/>
  <c r="E361" i="3"/>
  <c r="D361" i="3"/>
  <c r="K360" i="3"/>
  <c r="E360" i="3"/>
  <c r="D360" i="3"/>
  <c r="K359" i="3"/>
  <c r="E359" i="3"/>
  <c r="D359" i="3"/>
  <c r="K358" i="3"/>
  <c r="E358" i="3"/>
  <c r="D358" i="3"/>
  <c r="K357" i="3"/>
  <c r="E357" i="3"/>
  <c r="D357" i="3"/>
  <c r="K356" i="3"/>
  <c r="E356" i="3"/>
  <c r="D356" i="3"/>
  <c r="K355" i="3"/>
  <c r="E355" i="3"/>
  <c r="D355" i="3"/>
  <c r="K354" i="3"/>
  <c r="E354" i="3"/>
  <c r="D354" i="3"/>
  <c r="K353" i="3"/>
  <c r="E353" i="3"/>
  <c r="D353" i="3"/>
  <c r="K352" i="3"/>
  <c r="E352" i="3"/>
  <c r="D352" i="3"/>
  <c r="K351" i="3"/>
  <c r="E351" i="3"/>
  <c r="D351" i="3"/>
  <c r="K350" i="3"/>
  <c r="E350" i="3"/>
  <c r="D350" i="3"/>
  <c r="K349" i="3"/>
  <c r="E349" i="3"/>
  <c r="D349" i="3"/>
  <c r="K348" i="3"/>
  <c r="E348" i="3"/>
  <c r="D348" i="3"/>
  <c r="K347" i="3"/>
  <c r="E347" i="3"/>
  <c r="D347" i="3"/>
  <c r="K346" i="3"/>
  <c r="E346" i="3"/>
  <c r="D346" i="3"/>
  <c r="K345" i="3"/>
  <c r="E345" i="3"/>
  <c r="D345" i="3"/>
  <c r="K344" i="3"/>
  <c r="E344" i="3"/>
  <c r="D344" i="3"/>
  <c r="K343" i="3"/>
  <c r="E343" i="3"/>
  <c r="D343" i="3"/>
  <c r="K342" i="3"/>
  <c r="E342" i="3"/>
  <c r="D342" i="3"/>
  <c r="K341" i="3"/>
  <c r="E341" i="3"/>
  <c r="D341" i="3"/>
  <c r="K340" i="3"/>
  <c r="E340" i="3"/>
  <c r="D340" i="3"/>
  <c r="K339" i="3"/>
  <c r="E339" i="3"/>
  <c r="D339" i="3"/>
  <c r="K338" i="3"/>
  <c r="E338" i="3"/>
  <c r="D338" i="3"/>
  <c r="K337" i="3"/>
  <c r="E337" i="3"/>
  <c r="D337" i="3"/>
  <c r="K336" i="3"/>
  <c r="E336" i="3"/>
  <c r="D336" i="3"/>
  <c r="K335" i="3"/>
  <c r="E335" i="3"/>
  <c r="D335" i="3"/>
  <c r="K334" i="3"/>
  <c r="E334" i="3"/>
  <c r="D334" i="3"/>
  <c r="K333" i="3"/>
  <c r="E333" i="3"/>
  <c r="D333" i="3"/>
  <c r="K332" i="3"/>
  <c r="E332" i="3"/>
  <c r="D332" i="3"/>
  <c r="K331" i="3"/>
  <c r="E331" i="3"/>
  <c r="D331" i="3"/>
  <c r="K330" i="3"/>
  <c r="E330" i="3"/>
  <c r="D330" i="3"/>
  <c r="K329" i="3"/>
  <c r="E329" i="3"/>
  <c r="D329" i="3"/>
  <c r="K328" i="3"/>
  <c r="E328" i="3"/>
  <c r="D328" i="3"/>
  <c r="K327" i="3"/>
  <c r="E327" i="3"/>
  <c r="D327" i="3"/>
  <c r="K326" i="3"/>
  <c r="E326" i="3"/>
  <c r="D326" i="3"/>
  <c r="K325" i="3"/>
  <c r="E325" i="3"/>
  <c r="D325" i="3"/>
  <c r="K324" i="3"/>
  <c r="E324" i="3"/>
  <c r="D324" i="3"/>
  <c r="K323" i="3"/>
  <c r="E323" i="3"/>
  <c r="D323" i="3"/>
  <c r="K322" i="3"/>
  <c r="E322" i="3"/>
  <c r="D322" i="3"/>
  <c r="K321" i="3"/>
  <c r="E321" i="3"/>
  <c r="D321" i="3"/>
  <c r="K320" i="3"/>
  <c r="E320" i="3"/>
  <c r="D320" i="3"/>
  <c r="K319" i="3"/>
  <c r="E319" i="3"/>
  <c r="D319" i="3"/>
  <c r="K318" i="3"/>
  <c r="E318" i="3"/>
  <c r="D318" i="3"/>
  <c r="K317" i="3"/>
  <c r="E317" i="3"/>
  <c r="D317" i="3"/>
  <c r="K316" i="3"/>
  <c r="E316" i="3"/>
  <c r="D316" i="3"/>
  <c r="K315" i="3"/>
  <c r="E315" i="3"/>
  <c r="D315" i="3"/>
  <c r="K314" i="3"/>
  <c r="E314" i="3"/>
  <c r="D314" i="3"/>
  <c r="K313" i="3"/>
  <c r="E313" i="3"/>
  <c r="D313" i="3"/>
  <c r="K312" i="3"/>
  <c r="E312" i="3"/>
  <c r="D312" i="3"/>
  <c r="K311" i="3"/>
  <c r="E311" i="3"/>
  <c r="D311" i="3"/>
  <c r="K310" i="3"/>
  <c r="D310" i="3"/>
  <c r="K309" i="3"/>
  <c r="D309" i="3"/>
  <c r="K308" i="3"/>
  <c r="E308" i="3"/>
  <c r="D308" i="3"/>
  <c r="K307" i="3"/>
  <c r="D307" i="3"/>
  <c r="K306" i="3"/>
  <c r="D306" i="3"/>
  <c r="K305" i="3"/>
  <c r="D305" i="3"/>
  <c r="K304" i="3"/>
  <c r="D304" i="3"/>
  <c r="K303" i="3"/>
  <c r="D303" i="3"/>
  <c r="K302" i="3"/>
  <c r="E302" i="3"/>
  <c r="D302" i="3"/>
  <c r="K301" i="3"/>
  <c r="E301" i="3"/>
  <c r="D301" i="3"/>
  <c r="K300" i="3"/>
  <c r="D300" i="3"/>
  <c r="K299" i="3"/>
  <c r="D299" i="3"/>
  <c r="K298" i="3"/>
  <c r="D298" i="3"/>
  <c r="K297" i="3"/>
  <c r="D297" i="3"/>
  <c r="K296" i="3"/>
  <c r="D296" i="3"/>
  <c r="K295" i="3"/>
  <c r="D295" i="3"/>
  <c r="K294" i="3"/>
  <c r="D294" i="3"/>
  <c r="K293" i="3"/>
  <c r="D293" i="3"/>
  <c r="K292" i="3"/>
  <c r="D292" i="3"/>
  <c r="K291" i="3"/>
  <c r="D291" i="3"/>
  <c r="K290" i="3"/>
  <c r="D290" i="3"/>
  <c r="K289" i="3"/>
  <c r="D289" i="3"/>
  <c r="K288" i="3"/>
  <c r="E288" i="3"/>
  <c r="D288" i="3"/>
  <c r="K287" i="3"/>
  <c r="E287" i="3"/>
  <c r="D287" i="3"/>
  <c r="K286" i="3"/>
  <c r="E286" i="3"/>
  <c r="D286" i="3"/>
  <c r="K285" i="3"/>
  <c r="D285" i="3"/>
  <c r="K284" i="3"/>
  <c r="D284" i="3"/>
  <c r="K283" i="3"/>
  <c r="D283" i="3"/>
  <c r="K282" i="3"/>
  <c r="D282" i="3"/>
  <c r="K281" i="3"/>
  <c r="D281" i="3"/>
  <c r="K280" i="3"/>
  <c r="D280" i="3"/>
  <c r="K279" i="3"/>
  <c r="D279" i="3"/>
  <c r="K278" i="3"/>
  <c r="D278" i="3"/>
  <c r="K277" i="3"/>
  <c r="D277" i="3"/>
  <c r="K276" i="3"/>
  <c r="D276" i="3"/>
  <c r="K275" i="3"/>
  <c r="D275" i="3"/>
  <c r="K274" i="3"/>
  <c r="D274" i="3"/>
  <c r="K273" i="3"/>
  <c r="D273" i="3"/>
  <c r="K272" i="3"/>
  <c r="D272" i="3"/>
  <c r="K271" i="3"/>
  <c r="D271" i="3"/>
  <c r="K270" i="3"/>
  <c r="D270" i="3"/>
  <c r="K269" i="3"/>
  <c r="D269" i="3"/>
  <c r="K268" i="3"/>
  <c r="D268" i="3"/>
  <c r="K267" i="3"/>
  <c r="D267" i="3"/>
  <c r="K266" i="3"/>
  <c r="D266" i="3"/>
  <c r="K265" i="3"/>
  <c r="D265" i="3"/>
  <c r="K264" i="3"/>
  <c r="D264" i="3"/>
  <c r="K263" i="3"/>
  <c r="D263" i="3"/>
  <c r="K262" i="3"/>
  <c r="D262" i="3"/>
  <c r="K261" i="3"/>
  <c r="D261" i="3"/>
  <c r="K260" i="3"/>
  <c r="D260" i="3"/>
  <c r="K259" i="3"/>
  <c r="D259" i="3"/>
  <c r="K258" i="3"/>
  <c r="D258" i="3"/>
  <c r="K257" i="3"/>
  <c r="D257" i="3"/>
  <c r="K256" i="3"/>
  <c r="D256" i="3"/>
  <c r="K255" i="3"/>
  <c r="D255" i="3"/>
  <c r="K254" i="3"/>
  <c r="D254" i="3"/>
  <c r="K253" i="3"/>
  <c r="D253" i="3"/>
  <c r="K252" i="3"/>
  <c r="D252" i="3"/>
  <c r="K251" i="3"/>
  <c r="D251" i="3"/>
  <c r="K250" i="3"/>
  <c r="D250" i="3"/>
  <c r="K249" i="3"/>
  <c r="D249" i="3"/>
  <c r="K248" i="3"/>
  <c r="D248" i="3"/>
  <c r="K247" i="3"/>
  <c r="D247" i="3"/>
  <c r="K246" i="3"/>
  <c r="D246" i="3"/>
  <c r="K245" i="3"/>
  <c r="D245" i="3"/>
  <c r="K244" i="3"/>
  <c r="D244" i="3"/>
  <c r="K243" i="3"/>
  <c r="D243" i="3"/>
  <c r="K242" i="3"/>
  <c r="D242" i="3"/>
  <c r="K241" i="3"/>
  <c r="D241" i="3"/>
  <c r="K240" i="3"/>
  <c r="D240" i="3"/>
  <c r="K239" i="3"/>
  <c r="D239" i="3"/>
  <c r="K238" i="3"/>
  <c r="D238" i="3"/>
  <c r="K237" i="3"/>
  <c r="E237" i="3"/>
  <c r="D237" i="3"/>
  <c r="K236" i="3"/>
  <c r="D236" i="3"/>
  <c r="K235" i="3"/>
  <c r="E235" i="3"/>
  <c r="D235" i="3"/>
  <c r="K234" i="3"/>
  <c r="D234" i="3"/>
  <c r="K233" i="3"/>
  <c r="E233" i="3"/>
  <c r="D233" i="3"/>
  <c r="K232" i="3"/>
  <c r="E232" i="3"/>
  <c r="D232" i="3"/>
  <c r="K231" i="3"/>
  <c r="E231" i="3"/>
  <c r="D231" i="3"/>
  <c r="K230" i="3"/>
  <c r="E230" i="3"/>
  <c r="D230" i="3"/>
  <c r="K229" i="3"/>
  <c r="E229" i="3"/>
  <c r="D229" i="3"/>
  <c r="K228" i="3"/>
  <c r="E228" i="3"/>
  <c r="D228" i="3"/>
  <c r="K227" i="3"/>
  <c r="E227" i="3"/>
  <c r="D227" i="3"/>
  <c r="K226" i="3"/>
  <c r="E226" i="3"/>
  <c r="D226" i="3"/>
  <c r="K225" i="3"/>
  <c r="E225" i="3"/>
  <c r="D225" i="3"/>
  <c r="K224" i="3"/>
  <c r="E224" i="3"/>
  <c r="D224" i="3"/>
  <c r="K223" i="3"/>
  <c r="E223" i="3"/>
  <c r="D223" i="3"/>
  <c r="K222" i="3"/>
  <c r="E222" i="3"/>
  <c r="D222" i="3"/>
  <c r="K221" i="3"/>
  <c r="E221" i="3"/>
  <c r="D221" i="3"/>
  <c r="K220" i="3"/>
  <c r="E220" i="3"/>
  <c r="D220" i="3"/>
  <c r="K219" i="3"/>
  <c r="E219" i="3"/>
  <c r="D219" i="3"/>
  <c r="K218" i="3"/>
  <c r="E218" i="3"/>
  <c r="D218" i="3"/>
  <c r="K217" i="3"/>
  <c r="E217" i="3"/>
  <c r="D217" i="3"/>
  <c r="K216" i="3"/>
  <c r="E216" i="3"/>
  <c r="D216" i="3"/>
  <c r="K215" i="3"/>
  <c r="E215" i="3"/>
  <c r="D215" i="3"/>
  <c r="K214" i="3"/>
  <c r="E214" i="3"/>
  <c r="D214" i="3"/>
  <c r="K213" i="3"/>
  <c r="E213" i="3"/>
  <c r="D213" i="3"/>
  <c r="K212" i="3"/>
  <c r="E212" i="3"/>
  <c r="D212" i="3"/>
  <c r="K211" i="3"/>
  <c r="E211" i="3"/>
  <c r="D211" i="3"/>
  <c r="K210" i="3"/>
  <c r="E210" i="3"/>
  <c r="D210" i="3"/>
  <c r="K209" i="3"/>
  <c r="E209" i="3"/>
  <c r="D209" i="3"/>
  <c r="K208" i="3"/>
  <c r="E208" i="3"/>
  <c r="D208" i="3"/>
  <c r="K207" i="3"/>
  <c r="E207" i="3"/>
  <c r="D207" i="3"/>
  <c r="K206" i="3"/>
  <c r="E206" i="3"/>
  <c r="D206" i="3"/>
  <c r="K205" i="3"/>
  <c r="E205" i="3"/>
  <c r="D205" i="3"/>
  <c r="K204" i="3"/>
  <c r="E204" i="3"/>
  <c r="D204" i="3"/>
  <c r="K203" i="3"/>
  <c r="E203" i="3"/>
  <c r="D203" i="3"/>
  <c r="K202" i="3"/>
  <c r="E202" i="3"/>
  <c r="D202" i="3"/>
  <c r="K201" i="3"/>
  <c r="E201" i="3"/>
  <c r="D201" i="3"/>
  <c r="K200" i="3"/>
  <c r="E200" i="3"/>
  <c r="D200" i="3"/>
  <c r="K199" i="3"/>
  <c r="E199" i="3"/>
  <c r="D199" i="3"/>
  <c r="K198" i="3"/>
  <c r="E198" i="3"/>
  <c r="D198" i="3"/>
  <c r="K197" i="3"/>
  <c r="E197" i="3"/>
  <c r="D197" i="3"/>
  <c r="K196" i="3"/>
  <c r="E196" i="3"/>
  <c r="D196" i="3"/>
  <c r="K195" i="3"/>
  <c r="E195" i="3"/>
  <c r="D195" i="3"/>
  <c r="K194" i="3"/>
  <c r="E194" i="3"/>
  <c r="D194" i="3"/>
  <c r="K193" i="3"/>
  <c r="E193" i="3"/>
  <c r="D193" i="3"/>
  <c r="K192" i="3"/>
  <c r="E192" i="3"/>
  <c r="D192" i="3"/>
  <c r="K191" i="3"/>
  <c r="E191" i="3"/>
  <c r="D191" i="3"/>
  <c r="K190" i="3"/>
  <c r="E190" i="3"/>
  <c r="D190" i="3"/>
  <c r="K189" i="3"/>
  <c r="E189" i="3"/>
  <c r="D189" i="3"/>
  <c r="K188" i="3"/>
  <c r="E188" i="3"/>
  <c r="D188" i="3"/>
  <c r="K187" i="3"/>
  <c r="E187" i="3"/>
  <c r="D187" i="3"/>
  <c r="K186" i="3"/>
  <c r="E186" i="3"/>
  <c r="D186" i="3"/>
  <c r="K185" i="3"/>
  <c r="E185" i="3"/>
  <c r="D185" i="3"/>
  <c r="K184" i="3"/>
  <c r="E184" i="3"/>
  <c r="D184" i="3"/>
  <c r="K183" i="3"/>
  <c r="E183" i="3"/>
  <c r="D183" i="3"/>
  <c r="K182" i="3"/>
  <c r="E182" i="3"/>
  <c r="D182" i="3"/>
  <c r="K181" i="3"/>
  <c r="E181" i="3"/>
  <c r="D181" i="3"/>
  <c r="K180" i="3"/>
  <c r="E180" i="3"/>
  <c r="D180" i="3"/>
  <c r="K179" i="3"/>
  <c r="E179" i="3"/>
  <c r="D179" i="3"/>
  <c r="K178" i="3"/>
  <c r="E178" i="3"/>
  <c r="D178" i="3"/>
  <c r="K177" i="3"/>
  <c r="E177" i="3"/>
  <c r="D177" i="3"/>
  <c r="K176" i="3"/>
  <c r="E176" i="3"/>
  <c r="D176" i="3"/>
  <c r="K175" i="3"/>
  <c r="E175" i="3"/>
  <c r="D175" i="3"/>
  <c r="K174" i="3"/>
  <c r="E174" i="3"/>
  <c r="D174" i="3"/>
  <c r="K173" i="3"/>
  <c r="E173" i="3"/>
  <c r="D173" i="3"/>
  <c r="K172" i="3"/>
  <c r="E172" i="3"/>
  <c r="D172" i="3"/>
  <c r="K171" i="3"/>
  <c r="D171" i="3"/>
  <c r="K170" i="3"/>
  <c r="D170" i="3"/>
  <c r="K169" i="3"/>
  <c r="D169" i="3"/>
  <c r="K168" i="3"/>
  <c r="D168" i="3"/>
  <c r="K167" i="3"/>
  <c r="D167" i="3"/>
  <c r="K166" i="3"/>
  <c r="D166" i="3"/>
  <c r="K165" i="3"/>
  <c r="D165" i="3"/>
  <c r="K164" i="3"/>
  <c r="D164" i="3"/>
  <c r="K163" i="3"/>
  <c r="E163" i="3"/>
  <c r="D163" i="3"/>
  <c r="K162" i="3"/>
  <c r="D162" i="3"/>
  <c r="K161" i="3"/>
  <c r="D161" i="3"/>
  <c r="K160" i="3"/>
  <c r="D160" i="3"/>
  <c r="K159" i="3"/>
  <c r="D159" i="3"/>
  <c r="K158" i="3"/>
  <c r="D158" i="3"/>
  <c r="K157" i="3"/>
  <c r="E157" i="3"/>
  <c r="D157" i="3"/>
  <c r="K156" i="3"/>
  <c r="E156" i="3"/>
  <c r="D156" i="3"/>
  <c r="K155" i="3"/>
  <c r="E155" i="3"/>
  <c r="D155" i="3"/>
  <c r="K154" i="3"/>
  <c r="E154" i="3"/>
  <c r="D154" i="3"/>
  <c r="K153" i="3"/>
  <c r="D153" i="3"/>
  <c r="K152" i="3"/>
  <c r="D152" i="3"/>
  <c r="K151" i="3"/>
  <c r="E151" i="3"/>
  <c r="D151" i="3"/>
  <c r="K150" i="3"/>
  <c r="E150" i="3"/>
  <c r="D150" i="3"/>
  <c r="K149" i="3"/>
  <c r="E149" i="3"/>
  <c r="D149" i="3"/>
  <c r="K148" i="3"/>
  <c r="E148" i="3"/>
  <c r="D148" i="3"/>
  <c r="K147" i="3"/>
  <c r="D147" i="3"/>
  <c r="K146" i="3"/>
  <c r="D146" i="3"/>
  <c r="K145" i="3"/>
  <c r="D145" i="3"/>
  <c r="K144" i="3"/>
  <c r="D144" i="3"/>
  <c r="K143" i="3"/>
  <c r="E143" i="3"/>
  <c r="D143" i="3"/>
  <c r="K142" i="3"/>
  <c r="E142" i="3"/>
  <c r="D142" i="3"/>
  <c r="K141" i="3"/>
  <c r="E141" i="3"/>
  <c r="D141" i="3"/>
  <c r="K140" i="3"/>
  <c r="E140" i="3"/>
  <c r="D140" i="3"/>
  <c r="K139" i="3"/>
  <c r="E139" i="3"/>
  <c r="D139" i="3"/>
  <c r="K138" i="3"/>
  <c r="E138" i="3"/>
  <c r="D138" i="3"/>
  <c r="K137" i="3"/>
  <c r="E137" i="3"/>
  <c r="D137" i="3"/>
  <c r="K136" i="3"/>
  <c r="E136" i="3"/>
  <c r="D136" i="3"/>
  <c r="K135" i="3"/>
  <c r="E135" i="3"/>
  <c r="D135" i="3"/>
  <c r="K134" i="3"/>
  <c r="E134" i="3"/>
  <c r="D134" i="3"/>
  <c r="K133" i="3"/>
  <c r="E133" i="3"/>
  <c r="D133" i="3"/>
  <c r="K132" i="3"/>
  <c r="E132" i="3"/>
  <c r="D132" i="3"/>
  <c r="K131" i="3"/>
  <c r="E131" i="3"/>
  <c r="D131" i="3"/>
  <c r="K130" i="3"/>
  <c r="E130" i="3"/>
  <c r="D130" i="3"/>
  <c r="K129" i="3"/>
  <c r="E129" i="3"/>
  <c r="D129" i="3"/>
  <c r="K128" i="3"/>
  <c r="E128" i="3"/>
  <c r="D128" i="3"/>
  <c r="K127" i="3"/>
  <c r="E127" i="3"/>
  <c r="D127" i="3"/>
  <c r="K126" i="3"/>
  <c r="E126" i="3"/>
  <c r="D126" i="3"/>
  <c r="K125" i="3"/>
  <c r="E125" i="3"/>
  <c r="D125" i="3"/>
  <c r="K124" i="3"/>
  <c r="E124" i="3"/>
  <c r="D124" i="3"/>
  <c r="K123" i="3"/>
  <c r="D123" i="3"/>
  <c r="K122" i="3"/>
  <c r="D122" i="3"/>
  <c r="K121" i="3"/>
  <c r="D121" i="3"/>
  <c r="K120" i="3"/>
  <c r="D120" i="3"/>
  <c r="K119" i="3"/>
  <c r="D119" i="3"/>
  <c r="K118" i="3"/>
  <c r="D118" i="3"/>
  <c r="K117" i="3"/>
  <c r="D117" i="3"/>
  <c r="K116" i="3"/>
  <c r="D116" i="3"/>
  <c r="K115" i="3"/>
  <c r="D115" i="3"/>
  <c r="K114" i="3"/>
  <c r="D114" i="3"/>
  <c r="K113" i="3"/>
  <c r="D113" i="3"/>
  <c r="K112" i="3"/>
  <c r="D112" i="3"/>
  <c r="K111" i="3"/>
  <c r="D111" i="3"/>
  <c r="K110" i="3"/>
  <c r="D110" i="3"/>
  <c r="K109" i="3"/>
  <c r="D109" i="3"/>
  <c r="K108" i="3"/>
  <c r="D108" i="3"/>
  <c r="K107" i="3"/>
  <c r="D107" i="3"/>
  <c r="K106" i="3"/>
  <c r="D106" i="3"/>
  <c r="K105" i="3"/>
  <c r="E105" i="3"/>
  <c r="D105" i="3"/>
  <c r="K104" i="3"/>
  <c r="E104" i="3"/>
  <c r="D104" i="3"/>
  <c r="K103" i="3"/>
  <c r="E103" i="3"/>
  <c r="D103" i="3"/>
  <c r="K102" i="3"/>
  <c r="E102" i="3"/>
  <c r="D102" i="3"/>
  <c r="K101" i="3"/>
  <c r="E101" i="3"/>
  <c r="D101" i="3"/>
  <c r="K100" i="3"/>
  <c r="E100" i="3"/>
  <c r="D100" i="3"/>
  <c r="K99" i="3"/>
  <c r="E99" i="3"/>
  <c r="D99" i="3"/>
  <c r="K98" i="3"/>
  <c r="E98" i="3"/>
  <c r="D98" i="3"/>
  <c r="K97" i="3"/>
  <c r="E97" i="3"/>
  <c r="D97" i="3"/>
  <c r="K96" i="3"/>
  <c r="E96" i="3"/>
  <c r="D96" i="3"/>
  <c r="K95" i="3"/>
  <c r="E95" i="3"/>
  <c r="D95" i="3"/>
  <c r="K94" i="3"/>
  <c r="E94" i="3"/>
  <c r="D94" i="3"/>
  <c r="K93" i="3"/>
  <c r="E93" i="3"/>
  <c r="D93" i="3"/>
  <c r="K92" i="3"/>
  <c r="E92" i="3"/>
  <c r="D92" i="3"/>
  <c r="K91" i="3"/>
  <c r="E91" i="3"/>
  <c r="D91" i="3"/>
  <c r="K90" i="3"/>
  <c r="E90" i="3"/>
  <c r="D90" i="3"/>
  <c r="K89" i="3"/>
  <c r="E89" i="3"/>
  <c r="D89" i="3"/>
  <c r="K88" i="3"/>
  <c r="E88" i="3"/>
  <c r="D88" i="3"/>
  <c r="K87" i="3"/>
  <c r="E87" i="3"/>
  <c r="D87" i="3"/>
  <c r="K86" i="3"/>
  <c r="E86" i="3"/>
  <c r="D86" i="3"/>
  <c r="K85" i="3"/>
  <c r="E85" i="3"/>
  <c r="D85" i="3"/>
  <c r="K84" i="3"/>
  <c r="E84" i="3"/>
  <c r="D84" i="3"/>
  <c r="K83" i="3"/>
  <c r="E83" i="3"/>
  <c r="D83" i="3"/>
  <c r="K82" i="3"/>
  <c r="E82" i="3"/>
  <c r="D82" i="3"/>
  <c r="K81" i="3"/>
  <c r="E81" i="3"/>
  <c r="D81" i="3"/>
  <c r="K80" i="3"/>
  <c r="E80" i="3"/>
  <c r="D80" i="3"/>
  <c r="K79" i="3"/>
  <c r="E79" i="3"/>
  <c r="D79" i="3"/>
  <c r="K78" i="3"/>
  <c r="E78" i="3"/>
  <c r="D78" i="3"/>
  <c r="K77" i="3"/>
  <c r="E77" i="3"/>
  <c r="D77" i="3"/>
  <c r="K76" i="3"/>
  <c r="E76" i="3"/>
  <c r="D76" i="3"/>
  <c r="K75" i="3"/>
  <c r="E75" i="3"/>
  <c r="D75" i="3"/>
  <c r="K74" i="3"/>
  <c r="E74" i="3"/>
  <c r="D74" i="3"/>
  <c r="K73" i="3"/>
  <c r="E73" i="3"/>
  <c r="D73" i="3"/>
  <c r="K72" i="3"/>
  <c r="E72" i="3"/>
  <c r="D72" i="3"/>
  <c r="K71" i="3"/>
  <c r="E71" i="3"/>
  <c r="D71" i="3"/>
  <c r="K70" i="3"/>
  <c r="E70" i="3"/>
  <c r="D70" i="3"/>
  <c r="K69" i="3"/>
  <c r="E69" i="3"/>
  <c r="D69" i="3"/>
  <c r="K68" i="3"/>
  <c r="E68" i="3"/>
  <c r="D68" i="3"/>
  <c r="K67" i="3"/>
  <c r="E67" i="3"/>
  <c r="D67" i="3"/>
  <c r="K66" i="3"/>
  <c r="E66" i="3"/>
  <c r="D66" i="3"/>
  <c r="K65" i="3"/>
  <c r="E65" i="3"/>
  <c r="D65" i="3"/>
  <c r="K64" i="3"/>
  <c r="E64" i="3"/>
  <c r="D64" i="3"/>
  <c r="K63" i="3"/>
  <c r="E63" i="3"/>
  <c r="D63" i="3"/>
  <c r="K62" i="3"/>
  <c r="E62" i="3"/>
  <c r="D62" i="3"/>
  <c r="K61" i="3"/>
  <c r="E61" i="3"/>
  <c r="D61" i="3"/>
  <c r="K60" i="3"/>
  <c r="E60" i="3"/>
  <c r="D60" i="3"/>
  <c r="K59" i="3"/>
  <c r="E59" i="3"/>
  <c r="D59" i="3"/>
  <c r="K58" i="3"/>
  <c r="E58" i="3"/>
  <c r="D58" i="3"/>
  <c r="K57" i="3"/>
  <c r="E57" i="3"/>
  <c r="D57" i="3"/>
  <c r="K56" i="3"/>
  <c r="E56" i="3"/>
  <c r="D56" i="3"/>
  <c r="K55" i="3"/>
  <c r="E55" i="3"/>
  <c r="D55" i="3"/>
  <c r="K54" i="3"/>
  <c r="E54" i="3"/>
  <c r="D54" i="3"/>
  <c r="K53" i="3"/>
  <c r="E53" i="3"/>
  <c r="D53" i="3"/>
  <c r="K52" i="3"/>
  <c r="E52" i="3"/>
  <c r="D52" i="3"/>
  <c r="K51" i="3"/>
  <c r="E51" i="3"/>
  <c r="D51" i="3"/>
  <c r="K50" i="3"/>
  <c r="E50" i="3"/>
  <c r="D50" i="3"/>
  <c r="K49" i="3"/>
  <c r="E49" i="3"/>
  <c r="D49" i="3"/>
  <c r="K48" i="3"/>
  <c r="E48" i="3"/>
  <c r="D48" i="3"/>
  <c r="K47" i="3"/>
  <c r="E47" i="3"/>
  <c r="D47" i="3"/>
  <c r="K46" i="3"/>
  <c r="E46" i="3"/>
  <c r="D46" i="3"/>
  <c r="K45" i="3"/>
  <c r="E45" i="3"/>
  <c r="D45" i="3"/>
  <c r="K44" i="3"/>
  <c r="E44" i="3"/>
  <c r="D44" i="3"/>
  <c r="K43" i="3"/>
  <c r="E43" i="3"/>
  <c r="D43" i="3"/>
  <c r="K42" i="3"/>
  <c r="E42" i="3"/>
  <c r="D42" i="3"/>
  <c r="K41" i="3"/>
  <c r="E41" i="3"/>
  <c r="D41" i="3"/>
  <c r="K40" i="3"/>
  <c r="E40" i="3"/>
  <c r="D40" i="3"/>
  <c r="K39" i="3"/>
  <c r="E39" i="3"/>
  <c r="D39" i="3"/>
  <c r="K38" i="3"/>
  <c r="E38" i="3"/>
  <c r="D38" i="3"/>
  <c r="K37" i="3"/>
  <c r="D37" i="3"/>
  <c r="K36" i="3"/>
  <c r="D36" i="3"/>
  <c r="K35" i="3"/>
  <c r="D35" i="3"/>
  <c r="K34" i="3"/>
  <c r="D34" i="3"/>
  <c r="K33" i="3"/>
  <c r="D33" i="3"/>
  <c r="K32" i="3"/>
  <c r="E32" i="3"/>
  <c r="D32" i="3"/>
  <c r="K31" i="3"/>
  <c r="E31" i="3"/>
  <c r="D31" i="3"/>
  <c r="K30" i="3"/>
  <c r="E30" i="3"/>
  <c r="D30" i="3"/>
  <c r="K29" i="3"/>
  <c r="E29" i="3"/>
  <c r="D29" i="3"/>
  <c r="K28" i="3"/>
  <c r="E28" i="3"/>
  <c r="D28" i="3"/>
  <c r="K27" i="3"/>
  <c r="E27" i="3"/>
  <c r="D27" i="3"/>
  <c r="K26" i="3"/>
  <c r="E26" i="3"/>
  <c r="D26" i="3"/>
  <c r="K25" i="3"/>
  <c r="E25" i="3"/>
  <c r="D25" i="3"/>
  <c r="K24" i="3"/>
  <c r="E24" i="3"/>
  <c r="D24" i="3"/>
  <c r="K23" i="3"/>
  <c r="E23" i="3"/>
  <c r="D23" i="3"/>
  <c r="K22" i="3"/>
  <c r="E22" i="3"/>
  <c r="D22" i="3"/>
  <c r="K21" i="3"/>
  <c r="E21" i="3"/>
  <c r="D21" i="3"/>
  <c r="K20" i="3"/>
  <c r="E20" i="3"/>
  <c r="D20" i="3"/>
  <c r="K19" i="3"/>
  <c r="E19" i="3"/>
  <c r="D19" i="3"/>
  <c r="K18" i="3"/>
  <c r="E18" i="3"/>
  <c r="D18" i="3"/>
  <c r="K17" i="3"/>
  <c r="D17" i="3"/>
  <c r="K16" i="3"/>
  <c r="E16" i="3"/>
  <c r="D16" i="3"/>
  <c r="K15" i="3"/>
  <c r="D15" i="3"/>
  <c r="K14" i="3"/>
  <c r="D14" i="3"/>
  <c r="K13" i="3"/>
  <c r="D13" i="3"/>
  <c r="K12" i="3"/>
  <c r="D12" i="3"/>
  <c r="K11" i="3"/>
  <c r="E11" i="3"/>
  <c r="D11" i="3"/>
  <c r="K10" i="3"/>
  <c r="E10" i="3"/>
  <c r="D10" i="3"/>
  <c r="K9" i="3"/>
  <c r="E9" i="3"/>
  <c r="D9" i="3"/>
  <c r="K8" i="3"/>
  <c r="E8" i="3"/>
  <c r="D8" i="3"/>
  <c r="K7" i="3"/>
  <c r="E7" i="3"/>
  <c r="D7" i="3"/>
  <c r="K6" i="3"/>
  <c r="E6" i="3"/>
  <c r="D6" i="3"/>
  <c r="K5" i="3"/>
  <c r="D5" i="3"/>
  <c r="K4" i="3"/>
  <c r="D4" i="3"/>
  <c r="K3" i="3"/>
  <c r="D3" i="3"/>
  <c r="K2" i="3"/>
  <c r="D2" i="3"/>
  <c r="N1223" i="2"/>
  <c r="M1223" i="2" s="1"/>
  <c r="N1222" i="2"/>
  <c r="M1222" i="2"/>
  <c r="N1221" i="2"/>
  <c r="M1221" i="2" s="1"/>
  <c r="N1220" i="2"/>
  <c r="M1220" i="2" s="1"/>
  <c r="N1219" i="2"/>
  <c r="M1219" i="2"/>
  <c r="N1218" i="2"/>
  <c r="M1218" i="2"/>
  <c r="N1217" i="2"/>
  <c r="M1217" i="2" s="1"/>
  <c r="N1216" i="2"/>
  <c r="M1216" i="2"/>
  <c r="N1215" i="2"/>
  <c r="M1215" i="2" s="1"/>
  <c r="N1214" i="2"/>
  <c r="M1214" i="2"/>
  <c r="N1213" i="2"/>
  <c r="M1213" i="2" s="1"/>
  <c r="N1212" i="2"/>
  <c r="M1212" i="2"/>
  <c r="N1211" i="2"/>
  <c r="M1211" i="2"/>
  <c r="N1210" i="2"/>
  <c r="M1210" i="2"/>
  <c r="N1209" i="2"/>
  <c r="M1209" i="2"/>
  <c r="N1208" i="2"/>
  <c r="M1208" i="2" s="1"/>
  <c r="N1207" i="2"/>
  <c r="M1207" i="2" s="1"/>
  <c r="N1206" i="2"/>
  <c r="M1206" i="2" s="1"/>
  <c r="N1205" i="2"/>
  <c r="M1205" i="2" s="1"/>
  <c r="N1204" i="2"/>
  <c r="M1204" i="2" s="1"/>
  <c r="N1203" i="2"/>
  <c r="M1203" i="2"/>
  <c r="N1202" i="2"/>
  <c r="M1202" i="2" s="1"/>
  <c r="N1201" i="2"/>
  <c r="M1201" i="2" s="1"/>
  <c r="N1200" i="2"/>
  <c r="M1200" i="2"/>
  <c r="N1199" i="2"/>
  <c r="M1199" i="2" s="1"/>
  <c r="N1198" i="2"/>
  <c r="M1198" i="2"/>
  <c r="N1197" i="2"/>
  <c r="M1197" i="2" s="1"/>
  <c r="N1196" i="2"/>
  <c r="M1196" i="2"/>
  <c r="N1195" i="2"/>
  <c r="M1195" i="2"/>
  <c r="N1194" i="2"/>
  <c r="M1194" i="2"/>
  <c r="N1193" i="2"/>
  <c r="M1193" i="2" s="1"/>
  <c r="N1192" i="2"/>
  <c r="M1192" i="2"/>
  <c r="N1191" i="2"/>
  <c r="M1191" i="2" s="1"/>
  <c r="N1190" i="2"/>
  <c r="M1190" i="2"/>
  <c r="N1189" i="2"/>
  <c r="M1189" i="2" s="1"/>
  <c r="N1188" i="2"/>
  <c r="M1188" i="2"/>
  <c r="N1187" i="2"/>
  <c r="M1187" i="2"/>
  <c r="N1186" i="2"/>
  <c r="M1186" i="2" s="1"/>
  <c r="N1185" i="2"/>
  <c r="M1185" i="2"/>
  <c r="N1184" i="2"/>
  <c r="M1184" i="2" s="1"/>
  <c r="N1183" i="2"/>
  <c r="M1183" i="2" s="1"/>
  <c r="N1182" i="2"/>
  <c r="M1182" i="2" s="1"/>
  <c r="N1181" i="2"/>
  <c r="M1181" i="2" s="1"/>
  <c r="N1180" i="2"/>
  <c r="M1180" i="2" s="1"/>
  <c r="N1179" i="2"/>
  <c r="M1179" i="2"/>
  <c r="N1178" i="2"/>
  <c r="M1178" i="2" s="1"/>
  <c r="E1178" i="2"/>
  <c r="D1178" i="2"/>
  <c r="N1177" i="2"/>
  <c r="M1177" i="2"/>
  <c r="E1177" i="2"/>
  <c r="D1177" i="2"/>
  <c r="N1176" i="2"/>
  <c r="M1176" i="2" s="1"/>
  <c r="D1176" i="2"/>
  <c r="N1175" i="2"/>
  <c r="M1175" i="2"/>
  <c r="D1175" i="2"/>
  <c r="N1174" i="2"/>
  <c r="M1174" i="2"/>
  <c r="D1174" i="2"/>
  <c r="M1173" i="2"/>
  <c r="E1173" i="2"/>
  <c r="N1173" i="2" s="1"/>
  <c r="D1173" i="2"/>
  <c r="E1172" i="2"/>
  <c r="N1172" i="2" s="1"/>
  <c r="M1172" i="2" s="1"/>
  <c r="D1172" i="2"/>
  <c r="N1171" i="2"/>
  <c r="M1171" i="2" s="1"/>
  <c r="E1171" i="2"/>
  <c r="D1171" i="2"/>
  <c r="N1170" i="2"/>
  <c r="M1170" i="2" s="1"/>
  <c r="E1170" i="2"/>
  <c r="D1170" i="2"/>
  <c r="E1169" i="2"/>
  <c r="N1169" i="2" s="1"/>
  <c r="M1169" i="2" s="1"/>
  <c r="D1169" i="2"/>
  <c r="E1168" i="2"/>
  <c r="N1168" i="2" s="1"/>
  <c r="M1168" i="2" s="1"/>
  <c r="D1168" i="2"/>
  <c r="E1167" i="2"/>
  <c r="N1167" i="2" s="1"/>
  <c r="M1167" i="2" s="1"/>
  <c r="D1167" i="2"/>
  <c r="E1166" i="2"/>
  <c r="N1166" i="2" s="1"/>
  <c r="M1166" i="2" s="1"/>
  <c r="D1166" i="2"/>
  <c r="E1165" i="2"/>
  <c r="N1165" i="2" s="1"/>
  <c r="M1165" i="2" s="1"/>
  <c r="D1165" i="2"/>
  <c r="N1164" i="2"/>
  <c r="M1164" i="2" s="1"/>
  <c r="E1164" i="2"/>
  <c r="D1164" i="2"/>
  <c r="E1163" i="2"/>
  <c r="N1163" i="2" s="1"/>
  <c r="M1163" i="2" s="1"/>
  <c r="D1163" i="2"/>
  <c r="E1162" i="2"/>
  <c r="N1162" i="2" s="1"/>
  <c r="M1162" i="2" s="1"/>
  <c r="D1162" i="2"/>
  <c r="N1161" i="2"/>
  <c r="M1161" i="2" s="1"/>
  <c r="D1161" i="2"/>
  <c r="N1160" i="2"/>
  <c r="M1160" i="2" s="1"/>
  <c r="D1160" i="2"/>
  <c r="N1159" i="2"/>
  <c r="M1159" i="2"/>
  <c r="D1159" i="2"/>
  <c r="N1158" i="2"/>
  <c r="M1158" i="2" s="1"/>
  <c r="D1158" i="2"/>
  <c r="N1157" i="2"/>
  <c r="M1157" i="2" s="1"/>
  <c r="D1157" i="2"/>
  <c r="N1156" i="2"/>
  <c r="M1156" i="2"/>
  <c r="D1156" i="2"/>
  <c r="N1155" i="2"/>
  <c r="M1155" i="2" s="1"/>
  <c r="D1155" i="2"/>
  <c r="N1154" i="2"/>
  <c r="M1154" i="2" s="1"/>
  <c r="D1154" i="2"/>
  <c r="N1153" i="2"/>
  <c r="M1153" i="2" s="1"/>
  <c r="D1153" i="2"/>
  <c r="N1152" i="2"/>
  <c r="M1152" i="2" s="1"/>
  <c r="E1152" i="2"/>
  <c r="D1152" i="2"/>
  <c r="E1151" i="2"/>
  <c r="N1151" i="2" s="1"/>
  <c r="M1151" i="2" s="1"/>
  <c r="D1151" i="2"/>
  <c r="E1150" i="2"/>
  <c r="N1150" i="2" s="1"/>
  <c r="M1150" i="2" s="1"/>
  <c r="D1150" i="2"/>
  <c r="E1149" i="2"/>
  <c r="N1149" i="2" s="1"/>
  <c r="M1149" i="2" s="1"/>
  <c r="D1149" i="2"/>
  <c r="N1148" i="2"/>
  <c r="M1148" i="2" s="1"/>
  <c r="E1148" i="2"/>
  <c r="D1148" i="2"/>
  <c r="E1147" i="2"/>
  <c r="N1147" i="2" s="1"/>
  <c r="M1147" i="2" s="1"/>
  <c r="D1147" i="2"/>
  <c r="N1146" i="2"/>
  <c r="M1146" i="2" s="1"/>
  <c r="E1146" i="2"/>
  <c r="D1146" i="2"/>
  <c r="E1145" i="2"/>
  <c r="N1145" i="2" s="1"/>
  <c r="M1145" i="2" s="1"/>
  <c r="D1145" i="2"/>
  <c r="N1144" i="2"/>
  <c r="M1144" i="2" s="1"/>
  <c r="E1144" i="2"/>
  <c r="D1144" i="2"/>
  <c r="N1143" i="2"/>
  <c r="M1143" i="2" s="1"/>
  <c r="E1143" i="2"/>
  <c r="D1143" i="2"/>
  <c r="N1142" i="2"/>
  <c r="M1142" i="2" s="1"/>
  <c r="E1142" i="2"/>
  <c r="D1142" i="2"/>
  <c r="N1141" i="2"/>
  <c r="M1141" i="2" s="1"/>
  <c r="E1141" i="2"/>
  <c r="D1141" i="2"/>
  <c r="N1140" i="2"/>
  <c r="M1140" i="2" s="1"/>
  <c r="E1140" i="2"/>
  <c r="D1140" i="2"/>
  <c r="N1139" i="2"/>
  <c r="M1139" i="2"/>
  <c r="E1139" i="2"/>
  <c r="D1139" i="2"/>
  <c r="N1138" i="2"/>
  <c r="M1138" i="2"/>
  <c r="E1138" i="2"/>
  <c r="D1138" i="2"/>
  <c r="E1137" i="2"/>
  <c r="N1137" i="2" s="1"/>
  <c r="M1137" i="2" s="1"/>
  <c r="D1137" i="2"/>
  <c r="E1136" i="2"/>
  <c r="N1136" i="2" s="1"/>
  <c r="M1136" i="2" s="1"/>
  <c r="D1136" i="2"/>
  <c r="E1135" i="2"/>
  <c r="N1135" i="2" s="1"/>
  <c r="M1135" i="2" s="1"/>
  <c r="D1135" i="2"/>
  <c r="E1134" i="2"/>
  <c r="N1134" i="2" s="1"/>
  <c r="M1134" i="2" s="1"/>
  <c r="D1134" i="2"/>
  <c r="N1133" i="2"/>
  <c r="M1133" i="2" s="1"/>
  <c r="E1133" i="2"/>
  <c r="D1133" i="2"/>
  <c r="E1132" i="2"/>
  <c r="N1132" i="2" s="1"/>
  <c r="M1132" i="2" s="1"/>
  <c r="D1132" i="2"/>
  <c r="M1131" i="2"/>
  <c r="E1131" i="2"/>
  <c r="N1131" i="2" s="1"/>
  <c r="D1131" i="2"/>
  <c r="M1130" i="2"/>
  <c r="E1130" i="2"/>
  <c r="N1130" i="2" s="1"/>
  <c r="D1130" i="2"/>
  <c r="N1129" i="2"/>
  <c r="M1129" i="2" s="1"/>
  <c r="E1129" i="2"/>
  <c r="D1129" i="2"/>
  <c r="N1128" i="2"/>
  <c r="M1128" i="2" s="1"/>
  <c r="E1128" i="2"/>
  <c r="D1128" i="2"/>
  <c r="N1127" i="2"/>
  <c r="M1127" i="2" s="1"/>
  <c r="E1127" i="2"/>
  <c r="D1127" i="2"/>
  <c r="N1126" i="2"/>
  <c r="M1126" i="2" s="1"/>
  <c r="E1126" i="2"/>
  <c r="D1126" i="2"/>
  <c r="N1125" i="2"/>
  <c r="M1125" i="2" s="1"/>
  <c r="E1125" i="2"/>
  <c r="D1125" i="2"/>
  <c r="N1124" i="2"/>
  <c r="M1124" i="2" s="1"/>
  <c r="E1124" i="2"/>
  <c r="D1124" i="2"/>
  <c r="N1123" i="2"/>
  <c r="M1123" i="2"/>
  <c r="E1123" i="2"/>
  <c r="D1123" i="2"/>
  <c r="N1122" i="2"/>
  <c r="M1122" i="2"/>
  <c r="E1122" i="2"/>
  <c r="D1122" i="2"/>
  <c r="N1121" i="2"/>
  <c r="M1121" i="2" s="1"/>
  <c r="E1121" i="2"/>
  <c r="D1121" i="2"/>
  <c r="N1120" i="2"/>
  <c r="M1120" i="2" s="1"/>
  <c r="E1120" i="2"/>
  <c r="D1120" i="2"/>
  <c r="N1119" i="2"/>
  <c r="M1119" i="2" s="1"/>
  <c r="D1119" i="2"/>
  <c r="N1118" i="2"/>
  <c r="M1118" i="2" s="1"/>
  <c r="E1118" i="2"/>
  <c r="D1118" i="2"/>
  <c r="N1117" i="2"/>
  <c r="M1117" i="2" s="1"/>
  <c r="E1117" i="2"/>
  <c r="D1117" i="2"/>
  <c r="N1116" i="2"/>
  <c r="M1116" i="2" s="1"/>
  <c r="E1116" i="2"/>
  <c r="D1116" i="2"/>
  <c r="E1115" i="2"/>
  <c r="N1115" i="2" s="1"/>
  <c r="M1115" i="2" s="1"/>
  <c r="D1115" i="2"/>
  <c r="E1114" i="2"/>
  <c r="N1114" i="2" s="1"/>
  <c r="M1114" i="2" s="1"/>
  <c r="D1114" i="2"/>
  <c r="N1113" i="2"/>
  <c r="M1113" i="2" s="1"/>
  <c r="D1113" i="2"/>
  <c r="E1112" i="2"/>
  <c r="N1112" i="2" s="1"/>
  <c r="M1112" i="2" s="1"/>
  <c r="D1112" i="2"/>
  <c r="M1111" i="2"/>
  <c r="E1111" i="2"/>
  <c r="N1111" i="2" s="1"/>
  <c r="D1111" i="2"/>
  <c r="E1110" i="2"/>
  <c r="N1110" i="2" s="1"/>
  <c r="M1110" i="2" s="1"/>
  <c r="D1110" i="2"/>
  <c r="E1109" i="2"/>
  <c r="N1109" i="2" s="1"/>
  <c r="M1109" i="2" s="1"/>
  <c r="D1109" i="2"/>
  <c r="N1108" i="2"/>
  <c r="M1108" i="2" s="1"/>
  <c r="E1108" i="2"/>
  <c r="D1108" i="2"/>
  <c r="N1107" i="2"/>
  <c r="M1107" i="2" s="1"/>
  <c r="D1107" i="2"/>
  <c r="N1106" i="2"/>
  <c r="M1106" i="2" s="1"/>
  <c r="E1106" i="2"/>
  <c r="D1106" i="2"/>
  <c r="N1105" i="2"/>
  <c r="M1105" i="2" s="1"/>
  <c r="E1105" i="2"/>
  <c r="D1105" i="2"/>
  <c r="N1104" i="2"/>
  <c r="M1104" i="2" s="1"/>
  <c r="E1104" i="2"/>
  <c r="D1104" i="2"/>
  <c r="N1103" i="2"/>
  <c r="M1103" i="2" s="1"/>
  <c r="E1103" i="2"/>
  <c r="D1103" i="2"/>
  <c r="N1102" i="2"/>
  <c r="M1102" i="2" s="1"/>
  <c r="E1102" i="2"/>
  <c r="D1102" i="2"/>
  <c r="N1101" i="2"/>
  <c r="M1101" i="2" s="1"/>
  <c r="E1101" i="2"/>
  <c r="D1101" i="2"/>
  <c r="N1100" i="2"/>
  <c r="M1100" i="2" s="1"/>
  <c r="E1100" i="2"/>
  <c r="D1100" i="2"/>
  <c r="N1099" i="2"/>
  <c r="M1099" i="2" s="1"/>
  <c r="E1099" i="2"/>
  <c r="D1099" i="2"/>
  <c r="N1098" i="2"/>
  <c r="M1098" i="2" s="1"/>
  <c r="E1098" i="2"/>
  <c r="D1098" i="2"/>
  <c r="N1097" i="2"/>
  <c r="M1097" i="2" s="1"/>
  <c r="E1097" i="2"/>
  <c r="D1097" i="2"/>
  <c r="N1096" i="2"/>
  <c r="M1096" i="2" s="1"/>
  <c r="E1096" i="2"/>
  <c r="D1096" i="2"/>
  <c r="N1095" i="2"/>
  <c r="M1095" i="2" s="1"/>
  <c r="E1095" i="2"/>
  <c r="D1095" i="2"/>
  <c r="N1094" i="2"/>
  <c r="M1094" i="2" s="1"/>
  <c r="E1094" i="2"/>
  <c r="D1094" i="2"/>
  <c r="N1093" i="2"/>
  <c r="M1093" i="2" s="1"/>
  <c r="E1093" i="2"/>
  <c r="D1093" i="2"/>
  <c r="N1092" i="2"/>
  <c r="M1092" i="2" s="1"/>
  <c r="D1092" i="2"/>
  <c r="N1091" i="2"/>
  <c r="M1091" i="2" s="1"/>
  <c r="D1091" i="2"/>
  <c r="N1090" i="2"/>
  <c r="M1090" i="2" s="1"/>
  <c r="D1090" i="2"/>
  <c r="N1089" i="2"/>
  <c r="M1089" i="2" s="1"/>
  <c r="D1089" i="2"/>
  <c r="N1088" i="2"/>
  <c r="M1088" i="2" s="1"/>
  <c r="D1088" i="2"/>
  <c r="N1087" i="2"/>
  <c r="M1087" i="2" s="1"/>
  <c r="D1087" i="2"/>
  <c r="N1086" i="2"/>
  <c r="M1086" i="2" s="1"/>
  <c r="D1086" i="2"/>
  <c r="N1085" i="2"/>
  <c r="M1085" i="2" s="1"/>
  <c r="D1085" i="2"/>
  <c r="N1084" i="2"/>
  <c r="M1084" i="2" s="1"/>
  <c r="D1084" i="2"/>
  <c r="N1083" i="2"/>
  <c r="M1083" i="2" s="1"/>
  <c r="D1083" i="2"/>
  <c r="N1082" i="2"/>
  <c r="M1082" i="2"/>
  <c r="D1082" i="2"/>
  <c r="N1081" i="2"/>
  <c r="M1081" i="2"/>
  <c r="D1081" i="2"/>
  <c r="N1080" i="2"/>
  <c r="M1080" i="2" s="1"/>
  <c r="D1080" i="2"/>
  <c r="N1079" i="2"/>
  <c r="M1079" i="2"/>
  <c r="D1079" i="2"/>
  <c r="E1078" i="2"/>
  <c r="N1078" i="2" s="1"/>
  <c r="M1078" i="2" s="1"/>
  <c r="D1078" i="2"/>
  <c r="M1077" i="2"/>
  <c r="E1077" i="2"/>
  <c r="N1077" i="2" s="1"/>
  <c r="D1077" i="2"/>
  <c r="N1076" i="2"/>
  <c r="M1076" i="2"/>
  <c r="E1076" i="2"/>
  <c r="D1076" i="2"/>
  <c r="N1075" i="2"/>
  <c r="M1075" i="2" s="1"/>
  <c r="E1075" i="2"/>
  <c r="D1075" i="2"/>
  <c r="N1074" i="2"/>
  <c r="M1074" i="2" s="1"/>
  <c r="E1074" i="2"/>
  <c r="D1074" i="2"/>
  <c r="E1073" i="2"/>
  <c r="N1073" i="2" s="1"/>
  <c r="M1073" i="2" s="1"/>
  <c r="D1073" i="2"/>
  <c r="E1072" i="2"/>
  <c r="N1072" i="2" s="1"/>
  <c r="M1072" i="2" s="1"/>
  <c r="D1072" i="2"/>
  <c r="E1071" i="2"/>
  <c r="N1071" i="2" s="1"/>
  <c r="M1071" i="2" s="1"/>
  <c r="D1071" i="2"/>
  <c r="M1070" i="2"/>
  <c r="E1070" i="2"/>
  <c r="N1070" i="2" s="1"/>
  <c r="D1070" i="2"/>
  <c r="E1069" i="2"/>
  <c r="N1069" i="2" s="1"/>
  <c r="M1069" i="2" s="1"/>
  <c r="D1069" i="2"/>
  <c r="N1068" i="2"/>
  <c r="M1068" i="2" s="1"/>
  <c r="E1068" i="2"/>
  <c r="D1068" i="2"/>
  <c r="E1067" i="2"/>
  <c r="N1067" i="2" s="1"/>
  <c r="M1067" i="2" s="1"/>
  <c r="D1067" i="2"/>
  <c r="E1066" i="2"/>
  <c r="N1066" i="2" s="1"/>
  <c r="M1066" i="2" s="1"/>
  <c r="D1066" i="2"/>
  <c r="E1065" i="2"/>
  <c r="N1065" i="2" s="1"/>
  <c r="M1065" i="2" s="1"/>
  <c r="D1065" i="2"/>
  <c r="N1064" i="2"/>
  <c r="M1064" i="2" s="1"/>
  <c r="E1064" i="2"/>
  <c r="D1064" i="2"/>
  <c r="E1063" i="2"/>
  <c r="N1063" i="2" s="1"/>
  <c r="M1063" i="2" s="1"/>
  <c r="D1063" i="2"/>
  <c r="E1062" i="2"/>
  <c r="N1062" i="2" s="1"/>
  <c r="M1062" i="2" s="1"/>
  <c r="D1062" i="2"/>
  <c r="E1061" i="2"/>
  <c r="N1061" i="2" s="1"/>
  <c r="M1061" i="2" s="1"/>
  <c r="D1061" i="2"/>
  <c r="E1060" i="2"/>
  <c r="N1060" i="2" s="1"/>
  <c r="M1060" i="2" s="1"/>
  <c r="D1060" i="2"/>
  <c r="E1059" i="2"/>
  <c r="N1059" i="2" s="1"/>
  <c r="M1059" i="2" s="1"/>
  <c r="D1059" i="2"/>
  <c r="N1058" i="2"/>
  <c r="M1058" i="2" s="1"/>
  <c r="E1058" i="2"/>
  <c r="D1058" i="2"/>
  <c r="M1057" i="2"/>
  <c r="E1057" i="2"/>
  <c r="N1057" i="2" s="1"/>
  <c r="D1057" i="2"/>
  <c r="E1056" i="2"/>
  <c r="N1056" i="2" s="1"/>
  <c r="M1056" i="2" s="1"/>
  <c r="D1056" i="2"/>
  <c r="E1055" i="2"/>
  <c r="N1055" i="2" s="1"/>
  <c r="M1055" i="2" s="1"/>
  <c r="D1055" i="2"/>
  <c r="E1054" i="2"/>
  <c r="N1054" i="2" s="1"/>
  <c r="M1054" i="2" s="1"/>
  <c r="D1054" i="2"/>
  <c r="E1053" i="2"/>
  <c r="N1053" i="2" s="1"/>
  <c r="M1053" i="2" s="1"/>
  <c r="D1053" i="2"/>
  <c r="N1052" i="2"/>
  <c r="M1052" i="2" s="1"/>
  <c r="E1052" i="2"/>
  <c r="D1052" i="2"/>
  <c r="E1051" i="2"/>
  <c r="N1051" i="2" s="1"/>
  <c r="M1051" i="2" s="1"/>
  <c r="D1051" i="2"/>
  <c r="N1050" i="2"/>
  <c r="M1050" i="2"/>
  <c r="E1050" i="2"/>
  <c r="D1050" i="2"/>
  <c r="N1049" i="2"/>
  <c r="M1049" i="2"/>
  <c r="E1049" i="2"/>
  <c r="D1049" i="2"/>
  <c r="N1048" i="2"/>
  <c r="M1048" i="2" s="1"/>
  <c r="E1048" i="2"/>
  <c r="D1048" i="2"/>
  <c r="E1047" i="2"/>
  <c r="N1047" i="2" s="1"/>
  <c r="M1047" i="2" s="1"/>
  <c r="D1047" i="2"/>
  <c r="E1046" i="2"/>
  <c r="N1046" i="2" s="1"/>
  <c r="M1046" i="2" s="1"/>
  <c r="D1046" i="2"/>
  <c r="E1045" i="2"/>
  <c r="N1045" i="2" s="1"/>
  <c r="M1045" i="2" s="1"/>
  <c r="D1045" i="2"/>
  <c r="M1044" i="2"/>
  <c r="E1044" i="2"/>
  <c r="N1044" i="2" s="1"/>
  <c r="D1044" i="2"/>
  <c r="E1043" i="2"/>
  <c r="N1043" i="2" s="1"/>
  <c r="M1043" i="2" s="1"/>
  <c r="D1043" i="2"/>
  <c r="E1042" i="2"/>
  <c r="N1042" i="2" s="1"/>
  <c r="M1042" i="2" s="1"/>
  <c r="D1042" i="2"/>
  <c r="M1041" i="2"/>
  <c r="E1041" i="2"/>
  <c r="N1041" i="2" s="1"/>
  <c r="D1041" i="2"/>
  <c r="E1040" i="2"/>
  <c r="N1040" i="2" s="1"/>
  <c r="M1040" i="2" s="1"/>
  <c r="D1040" i="2"/>
  <c r="E1039" i="2"/>
  <c r="N1039" i="2" s="1"/>
  <c r="M1039" i="2" s="1"/>
  <c r="D1039" i="2"/>
  <c r="E1038" i="2"/>
  <c r="N1038" i="2" s="1"/>
  <c r="M1038" i="2" s="1"/>
  <c r="D1038" i="2"/>
  <c r="E1037" i="2"/>
  <c r="N1037" i="2" s="1"/>
  <c r="M1037" i="2" s="1"/>
  <c r="D1037" i="2"/>
  <c r="N1036" i="2"/>
  <c r="M1036" i="2" s="1"/>
  <c r="E1036" i="2"/>
  <c r="D1036" i="2"/>
  <c r="N1035" i="2"/>
  <c r="M1035" i="2" s="1"/>
  <c r="E1035" i="2"/>
  <c r="D1035" i="2"/>
  <c r="N1034" i="2"/>
  <c r="M1034" i="2" s="1"/>
  <c r="E1034" i="2"/>
  <c r="D1034" i="2"/>
  <c r="E1033" i="2"/>
  <c r="N1033" i="2" s="1"/>
  <c r="M1033" i="2" s="1"/>
  <c r="D1033" i="2"/>
  <c r="E1032" i="2"/>
  <c r="N1032" i="2" s="1"/>
  <c r="M1032" i="2" s="1"/>
  <c r="D1032" i="2"/>
  <c r="E1031" i="2"/>
  <c r="N1031" i="2" s="1"/>
  <c r="M1031" i="2" s="1"/>
  <c r="D1031" i="2"/>
  <c r="E1030" i="2"/>
  <c r="N1030" i="2" s="1"/>
  <c r="M1030" i="2" s="1"/>
  <c r="D1030" i="2"/>
  <c r="E1029" i="2"/>
  <c r="N1029" i="2" s="1"/>
  <c r="M1029" i="2" s="1"/>
  <c r="D1029" i="2"/>
  <c r="E1028" i="2"/>
  <c r="N1028" i="2" s="1"/>
  <c r="M1028" i="2" s="1"/>
  <c r="D1028" i="2"/>
  <c r="E1027" i="2"/>
  <c r="N1027" i="2" s="1"/>
  <c r="M1027" i="2" s="1"/>
  <c r="D1027" i="2"/>
  <c r="E1026" i="2"/>
  <c r="N1026" i="2" s="1"/>
  <c r="M1026" i="2" s="1"/>
  <c r="D1026" i="2"/>
  <c r="M1025" i="2"/>
  <c r="E1025" i="2"/>
  <c r="N1025" i="2" s="1"/>
  <c r="D1025" i="2"/>
  <c r="M1024" i="2"/>
  <c r="E1024" i="2"/>
  <c r="N1024" i="2" s="1"/>
  <c r="D1024" i="2"/>
  <c r="E1023" i="2"/>
  <c r="N1023" i="2" s="1"/>
  <c r="M1023" i="2" s="1"/>
  <c r="D1023" i="2"/>
  <c r="E1022" i="2"/>
  <c r="N1022" i="2" s="1"/>
  <c r="M1022" i="2" s="1"/>
  <c r="D1022" i="2"/>
  <c r="N1021" i="2"/>
  <c r="M1021" i="2"/>
  <c r="E1021" i="2"/>
  <c r="D1021" i="2"/>
  <c r="E1020" i="2"/>
  <c r="N1020" i="2" s="1"/>
  <c r="M1020" i="2" s="1"/>
  <c r="D1020" i="2"/>
  <c r="N1019" i="2"/>
  <c r="M1019" i="2" s="1"/>
  <c r="E1019" i="2"/>
  <c r="D1019" i="2"/>
  <c r="E1018" i="2"/>
  <c r="N1018" i="2" s="1"/>
  <c r="M1018" i="2" s="1"/>
  <c r="D1018" i="2"/>
  <c r="E1017" i="2"/>
  <c r="N1017" i="2" s="1"/>
  <c r="M1017" i="2" s="1"/>
  <c r="D1017" i="2"/>
  <c r="N1016" i="2"/>
  <c r="M1016" i="2" s="1"/>
  <c r="E1016" i="2"/>
  <c r="D1016" i="2"/>
  <c r="N1015" i="2"/>
  <c r="M1015" i="2" s="1"/>
  <c r="E1015" i="2"/>
  <c r="D1015" i="2"/>
  <c r="E1014" i="2"/>
  <c r="N1014" i="2" s="1"/>
  <c r="M1014" i="2" s="1"/>
  <c r="D1014" i="2"/>
  <c r="E1013" i="2"/>
  <c r="N1013" i="2" s="1"/>
  <c r="M1013" i="2" s="1"/>
  <c r="D1013" i="2"/>
  <c r="M1012" i="2"/>
  <c r="E1012" i="2"/>
  <c r="N1012" i="2" s="1"/>
  <c r="D1012" i="2"/>
  <c r="E1011" i="2"/>
  <c r="N1011" i="2" s="1"/>
  <c r="M1011" i="2" s="1"/>
  <c r="D1011" i="2"/>
  <c r="E1010" i="2"/>
  <c r="N1010" i="2" s="1"/>
  <c r="M1010" i="2" s="1"/>
  <c r="D1010" i="2"/>
  <c r="M1009" i="2"/>
  <c r="E1009" i="2"/>
  <c r="N1009" i="2" s="1"/>
  <c r="D1009" i="2"/>
  <c r="E1008" i="2"/>
  <c r="N1008" i="2" s="1"/>
  <c r="M1008" i="2" s="1"/>
  <c r="D1008" i="2"/>
  <c r="E1007" i="2"/>
  <c r="N1007" i="2" s="1"/>
  <c r="M1007" i="2" s="1"/>
  <c r="D1007" i="2"/>
  <c r="M1006" i="2"/>
  <c r="E1006" i="2"/>
  <c r="N1006" i="2" s="1"/>
  <c r="D1006" i="2"/>
  <c r="E1005" i="2"/>
  <c r="N1005" i="2" s="1"/>
  <c r="M1005" i="2" s="1"/>
  <c r="D1005" i="2"/>
  <c r="N1004" i="2"/>
  <c r="M1004" i="2" s="1"/>
  <c r="E1004" i="2"/>
  <c r="D1004" i="2"/>
  <c r="N1003" i="2"/>
  <c r="M1003" i="2" s="1"/>
  <c r="E1003" i="2"/>
  <c r="D1003" i="2"/>
  <c r="E1002" i="2"/>
  <c r="N1002" i="2" s="1"/>
  <c r="M1002" i="2" s="1"/>
  <c r="D1002" i="2"/>
  <c r="E1001" i="2"/>
  <c r="N1001" i="2" s="1"/>
  <c r="M1001" i="2" s="1"/>
  <c r="D1001" i="2"/>
  <c r="N1000" i="2"/>
  <c r="M1000" i="2" s="1"/>
  <c r="E1000" i="2"/>
  <c r="D1000" i="2"/>
  <c r="M999" i="2"/>
  <c r="E999" i="2"/>
  <c r="N999" i="2" s="1"/>
  <c r="D999" i="2"/>
  <c r="E998" i="2"/>
  <c r="N998" i="2" s="1"/>
  <c r="M998" i="2" s="1"/>
  <c r="D998" i="2"/>
  <c r="M997" i="2"/>
  <c r="E997" i="2"/>
  <c r="N997" i="2" s="1"/>
  <c r="D997" i="2"/>
  <c r="N996" i="2"/>
  <c r="M996" i="2" s="1"/>
  <c r="E996" i="2"/>
  <c r="D996" i="2"/>
  <c r="M995" i="2"/>
  <c r="E995" i="2"/>
  <c r="N995" i="2" s="1"/>
  <c r="D995" i="2"/>
  <c r="E994" i="2"/>
  <c r="N994" i="2" s="1"/>
  <c r="M994" i="2" s="1"/>
  <c r="D994" i="2"/>
  <c r="M993" i="2"/>
  <c r="E993" i="2"/>
  <c r="N993" i="2" s="1"/>
  <c r="D993" i="2"/>
  <c r="N992" i="2"/>
  <c r="M992" i="2" s="1"/>
  <c r="E992" i="2"/>
  <c r="D992" i="2"/>
  <c r="E991" i="2"/>
  <c r="N991" i="2" s="1"/>
  <c r="M991" i="2" s="1"/>
  <c r="D991" i="2"/>
  <c r="N990" i="2"/>
  <c r="M990" i="2" s="1"/>
  <c r="D990" i="2"/>
  <c r="N989" i="2"/>
  <c r="M989" i="2" s="1"/>
  <c r="D989" i="2"/>
  <c r="N988" i="2"/>
  <c r="M988" i="2" s="1"/>
  <c r="D988" i="2"/>
  <c r="N987" i="2"/>
  <c r="M987" i="2" s="1"/>
  <c r="D987" i="2"/>
  <c r="N986" i="2"/>
  <c r="M986" i="2"/>
  <c r="D986" i="2"/>
  <c r="N985" i="2"/>
  <c r="M985" i="2" s="1"/>
  <c r="D985" i="2"/>
  <c r="N984" i="2"/>
  <c r="M984" i="2" s="1"/>
  <c r="D984" i="2"/>
  <c r="N983" i="2"/>
  <c r="M983" i="2"/>
  <c r="D983" i="2"/>
  <c r="N982" i="2"/>
  <c r="M982" i="2" s="1"/>
  <c r="D982" i="2"/>
  <c r="E981" i="2"/>
  <c r="N981" i="2" s="1"/>
  <c r="M981" i="2" s="1"/>
  <c r="D981" i="2"/>
  <c r="E980" i="2"/>
  <c r="N980" i="2" s="1"/>
  <c r="M980" i="2" s="1"/>
  <c r="D980" i="2"/>
  <c r="E979" i="2"/>
  <c r="N979" i="2" s="1"/>
  <c r="M979" i="2" s="1"/>
  <c r="D979" i="2"/>
  <c r="E978" i="2"/>
  <c r="N978" i="2" s="1"/>
  <c r="M978" i="2" s="1"/>
  <c r="D978" i="2"/>
  <c r="N977" i="2"/>
  <c r="M977" i="2" s="1"/>
  <c r="E977" i="2"/>
  <c r="D977" i="2"/>
  <c r="E976" i="2"/>
  <c r="N976" i="2" s="1"/>
  <c r="M976" i="2" s="1"/>
  <c r="D976" i="2"/>
  <c r="E975" i="2"/>
  <c r="N975" i="2" s="1"/>
  <c r="M975" i="2" s="1"/>
  <c r="D975" i="2"/>
  <c r="E974" i="2"/>
  <c r="N974" i="2" s="1"/>
  <c r="M974" i="2" s="1"/>
  <c r="D974" i="2"/>
  <c r="M973" i="2"/>
  <c r="E973" i="2"/>
  <c r="N973" i="2" s="1"/>
  <c r="D973" i="2"/>
  <c r="E972" i="2"/>
  <c r="N972" i="2" s="1"/>
  <c r="M972" i="2" s="1"/>
  <c r="D972" i="2"/>
  <c r="E971" i="2"/>
  <c r="N971" i="2" s="1"/>
  <c r="M971" i="2" s="1"/>
  <c r="D971" i="2"/>
  <c r="E970" i="2"/>
  <c r="N970" i="2" s="1"/>
  <c r="M970" i="2" s="1"/>
  <c r="D970" i="2"/>
  <c r="E969" i="2"/>
  <c r="N969" i="2" s="1"/>
  <c r="M969" i="2" s="1"/>
  <c r="D969" i="2"/>
  <c r="M968" i="2"/>
  <c r="E968" i="2"/>
  <c r="N968" i="2" s="1"/>
  <c r="D968" i="2"/>
  <c r="E967" i="2"/>
  <c r="N967" i="2" s="1"/>
  <c r="M967" i="2" s="1"/>
  <c r="D967" i="2"/>
  <c r="N966" i="2"/>
  <c r="M966" i="2" s="1"/>
  <c r="D966" i="2"/>
  <c r="N965" i="2"/>
  <c r="M965" i="2" s="1"/>
  <c r="D965" i="2"/>
  <c r="N964" i="2"/>
  <c r="M964" i="2" s="1"/>
  <c r="D964" i="2"/>
  <c r="N963" i="2"/>
  <c r="M963" i="2" s="1"/>
  <c r="D963" i="2"/>
  <c r="N962" i="2"/>
  <c r="M962" i="2" s="1"/>
  <c r="D962" i="2"/>
  <c r="N961" i="2"/>
  <c r="M961" i="2" s="1"/>
  <c r="D961" i="2"/>
  <c r="N960" i="2"/>
  <c r="M960" i="2" s="1"/>
  <c r="D960" i="2"/>
  <c r="N959" i="2"/>
  <c r="M959" i="2" s="1"/>
  <c r="D959" i="2"/>
  <c r="N958" i="2"/>
  <c r="M958" i="2"/>
  <c r="D958" i="2"/>
  <c r="N957" i="2"/>
  <c r="M957" i="2" s="1"/>
  <c r="D957" i="2"/>
  <c r="N956" i="2"/>
  <c r="M956" i="2" s="1"/>
  <c r="D956" i="2"/>
  <c r="N955" i="2"/>
  <c r="M955" i="2" s="1"/>
  <c r="D955" i="2"/>
  <c r="N954" i="2"/>
  <c r="M954" i="2" s="1"/>
  <c r="D954" i="2"/>
  <c r="N953" i="2"/>
  <c r="M953" i="2" s="1"/>
  <c r="E953" i="2"/>
  <c r="D953" i="2"/>
  <c r="E952" i="2"/>
  <c r="N952" i="2" s="1"/>
  <c r="M952" i="2" s="1"/>
  <c r="D952" i="2"/>
  <c r="E951" i="2"/>
  <c r="N951" i="2" s="1"/>
  <c r="M951" i="2" s="1"/>
  <c r="D951" i="2"/>
  <c r="M950" i="2"/>
  <c r="E950" i="2"/>
  <c r="N950" i="2" s="1"/>
  <c r="D950" i="2"/>
  <c r="M949" i="2"/>
  <c r="E949" i="2"/>
  <c r="N949" i="2" s="1"/>
  <c r="D949" i="2"/>
  <c r="E948" i="2"/>
  <c r="N948" i="2" s="1"/>
  <c r="M948" i="2" s="1"/>
  <c r="D948" i="2"/>
  <c r="E947" i="2"/>
  <c r="N947" i="2" s="1"/>
  <c r="M947" i="2" s="1"/>
  <c r="D947" i="2"/>
  <c r="E946" i="2"/>
  <c r="N946" i="2" s="1"/>
  <c r="M946" i="2" s="1"/>
  <c r="D946" i="2"/>
  <c r="E945" i="2"/>
  <c r="N945" i="2" s="1"/>
  <c r="M945" i="2" s="1"/>
  <c r="D945" i="2"/>
  <c r="N944" i="2"/>
  <c r="M944" i="2" s="1"/>
  <c r="E944" i="2"/>
  <c r="D944" i="2"/>
  <c r="N943" i="2"/>
  <c r="M943" i="2" s="1"/>
  <c r="D943" i="2"/>
  <c r="N942" i="2"/>
  <c r="M942" i="2" s="1"/>
  <c r="D942" i="2"/>
  <c r="N941" i="2"/>
  <c r="M941" i="2"/>
  <c r="D941" i="2"/>
  <c r="N940" i="2"/>
  <c r="M940" i="2" s="1"/>
  <c r="D940" i="2"/>
  <c r="N939" i="2"/>
  <c r="M939" i="2" s="1"/>
  <c r="D939" i="2"/>
  <c r="N938" i="2"/>
  <c r="M938" i="2" s="1"/>
  <c r="D938" i="2"/>
  <c r="N937" i="2"/>
  <c r="M937" i="2" s="1"/>
  <c r="D937" i="2"/>
  <c r="N936" i="2"/>
  <c r="M936" i="2" s="1"/>
  <c r="D936" i="2"/>
  <c r="N935" i="2"/>
  <c r="M935" i="2" s="1"/>
  <c r="D935" i="2"/>
  <c r="N934" i="2"/>
  <c r="M934" i="2" s="1"/>
  <c r="D934" i="2"/>
  <c r="N933" i="2"/>
  <c r="M933" i="2" s="1"/>
  <c r="D933" i="2"/>
  <c r="N932" i="2"/>
  <c r="M932" i="2" s="1"/>
  <c r="D932" i="2"/>
  <c r="N931" i="2"/>
  <c r="M931" i="2"/>
  <c r="D931" i="2"/>
  <c r="N930" i="2"/>
  <c r="M930" i="2" s="1"/>
  <c r="D930" i="2"/>
  <c r="N929" i="2"/>
  <c r="M929" i="2" s="1"/>
  <c r="D929" i="2"/>
  <c r="N928" i="2"/>
  <c r="M928" i="2" s="1"/>
  <c r="D928" i="2"/>
  <c r="N927" i="2"/>
  <c r="M927" i="2" s="1"/>
  <c r="D927" i="2"/>
  <c r="N926" i="2"/>
  <c r="M926" i="2" s="1"/>
  <c r="D926" i="2"/>
  <c r="N925" i="2"/>
  <c r="M925" i="2" s="1"/>
  <c r="D925" i="2"/>
  <c r="N924" i="2"/>
  <c r="M924" i="2"/>
  <c r="D924" i="2"/>
  <c r="N923" i="2"/>
  <c r="M923" i="2" s="1"/>
  <c r="D923" i="2"/>
  <c r="E922" i="2"/>
  <c r="N922" i="2" s="1"/>
  <c r="M922" i="2" s="1"/>
  <c r="D922" i="2"/>
  <c r="N921" i="2"/>
  <c r="M921" i="2" s="1"/>
  <c r="E921" i="2"/>
  <c r="D921" i="2"/>
  <c r="E920" i="2"/>
  <c r="N920" i="2" s="1"/>
  <c r="M920" i="2" s="1"/>
  <c r="D920" i="2"/>
  <c r="E919" i="2"/>
  <c r="N919" i="2" s="1"/>
  <c r="M919" i="2" s="1"/>
  <c r="D919" i="2"/>
  <c r="E918" i="2"/>
  <c r="N918" i="2" s="1"/>
  <c r="M918" i="2" s="1"/>
  <c r="D918" i="2"/>
  <c r="E917" i="2"/>
  <c r="N917" i="2" s="1"/>
  <c r="M917" i="2" s="1"/>
  <c r="D917" i="2"/>
  <c r="E916" i="2"/>
  <c r="N916" i="2" s="1"/>
  <c r="M916" i="2" s="1"/>
  <c r="D916" i="2"/>
  <c r="N915" i="2"/>
  <c r="M915" i="2" s="1"/>
  <c r="E915" i="2"/>
  <c r="D915" i="2"/>
  <c r="N914" i="2"/>
  <c r="M914" i="2"/>
  <c r="E914" i="2"/>
  <c r="D914" i="2"/>
  <c r="N913" i="2"/>
  <c r="M913" i="2" s="1"/>
  <c r="E913" i="2"/>
  <c r="D913" i="2"/>
  <c r="N912" i="2"/>
  <c r="M912" i="2" s="1"/>
  <c r="E912" i="2"/>
  <c r="D912" i="2"/>
  <c r="N911" i="2"/>
  <c r="M911" i="2" s="1"/>
  <c r="E911" i="2"/>
  <c r="D911" i="2"/>
  <c r="N910" i="2"/>
  <c r="M910" i="2" s="1"/>
  <c r="E910" i="2"/>
  <c r="D910" i="2"/>
  <c r="N909" i="2"/>
  <c r="M909" i="2" s="1"/>
  <c r="E909" i="2"/>
  <c r="D909" i="2"/>
  <c r="E908" i="2"/>
  <c r="N908" i="2" s="1"/>
  <c r="M908" i="2" s="1"/>
  <c r="D908" i="2"/>
  <c r="E907" i="2"/>
  <c r="N907" i="2" s="1"/>
  <c r="M907" i="2" s="1"/>
  <c r="D907" i="2"/>
  <c r="E906" i="2"/>
  <c r="N906" i="2" s="1"/>
  <c r="M906" i="2" s="1"/>
  <c r="D906" i="2"/>
  <c r="N905" i="2"/>
  <c r="M905" i="2" s="1"/>
  <c r="E905" i="2"/>
  <c r="D905" i="2"/>
  <c r="E904" i="2"/>
  <c r="N904" i="2" s="1"/>
  <c r="M904" i="2" s="1"/>
  <c r="D904" i="2"/>
  <c r="N903" i="2"/>
  <c r="M903" i="2" s="1"/>
  <c r="E903" i="2"/>
  <c r="D903" i="2"/>
  <c r="E902" i="2"/>
  <c r="N902" i="2" s="1"/>
  <c r="M902" i="2" s="1"/>
  <c r="D902" i="2"/>
  <c r="N901" i="2"/>
  <c r="M901" i="2" s="1"/>
  <c r="E901" i="2"/>
  <c r="D901" i="2"/>
  <c r="E900" i="2"/>
  <c r="N900" i="2" s="1"/>
  <c r="M900" i="2" s="1"/>
  <c r="D900" i="2"/>
  <c r="E899" i="2"/>
  <c r="N899" i="2" s="1"/>
  <c r="M899" i="2" s="1"/>
  <c r="D899" i="2"/>
  <c r="E898" i="2"/>
  <c r="N898" i="2" s="1"/>
  <c r="M898" i="2" s="1"/>
  <c r="D898" i="2"/>
  <c r="N897" i="2"/>
  <c r="M897" i="2" s="1"/>
  <c r="E897" i="2"/>
  <c r="D897" i="2"/>
  <c r="E896" i="2"/>
  <c r="N896" i="2" s="1"/>
  <c r="M896" i="2" s="1"/>
  <c r="D896" i="2"/>
  <c r="E895" i="2"/>
  <c r="N895" i="2" s="1"/>
  <c r="M895" i="2" s="1"/>
  <c r="D895" i="2"/>
  <c r="E894" i="2"/>
  <c r="N894" i="2" s="1"/>
  <c r="M894" i="2" s="1"/>
  <c r="D894" i="2"/>
  <c r="N893" i="2"/>
  <c r="M893" i="2" s="1"/>
  <c r="D893" i="2"/>
  <c r="N892" i="2"/>
  <c r="M892" i="2" s="1"/>
  <c r="D892" i="2"/>
  <c r="N891" i="2"/>
  <c r="M891" i="2" s="1"/>
  <c r="D891" i="2"/>
  <c r="N890" i="2"/>
  <c r="M890" i="2"/>
  <c r="D890" i="2"/>
  <c r="N889" i="2"/>
  <c r="M889" i="2" s="1"/>
  <c r="D889" i="2"/>
  <c r="N888" i="2"/>
  <c r="M888" i="2" s="1"/>
  <c r="D888" i="2"/>
  <c r="N887" i="2"/>
  <c r="M887" i="2"/>
  <c r="D887" i="2"/>
  <c r="N886" i="2"/>
  <c r="M886" i="2" s="1"/>
  <c r="D886" i="2"/>
  <c r="N885" i="2"/>
  <c r="M885" i="2" s="1"/>
  <c r="D885" i="2"/>
  <c r="N884" i="2"/>
  <c r="M884" i="2" s="1"/>
  <c r="D884" i="2"/>
  <c r="N883" i="2"/>
  <c r="M883" i="2" s="1"/>
  <c r="D883" i="2"/>
  <c r="N882" i="2"/>
  <c r="M882" i="2" s="1"/>
  <c r="D882" i="2"/>
  <c r="N881" i="2"/>
  <c r="M881" i="2"/>
  <c r="D881" i="2"/>
  <c r="N880" i="2"/>
  <c r="M880" i="2" s="1"/>
  <c r="D880" i="2"/>
  <c r="N879" i="2"/>
  <c r="M879" i="2" s="1"/>
  <c r="D879" i="2"/>
  <c r="N878" i="2"/>
  <c r="M878" i="2" s="1"/>
  <c r="D878" i="2"/>
  <c r="N877" i="2"/>
  <c r="M877" i="2" s="1"/>
  <c r="D877" i="2"/>
  <c r="N876" i="2"/>
  <c r="M876" i="2" s="1"/>
  <c r="D876" i="2"/>
  <c r="N875" i="2"/>
  <c r="M875" i="2" s="1"/>
  <c r="D875" i="2"/>
  <c r="N874" i="2"/>
  <c r="M874" i="2" s="1"/>
  <c r="E874" i="2"/>
  <c r="D874" i="2"/>
  <c r="E873" i="2"/>
  <c r="N873" i="2" s="1"/>
  <c r="M873" i="2" s="1"/>
  <c r="D873" i="2"/>
  <c r="E872" i="2"/>
  <c r="N872" i="2" s="1"/>
  <c r="M872" i="2" s="1"/>
  <c r="D872" i="2"/>
  <c r="M871" i="2"/>
  <c r="E871" i="2"/>
  <c r="N871" i="2" s="1"/>
  <c r="D871" i="2"/>
  <c r="N870" i="2"/>
  <c r="M870" i="2" s="1"/>
  <c r="E870" i="2"/>
  <c r="D870" i="2"/>
  <c r="E869" i="2"/>
  <c r="N869" i="2" s="1"/>
  <c r="M869" i="2" s="1"/>
  <c r="D869" i="2"/>
  <c r="N868" i="2"/>
  <c r="M868" i="2" s="1"/>
  <c r="E868" i="2"/>
  <c r="D868" i="2"/>
  <c r="N867" i="2"/>
  <c r="M867" i="2" s="1"/>
  <c r="E867" i="2"/>
  <c r="D867" i="2"/>
  <c r="E866" i="2"/>
  <c r="N866" i="2" s="1"/>
  <c r="M866" i="2" s="1"/>
  <c r="D866" i="2"/>
  <c r="N865" i="2"/>
  <c r="M865" i="2" s="1"/>
  <c r="E865" i="2"/>
  <c r="D865" i="2"/>
  <c r="N864" i="2"/>
  <c r="M864" i="2" s="1"/>
  <c r="E864" i="2"/>
  <c r="D864" i="2"/>
  <c r="E863" i="2"/>
  <c r="N863" i="2" s="1"/>
  <c r="M863" i="2" s="1"/>
  <c r="D863" i="2"/>
  <c r="N862" i="2"/>
  <c r="M862" i="2" s="1"/>
  <c r="E862" i="2"/>
  <c r="D862" i="2"/>
  <c r="N861" i="2"/>
  <c r="M861" i="2" s="1"/>
  <c r="E861" i="2"/>
  <c r="D861" i="2"/>
  <c r="N860" i="2"/>
  <c r="M860" i="2" s="1"/>
  <c r="E860" i="2"/>
  <c r="D860" i="2"/>
  <c r="E859" i="2"/>
  <c r="N859" i="2" s="1"/>
  <c r="M859" i="2" s="1"/>
  <c r="D859" i="2"/>
  <c r="N858" i="2"/>
  <c r="M858" i="2" s="1"/>
  <c r="E858" i="2"/>
  <c r="D858" i="2"/>
  <c r="N857" i="2"/>
  <c r="M857" i="2" s="1"/>
  <c r="E857" i="2"/>
  <c r="D857" i="2"/>
  <c r="N856" i="2"/>
  <c r="M856" i="2" s="1"/>
  <c r="E856" i="2"/>
  <c r="D856" i="2"/>
  <c r="M855" i="2"/>
  <c r="E855" i="2"/>
  <c r="N855" i="2" s="1"/>
  <c r="D855" i="2"/>
  <c r="E854" i="2"/>
  <c r="N854" i="2" s="1"/>
  <c r="M854" i="2" s="1"/>
  <c r="D854" i="2"/>
  <c r="N853" i="2"/>
  <c r="M853" i="2" s="1"/>
  <c r="E853" i="2"/>
  <c r="D853" i="2"/>
  <c r="N852" i="2"/>
  <c r="M852" i="2" s="1"/>
  <c r="E852" i="2"/>
  <c r="D852" i="2"/>
  <c r="N851" i="2"/>
  <c r="M851" i="2" s="1"/>
  <c r="E851" i="2"/>
  <c r="D851" i="2"/>
  <c r="N850" i="2"/>
  <c r="M850" i="2" s="1"/>
  <c r="E850" i="2"/>
  <c r="D850" i="2"/>
  <c r="N849" i="2"/>
  <c r="M849" i="2" s="1"/>
  <c r="E849" i="2"/>
  <c r="D849" i="2"/>
  <c r="E848" i="2"/>
  <c r="N848" i="2" s="1"/>
  <c r="M848" i="2" s="1"/>
  <c r="D848" i="2"/>
  <c r="M847" i="2"/>
  <c r="E847" i="2"/>
  <c r="N847" i="2" s="1"/>
  <c r="D847" i="2"/>
  <c r="N846" i="2"/>
  <c r="M846" i="2" s="1"/>
  <c r="E846" i="2"/>
  <c r="D846" i="2"/>
  <c r="E845" i="2"/>
  <c r="N845" i="2" s="1"/>
  <c r="M845" i="2" s="1"/>
  <c r="D845" i="2"/>
  <c r="E844" i="2"/>
  <c r="N844" i="2" s="1"/>
  <c r="M844" i="2" s="1"/>
  <c r="D844" i="2"/>
  <c r="N843" i="2"/>
  <c r="M843" i="2" s="1"/>
  <c r="E843" i="2"/>
  <c r="D843" i="2"/>
  <c r="N842" i="2"/>
  <c r="M842" i="2" s="1"/>
  <c r="E842" i="2"/>
  <c r="D842" i="2"/>
  <c r="N841" i="2"/>
  <c r="M841" i="2" s="1"/>
  <c r="E841" i="2"/>
  <c r="D841" i="2"/>
  <c r="E840" i="2"/>
  <c r="N840" i="2" s="1"/>
  <c r="M840" i="2" s="1"/>
  <c r="D840" i="2"/>
  <c r="E839" i="2"/>
  <c r="N839" i="2" s="1"/>
  <c r="M839" i="2" s="1"/>
  <c r="D839" i="2"/>
  <c r="N838" i="2"/>
  <c r="M838" i="2" s="1"/>
  <c r="E838" i="2"/>
  <c r="D838" i="2"/>
  <c r="E837" i="2"/>
  <c r="N837" i="2" s="1"/>
  <c r="M837" i="2" s="1"/>
  <c r="D837" i="2"/>
  <c r="N836" i="2"/>
  <c r="M836" i="2" s="1"/>
  <c r="E836" i="2"/>
  <c r="D836" i="2"/>
  <c r="E835" i="2"/>
  <c r="N835" i="2" s="1"/>
  <c r="M835" i="2" s="1"/>
  <c r="D835" i="2"/>
  <c r="E834" i="2"/>
  <c r="N834" i="2" s="1"/>
  <c r="M834" i="2" s="1"/>
  <c r="D834" i="2"/>
  <c r="N833" i="2"/>
  <c r="M833" i="2" s="1"/>
  <c r="E833" i="2"/>
  <c r="D833" i="2"/>
  <c r="N832" i="2"/>
  <c r="M832" i="2" s="1"/>
  <c r="E832" i="2"/>
  <c r="D832" i="2"/>
  <c r="M831" i="2"/>
  <c r="E831" i="2"/>
  <c r="N831" i="2" s="1"/>
  <c r="D831" i="2"/>
  <c r="E830" i="2"/>
  <c r="N830" i="2" s="1"/>
  <c r="M830" i="2" s="1"/>
  <c r="D830" i="2"/>
  <c r="N829" i="2"/>
  <c r="M829" i="2" s="1"/>
  <c r="E829" i="2"/>
  <c r="D829" i="2"/>
  <c r="N828" i="2"/>
  <c r="M828" i="2" s="1"/>
  <c r="E828" i="2"/>
  <c r="D828" i="2"/>
  <c r="M827" i="2"/>
  <c r="E827" i="2"/>
  <c r="N827" i="2" s="1"/>
  <c r="D827" i="2"/>
  <c r="E826" i="2"/>
  <c r="N826" i="2" s="1"/>
  <c r="M826" i="2" s="1"/>
  <c r="D826" i="2"/>
  <c r="N825" i="2"/>
  <c r="M825" i="2" s="1"/>
  <c r="E825" i="2"/>
  <c r="D825" i="2"/>
  <c r="N824" i="2"/>
  <c r="M824" i="2" s="1"/>
  <c r="E824" i="2"/>
  <c r="D824" i="2"/>
  <c r="M823" i="2"/>
  <c r="E823" i="2"/>
  <c r="N823" i="2" s="1"/>
  <c r="D823" i="2"/>
  <c r="E822" i="2"/>
  <c r="N822" i="2" s="1"/>
  <c r="M822" i="2" s="1"/>
  <c r="D822" i="2"/>
  <c r="E821" i="2"/>
  <c r="N821" i="2" s="1"/>
  <c r="M821" i="2" s="1"/>
  <c r="D821" i="2"/>
  <c r="N820" i="2"/>
  <c r="M820" i="2" s="1"/>
  <c r="E820" i="2"/>
  <c r="D820" i="2"/>
  <c r="E819" i="2"/>
  <c r="N819" i="2" s="1"/>
  <c r="M819" i="2" s="1"/>
  <c r="D819" i="2"/>
  <c r="N818" i="2"/>
  <c r="M818" i="2" s="1"/>
  <c r="E818" i="2"/>
  <c r="D818" i="2"/>
  <c r="N817" i="2"/>
  <c r="M817" i="2" s="1"/>
  <c r="E817" i="2"/>
  <c r="D817" i="2"/>
  <c r="N816" i="2"/>
  <c r="M816" i="2" s="1"/>
  <c r="E816" i="2"/>
  <c r="D816" i="2"/>
  <c r="N815" i="2"/>
  <c r="M815" i="2"/>
  <c r="E815" i="2"/>
  <c r="D815" i="2"/>
  <c r="N814" i="2"/>
  <c r="M814" i="2"/>
  <c r="D814" i="2"/>
  <c r="N813" i="2"/>
  <c r="M813" i="2" s="1"/>
  <c r="D813" i="2"/>
  <c r="N812" i="2"/>
  <c r="M812" i="2" s="1"/>
  <c r="D812" i="2"/>
  <c r="N811" i="2"/>
  <c r="M811" i="2" s="1"/>
  <c r="D811" i="2"/>
  <c r="N810" i="2"/>
  <c r="M810" i="2" s="1"/>
  <c r="D810" i="2"/>
  <c r="N809" i="2"/>
  <c r="M809" i="2" s="1"/>
  <c r="D809" i="2"/>
  <c r="N808" i="2"/>
  <c r="M808" i="2"/>
  <c r="D808" i="2"/>
  <c r="E807" i="2"/>
  <c r="N807" i="2" s="1"/>
  <c r="M807" i="2" s="1"/>
  <c r="D807" i="2"/>
  <c r="E806" i="2"/>
  <c r="N806" i="2" s="1"/>
  <c r="M806" i="2" s="1"/>
  <c r="D806" i="2"/>
  <c r="N805" i="2"/>
  <c r="M805" i="2" s="1"/>
  <c r="E805" i="2"/>
  <c r="D805" i="2"/>
  <c r="E804" i="2"/>
  <c r="N804" i="2" s="1"/>
  <c r="M804" i="2" s="1"/>
  <c r="D804" i="2"/>
  <c r="E803" i="2"/>
  <c r="N803" i="2" s="1"/>
  <c r="M803" i="2" s="1"/>
  <c r="D803" i="2"/>
  <c r="N802" i="2"/>
  <c r="M802" i="2" s="1"/>
  <c r="E802" i="2"/>
  <c r="D802" i="2"/>
  <c r="E801" i="2"/>
  <c r="N801" i="2" s="1"/>
  <c r="M801" i="2" s="1"/>
  <c r="D801" i="2"/>
  <c r="N800" i="2"/>
  <c r="M800" i="2" s="1"/>
  <c r="E800" i="2"/>
  <c r="D800" i="2"/>
  <c r="E799" i="2"/>
  <c r="N799" i="2" s="1"/>
  <c r="M799" i="2" s="1"/>
  <c r="D799" i="2"/>
  <c r="E798" i="2"/>
  <c r="N798" i="2" s="1"/>
  <c r="M798" i="2" s="1"/>
  <c r="D798" i="2"/>
  <c r="E797" i="2"/>
  <c r="N797" i="2" s="1"/>
  <c r="M797" i="2" s="1"/>
  <c r="D797" i="2"/>
  <c r="E796" i="2"/>
  <c r="N796" i="2" s="1"/>
  <c r="M796" i="2" s="1"/>
  <c r="D796" i="2"/>
  <c r="N795" i="2"/>
  <c r="M795" i="2" s="1"/>
  <c r="E795" i="2"/>
  <c r="D795" i="2"/>
  <c r="E794" i="2"/>
  <c r="N794" i="2" s="1"/>
  <c r="M794" i="2" s="1"/>
  <c r="D794" i="2"/>
  <c r="E793" i="2"/>
  <c r="N793" i="2" s="1"/>
  <c r="M793" i="2" s="1"/>
  <c r="D793" i="2"/>
  <c r="N792" i="2"/>
  <c r="M792" i="2" s="1"/>
  <c r="E792" i="2"/>
  <c r="D792" i="2"/>
  <c r="N791" i="2"/>
  <c r="M791" i="2"/>
  <c r="D791" i="2"/>
  <c r="N790" i="2"/>
  <c r="M790" i="2"/>
  <c r="D790" i="2"/>
  <c r="N789" i="2"/>
  <c r="M789" i="2"/>
  <c r="D789" i="2"/>
  <c r="N788" i="2"/>
  <c r="M788" i="2" s="1"/>
  <c r="D788" i="2"/>
  <c r="E787" i="2"/>
  <c r="N787" i="2" s="1"/>
  <c r="M787" i="2" s="1"/>
  <c r="D787" i="2"/>
  <c r="E786" i="2"/>
  <c r="N786" i="2" s="1"/>
  <c r="M786" i="2" s="1"/>
  <c r="D786" i="2"/>
  <c r="M785" i="2"/>
  <c r="E785" i="2"/>
  <c r="N785" i="2" s="1"/>
  <c r="D785" i="2"/>
  <c r="N784" i="2"/>
  <c r="M784" i="2" s="1"/>
  <c r="E784" i="2"/>
  <c r="D784" i="2"/>
  <c r="N783" i="2"/>
  <c r="M783" i="2" s="1"/>
  <c r="E783" i="2"/>
  <c r="D783" i="2"/>
  <c r="E782" i="2"/>
  <c r="N782" i="2" s="1"/>
  <c r="M782" i="2" s="1"/>
  <c r="D782" i="2"/>
  <c r="M781" i="2"/>
  <c r="E781" i="2"/>
  <c r="N781" i="2" s="1"/>
  <c r="D781" i="2"/>
  <c r="E780" i="2"/>
  <c r="N780" i="2" s="1"/>
  <c r="M780" i="2" s="1"/>
  <c r="D780" i="2"/>
  <c r="E779" i="2"/>
  <c r="N779" i="2" s="1"/>
  <c r="M779" i="2" s="1"/>
  <c r="D779" i="2"/>
  <c r="N778" i="2"/>
  <c r="M778" i="2" s="1"/>
  <c r="E778" i="2"/>
  <c r="D778" i="2"/>
  <c r="N777" i="2"/>
  <c r="M777" i="2" s="1"/>
  <c r="E777" i="2"/>
  <c r="D777" i="2"/>
  <c r="N776" i="2"/>
  <c r="M776" i="2" s="1"/>
  <c r="E776" i="2"/>
  <c r="D776" i="2"/>
  <c r="E775" i="2"/>
  <c r="N775" i="2" s="1"/>
  <c r="M775" i="2" s="1"/>
  <c r="D775" i="2"/>
  <c r="E774" i="2"/>
  <c r="N774" i="2" s="1"/>
  <c r="M774" i="2" s="1"/>
  <c r="D774" i="2"/>
  <c r="E773" i="2"/>
  <c r="N773" i="2" s="1"/>
  <c r="M773" i="2" s="1"/>
  <c r="D773" i="2"/>
  <c r="N772" i="2"/>
  <c r="M772" i="2" s="1"/>
  <c r="E772" i="2"/>
  <c r="D772" i="2"/>
  <c r="E771" i="2"/>
  <c r="N771" i="2" s="1"/>
  <c r="M771" i="2" s="1"/>
  <c r="D771" i="2"/>
  <c r="E770" i="2"/>
  <c r="N770" i="2" s="1"/>
  <c r="M770" i="2" s="1"/>
  <c r="D770" i="2"/>
  <c r="M769" i="2"/>
  <c r="E769" i="2"/>
  <c r="N769" i="2" s="1"/>
  <c r="D769" i="2"/>
  <c r="M768" i="2"/>
  <c r="E768" i="2"/>
  <c r="N768" i="2" s="1"/>
  <c r="D768" i="2"/>
  <c r="E767" i="2"/>
  <c r="N767" i="2" s="1"/>
  <c r="M767" i="2" s="1"/>
  <c r="D767" i="2"/>
  <c r="E766" i="2"/>
  <c r="N766" i="2" s="1"/>
  <c r="M766" i="2" s="1"/>
  <c r="D766" i="2"/>
  <c r="N765" i="2"/>
  <c r="M765" i="2" s="1"/>
  <c r="E765" i="2"/>
  <c r="D765" i="2"/>
  <c r="N764" i="2"/>
  <c r="M764" i="2"/>
  <c r="E764" i="2"/>
  <c r="D764" i="2"/>
  <c r="N763" i="2"/>
  <c r="M763" i="2" s="1"/>
  <c r="E763" i="2"/>
  <c r="D763" i="2"/>
  <c r="N762" i="2"/>
  <c r="M762" i="2" s="1"/>
  <c r="D762" i="2"/>
  <c r="N761" i="2"/>
  <c r="M761" i="2" s="1"/>
  <c r="D761" i="2"/>
  <c r="N760" i="2"/>
  <c r="M760" i="2"/>
  <c r="D760" i="2"/>
  <c r="N759" i="2"/>
  <c r="M759" i="2" s="1"/>
  <c r="D759" i="2"/>
  <c r="E758" i="2"/>
  <c r="N758" i="2" s="1"/>
  <c r="M758" i="2" s="1"/>
  <c r="D758" i="2"/>
  <c r="E757" i="2"/>
  <c r="N757" i="2" s="1"/>
  <c r="M757" i="2" s="1"/>
  <c r="D757" i="2"/>
  <c r="M756" i="2"/>
  <c r="E756" i="2"/>
  <c r="N756" i="2" s="1"/>
  <c r="D756" i="2"/>
  <c r="E755" i="2"/>
  <c r="N755" i="2" s="1"/>
  <c r="M755" i="2" s="1"/>
  <c r="D755" i="2"/>
  <c r="E754" i="2"/>
  <c r="N754" i="2" s="1"/>
  <c r="M754" i="2" s="1"/>
  <c r="D754" i="2"/>
  <c r="N753" i="2"/>
  <c r="M753" i="2" s="1"/>
  <c r="E753" i="2"/>
  <c r="D753" i="2"/>
  <c r="E752" i="2"/>
  <c r="N752" i="2" s="1"/>
  <c r="M752" i="2" s="1"/>
  <c r="D752" i="2"/>
  <c r="E751" i="2"/>
  <c r="N751" i="2" s="1"/>
  <c r="M751" i="2" s="1"/>
  <c r="D751" i="2"/>
  <c r="E750" i="2"/>
  <c r="N750" i="2" s="1"/>
  <c r="M750" i="2" s="1"/>
  <c r="D750" i="2"/>
  <c r="E749" i="2"/>
  <c r="N749" i="2" s="1"/>
  <c r="M749" i="2" s="1"/>
  <c r="D749" i="2"/>
  <c r="E748" i="2"/>
  <c r="N748" i="2" s="1"/>
  <c r="M748" i="2" s="1"/>
  <c r="D748" i="2"/>
  <c r="E747" i="2"/>
  <c r="N747" i="2" s="1"/>
  <c r="M747" i="2" s="1"/>
  <c r="D747" i="2"/>
  <c r="E746" i="2"/>
  <c r="N746" i="2" s="1"/>
  <c r="M746" i="2" s="1"/>
  <c r="D746" i="2"/>
  <c r="E745" i="2"/>
  <c r="N745" i="2" s="1"/>
  <c r="M745" i="2" s="1"/>
  <c r="D745" i="2"/>
  <c r="E744" i="2"/>
  <c r="N744" i="2" s="1"/>
  <c r="M744" i="2" s="1"/>
  <c r="D744" i="2"/>
  <c r="M743" i="2"/>
  <c r="E743" i="2"/>
  <c r="N743" i="2" s="1"/>
  <c r="D743" i="2"/>
  <c r="N742" i="2"/>
  <c r="M742" i="2" s="1"/>
  <c r="E742" i="2"/>
  <c r="D742" i="2"/>
  <c r="N741" i="2"/>
  <c r="M741" i="2" s="1"/>
  <c r="E741" i="2"/>
  <c r="D741" i="2"/>
  <c r="E740" i="2"/>
  <c r="N740" i="2" s="1"/>
  <c r="M740" i="2" s="1"/>
  <c r="D740" i="2"/>
  <c r="N739" i="2"/>
  <c r="M739" i="2" s="1"/>
  <c r="E739" i="2"/>
  <c r="D739" i="2"/>
  <c r="N738" i="2"/>
  <c r="M738" i="2" s="1"/>
  <c r="E738" i="2"/>
  <c r="D738" i="2"/>
  <c r="N737" i="2"/>
  <c r="M737" i="2" s="1"/>
  <c r="D737" i="2"/>
  <c r="N736" i="2"/>
  <c r="M736" i="2" s="1"/>
  <c r="D736" i="2"/>
  <c r="N735" i="2"/>
  <c r="M735" i="2"/>
  <c r="D735" i="2"/>
  <c r="N734" i="2"/>
  <c r="M734" i="2" s="1"/>
  <c r="D734" i="2"/>
  <c r="N733" i="2"/>
  <c r="M733" i="2" s="1"/>
  <c r="D733" i="2"/>
  <c r="N732" i="2"/>
  <c r="M732" i="2" s="1"/>
  <c r="D732" i="2"/>
  <c r="N731" i="2"/>
  <c r="M731" i="2" s="1"/>
  <c r="D731" i="2"/>
  <c r="N730" i="2"/>
  <c r="M730" i="2" s="1"/>
  <c r="D730" i="2"/>
  <c r="N729" i="2"/>
  <c r="M729" i="2" s="1"/>
  <c r="D729" i="2"/>
  <c r="N728" i="2"/>
  <c r="M728" i="2" s="1"/>
  <c r="D728" i="2"/>
  <c r="N727" i="2"/>
  <c r="M727" i="2" s="1"/>
  <c r="D727" i="2"/>
  <c r="N726" i="2"/>
  <c r="M726" i="2" s="1"/>
  <c r="D726" i="2"/>
  <c r="N725" i="2"/>
  <c r="M725" i="2"/>
  <c r="D725" i="2"/>
  <c r="N724" i="2"/>
  <c r="M724" i="2" s="1"/>
  <c r="D724" i="2"/>
  <c r="N723" i="2"/>
  <c r="M723" i="2"/>
  <c r="D723" i="2"/>
  <c r="N722" i="2"/>
  <c r="M722" i="2"/>
  <c r="D722" i="2"/>
  <c r="N721" i="2"/>
  <c r="M721" i="2"/>
  <c r="D721" i="2"/>
  <c r="N720" i="2"/>
  <c r="M720" i="2" s="1"/>
  <c r="D720" i="2"/>
  <c r="N719" i="2"/>
  <c r="M719" i="2" s="1"/>
  <c r="D719" i="2"/>
  <c r="N718" i="2"/>
  <c r="M718" i="2" s="1"/>
  <c r="E718" i="2"/>
  <c r="D718" i="2"/>
  <c r="N717" i="2"/>
  <c r="M717" i="2" s="1"/>
  <c r="E717" i="2"/>
  <c r="D717" i="2"/>
  <c r="N716" i="2"/>
  <c r="M716" i="2" s="1"/>
  <c r="E716" i="2"/>
  <c r="D716" i="2"/>
  <c r="N715" i="2"/>
  <c r="M715" i="2"/>
  <c r="E715" i="2"/>
  <c r="D715" i="2"/>
  <c r="N714" i="2"/>
  <c r="M714" i="2" s="1"/>
  <c r="E714" i="2"/>
  <c r="D714" i="2"/>
  <c r="N713" i="2"/>
  <c r="M713" i="2" s="1"/>
  <c r="E713" i="2"/>
  <c r="D713" i="2"/>
  <c r="N712" i="2"/>
  <c r="M712" i="2" s="1"/>
  <c r="E712" i="2"/>
  <c r="D712" i="2"/>
  <c r="N711" i="2"/>
  <c r="M711" i="2" s="1"/>
  <c r="E711" i="2"/>
  <c r="D711" i="2"/>
  <c r="N710" i="2"/>
  <c r="M710" i="2" s="1"/>
  <c r="E710" i="2"/>
  <c r="D710" i="2"/>
  <c r="N709" i="2"/>
  <c r="M709" i="2" s="1"/>
  <c r="E709" i="2"/>
  <c r="D709" i="2"/>
  <c r="N708" i="2"/>
  <c r="M708" i="2" s="1"/>
  <c r="E708" i="2"/>
  <c r="D708" i="2"/>
  <c r="N707" i="2"/>
  <c r="M707" i="2" s="1"/>
  <c r="E707" i="2"/>
  <c r="D707" i="2"/>
  <c r="N706" i="2"/>
  <c r="M706" i="2"/>
  <c r="E706" i="2"/>
  <c r="D706" i="2"/>
  <c r="N705" i="2"/>
  <c r="M705" i="2" s="1"/>
  <c r="E705" i="2"/>
  <c r="D705" i="2"/>
  <c r="N704" i="2"/>
  <c r="M704" i="2" s="1"/>
  <c r="E704" i="2"/>
  <c r="D704" i="2"/>
  <c r="E703" i="2"/>
  <c r="N703" i="2" s="1"/>
  <c r="M703" i="2" s="1"/>
  <c r="D703" i="2"/>
  <c r="N702" i="2"/>
  <c r="M702" i="2" s="1"/>
  <c r="E702" i="2"/>
  <c r="D702" i="2"/>
  <c r="E701" i="2"/>
  <c r="N701" i="2" s="1"/>
  <c r="M701" i="2" s="1"/>
  <c r="D701" i="2"/>
  <c r="E700" i="2"/>
  <c r="N700" i="2" s="1"/>
  <c r="M700" i="2" s="1"/>
  <c r="D700" i="2"/>
  <c r="E699" i="2"/>
  <c r="N699" i="2" s="1"/>
  <c r="M699" i="2" s="1"/>
  <c r="D699" i="2"/>
  <c r="N698" i="2"/>
  <c r="M698" i="2" s="1"/>
  <c r="E698" i="2"/>
  <c r="D698" i="2"/>
  <c r="E697" i="2"/>
  <c r="N697" i="2" s="1"/>
  <c r="M697" i="2" s="1"/>
  <c r="D697" i="2"/>
  <c r="E696" i="2"/>
  <c r="N696" i="2" s="1"/>
  <c r="M696" i="2" s="1"/>
  <c r="D696" i="2"/>
  <c r="N695" i="2"/>
  <c r="M695" i="2" s="1"/>
  <c r="E695" i="2"/>
  <c r="D695" i="2"/>
  <c r="M694" i="2"/>
  <c r="E694" i="2"/>
  <c r="N694" i="2" s="1"/>
  <c r="D694" i="2"/>
  <c r="E693" i="2"/>
  <c r="N693" i="2" s="1"/>
  <c r="M693" i="2" s="1"/>
  <c r="D693" i="2"/>
  <c r="E692" i="2"/>
  <c r="N692" i="2" s="1"/>
  <c r="M692" i="2" s="1"/>
  <c r="D692" i="2"/>
  <c r="N691" i="2"/>
  <c r="M691" i="2" s="1"/>
  <c r="E691" i="2"/>
  <c r="D691" i="2"/>
  <c r="E690" i="2"/>
  <c r="N690" i="2" s="1"/>
  <c r="M690" i="2" s="1"/>
  <c r="D690" i="2"/>
  <c r="E689" i="2"/>
  <c r="N689" i="2" s="1"/>
  <c r="M689" i="2" s="1"/>
  <c r="D689" i="2"/>
  <c r="E688" i="2"/>
  <c r="N688" i="2" s="1"/>
  <c r="M688" i="2" s="1"/>
  <c r="D688" i="2"/>
  <c r="N687" i="2"/>
  <c r="M687" i="2" s="1"/>
  <c r="E687" i="2"/>
  <c r="D687" i="2"/>
  <c r="N686" i="2"/>
  <c r="M686" i="2"/>
  <c r="E686" i="2"/>
  <c r="D686" i="2"/>
  <c r="M685" i="2"/>
  <c r="E685" i="2"/>
  <c r="N685" i="2" s="1"/>
  <c r="D685" i="2"/>
  <c r="N684" i="2"/>
  <c r="M684" i="2" s="1"/>
  <c r="E684" i="2"/>
  <c r="D684" i="2"/>
  <c r="E683" i="2"/>
  <c r="N683" i="2" s="1"/>
  <c r="M683" i="2" s="1"/>
  <c r="D683" i="2"/>
  <c r="M682" i="2"/>
  <c r="E682" i="2"/>
  <c r="N682" i="2" s="1"/>
  <c r="D682" i="2"/>
  <c r="M681" i="2"/>
  <c r="E681" i="2"/>
  <c r="N681" i="2" s="1"/>
  <c r="D681" i="2"/>
  <c r="E680" i="2"/>
  <c r="N680" i="2" s="1"/>
  <c r="M680" i="2" s="1"/>
  <c r="D680" i="2"/>
  <c r="N679" i="2"/>
  <c r="M679" i="2" s="1"/>
  <c r="E679" i="2"/>
  <c r="D679" i="2"/>
  <c r="N678" i="2"/>
  <c r="M678" i="2" s="1"/>
  <c r="E678" i="2"/>
  <c r="D678" i="2"/>
  <c r="E677" i="2"/>
  <c r="N677" i="2" s="1"/>
  <c r="M677" i="2" s="1"/>
  <c r="D677" i="2"/>
  <c r="M676" i="2"/>
  <c r="E676" i="2"/>
  <c r="N676" i="2" s="1"/>
  <c r="D676" i="2"/>
  <c r="N675" i="2"/>
  <c r="M675" i="2" s="1"/>
  <c r="E675" i="2"/>
  <c r="D675" i="2"/>
  <c r="N674" i="2"/>
  <c r="M674" i="2" s="1"/>
  <c r="E674" i="2"/>
  <c r="D674" i="2"/>
  <c r="N673" i="2"/>
  <c r="M673" i="2"/>
  <c r="E673" i="2"/>
  <c r="D673" i="2"/>
  <c r="N672" i="2"/>
  <c r="M672" i="2"/>
  <c r="E672" i="2"/>
  <c r="D672" i="2"/>
  <c r="N671" i="2"/>
  <c r="M671" i="2"/>
  <c r="E671" i="2"/>
  <c r="D671" i="2"/>
  <c r="N670" i="2"/>
  <c r="M670" i="2" s="1"/>
  <c r="E670" i="2"/>
  <c r="D670" i="2"/>
  <c r="N669" i="2"/>
  <c r="M669" i="2" s="1"/>
  <c r="E669" i="2"/>
  <c r="D669" i="2"/>
  <c r="N668" i="2"/>
  <c r="M668" i="2" s="1"/>
  <c r="E668" i="2"/>
  <c r="D668" i="2"/>
  <c r="N667" i="2"/>
  <c r="M667" i="2" s="1"/>
  <c r="E667" i="2"/>
  <c r="D667" i="2"/>
  <c r="N666" i="2"/>
  <c r="M666" i="2" s="1"/>
  <c r="E666" i="2"/>
  <c r="D666" i="2"/>
  <c r="N665" i="2"/>
  <c r="M665" i="2"/>
  <c r="E665" i="2"/>
  <c r="D665" i="2"/>
  <c r="N664" i="2"/>
  <c r="M664" i="2" s="1"/>
  <c r="E664" i="2"/>
  <c r="D664" i="2"/>
  <c r="N663" i="2"/>
  <c r="M663" i="2" s="1"/>
  <c r="E663" i="2"/>
  <c r="D663" i="2"/>
  <c r="N662" i="2"/>
  <c r="M662" i="2" s="1"/>
  <c r="E662" i="2"/>
  <c r="D662" i="2"/>
  <c r="N661" i="2"/>
  <c r="M661" i="2"/>
  <c r="E661" i="2"/>
  <c r="D661" i="2"/>
  <c r="N660" i="2"/>
  <c r="M660" i="2"/>
  <c r="E660" i="2"/>
  <c r="D660" i="2"/>
  <c r="N659" i="2"/>
  <c r="M659" i="2"/>
  <c r="E659" i="2"/>
  <c r="D659" i="2"/>
  <c r="N658" i="2"/>
  <c r="M658" i="2" s="1"/>
  <c r="E658" i="2"/>
  <c r="D658" i="2"/>
  <c r="M657" i="2"/>
  <c r="E657" i="2"/>
  <c r="N657" i="2" s="1"/>
  <c r="D657" i="2"/>
  <c r="E656" i="2"/>
  <c r="N656" i="2" s="1"/>
  <c r="M656" i="2" s="1"/>
  <c r="D656" i="2"/>
  <c r="N655" i="2"/>
  <c r="M655" i="2"/>
  <c r="D655" i="2"/>
  <c r="N654" i="2"/>
  <c r="M654" i="2" s="1"/>
  <c r="D654" i="2"/>
  <c r="N653" i="2"/>
  <c r="M653" i="2" s="1"/>
  <c r="D653" i="2"/>
  <c r="N652" i="2"/>
  <c r="M652" i="2" s="1"/>
  <c r="D652" i="2"/>
  <c r="N651" i="2"/>
  <c r="M651" i="2"/>
  <c r="D651" i="2"/>
  <c r="N650" i="2"/>
  <c r="M650" i="2" s="1"/>
  <c r="D650" i="2"/>
  <c r="E649" i="2"/>
  <c r="N649" i="2" s="1"/>
  <c r="M649" i="2" s="1"/>
  <c r="D649" i="2"/>
  <c r="E648" i="2"/>
  <c r="N648" i="2" s="1"/>
  <c r="M648" i="2" s="1"/>
  <c r="D648" i="2"/>
  <c r="E647" i="2"/>
  <c r="N647" i="2" s="1"/>
  <c r="M647" i="2" s="1"/>
  <c r="D647" i="2"/>
  <c r="E646" i="2"/>
  <c r="N646" i="2" s="1"/>
  <c r="M646" i="2" s="1"/>
  <c r="D646" i="2"/>
  <c r="E645" i="2"/>
  <c r="N645" i="2" s="1"/>
  <c r="M645" i="2" s="1"/>
  <c r="D645" i="2"/>
  <c r="N644" i="2"/>
  <c r="M644" i="2" s="1"/>
  <c r="E644" i="2"/>
  <c r="D644" i="2"/>
  <c r="M643" i="2"/>
  <c r="E643" i="2"/>
  <c r="N643" i="2" s="1"/>
  <c r="D643" i="2"/>
  <c r="M642" i="2"/>
  <c r="E642" i="2"/>
  <c r="N642" i="2" s="1"/>
  <c r="D642" i="2"/>
  <c r="E641" i="2"/>
  <c r="N641" i="2" s="1"/>
  <c r="M641" i="2" s="1"/>
  <c r="D641" i="2"/>
  <c r="N640" i="2"/>
  <c r="M640" i="2" s="1"/>
  <c r="E640" i="2"/>
  <c r="D640" i="2"/>
  <c r="E639" i="2"/>
  <c r="N639" i="2" s="1"/>
  <c r="M639" i="2" s="1"/>
  <c r="D639" i="2"/>
  <c r="E638" i="2"/>
  <c r="N638" i="2" s="1"/>
  <c r="M638" i="2" s="1"/>
  <c r="D638" i="2"/>
  <c r="N637" i="2"/>
  <c r="M637" i="2" s="1"/>
  <c r="E637" i="2"/>
  <c r="D637" i="2"/>
  <c r="E636" i="2"/>
  <c r="N636" i="2" s="1"/>
  <c r="M636" i="2" s="1"/>
  <c r="D636" i="2"/>
  <c r="E635" i="2"/>
  <c r="N635" i="2" s="1"/>
  <c r="M635" i="2" s="1"/>
  <c r="D635" i="2"/>
  <c r="E634" i="2"/>
  <c r="N634" i="2" s="1"/>
  <c r="M634" i="2" s="1"/>
  <c r="D634" i="2"/>
  <c r="E633" i="2"/>
  <c r="N633" i="2" s="1"/>
  <c r="M633" i="2" s="1"/>
  <c r="D633" i="2"/>
  <c r="N632" i="2"/>
  <c r="M632" i="2" s="1"/>
  <c r="E632" i="2"/>
  <c r="D632" i="2"/>
  <c r="E631" i="2"/>
  <c r="N631" i="2" s="1"/>
  <c r="M631" i="2" s="1"/>
  <c r="D631" i="2"/>
  <c r="E630" i="2"/>
  <c r="N630" i="2" s="1"/>
  <c r="M630" i="2" s="1"/>
  <c r="D630" i="2"/>
  <c r="E629" i="2"/>
  <c r="N629" i="2" s="1"/>
  <c r="M629" i="2" s="1"/>
  <c r="D629" i="2"/>
  <c r="N628" i="2"/>
  <c r="M628" i="2" s="1"/>
  <c r="E628" i="2"/>
  <c r="D628" i="2"/>
  <c r="N627" i="2"/>
  <c r="M627" i="2" s="1"/>
  <c r="E627" i="2"/>
  <c r="D627" i="2"/>
  <c r="N626" i="2"/>
  <c r="M626" i="2" s="1"/>
  <c r="E626" i="2"/>
  <c r="D626" i="2"/>
  <c r="N625" i="2"/>
  <c r="M625" i="2" s="1"/>
  <c r="E625" i="2"/>
  <c r="D625" i="2"/>
  <c r="N624" i="2"/>
  <c r="M624" i="2" s="1"/>
  <c r="E624" i="2"/>
  <c r="D624" i="2"/>
  <c r="N623" i="2"/>
  <c r="M623" i="2" s="1"/>
  <c r="E623" i="2"/>
  <c r="D623" i="2"/>
  <c r="N622" i="2"/>
  <c r="M622" i="2" s="1"/>
  <c r="E622" i="2"/>
  <c r="D622" i="2"/>
  <c r="N621" i="2"/>
  <c r="M621" i="2" s="1"/>
  <c r="E621" i="2"/>
  <c r="D621" i="2"/>
  <c r="N620" i="2"/>
  <c r="M620" i="2" s="1"/>
  <c r="E620" i="2"/>
  <c r="D620" i="2"/>
  <c r="E619" i="2"/>
  <c r="N619" i="2" s="1"/>
  <c r="M619" i="2" s="1"/>
  <c r="D619" i="2"/>
  <c r="M618" i="2"/>
  <c r="E618" i="2"/>
  <c r="N618" i="2" s="1"/>
  <c r="D618" i="2"/>
  <c r="E617" i="2"/>
  <c r="N617" i="2" s="1"/>
  <c r="M617" i="2" s="1"/>
  <c r="D617" i="2"/>
  <c r="N616" i="2"/>
  <c r="M616" i="2" s="1"/>
  <c r="E616" i="2"/>
  <c r="D616" i="2"/>
  <c r="E615" i="2"/>
  <c r="N615" i="2" s="1"/>
  <c r="M615" i="2" s="1"/>
  <c r="D615" i="2"/>
  <c r="E614" i="2"/>
  <c r="N614" i="2" s="1"/>
  <c r="M614" i="2" s="1"/>
  <c r="D614" i="2"/>
  <c r="E613" i="2"/>
  <c r="N613" i="2" s="1"/>
  <c r="M613" i="2" s="1"/>
  <c r="D613" i="2"/>
  <c r="N612" i="2"/>
  <c r="M612" i="2" s="1"/>
  <c r="E612" i="2"/>
  <c r="D612" i="2"/>
  <c r="E611" i="2"/>
  <c r="N611" i="2" s="1"/>
  <c r="M611" i="2" s="1"/>
  <c r="D611" i="2"/>
  <c r="N610" i="2"/>
  <c r="M610" i="2" s="1"/>
  <c r="D610" i="2"/>
  <c r="N609" i="2"/>
  <c r="M609" i="2" s="1"/>
  <c r="D609" i="2"/>
  <c r="N608" i="2"/>
  <c r="M608" i="2" s="1"/>
  <c r="D608" i="2"/>
  <c r="N607" i="2"/>
  <c r="M607" i="2" s="1"/>
  <c r="D607" i="2"/>
  <c r="N606" i="2"/>
  <c r="M606" i="2" s="1"/>
  <c r="D606" i="2"/>
  <c r="N605" i="2"/>
  <c r="M605" i="2"/>
  <c r="D605" i="2"/>
  <c r="N604" i="2"/>
  <c r="M604" i="2" s="1"/>
  <c r="E604" i="2"/>
  <c r="D604" i="2"/>
  <c r="N603" i="2"/>
  <c r="M603" i="2" s="1"/>
  <c r="E603" i="2"/>
  <c r="D603" i="2"/>
  <c r="N602" i="2"/>
  <c r="M602" i="2"/>
  <c r="E602" i="2"/>
  <c r="D602" i="2"/>
  <c r="N601" i="2"/>
  <c r="M601" i="2" s="1"/>
  <c r="E601" i="2"/>
  <c r="D601" i="2"/>
  <c r="N600" i="2"/>
  <c r="M600" i="2" s="1"/>
  <c r="E600" i="2"/>
  <c r="D600" i="2"/>
  <c r="N599" i="2"/>
  <c r="M599" i="2"/>
  <c r="E599" i="2"/>
  <c r="D599" i="2"/>
  <c r="N598" i="2"/>
  <c r="M598" i="2"/>
  <c r="E598" i="2"/>
  <c r="D598" i="2"/>
  <c r="N597" i="2"/>
  <c r="M597" i="2" s="1"/>
  <c r="E597" i="2"/>
  <c r="D597" i="2"/>
  <c r="N596" i="2"/>
  <c r="M596" i="2" s="1"/>
  <c r="E596" i="2"/>
  <c r="D596" i="2"/>
  <c r="N595" i="2"/>
  <c r="M595" i="2"/>
  <c r="E595" i="2"/>
  <c r="D595" i="2"/>
  <c r="N594" i="2"/>
  <c r="M594" i="2" s="1"/>
  <c r="E594" i="2"/>
  <c r="D594" i="2"/>
  <c r="N593" i="2"/>
  <c r="M593" i="2" s="1"/>
  <c r="E593" i="2"/>
  <c r="D593" i="2"/>
  <c r="N592" i="2"/>
  <c r="M592" i="2" s="1"/>
  <c r="E592" i="2"/>
  <c r="D592" i="2"/>
  <c r="N591" i="2"/>
  <c r="M591" i="2" s="1"/>
  <c r="E591" i="2"/>
  <c r="D591" i="2"/>
  <c r="N590" i="2"/>
  <c r="M590" i="2" s="1"/>
  <c r="E590" i="2"/>
  <c r="D590" i="2"/>
  <c r="N589" i="2"/>
  <c r="M589" i="2" s="1"/>
  <c r="E589" i="2"/>
  <c r="D589" i="2"/>
  <c r="N588" i="2"/>
  <c r="M588" i="2" s="1"/>
  <c r="E588" i="2"/>
  <c r="D588" i="2"/>
  <c r="N587" i="2"/>
  <c r="M587" i="2" s="1"/>
  <c r="E587" i="2"/>
  <c r="D587" i="2"/>
  <c r="N586" i="2"/>
  <c r="M586" i="2" s="1"/>
  <c r="E586" i="2"/>
  <c r="D586" i="2"/>
  <c r="N585" i="2"/>
  <c r="M585" i="2" s="1"/>
  <c r="E585" i="2"/>
  <c r="D585" i="2"/>
  <c r="N584" i="2"/>
  <c r="M584" i="2" s="1"/>
  <c r="E584" i="2"/>
  <c r="D584" i="2"/>
  <c r="N583" i="2"/>
  <c r="M583" i="2"/>
  <c r="E583" i="2"/>
  <c r="D583" i="2"/>
  <c r="N582" i="2"/>
  <c r="M582" i="2" s="1"/>
  <c r="E582" i="2"/>
  <c r="D582" i="2"/>
  <c r="N581" i="2"/>
  <c r="M581" i="2" s="1"/>
  <c r="E581" i="2"/>
  <c r="D581" i="2"/>
  <c r="N580" i="2"/>
  <c r="M580" i="2"/>
  <c r="E580" i="2"/>
  <c r="D580" i="2"/>
  <c r="N579" i="2"/>
  <c r="M579" i="2" s="1"/>
  <c r="E579" i="2"/>
  <c r="D579" i="2"/>
  <c r="N578" i="2"/>
  <c r="M578" i="2"/>
  <c r="E578" i="2"/>
  <c r="D578" i="2"/>
  <c r="N577" i="2"/>
  <c r="M577" i="2" s="1"/>
  <c r="E577" i="2"/>
  <c r="D577" i="2"/>
  <c r="N576" i="2"/>
  <c r="M576" i="2" s="1"/>
  <c r="E576" i="2"/>
  <c r="D576" i="2"/>
  <c r="N575" i="2"/>
  <c r="M575" i="2" s="1"/>
  <c r="E575" i="2"/>
  <c r="D575" i="2"/>
  <c r="N574" i="2"/>
  <c r="M574" i="2" s="1"/>
  <c r="E574" i="2"/>
  <c r="D574" i="2"/>
  <c r="N573" i="2"/>
  <c r="M573" i="2" s="1"/>
  <c r="E573" i="2"/>
  <c r="D573" i="2"/>
  <c r="N572" i="2"/>
  <c r="M572" i="2" s="1"/>
  <c r="E572" i="2"/>
  <c r="D572" i="2"/>
  <c r="N571" i="2"/>
  <c r="M571" i="2" s="1"/>
  <c r="E571" i="2"/>
  <c r="D571" i="2"/>
  <c r="N570" i="2"/>
  <c r="M570" i="2" s="1"/>
  <c r="E570" i="2"/>
  <c r="D570" i="2"/>
  <c r="N569" i="2"/>
  <c r="M569" i="2" s="1"/>
  <c r="E569" i="2"/>
  <c r="D569" i="2"/>
  <c r="E568" i="2"/>
  <c r="N568" i="2" s="1"/>
  <c r="M568" i="2" s="1"/>
  <c r="D568" i="2"/>
  <c r="E567" i="2"/>
  <c r="N567" i="2" s="1"/>
  <c r="M567" i="2" s="1"/>
  <c r="D567" i="2"/>
  <c r="E566" i="2"/>
  <c r="N566" i="2" s="1"/>
  <c r="M566" i="2" s="1"/>
  <c r="D566" i="2"/>
  <c r="N565" i="2"/>
  <c r="M565" i="2" s="1"/>
  <c r="E565" i="2"/>
  <c r="D565" i="2"/>
  <c r="N564" i="2"/>
  <c r="M564" i="2"/>
  <c r="E564" i="2"/>
  <c r="D564" i="2"/>
  <c r="N563" i="2"/>
  <c r="M563" i="2" s="1"/>
  <c r="E563" i="2"/>
  <c r="D563" i="2"/>
  <c r="N562" i="2"/>
  <c r="M562" i="2" s="1"/>
  <c r="E562" i="2"/>
  <c r="D562" i="2"/>
  <c r="N561" i="2"/>
  <c r="M561" i="2" s="1"/>
  <c r="E561" i="2"/>
  <c r="D561" i="2"/>
  <c r="E560" i="2"/>
  <c r="N560" i="2" s="1"/>
  <c r="M560" i="2" s="1"/>
  <c r="D560" i="2"/>
  <c r="N559" i="2"/>
  <c r="M559" i="2" s="1"/>
  <c r="E559" i="2"/>
  <c r="D559" i="2"/>
  <c r="M558" i="2"/>
  <c r="E558" i="2"/>
  <c r="N558" i="2" s="1"/>
  <c r="D558" i="2"/>
  <c r="E557" i="2"/>
  <c r="N557" i="2" s="1"/>
  <c r="M557" i="2" s="1"/>
  <c r="D557" i="2"/>
  <c r="E556" i="2"/>
  <c r="N556" i="2" s="1"/>
  <c r="M556" i="2" s="1"/>
  <c r="D556" i="2"/>
  <c r="N555" i="2"/>
  <c r="M555" i="2" s="1"/>
  <c r="E555" i="2"/>
  <c r="D555" i="2"/>
  <c r="E554" i="2"/>
  <c r="N554" i="2" s="1"/>
  <c r="M554" i="2" s="1"/>
  <c r="D554" i="2"/>
  <c r="N553" i="2"/>
  <c r="M553" i="2" s="1"/>
  <c r="E553" i="2"/>
  <c r="D553" i="2"/>
  <c r="N552" i="2"/>
  <c r="M552" i="2" s="1"/>
  <c r="E552" i="2"/>
  <c r="D552" i="2"/>
  <c r="E551" i="2"/>
  <c r="N551" i="2" s="1"/>
  <c r="M551" i="2" s="1"/>
  <c r="D551" i="2"/>
  <c r="E550" i="2"/>
  <c r="N550" i="2" s="1"/>
  <c r="M550" i="2" s="1"/>
  <c r="D550" i="2"/>
  <c r="E549" i="2"/>
  <c r="N549" i="2" s="1"/>
  <c r="M549" i="2" s="1"/>
  <c r="D549" i="2"/>
  <c r="E548" i="2"/>
  <c r="N548" i="2" s="1"/>
  <c r="M548" i="2" s="1"/>
  <c r="D548" i="2"/>
  <c r="E547" i="2"/>
  <c r="N547" i="2" s="1"/>
  <c r="M547" i="2" s="1"/>
  <c r="D547" i="2"/>
  <c r="E546" i="2"/>
  <c r="N546" i="2" s="1"/>
  <c r="M546" i="2" s="1"/>
  <c r="D546" i="2"/>
  <c r="N545" i="2"/>
  <c r="M545" i="2" s="1"/>
  <c r="E545" i="2"/>
  <c r="D545" i="2"/>
  <c r="M544" i="2"/>
  <c r="E544" i="2"/>
  <c r="N544" i="2" s="1"/>
  <c r="D544" i="2"/>
  <c r="M543" i="2"/>
  <c r="E543" i="2"/>
  <c r="N543" i="2" s="1"/>
  <c r="D543" i="2"/>
  <c r="E542" i="2"/>
  <c r="N542" i="2" s="1"/>
  <c r="M542" i="2" s="1"/>
  <c r="D542" i="2"/>
  <c r="N541" i="2"/>
  <c r="M541" i="2" s="1"/>
  <c r="E541" i="2"/>
  <c r="D541" i="2"/>
  <c r="N540" i="2"/>
  <c r="M540" i="2" s="1"/>
  <c r="E540" i="2"/>
  <c r="D540" i="2"/>
  <c r="N539" i="2"/>
  <c r="M539" i="2" s="1"/>
  <c r="E539" i="2"/>
  <c r="D539" i="2"/>
  <c r="E538" i="2"/>
  <c r="N538" i="2" s="1"/>
  <c r="M538" i="2" s="1"/>
  <c r="D538" i="2"/>
  <c r="N537" i="2"/>
  <c r="M537" i="2" s="1"/>
  <c r="E537" i="2"/>
  <c r="D537" i="2"/>
  <c r="N536" i="2"/>
  <c r="M536" i="2" s="1"/>
  <c r="E536" i="2"/>
  <c r="D536" i="2"/>
  <c r="E535" i="2"/>
  <c r="N535" i="2" s="1"/>
  <c r="M535" i="2" s="1"/>
  <c r="D535" i="2"/>
  <c r="E534" i="2"/>
  <c r="N534" i="2" s="1"/>
  <c r="M534" i="2" s="1"/>
  <c r="D534" i="2"/>
  <c r="N533" i="2"/>
  <c r="M533" i="2" s="1"/>
  <c r="E533" i="2"/>
  <c r="D533" i="2"/>
  <c r="M532" i="2"/>
  <c r="E532" i="2"/>
  <c r="N532" i="2" s="1"/>
  <c r="D532" i="2"/>
  <c r="E531" i="2"/>
  <c r="N531" i="2" s="1"/>
  <c r="M531" i="2" s="1"/>
  <c r="D531" i="2"/>
  <c r="E530" i="2"/>
  <c r="N530" i="2" s="1"/>
  <c r="M530" i="2" s="1"/>
  <c r="D530" i="2"/>
  <c r="E529" i="2"/>
  <c r="N529" i="2" s="1"/>
  <c r="M529" i="2" s="1"/>
  <c r="D529" i="2"/>
  <c r="E528" i="2"/>
  <c r="N528" i="2" s="1"/>
  <c r="M528" i="2" s="1"/>
  <c r="D528" i="2"/>
  <c r="E527" i="2"/>
  <c r="N527" i="2" s="1"/>
  <c r="M527" i="2" s="1"/>
  <c r="D527" i="2"/>
  <c r="E526" i="2"/>
  <c r="N526" i="2" s="1"/>
  <c r="M526" i="2" s="1"/>
  <c r="D526" i="2"/>
  <c r="N525" i="2"/>
  <c r="M525" i="2" s="1"/>
  <c r="E525" i="2"/>
  <c r="D525" i="2"/>
  <c r="N524" i="2"/>
  <c r="M524" i="2"/>
  <c r="E524" i="2"/>
  <c r="D524" i="2"/>
  <c r="N523" i="2"/>
  <c r="M523" i="2" s="1"/>
  <c r="E523" i="2"/>
  <c r="D523" i="2"/>
  <c r="E522" i="2"/>
  <c r="N522" i="2" s="1"/>
  <c r="M522" i="2" s="1"/>
  <c r="D522" i="2"/>
  <c r="E521" i="2"/>
  <c r="N521" i="2" s="1"/>
  <c r="M521" i="2" s="1"/>
  <c r="D521" i="2"/>
  <c r="N520" i="2"/>
  <c r="M520" i="2"/>
  <c r="D520" i="2"/>
  <c r="N519" i="2"/>
  <c r="M519" i="2"/>
  <c r="D519" i="2"/>
  <c r="N518" i="2"/>
  <c r="M518" i="2" s="1"/>
  <c r="D518" i="2"/>
  <c r="N517" i="2"/>
  <c r="M517" i="2"/>
  <c r="D517" i="2"/>
  <c r="N516" i="2"/>
  <c r="M516" i="2" s="1"/>
  <c r="D516" i="2"/>
  <c r="N515" i="2"/>
  <c r="M515" i="2" s="1"/>
  <c r="D515" i="2"/>
  <c r="N514" i="2"/>
  <c r="M514" i="2" s="1"/>
  <c r="D514" i="2"/>
  <c r="N513" i="2"/>
  <c r="M513" i="2" s="1"/>
  <c r="D513" i="2"/>
  <c r="N512" i="2"/>
  <c r="M512" i="2" s="1"/>
  <c r="D512" i="2"/>
  <c r="N511" i="2"/>
  <c r="M511" i="2" s="1"/>
  <c r="D511" i="2"/>
  <c r="N510" i="2"/>
  <c r="M510" i="2" s="1"/>
  <c r="D510" i="2"/>
  <c r="N509" i="2"/>
  <c r="M509" i="2" s="1"/>
  <c r="D509" i="2"/>
  <c r="N508" i="2"/>
  <c r="M508" i="2" s="1"/>
  <c r="D508" i="2"/>
  <c r="N507" i="2"/>
  <c r="M507" i="2" s="1"/>
  <c r="D507" i="2"/>
  <c r="N506" i="2"/>
  <c r="M506" i="2" s="1"/>
  <c r="D506" i="2"/>
  <c r="N505" i="2"/>
  <c r="M505" i="2" s="1"/>
  <c r="D505" i="2"/>
  <c r="E504" i="2"/>
  <c r="N504" i="2" s="1"/>
  <c r="M504" i="2" s="1"/>
  <c r="D504" i="2"/>
  <c r="M503" i="2"/>
  <c r="E503" i="2"/>
  <c r="N503" i="2" s="1"/>
  <c r="D503" i="2"/>
  <c r="E502" i="2"/>
  <c r="N502" i="2" s="1"/>
  <c r="M502" i="2" s="1"/>
  <c r="D502" i="2"/>
  <c r="N501" i="2"/>
  <c r="M501" i="2" s="1"/>
  <c r="E501" i="2"/>
  <c r="D501" i="2"/>
  <c r="N500" i="2"/>
  <c r="M500" i="2" s="1"/>
  <c r="E500" i="2"/>
  <c r="D500" i="2"/>
  <c r="N499" i="2"/>
  <c r="M499" i="2" s="1"/>
  <c r="E499" i="2"/>
  <c r="D499" i="2"/>
  <c r="N498" i="2"/>
  <c r="M498" i="2" s="1"/>
  <c r="E498" i="2"/>
  <c r="D498" i="2"/>
  <c r="N497" i="2"/>
  <c r="M497" i="2" s="1"/>
  <c r="E497" i="2"/>
  <c r="D497" i="2"/>
  <c r="N496" i="2"/>
  <c r="M496" i="2" s="1"/>
  <c r="E496" i="2"/>
  <c r="D496" i="2"/>
  <c r="N495" i="2"/>
  <c r="M495" i="2" s="1"/>
  <c r="E495" i="2"/>
  <c r="D495" i="2"/>
  <c r="E494" i="2"/>
  <c r="N494" i="2" s="1"/>
  <c r="M494" i="2" s="1"/>
  <c r="D494" i="2"/>
  <c r="E493" i="2"/>
  <c r="N493" i="2" s="1"/>
  <c r="M493" i="2" s="1"/>
  <c r="D493" i="2"/>
  <c r="N492" i="2"/>
  <c r="M492" i="2" s="1"/>
  <c r="E492" i="2"/>
  <c r="D492" i="2"/>
  <c r="N491" i="2"/>
  <c r="M491" i="2"/>
  <c r="E491" i="2"/>
  <c r="D491" i="2"/>
  <c r="M490" i="2"/>
  <c r="E490" i="2"/>
  <c r="N490" i="2" s="1"/>
  <c r="D490" i="2"/>
  <c r="N489" i="2"/>
  <c r="M489" i="2" s="1"/>
  <c r="E489" i="2"/>
  <c r="D489" i="2"/>
  <c r="E488" i="2"/>
  <c r="N488" i="2" s="1"/>
  <c r="M488" i="2" s="1"/>
  <c r="D488" i="2"/>
  <c r="E487" i="2"/>
  <c r="N487" i="2" s="1"/>
  <c r="M487" i="2" s="1"/>
  <c r="D487" i="2"/>
  <c r="E486" i="2"/>
  <c r="N486" i="2" s="1"/>
  <c r="M486" i="2" s="1"/>
  <c r="D486" i="2"/>
  <c r="E485" i="2"/>
  <c r="N485" i="2" s="1"/>
  <c r="M485" i="2" s="1"/>
  <c r="D485" i="2"/>
  <c r="E484" i="2"/>
  <c r="N484" i="2" s="1"/>
  <c r="M484" i="2" s="1"/>
  <c r="D484" i="2"/>
  <c r="E483" i="2"/>
  <c r="N483" i="2" s="1"/>
  <c r="M483" i="2" s="1"/>
  <c r="D483" i="2"/>
  <c r="E482" i="2"/>
  <c r="N482" i="2" s="1"/>
  <c r="M482" i="2" s="1"/>
  <c r="D482" i="2"/>
  <c r="E481" i="2"/>
  <c r="N481" i="2" s="1"/>
  <c r="M481" i="2" s="1"/>
  <c r="D481" i="2"/>
  <c r="E480" i="2"/>
  <c r="N480" i="2" s="1"/>
  <c r="M480" i="2" s="1"/>
  <c r="D480" i="2"/>
  <c r="N479" i="2"/>
  <c r="M479" i="2" s="1"/>
  <c r="E479" i="2"/>
  <c r="D479" i="2"/>
  <c r="E478" i="2"/>
  <c r="N478" i="2" s="1"/>
  <c r="M478" i="2" s="1"/>
  <c r="D478" i="2"/>
  <c r="E477" i="2"/>
  <c r="N477" i="2" s="1"/>
  <c r="M477" i="2" s="1"/>
  <c r="D477" i="2"/>
  <c r="N476" i="2"/>
  <c r="M476" i="2" s="1"/>
  <c r="E476" i="2"/>
  <c r="D476" i="2"/>
  <c r="E475" i="2"/>
  <c r="N475" i="2" s="1"/>
  <c r="M475" i="2" s="1"/>
  <c r="D475" i="2"/>
  <c r="M474" i="2"/>
  <c r="E474" i="2"/>
  <c r="N474" i="2" s="1"/>
  <c r="D474" i="2"/>
  <c r="N473" i="2"/>
  <c r="M473" i="2" s="1"/>
  <c r="E473" i="2"/>
  <c r="D473" i="2"/>
  <c r="E472" i="2"/>
  <c r="N472" i="2" s="1"/>
  <c r="M472" i="2" s="1"/>
  <c r="D472" i="2"/>
  <c r="M471" i="2"/>
  <c r="E471" i="2"/>
  <c r="N471" i="2" s="1"/>
  <c r="D471" i="2"/>
  <c r="E470" i="2"/>
  <c r="N470" i="2" s="1"/>
  <c r="M470" i="2" s="1"/>
  <c r="D470" i="2"/>
  <c r="E469" i="2"/>
  <c r="N469" i="2" s="1"/>
  <c r="M469" i="2" s="1"/>
  <c r="D469" i="2"/>
  <c r="E468" i="2"/>
  <c r="N468" i="2" s="1"/>
  <c r="M468" i="2" s="1"/>
  <c r="D468" i="2"/>
  <c r="E467" i="2"/>
  <c r="N467" i="2" s="1"/>
  <c r="M467" i="2" s="1"/>
  <c r="D467" i="2"/>
  <c r="E466" i="2"/>
  <c r="N466" i="2" s="1"/>
  <c r="M466" i="2" s="1"/>
  <c r="D466" i="2"/>
  <c r="E465" i="2"/>
  <c r="N465" i="2" s="1"/>
  <c r="M465" i="2" s="1"/>
  <c r="D465" i="2"/>
  <c r="E464" i="2"/>
  <c r="N464" i="2" s="1"/>
  <c r="M464" i="2" s="1"/>
  <c r="D464" i="2"/>
  <c r="M463" i="2"/>
  <c r="E463" i="2"/>
  <c r="N463" i="2" s="1"/>
  <c r="D463" i="2"/>
  <c r="E462" i="2"/>
  <c r="N462" i="2" s="1"/>
  <c r="M462" i="2" s="1"/>
  <c r="D462" i="2"/>
  <c r="N461" i="2"/>
  <c r="M461" i="2" s="1"/>
  <c r="E461" i="2"/>
  <c r="D461" i="2"/>
  <c r="E460" i="2"/>
  <c r="N460" i="2" s="1"/>
  <c r="M460" i="2" s="1"/>
  <c r="D460" i="2"/>
  <c r="N459" i="2"/>
  <c r="M459" i="2" s="1"/>
  <c r="E459" i="2"/>
  <c r="D459" i="2"/>
  <c r="N458" i="2"/>
  <c r="M458" i="2" s="1"/>
  <c r="E458" i="2"/>
  <c r="D458" i="2"/>
  <c r="N457" i="2"/>
  <c r="M457" i="2" s="1"/>
  <c r="E457" i="2"/>
  <c r="D457" i="2"/>
  <c r="E456" i="2"/>
  <c r="N456" i="2" s="1"/>
  <c r="M456" i="2" s="1"/>
  <c r="D456" i="2"/>
  <c r="E455" i="2"/>
  <c r="N455" i="2" s="1"/>
  <c r="M455" i="2" s="1"/>
  <c r="D455" i="2"/>
  <c r="N454" i="2"/>
  <c r="M454" i="2" s="1"/>
  <c r="E454" i="2"/>
  <c r="D454" i="2"/>
  <c r="N453" i="2"/>
  <c r="M453" i="2" s="1"/>
  <c r="E453" i="2"/>
  <c r="D453" i="2"/>
  <c r="E452" i="2"/>
  <c r="N452" i="2" s="1"/>
  <c r="M452" i="2" s="1"/>
  <c r="D452" i="2"/>
  <c r="E451" i="2"/>
  <c r="N451" i="2" s="1"/>
  <c r="M451" i="2" s="1"/>
  <c r="D451" i="2"/>
  <c r="N450" i="2"/>
  <c r="M450" i="2" s="1"/>
  <c r="E450" i="2"/>
  <c r="D450" i="2"/>
  <c r="N449" i="2"/>
  <c r="M449" i="2" s="1"/>
  <c r="E449" i="2"/>
  <c r="D449" i="2"/>
  <c r="N448" i="2"/>
  <c r="M448" i="2" s="1"/>
  <c r="E448" i="2"/>
  <c r="D448" i="2"/>
  <c r="N447" i="2"/>
  <c r="M447" i="2" s="1"/>
  <c r="E447" i="2"/>
  <c r="D447" i="2"/>
  <c r="N446" i="2"/>
  <c r="M446" i="2" s="1"/>
  <c r="E446" i="2"/>
  <c r="D446" i="2"/>
  <c r="N445" i="2"/>
  <c r="M445" i="2" s="1"/>
  <c r="E445" i="2"/>
  <c r="D445" i="2"/>
  <c r="E444" i="2"/>
  <c r="N444" i="2" s="1"/>
  <c r="M444" i="2" s="1"/>
  <c r="D444" i="2"/>
  <c r="N443" i="2"/>
  <c r="M443" i="2" s="1"/>
  <c r="E443" i="2"/>
  <c r="D443" i="2"/>
  <c r="N442" i="2"/>
  <c r="M442" i="2" s="1"/>
  <c r="E442" i="2"/>
  <c r="D442" i="2"/>
  <c r="N441" i="2"/>
  <c r="M441" i="2" s="1"/>
  <c r="E441" i="2"/>
  <c r="D441" i="2"/>
  <c r="E440" i="2"/>
  <c r="N440" i="2" s="1"/>
  <c r="M440" i="2" s="1"/>
  <c r="D440" i="2"/>
  <c r="E439" i="2"/>
  <c r="N439" i="2" s="1"/>
  <c r="M439" i="2" s="1"/>
  <c r="D439" i="2"/>
  <c r="N438" i="2"/>
  <c r="M438" i="2" s="1"/>
  <c r="E438" i="2"/>
  <c r="D438" i="2"/>
  <c r="N437" i="2"/>
  <c r="M437" i="2" s="1"/>
  <c r="E437" i="2"/>
  <c r="D437" i="2"/>
  <c r="E436" i="2"/>
  <c r="N436" i="2" s="1"/>
  <c r="M436" i="2" s="1"/>
  <c r="D436" i="2"/>
  <c r="E435" i="2"/>
  <c r="N435" i="2" s="1"/>
  <c r="M435" i="2" s="1"/>
  <c r="D435" i="2"/>
  <c r="N434" i="2"/>
  <c r="M434" i="2" s="1"/>
  <c r="E434" i="2"/>
  <c r="D434" i="2"/>
  <c r="E433" i="2"/>
  <c r="N433" i="2" s="1"/>
  <c r="M433" i="2" s="1"/>
  <c r="D433" i="2"/>
  <c r="N432" i="2"/>
  <c r="M432" i="2" s="1"/>
  <c r="E432" i="2"/>
  <c r="D432" i="2"/>
  <c r="M431" i="2"/>
  <c r="E431" i="2"/>
  <c r="N431" i="2" s="1"/>
  <c r="D431" i="2"/>
  <c r="E430" i="2"/>
  <c r="N430" i="2" s="1"/>
  <c r="M430" i="2" s="1"/>
  <c r="D430" i="2"/>
  <c r="N429" i="2"/>
  <c r="M429" i="2" s="1"/>
  <c r="E429" i="2"/>
  <c r="D429" i="2"/>
  <c r="N428" i="2"/>
  <c r="M428" i="2" s="1"/>
  <c r="E428" i="2"/>
  <c r="D428" i="2"/>
  <c r="N427" i="2"/>
  <c r="M427" i="2" s="1"/>
  <c r="E427" i="2"/>
  <c r="D427" i="2"/>
  <c r="N426" i="2"/>
  <c r="M426" i="2"/>
  <c r="E426" i="2"/>
  <c r="D426" i="2"/>
  <c r="N425" i="2"/>
  <c r="M425" i="2"/>
  <c r="E425" i="2"/>
  <c r="D425" i="2"/>
  <c r="N424" i="2"/>
  <c r="M424" i="2" s="1"/>
  <c r="E424" i="2"/>
  <c r="D424" i="2"/>
  <c r="N423" i="2"/>
  <c r="M423" i="2" s="1"/>
  <c r="E423" i="2"/>
  <c r="D423" i="2"/>
  <c r="N422" i="2"/>
  <c r="M422" i="2"/>
  <c r="E422" i="2"/>
  <c r="D422" i="2"/>
  <c r="N421" i="2"/>
  <c r="M421" i="2" s="1"/>
  <c r="E421" i="2"/>
  <c r="D421" i="2"/>
  <c r="N420" i="2"/>
  <c r="M420" i="2" s="1"/>
  <c r="E420" i="2"/>
  <c r="D420" i="2"/>
  <c r="E419" i="2"/>
  <c r="N419" i="2" s="1"/>
  <c r="M419" i="2" s="1"/>
  <c r="D419" i="2"/>
  <c r="N418" i="2"/>
  <c r="M418" i="2" s="1"/>
  <c r="E418" i="2"/>
  <c r="D418" i="2"/>
  <c r="E417" i="2"/>
  <c r="N417" i="2" s="1"/>
  <c r="M417" i="2" s="1"/>
  <c r="D417" i="2"/>
  <c r="E416" i="2"/>
  <c r="N416" i="2" s="1"/>
  <c r="M416" i="2" s="1"/>
  <c r="D416" i="2"/>
  <c r="E415" i="2"/>
  <c r="N415" i="2" s="1"/>
  <c r="M415" i="2" s="1"/>
  <c r="D415" i="2"/>
  <c r="E414" i="2"/>
  <c r="N414" i="2" s="1"/>
  <c r="M414" i="2" s="1"/>
  <c r="D414" i="2"/>
  <c r="E413" i="2"/>
  <c r="N413" i="2" s="1"/>
  <c r="M413" i="2" s="1"/>
  <c r="D413" i="2"/>
  <c r="N412" i="2"/>
  <c r="M412" i="2" s="1"/>
  <c r="E412" i="2"/>
  <c r="D412" i="2"/>
  <c r="E411" i="2"/>
  <c r="N411" i="2" s="1"/>
  <c r="M411" i="2" s="1"/>
  <c r="D411" i="2"/>
  <c r="N410" i="2"/>
  <c r="M410" i="2" s="1"/>
  <c r="E410" i="2"/>
  <c r="D410" i="2"/>
  <c r="N409" i="2"/>
  <c r="M409" i="2" s="1"/>
  <c r="E409" i="2"/>
  <c r="D409" i="2"/>
  <c r="N408" i="2"/>
  <c r="M408" i="2" s="1"/>
  <c r="E408" i="2"/>
  <c r="D408" i="2"/>
  <c r="N407" i="2"/>
  <c r="M407" i="2"/>
  <c r="E407" i="2"/>
  <c r="D407" i="2"/>
  <c r="N406" i="2"/>
  <c r="M406" i="2"/>
  <c r="E406" i="2"/>
  <c r="D406" i="2"/>
  <c r="N405" i="2"/>
  <c r="M405" i="2"/>
  <c r="E405" i="2"/>
  <c r="D405" i="2"/>
  <c r="N404" i="2"/>
  <c r="M404" i="2" s="1"/>
  <c r="E404" i="2"/>
  <c r="D404" i="2"/>
  <c r="E403" i="2"/>
  <c r="N403" i="2" s="1"/>
  <c r="M403" i="2" s="1"/>
  <c r="D403" i="2"/>
  <c r="E402" i="2"/>
  <c r="N402" i="2" s="1"/>
  <c r="M402" i="2" s="1"/>
  <c r="D402" i="2"/>
  <c r="N401" i="2"/>
  <c r="M401" i="2" s="1"/>
  <c r="E401" i="2"/>
  <c r="D401" i="2"/>
  <c r="E400" i="2"/>
  <c r="N400" i="2" s="1"/>
  <c r="M400" i="2" s="1"/>
  <c r="D400" i="2"/>
  <c r="E399" i="2"/>
  <c r="N399" i="2" s="1"/>
  <c r="M399" i="2" s="1"/>
  <c r="D399" i="2"/>
  <c r="E398" i="2"/>
  <c r="N398" i="2" s="1"/>
  <c r="M398" i="2" s="1"/>
  <c r="D398" i="2"/>
  <c r="E397" i="2"/>
  <c r="N397" i="2" s="1"/>
  <c r="M397" i="2" s="1"/>
  <c r="D397" i="2"/>
  <c r="N396" i="2"/>
  <c r="M396" i="2" s="1"/>
  <c r="E396" i="2"/>
  <c r="D396" i="2"/>
  <c r="M395" i="2"/>
  <c r="E395" i="2"/>
  <c r="N395" i="2" s="1"/>
  <c r="D395" i="2"/>
  <c r="E394" i="2"/>
  <c r="N394" i="2" s="1"/>
  <c r="M394" i="2" s="1"/>
  <c r="D394" i="2"/>
  <c r="N393" i="2"/>
  <c r="M393" i="2" s="1"/>
  <c r="D393" i="2"/>
  <c r="N392" i="2"/>
  <c r="M392" i="2"/>
  <c r="D392" i="2"/>
  <c r="N391" i="2"/>
  <c r="M391" i="2" s="1"/>
  <c r="D391" i="2"/>
  <c r="N390" i="2"/>
  <c r="M390" i="2" s="1"/>
  <c r="D390" i="2"/>
  <c r="N389" i="2"/>
  <c r="M389" i="2"/>
  <c r="D389" i="2"/>
  <c r="N388" i="2"/>
  <c r="M388" i="2" s="1"/>
  <c r="D388" i="2"/>
  <c r="N387" i="2"/>
  <c r="M387" i="2" s="1"/>
  <c r="D387" i="2"/>
  <c r="E386" i="2"/>
  <c r="N386" i="2" s="1"/>
  <c r="M386" i="2" s="1"/>
  <c r="D386" i="2"/>
  <c r="E385" i="2"/>
  <c r="N385" i="2" s="1"/>
  <c r="M385" i="2" s="1"/>
  <c r="D385" i="2"/>
  <c r="E384" i="2"/>
  <c r="N384" i="2" s="1"/>
  <c r="M384" i="2" s="1"/>
  <c r="D384" i="2"/>
  <c r="E383" i="2"/>
  <c r="N383" i="2" s="1"/>
  <c r="M383" i="2" s="1"/>
  <c r="D383" i="2"/>
  <c r="E382" i="2"/>
  <c r="N382" i="2" s="1"/>
  <c r="M382" i="2" s="1"/>
  <c r="D382" i="2"/>
  <c r="E381" i="2"/>
  <c r="N381" i="2" s="1"/>
  <c r="M381" i="2" s="1"/>
  <c r="D381" i="2"/>
  <c r="N380" i="2"/>
  <c r="M380" i="2" s="1"/>
  <c r="E380" i="2"/>
  <c r="D380" i="2"/>
  <c r="E379" i="2"/>
  <c r="N379" i="2" s="1"/>
  <c r="M379" i="2" s="1"/>
  <c r="D379" i="2"/>
  <c r="N378" i="2"/>
  <c r="M378" i="2"/>
  <c r="E378" i="2"/>
  <c r="D378" i="2"/>
  <c r="N377" i="2"/>
  <c r="M377" i="2" s="1"/>
  <c r="E377" i="2"/>
  <c r="D377" i="2"/>
  <c r="E376" i="2"/>
  <c r="N376" i="2" s="1"/>
  <c r="M376" i="2" s="1"/>
  <c r="D376" i="2"/>
  <c r="E375" i="2"/>
  <c r="N375" i="2" s="1"/>
  <c r="M375" i="2" s="1"/>
  <c r="D375" i="2"/>
  <c r="E374" i="2"/>
  <c r="N374" i="2" s="1"/>
  <c r="M374" i="2" s="1"/>
  <c r="D374" i="2"/>
  <c r="E373" i="2"/>
  <c r="N373" i="2" s="1"/>
  <c r="M373" i="2" s="1"/>
  <c r="D373" i="2"/>
  <c r="E372" i="2"/>
  <c r="N372" i="2" s="1"/>
  <c r="M372" i="2" s="1"/>
  <c r="D372" i="2"/>
  <c r="E371" i="2"/>
  <c r="N371" i="2" s="1"/>
  <c r="M371" i="2" s="1"/>
  <c r="D371" i="2"/>
  <c r="N370" i="2"/>
  <c r="M370" i="2" s="1"/>
  <c r="E370" i="2"/>
  <c r="D370" i="2"/>
  <c r="N369" i="2"/>
  <c r="M369" i="2" s="1"/>
  <c r="E369" i="2"/>
  <c r="D369" i="2"/>
  <c r="N368" i="2"/>
  <c r="M368" i="2" s="1"/>
  <c r="E368" i="2"/>
  <c r="D368" i="2"/>
  <c r="N367" i="2"/>
  <c r="M367" i="2" s="1"/>
  <c r="E367" i="2"/>
  <c r="D367" i="2"/>
  <c r="E366" i="2"/>
  <c r="N366" i="2" s="1"/>
  <c r="M366" i="2" s="1"/>
  <c r="D366" i="2"/>
  <c r="E365" i="2"/>
  <c r="N365" i="2" s="1"/>
  <c r="M365" i="2" s="1"/>
  <c r="D365" i="2"/>
  <c r="E364" i="2"/>
  <c r="N364" i="2" s="1"/>
  <c r="M364" i="2" s="1"/>
  <c r="D364" i="2"/>
  <c r="E363" i="2"/>
  <c r="N363" i="2" s="1"/>
  <c r="M363" i="2" s="1"/>
  <c r="D363" i="2"/>
  <c r="E362" i="2"/>
  <c r="N362" i="2" s="1"/>
  <c r="M362" i="2" s="1"/>
  <c r="D362" i="2"/>
  <c r="N361" i="2"/>
  <c r="M361" i="2" s="1"/>
  <c r="E361" i="2"/>
  <c r="D361" i="2"/>
  <c r="E360" i="2"/>
  <c r="N360" i="2" s="1"/>
  <c r="M360" i="2" s="1"/>
  <c r="D360" i="2"/>
  <c r="E359" i="2"/>
  <c r="N359" i="2" s="1"/>
  <c r="M359" i="2" s="1"/>
  <c r="D359" i="2"/>
  <c r="M358" i="2"/>
  <c r="E358" i="2"/>
  <c r="N358" i="2" s="1"/>
  <c r="D358" i="2"/>
  <c r="E357" i="2"/>
  <c r="N357" i="2" s="1"/>
  <c r="M357" i="2" s="1"/>
  <c r="D357" i="2"/>
  <c r="N356" i="2"/>
  <c r="M356" i="2"/>
  <c r="E356" i="2"/>
  <c r="D356" i="2"/>
  <c r="N355" i="2"/>
  <c r="M355" i="2"/>
  <c r="E355" i="2"/>
  <c r="D355" i="2"/>
  <c r="N354" i="2"/>
  <c r="M354" i="2"/>
  <c r="E354" i="2"/>
  <c r="D354" i="2"/>
  <c r="E353" i="2"/>
  <c r="N353" i="2" s="1"/>
  <c r="M353" i="2" s="1"/>
  <c r="D353" i="2"/>
  <c r="M352" i="2"/>
  <c r="E352" i="2"/>
  <c r="N352" i="2" s="1"/>
  <c r="D352" i="2"/>
  <c r="E351" i="2"/>
  <c r="N351" i="2" s="1"/>
  <c r="M351" i="2" s="1"/>
  <c r="D351" i="2"/>
  <c r="N350" i="2"/>
  <c r="M350" i="2"/>
  <c r="E350" i="2"/>
  <c r="D350" i="2"/>
  <c r="N349" i="2"/>
  <c r="M349" i="2" s="1"/>
  <c r="E349" i="2"/>
  <c r="D349" i="2"/>
  <c r="N348" i="2"/>
  <c r="M348" i="2"/>
  <c r="E348" i="2"/>
  <c r="D348" i="2"/>
  <c r="N347" i="2"/>
  <c r="M347" i="2" s="1"/>
  <c r="E347" i="2"/>
  <c r="D347" i="2"/>
  <c r="N346" i="2"/>
  <c r="M346" i="2"/>
  <c r="E346" i="2"/>
  <c r="D346" i="2"/>
  <c r="E345" i="2"/>
  <c r="N345" i="2" s="1"/>
  <c r="M345" i="2" s="1"/>
  <c r="D345" i="2"/>
  <c r="E344" i="2"/>
  <c r="N344" i="2" s="1"/>
  <c r="M344" i="2" s="1"/>
  <c r="D344" i="2"/>
  <c r="E343" i="2"/>
  <c r="N343" i="2" s="1"/>
  <c r="M343" i="2" s="1"/>
  <c r="D343" i="2"/>
  <c r="E342" i="2"/>
  <c r="N342" i="2" s="1"/>
  <c r="M342" i="2" s="1"/>
  <c r="D342" i="2"/>
  <c r="E341" i="2"/>
  <c r="N341" i="2" s="1"/>
  <c r="M341" i="2" s="1"/>
  <c r="D341" i="2"/>
  <c r="N340" i="2"/>
  <c r="M340" i="2" s="1"/>
  <c r="E340" i="2"/>
  <c r="D340" i="2"/>
  <c r="N339" i="2"/>
  <c r="M339" i="2"/>
  <c r="E339" i="2"/>
  <c r="D339" i="2"/>
  <c r="N338" i="2"/>
  <c r="M338" i="2" s="1"/>
  <c r="E338" i="2"/>
  <c r="D338" i="2"/>
  <c r="E337" i="2"/>
  <c r="N337" i="2" s="1"/>
  <c r="M337" i="2" s="1"/>
  <c r="D337" i="2"/>
  <c r="E336" i="2"/>
  <c r="N336" i="2" s="1"/>
  <c r="M336" i="2" s="1"/>
  <c r="D336" i="2"/>
  <c r="N335" i="2"/>
  <c r="M335" i="2" s="1"/>
  <c r="E335" i="2"/>
  <c r="D335" i="2"/>
  <c r="N334" i="2"/>
  <c r="M334" i="2" s="1"/>
  <c r="E334" i="2"/>
  <c r="D334" i="2"/>
  <c r="N333" i="2"/>
  <c r="M333" i="2" s="1"/>
  <c r="E333" i="2"/>
  <c r="D333" i="2"/>
  <c r="E332" i="2"/>
  <c r="N332" i="2" s="1"/>
  <c r="M332" i="2" s="1"/>
  <c r="D332" i="2"/>
  <c r="E331" i="2"/>
  <c r="N331" i="2" s="1"/>
  <c r="M331" i="2" s="1"/>
  <c r="D331" i="2"/>
  <c r="E330" i="2"/>
  <c r="N330" i="2" s="1"/>
  <c r="M330" i="2" s="1"/>
  <c r="D330" i="2"/>
  <c r="N329" i="2"/>
  <c r="M329" i="2"/>
  <c r="E329" i="2"/>
  <c r="D329" i="2"/>
  <c r="N328" i="2"/>
  <c r="M328" i="2" s="1"/>
  <c r="E328" i="2"/>
  <c r="D328" i="2"/>
  <c r="N327" i="2"/>
  <c r="M327" i="2" s="1"/>
  <c r="E327" i="2"/>
  <c r="D327" i="2"/>
  <c r="N326" i="2"/>
  <c r="M326" i="2"/>
  <c r="E326" i="2"/>
  <c r="D326" i="2"/>
  <c r="N325" i="2"/>
  <c r="M325" i="2" s="1"/>
  <c r="E325" i="2"/>
  <c r="D325" i="2"/>
  <c r="N324" i="2"/>
  <c r="M324" i="2"/>
  <c r="E324" i="2"/>
  <c r="D324" i="2"/>
  <c r="N323" i="2"/>
  <c r="M323" i="2" s="1"/>
  <c r="E323" i="2"/>
  <c r="D323" i="2"/>
  <c r="N322" i="2"/>
  <c r="M322" i="2"/>
  <c r="E322" i="2"/>
  <c r="D322" i="2"/>
  <c r="M321" i="2"/>
  <c r="E321" i="2"/>
  <c r="N321" i="2" s="1"/>
  <c r="D321" i="2"/>
  <c r="M320" i="2"/>
  <c r="E320" i="2"/>
  <c r="N320" i="2" s="1"/>
  <c r="D320" i="2"/>
  <c r="E319" i="2"/>
  <c r="N319" i="2" s="1"/>
  <c r="M319" i="2" s="1"/>
  <c r="D319" i="2"/>
  <c r="M318" i="2"/>
  <c r="E318" i="2"/>
  <c r="N318" i="2" s="1"/>
  <c r="D318" i="2"/>
  <c r="N317" i="2"/>
  <c r="M317" i="2" s="1"/>
  <c r="E317" i="2"/>
  <c r="D317" i="2"/>
  <c r="E316" i="2"/>
  <c r="N316" i="2" s="1"/>
  <c r="M316" i="2" s="1"/>
  <c r="D316" i="2"/>
  <c r="E315" i="2"/>
  <c r="N315" i="2" s="1"/>
  <c r="M315" i="2" s="1"/>
  <c r="D315" i="2"/>
  <c r="E314" i="2"/>
  <c r="N314" i="2" s="1"/>
  <c r="M314" i="2" s="1"/>
  <c r="D314" i="2"/>
  <c r="N313" i="2"/>
  <c r="M313" i="2" s="1"/>
  <c r="E313" i="2"/>
  <c r="D313" i="2"/>
  <c r="M312" i="2"/>
  <c r="E312" i="2"/>
  <c r="N312" i="2" s="1"/>
  <c r="D312" i="2"/>
  <c r="E311" i="2"/>
  <c r="N311" i="2" s="1"/>
  <c r="M311" i="2" s="1"/>
  <c r="D311" i="2"/>
  <c r="E310" i="2"/>
  <c r="N310" i="2" s="1"/>
  <c r="M310" i="2" s="1"/>
  <c r="D310" i="2"/>
  <c r="N309" i="2"/>
  <c r="M309" i="2" s="1"/>
  <c r="E309" i="2"/>
  <c r="D309" i="2"/>
  <c r="N308" i="2"/>
  <c r="M308" i="2" s="1"/>
  <c r="E308" i="2"/>
  <c r="D308" i="2"/>
  <c r="N307" i="2"/>
  <c r="M307" i="2" s="1"/>
  <c r="E307" i="2"/>
  <c r="D307" i="2"/>
  <c r="E306" i="2"/>
  <c r="N306" i="2" s="1"/>
  <c r="M306" i="2" s="1"/>
  <c r="D306" i="2"/>
  <c r="N305" i="2"/>
  <c r="M305" i="2" s="1"/>
  <c r="E305" i="2"/>
  <c r="D305" i="2"/>
  <c r="N304" i="2"/>
  <c r="M304" i="2" s="1"/>
  <c r="E304" i="2"/>
  <c r="D304" i="2"/>
  <c r="N303" i="2"/>
  <c r="M303" i="2"/>
  <c r="E303" i="2"/>
  <c r="D303" i="2"/>
  <c r="N302" i="2"/>
  <c r="M302" i="2" s="1"/>
  <c r="E302" i="2"/>
  <c r="D302" i="2"/>
  <c r="N301" i="2"/>
  <c r="M301" i="2" s="1"/>
  <c r="E301" i="2"/>
  <c r="D301" i="2"/>
  <c r="E300" i="2"/>
  <c r="N300" i="2" s="1"/>
  <c r="M300" i="2" s="1"/>
  <c r="D300" i="2"/>
  <c r="N299" i="2"/>
  <c r="M299" i="2" s="1"/>
  <c r="E299" i="2"/>
  <c r="D299" i="2"/>
  <c r="E298" i="2"/>
  <c r="N298" i="2" s="1"/>
  <c r="M298" i="2" s="1"/>
  <c r="D298" i="2"/>
  <c r="N297" i="2"/>
  <c r="M297" i="2" s="1"/>
  <c r="E297" i="2"/>
  <c r="D297" i="2"/>
  <c r="E296" i="2"/>
  <c r="N296" i="2" s="1"/>
  <c r="M296" i="2" s="1"/>
  <c r="D296" i="2"/>
  <c r="N295" i="2"/>
  <c r="M295" i="2" s="1"/>
  <c r="E295" i="2"/>
  <c r="D295" i="2"/>
  <c r="E294" i="2"/>
  <c r="N294" i="2" s="1"/>
  <c r="M294" i="2" s="1"/>
  <c r="D294" i="2"/>
  <c r="N293" i="2"/>
  <c r="M293" i="2" s="1"/>
  <c r="E293" i="2"/>
  <c r="D293" i="2"/>
  <c r="E292" i="2"/>
  <c r="N292" i="2" s="1"/>
  <c r="M292" i="2" s="1"/>
  <c r="D292" i="2"/>
  <c r="N291" i="2"/>
  <c r="M291" i="2" s="1"/>
  <c r="E291" i="2"/>
  <c r="D291" i="2"/>
  <c r="E290" i="2"/>
  <c r="N290" i="2" s="1"/>
  <c r="M290" i="2" s="1"/>
  <c r="D290" i="2"/>
  <c r="E289" i="2"/>
  <c r="N289" i="2" s="1"/>
  <c r="M289" i="2" s="1"/>
  <c r="D289" i="2"/>
  <c r="N288" i="2"/>
  <c r="M288" i="2" s="1"/>
  <c r="E288" i="2"/>
  <c r="D288" i="2"/>
  <c r="N287" i="2"/>
  <c r="M287" i="2" s="1"/>
  <c r="E287" i="2"/>
  <c r="D287" i="2"/>
  <c r="N286" i="2"/>
  <c r="M286" i="2" s="1"/>
  <c r="E286" i="2"/>
  <c r="D286" i="2"/>
  <c r="N285" i="2"/>
  <c r="M285" i="2" s="1"/>
  <c r="E285" i="2"/>
  <c r="D285" i="2"/>
  <c r="N284" i="2"/>
  <c r="M284" i="2" s="1"/>
  <c r="E284" i="2"/>
  <c r="D284" i="2"/>
  <c r="N283" i="2"/>
  <c r="M283" i="2"/>
  <c r="E283" i="2"/>
  <c r="D283" i="2"/>
  <c r="N282" i="2"/>
  <c r="M282" i="2" s="1"/>
  <c r="D282" i="2"/>
  <c r="N281" i="2"/>
  <c r="M281" i="2"/>
  <c r="D281" i="2"/>
  <c r="N280" i="2"/>
  <c r="M280" i="2" s="1"/>
  <c r="D280" i="2"/>
  <c r="N279" i="2"/>
  <c r="M279" i="2" s="1"/>
  <c r="D279" i="2"/>
  <c r="N278" i="2"/>
  <c r="M278" i="2" s="1"/>
  <c r="D278" i="2"/>
  <c r="N277" i="2"/>
  <c r="M277" i="2" s="1"/>
  <c r="D277" i="2"/>
  <c r="N276" i="2"/>
  <c r="M276" i="2" s="1"/>
  <c r="D276" i="2"/>
  <c r="N275" i="2"/>
  <c r="M275" i="2" s="1"/>
  <c r="D275" i="2"/>
  <c r="N274" i="2"/>
  <c r="M274" i="2"/>
  <c r="D274" i="2"/>
  <c r="N273" i="2"/>
  <c r="M273" i="2" s="1"/>
  <c r="D273" i="2"/>
  <c r="N272" i="2"/>
  <c r="M272" i="2" s="1"/>
  <c r="D272" i="2"/>
  <c r="N271" i="2"/>
  <c r="M271" i="2" s="1"/>
  <c r="D271" i="2"/>
  <c r="N270" i="2"/>
  <c r="M270" i="2" s="1"/>
  <c r="D270" i="2"/>
  <c r="N269" i="2"/>
  <c r="M269" i="2" s="1"/>
  <c r="D269" i="2"/>
  <c r="N268" i="2"/>
  <c r="M268" i="2" s="1"/>
  <c r="D268" i="2"/>
  <c r="N267" i="2"/>
  <c r="M267" i="2" s="1"/>
  <c r="D267" i="2"/>
  <c r="N266" i="2"/>
  <c r="M266" i="2" s="1"/>
  <c r="D266" i="2"/>
  <c r="N265" i="2"/>
  <c r="M265" i="2"/>
  <c r="D265" i="2"/>
  <c r="N264" i="2"/>
  <c r="M264" i="2" s="1"/>
  <c r="D264" i="2"/>
  <c r="N263" i="2"/>
  <c r="M263" i="2" s="1"/>
  <c r="D263" i="2"/>
  <c r="N262" i="2"/>
  <c r="M262" i="2" s="1"/>
  <c r="D262" i="2"/>
  <c r="N261" i="2"/>
  <c r="M261" i="2" s="1"/>
  <c r="D261" i="2"/>
  <c r="N260" i="2"/>
  <c r="M260" i="2" s="1"/>
  <c r="D260" i="2"/>
  <c r="N259" i="2"/>
  <c r="M259" i="2" s="1"/>
  <c r="D259" i="2"/>
  <c r="N258" i="2"/>
  <c r="M258" i="2" s="1"/>
  <c r="D258" i="2"/>
  <c r="N257" i="2"/>
  <c r="M257" i="2" s="1"/>
  <c r="D257" i="2"/>
  <c r="N256" i="2"/>
  <c r="M256" i="2"/>
  <c r="D256" i="2"/>
  <c r="N255" i="2"/>
  <c r="M255" i="2" s="1"/>
  <c r="D255" i="2"/>
  <c r="N254" i="2"/>
  <c r="M254" i="2"/>
  <c r="D254" i="2"/>
  <c r="N253" i="2"/>
  <c r="M253" i="2" s="1"/>
  <c r="D253" i="2"/>
  <c r="N252" i="2"/>
  <c r="M252" i="2"/>
  <c r="D252" i="2"/>
  <c r="N251" i="2"/>
  <c r="M251" i="2" s="1"/>
  <c r="D251" i="2"/>
  <c r="N250" i="2"/>
  <c r="M250" i="2"/>
  <c r="D250" i="2"/>
  <c r="N249" i="2"/>
  <c r="M249" i="2" s="1"/>
  <c r="D249" i="2"/>
  <c r="N248" i="2"/>
  <c r="M248" i="2" s="1"/>
  <c r="D248" i="2"/>
  <c r="N247" i="2"/>
  <c r="M247" i="2" s="1"/>
  <c r="D247" i="2"/>
  <c r="N246" i="2"/>
  <c r="M246" i="2"/>
  <c r="D246" i="2"/>
  <c r="N245" i="2"/>
  <c r="M245" i="2"/>
  <c r="D245" i="2"/>
  <c r="N244" i="2"/>
  <c r="M244" i="2"/>
  <c r="D244" i="2"/>
  <c r="N243" i="2"/>
  <c r="M243" i="2"/>
  <c r="D243" i="2"/>
  <c r="N242" i="2"/>
  <c r="M242" i="2"/>
  <c r="D242" i="2"/>
  <c r="N241" i="2"/>
  <c r="M241" i="2" s="1"/>
  <c r="D241" i="2"/>
  <c r="N240" i="2"/>
  <c r="M240" i="2"/>
  <c r="D240" i="2"/>
  <c r="N239" i="2"/>
  <c r="M239" i="2"/>
  <c r="D239" i="2"/>
  <c r="N238" i="2"/>
  <c r="M238" i="2" s="1"/>
  <c r="D238" i="2"/>
  <c r="N237" i="2"/>
  <c r="M237" i="2" s="1"/>
  <c r="D237" i="2"/>
  <c r="N236" i="2"/>
  <c r="M236" i="2"/>
  <c r="D236" i="2"/>
  <c r="N235" i="2"/>
  <c r="M235" i="2" s="1"/>
  <c r="D235" i="2"/>
  <c r="N234" i="2"/>
  <c r="M234" i="2"/>
  <c r="D234" i="2"/>
  <c r="N233" i="2"/>
  <c r="M233" i="2"/>
  <c r="D233" i="2"/>
  <c r="N232" i="2"/>
  <c r="M232" i="2"/>
  <c r="D232" i="2"/>
  <c r="N231" i="2"/>
  <c r="M231" i="2" s="1"/>
  <c r="D231" i="2"/>
  <c r="N230" i="2"/>
  <c r="M230" i="2" s="1"/>
  <c r="D230" i="2"/>
  <c r="N229" i="2"/>
  <c r="M229" i="2" s="1"/>
  <c r="D229" i="2"/>
  <c r="N228" i="2"/>
  <c r="M228" i="2" s="1"/>
  <c r="D228" i="2"/>
  <c r="N227" i="2"/>
  <c r="M227" i="2" s="1"/>
  <c r="D227" i="2"/>
  <c r="N226" i="2"/>
  <c r="M226" i="2"/>
  <c r="D226" i="2"/>
  <c r="N225" i="2"/>
  <c r="M225" i="2" s="1"/>
  <c r="D225" i="2"/>
  <c r="N224" i="2"/>
  <c r="M224" i="2"/>
  <c r="D224" i="2"/>
  <c r="N223" i="2"/>
  <c r="M223" i="2"/>
  <c r="D223" i="2"/>
  <c r="N222" i="2"/>
  <c r="M222" i="2"/>
  <c r="D222" i="2"/>
  <c r="N221" i="2"/>
  <c r="M221" i="2"/>
  <c r="D221" i="2"/>
  <c r="N220" i="2"/>
  <c r="M220" i="2"/>
  <c r="D220" i="2"/>
  <c r="N219" i="2"/>
  <c r="M219" i="2" s="1"/>
  <c r="D219" i="2"/>
  <c r="N218" i="2"/>
  <c r="M218" i="2" s="1"/>
  <c r="D218" i="2"/>
  <c r="N217" i="2"/>
  <c r="M217" i="2" s="1"/>
  <c r="D217" i="2"/>
  <c r="N216" i="2"/>
  <c r="M216" i="2" s="1"/>
  <c r="D216" i="2"/>
  <c r="N215" i="2"/>
  <c r="M215" i="2" s="1"/>
  <c r="D215" i="2"/>
  <c r="N214" i="2"/>
  <c r="M214" i="2"/>
  <c r="D214" i="2"/>
  <c r="E213" i="2"/>
  <c r="N213" i="2" s="1"/>
  <c r="M213" i="2" s="1"/>
  <c r="D213" i="2"/>
  <c r="N212" i="2"/>
  <c r="M212" i="2"/>
  <c r="E212" i="2"/>
  <c r="D212" i="2"/>
  <c r="N211" i="2"/>
  <c r="M211" i="2" s="1"/>
  <c r="E211" i="2"/>
  <c r="D211" i="2"/>
  <c r="E210" i="2"/>
  <c r="N210" i="2" s="1"/>
  <c r="M210" i="2" s="1"/>
  <c r="D210" i="2"/>
  <c r="E209" i="2"/>
  <c r="N209" i="2" s="1"/>
  <c r="M209" i="2" s="1"/>
  <c r="D209" i="2"/>
  <c r="N208" i="2"/>
  <c r="M208" i="2"/>
  <c r="E208" i="2"/>
  <c r="D208" i="2"/>
  <c r="N207" i="2"/>
  <c r="M207" i="2" s="1"/>
  <c r="E207" i="2"/>
  <c r="D207" i="2"/>
  <c r="E206" i="2"/>
  <c r="N206" i="2" s="1"/>
  <c r="M206" i="2" s="1"/>
  <c r="D206" i="2"/>
  <c r="N205" i="2"/>
  <c r="M205" i="2" s="1"/>
  <c r="E205" i="2"/>
  <c r="D205" i="2"/>
  <c r="N204" i="2"/>
  <c r="M204" i="2" s="1"/>
  <c r="E204" i="2"/>
  <c r="D204" i="2"/>
  <c r="N203" i="2"/>
  <c r="M203" i="2" s="1"/>
  <c r="E203" i="2"/>
  <c r="D203" i="2"/>
  <c r="E202" i="2"/>
  <c r="N202" i="2" s="1"/>
  <c r="M202" i="2" s="1"/>
  <c r="D202" i="2"/>
  <c r="E201" i="2"/>
  <c r="N201" i="2" s="1"/>
  <c r="M201" i="2" s="1"/>
  <c r="D201" i="2"/>
  <c r="E200" i="2"/>
  <c r="N200" i="2" s="1"/>
  <c r="M200" i="2" s="1"/>
  <c r="D200" i="2"/>
  <c r="E199" i="2"/>
  <c r="N199" i="2" s="1"/>
  <c r="M199" i="2" s="1"/>
  <c r="D199" i="2"/>
  <c r="E198" i="2"/>
  <c r="N198" i="2" s="1"/>
  <c r="M198" i="2" s="1"/>
  <c r="D198" i="2"/>
  <c r="E197" i="2"/>
  <c r="N197" i="2" s="1"/>
  <c r="M197" i="2" s="1"/>
  <c r="D197" i="2"/>
  <c r="N196" i="2"/>
  <c r="M196" i="2"/>
  <c r="E196" i="2"/>
  <c r="D196" i="2"/>
  <c r="N195" i="2"/>
  <c r="M195" i="2" s="1"/>
  <c r="E195" i="2"/>
  <c r="D195" i="2"/>
  <c r="N194" i="2"/>
  <c r="M194" i="2" s="1"/>
  <c r="E194" i="2"/>
  <c r="D194" i="2"/>
  <c r="E193" i="2"/>
  <c r="N193" i="2" s="1"/>
  <c r="M193" i="2" s="1"/>
  <c r="D193" i="2"/>
  <c r="N192" i="2"/>
  <c r="M192" i="2" s="1"/>
  <c r="E192" i="2"/>
  <c r="D192" i="2"/>
  <c r="E191" i="2"/>
  <c r="N191" i="2" s="1"/>
  <c r="M191" i="2" s="1"/>
  <c r="D191" i="2"/>
  <c r="E190" i="2"/>
  <c r="N190" i="2" s="1"/>
  <c r="M190" i="2" s="1"/>
  <c r="D190" i="2"/>
  <c r="E189" i="2"/>
  <c r="N189" i="2" s="1"/>
  <c r="M189" i="2" s="1"/>
  <c r="D189" i="2"/>
  <c r="E188" i="2"/>
  <c r="N188" i="2" s="1"/>
  <c r="M188" i="2" s="1"/>
  <c r="D188" i="2"/>
  <c r="E187" i="2"/>
  <c r="N187" i="2" s="1"/>
  <c r="M187" i="2" s="1"/>
  <c r="D187" i="2"/>
  <c r="E186" i="2"/>
  <c r="N186" i="2" s="1"/>
  <c r="M186" i="2" s="1"/>
  <c r="D186" i="2"/>
  <c r="E185" i="2"/>
  <c r="N185" i="2" s="1"/>
  <c r="M185" i="2" s="1"/>
  <c r="D185" i="2"/>
  <c r="N184" i="2"/>
  <c r="M184" i="2" s="1"/>
  <c r="E184" i="2"/>
  <c r="D184" i="2"/>
  <c r="N183" i="2"/>
  <c r="M183" i="2" s="1"/>
  <c r="E183" i="2"/>
  <c r="D183" i="2"/>
  <c r="N182" i="2"/>
  <c r="M182" i="2" s="1"/>
  <c r="E182" i="2"/>
  <c r="D182" i="2"/>
  <c r="N181" i="2"/>
  <c r="M181" i="2" s="1"/>
  <c r="E181" i="2"/>
  <c r="D181" i="2"/>
  <c r="N180" i="2"/>
  <c r="M180" i="2" s="1"/>
  <c r="E180" i="2"/>
  <c r="D180" i="2"/>
  <c r="N179" i="2"/>
  <c r="M179" i="2" s="1"/>
  <c r="E179" i="2"/>
  <c r="D179" i="2"/>
  <c r="E178" i="2"/>
  <c r="N178" i="2" s="1"/>
  <c r="M178" i="2" s="1"/>
  <c r="D178" i="2"/>
  <c r="E177" i="2"/>
  <c r="N177" i="2" s="1"/>
  <c r="M177" i="2" s="1"/>
  <c r="D177" i="2"/>
  <c r="E176" i="2"/>
  <c r="N176" i="2" s="1"/>
  <c r="M176" i="2" s="1"/>
  <c r="D176" i="2"/>
  <c r="E175" i="2"/>
  <c r="N175" i="2" s="1"/>
  <c r="M175" i="2" s="1"/>
  <c r="D175" i="2"/>
  <c r="N174" i="2"/>
  <c r="M174" i="2" s="1"/>
  <c r="E174" i="2"/>
  <c r="D174" i="2"/>
  <c r="N173" i="2"/>
  <c r="M173" i="2" s="1"/>
  <c r="E173" i="2"/>
  <c r="D173" i="2"/>
  <c r="N172" i="2"/>
  <c r="M172" i="2" s="1"/>
  <c r="E172" i="2"/>
  <c r="D172" i="2"/>
  <c r="E171" i="2"/>
  <c r="N171" i="2" s="1"/>
  <c r="M171" i="2" s="1"/>
  <c r="D171" i="2"/>
  <c r="E170" i="2"/>
  <c r="N170" i="2" s="1"/>
  <c r="M170" i="2" s="1"/>
  <c r="D170" i="2"/>
  <c r="E169" i="2"/>
  <c r="N169" i="2" s="1"/>
  <c r="M169" i="2" s="1"/>
  <c r="D169" i="2"/>
  <c r="E168" i="2"/>
  <c r="N168" i="2" s="1"/>
  <c r="M168" i="2" s="1"/>
  <c r="D168" i="2"/>
  <c r="N167" i="2"/>
  <c r="M167" i="2" s="1"/>
  <c r="E167" i="2"/>
  <c r="D167" i="2"/>
  <c r="E166" i="2"/>
  <c r="N166" i="2" s="1"/>
  <c r="M166" i="2" s="1"/>
  <c r="D166" i="2"/>
  <c r="E165" i="2"/>
  <c r="N165" i="2" s="1"/>
  <c r="M165" i="2" s="1"/>
  <c r="D165" i="2"/>
  <c r="E164" i="2"/>
  <c r="N164" i="2" s="1"/>
  <c r="M164" i="2" s="1"/>
  <c r="D164" i="2"/>
  <c r="N163" i="2"/>
  <c r="M163" i="2" s="1"/>
  <c r="E163" i="2"/>
  <c r="D163" i="2"/>
  <c r="E162" i="2"/>
  <c r="N162" i="2" s="1"/>
  <c r="M162" i="2" s="1"/>
  <c r="D162" i="2"/>
  <c r="E161" i="2"/>
  <c r="N161" i="2" s="1"/>
  <c r="M161" i="2" s="1"/>
  <c r="D161" i="2"/>
  <c r="E160" i="2"/>
  <c r="N160" i="2" s="1"/>
  <c r="M160" i="2" s="1"/>
  <c r="D160" i="2"/>
  <c r="E159" i="2"/>
  <c r="N159" i="2" s="1"/>
  <c r="M159" i="2" s="1"/>
  <c r="D159" i="2"/>
  <c r="E158" i="2"/>
  <c r="N158" i="2" s="1"/>
  <c r="M158" i="2" s="1"/>
  <c r="D158" i="2"/>
  <c r="N157" i="2"/>
  <c r="M157" i="2" s="1"/>
  <c r="E157" i="2"/>
  <c r="D157" i="2"/>
  <c r="N156" i="2"/>
  <c r="M156" i="2"/>
  <c r="E156" i="2"/>
  <c r="D156" i="2"/>
  <c r="N155" i="2"/>
  <c r="M155" i="2" s="1"/>
  <c r="E155" i="2"/>
  <c r="D155" i="2"/>
  <c r="N154" i="2"/>
  <c r="M154" i="2" s="1"/>
  <c r="E154" i="2"/>
  <c r="D154" i="2"/>
  <c r="N153" i="2"/>
  <c r="M153" i="2" s="1"/>
  <c r="D153" i="2"/>
  <c r="N152" i="2"/>
  <c r="M152" i="2"/>
  <c r="D152" i="2"/>
  <c r="N151" i="2"/>
  <c r="M151" i="2" s="1"/>
  <c r="D151" i="2"/>
  <c r="N150" i="2"/>
  <c r="M150" i="2" s="1"/>
  <c r="D150" i="2"/>
  <c r="N149" i="2"/>
  <c r="M149" i="2" s="1"/>
  <c r="D149" i="2"/>
  <c r="N148" i="2"/>
  <c r="M148" i="2"/>
  <c r="D148" i="2"/>
  <c r="N147" i="2"/>
  <c r="M147" i="2" s="1"/>
  <c r="D147" i="2"/>
  <c r="N146" i="2"/>
  <c r="M146" i="2" s="1"/>
  <c r="D146" i="2"/>
  <c r="N145" i="2"/>
  <c r="M145" i="2" s="1"/>
  <c r="D145" i="2"/>
  <c r="N144" i="2"/>
  <c r="M144" i="2" s="1"/>
  <c r="D144" i="2"/>
  <c r="N143" i="2"/>
  <c r="M143" i="2" s="1"/>
  <c r="D143" i="2"/>
  <c r="N142" i="2"/>
  <c r="M142" i="2" s="1"/>
  <c r="D142" i="2"/>
  <c r="N141" i="2"/>
  <c r="M141" i="2"/>
  <c r="D141" i="2"/>
  <c r="N140" i="2"/>
  <c r="M140" i="2" s="1"/>
  <c r="D140" i="2"/>
  <c r="N139" i="2"/>
  <c r="M139" i="2" s="1"/>
  <c r="D139" i="2"/>
  <c r="N138" i="2"/>
  <c r="M138" i="2"/>
  <c r="D138" i="2"/>
  <c r="N137" i="2"/>
  <c r="M137" i="2" s="1"/>
  <c r="E137" i="2"/>
  <c r="D137" i="2"/>
  <c r="E136" i="2"/>
  <c r="N136" i="2" s="1"/>
  <c r="M136" i="2" s="1"/>
  <c r="D136" i="2"/>
  <c r="E135" i="2"/>
  <c r="N135" i="2" s="1"/>
  <c r="M135" i="2" s="1"/>
  <c r="D135" i="2"/>
  <c r="E134" i="2"/>
  <c r="N134" i="2" s="1"/>
  <c r="M134" i="2" s="1"/>
  <c r="D134" i="2"/>
  <c r="N133" i="2"/>
  <c r="M133" i="2" s="1"/>
  <c r="E133" i="2"/>
  <c r="D133" i="2"/>
  <c r="E132" i="2"/>
  <c r="N132" i="2" s="1"/>
  <c r="M132" i="2" s="1"/>
  <c r="D132" i="2"/>
  <c r="E131" i="2"/>
  <c r="N131" i="2" s="1"/>
  <c r="M131" i="2" s="1"/>
  <c r="D131" i="2"/>
  <c r="E130" i="2"/>
  <c r="N130" i="2" s="1"/>
  <c r="M130" i="2" s="1"/>
  <c r="D130" i="2"/>
  <c r="N129" i="2"/>
  <c r="M129" i="2" s="1"/>
  <c r="E129" i="2"/>
  <c r="D129" i="2"/>
  <c r="N128" i="2"/>
  <c r="M128" i="2" s="1"/>
  <c r="E128" i="2"/>
  <c r="D128" i="2"/>
  <c r="N127" i="2"/>
  <c r="M127" i="2" s="1"/>
  <c r="E127" i="2"/>
  <c r="D127" i="2"/>
  <c r="E126" i="2"/>
  <c r="N126" i="2" s="1"/>
  <c r="M126" i="2" s="1"/>
  <c r="D126" i="2"/>
  <c r="E125" i="2"/>
  <c r="N125" i="2" s="1"/>
  <c r="M125" i="2" s="1"/>
  <c r="D125" i="2"/>
  <c r="N124" i="2"/>
  <c r="M124" i="2" s="1"/>
  <c r="E124" i="2"/>
  <c r="D124" i="2"/>
  <c r="E123" i="2"/>
  <c r="N123" i="2" s="1"/>
  <c r="M123" i="2" s="1"/>
  <c r="D123" i="2"/>
  <c r="E122" i="2"/>
  <c r="N122" i="2" s="1"/>
  <c r="M122" i="2" s="1"/>
  <c r="D122" i="2"/>
  <c r="N121" i="2"/>
  <c r="M121" i="2" s="1"/>
  <c r="E121" i="2"/>
  <c r="D121" i="2"/>
  <c r="N120" i="2"/>
  <c r="M120" i="2" s="1"/>
  <c r="E120" i="2"/>
  <c r="D120" i="2"/>
  <c r="E119" i="2"/>
  <c r="N119" i="2" s="1"/>
  <c r="M119" i="2" s="1"/>
  <c r="D119" i="2"/>
  <c r="E118" i="2"/>
  <c r="N118" i="2" s="1"/>
  <c r="M118" i="2" s="1"/>
  <c r="D118" i="2"/>
  <c r="N117" i="2"/>
  <c r="M117" i="2" s="1"/>
  <c r="E117" i="2"/>
  <c r="D117" i="2"/>
  <c r="N116" i="2"/>
  <c r="M116" i="2" s="1"/>
  <c r="E116" i="2"/>
  <c r="D116" i="2"/>
  <c r="E115" i="2"/>
  <c r="N115" i="2" s="1"/>
  <c r="M115" i="2" s="1"/>
  <c r="D115" i="2"/>
  <c r="E114" i="2"/>
  <c r="N114" i="2" s="1"/>
  <c r="M114" i="2" s="1"/>
  <c r="D114" i="2"/>
  <c r="N113" i="2"/>
  <c r="M113" i="2" s="1"/>
  <c r="D113" i="2"/>
  <c r="N112" i="2"/>
  <c r="M112" i="2"/>
  <c r="D112" i="2"/>
  <c r="N111" i="2"/>
  <c r="M111" i="2"/>
  <c r="D111" i="2"/>
  <c r="N110" i="2"/>
  <c r="M110" i="2"/>
  <c r="D110" i="2"/>
  <c r="N109" i="2"/>
  <c r="M109" i="2" s="1"/>
  <c r="D109" i="2"/>
  <c r="N108" i="2"/>
  <c r="M108" i="2" s="1"/>
  <c r="D108" i="2"/>
  <c r="N107" i="2"/>
  <c r="M107" i="2" s="1"/>
  <c r="D107" i="2"/>
  <c r="N106" i="2"/>
  <c r="M106" i="2" s="1"/>
  <c r="D106" i="2"/>
  <c r="N105" i="2"/>
  <c r="M105" i="2" s="1"/>
  <c r="D105" i="2"/>
  <c r="N104" i="2"/>
  <c r="M104" i="2"/>
  <c r="D104" i="2"/>
  <c r="N103" i="2"/>
  <c r="M103" i="2" s="1"/>
  <c r="D103" i="2"/>
  <c r="N102" i="2"/>
  <c r="M102" i="2" s="1"/>
  <c r="D102" i="2"/>
  <c r="N101" i="2"/>
  <c r="M101" i="2" s="1"/>
  <c r="D101" i="2"/>
  <c r="N100" i="2"/>
  <c r="M100" i="2" s="1"/>
  <c r="D100" i="2"/>
  <c r="N99" i="2"/>
  <c r="M99" i="2" s="1"/>
  <c r="D99" i="2"/>
  <c r="N98" i="2"/>
  <c r="M98" i="2" s="1"/>
  <c r="D98" i="2"/>
  <c r="N97" i="2"/>
  <c r="M97" i="2" s="1"/>
  <c r="D97" i="2"/>
  <c r="N96" i="2"/>
  <c r="M96" i="2" s="1"/>
  <c r="D96" i="2"/>
  <c r="N95" i="2"/>
  <c r="M95" i="2" s="1"/>
  <c r="E95" i="2"/>
  <c r="D95" i="2"/>
  <c r="N94" i="2"/>
  <c r="M94" i="2" s="1"/>
  <c r="E94" i="2"/>
  <c r="D94" i="2"/>
  <c r="E93" i="2"/>
  <c r="N93" i="2" s="1"/>
  <c r="M93" i="2" s="1"/>
  <c r="D93" i="2"/>
  <c r="N92" i="2"/>
  <c r="M92" i="2" s="1"/>
  <c r="E92" i="2"/>
  <c r="D92" i="2"/>
  <c r="N91" i="2"/>
  <c r="M91" i="2" s="1"/>
  <c r="E91" i="2"/>
  <c r="D91" i="2"/>
  <c r="E90" i="2"/>
  <c r="N90" i="2" s="1"/>
  <c r="M90" i="2" s="1"/>
  <c r="D90" i="2"/>
  <c r="E89" i="2"/>
  <c r="N89" i="2" s="1"/>
  <c r="M89" i="2" s="1"/>
  <c r="D89" i="2"/>
  <c r="E88" i="2"/>
  <c r="N88" i="2" s="1"/>
  <c r="M88" i="2" s="1"/>
  <c r="D88" i="2"/>
  <c r="N87" i="2"/>
  <c r="M87" i="2" s="1"/>
  <c r="E87" i="2"/>
  <c r="D87" i="2"/>
  <c r="N86" i="2"/>
  <c r="M86" i="2" s="1"/>
  <c r="E86" i="2"/>
  <c r="D86" i="2"/>
  <c r="E85" i="2"/>
  <c r="N85" i="2" s="1"/>
  <c r="M85" i="2" s="1"/>
  <c r="D85" i="2"/>
  <c r="N84" i="2"/>
  <c r="M84" i="2" s="1"/>
  <c r="E84" i="2"/>
  <c r="D84" i="2"/>
  <c r="E83" i="2"/>
  <c r="N83" i="2" s="1"/>
  <c r="M83" i="2" s="1"/>
  <c r="D83" i="2"/>
  <c r="E82" i="2"/>
  <c r="N82" i="2" s="1"/>
  <c r="M82" i="2" s="1"/>
  <c r="D82" i="2"/>
  <c r="E81" i="2"/>
  <c r="N81" i="2" s="1"/>
  <c r="M81" i="2" s="1"/>
  <c r="D81" i="2"/>
  <c r="E80" i="2"/>
  <c r="N80" i="2" s="1"/>
  <c r="M80" i="2" s="1"/>
  <c r="D80" i="2"/>
  <c r="E79" i="2"/>
  <c r="N79" i="2" s="1"/>
  <c r="M79" i="2" s="1"/>
  <c r="D79" i="2"/>
  <c r="N78" i="2"/>
  <c r="M78" i="2" s="1"/>
  <c r="E78" i="2"/>
  <c r="D78" i="2"/>
  <c r="N77" i="2"/>
  <c r="M77" i="2" s="1"/>
  <c r="E77" i="2"/>
  <c r="D77" i="2"/>
  <c r="N76" i="2"/>
  <c r="M76" i="2" s="1"/>
  <c r="E76" i="2"/>
  <c r="D76" i="2"/>
  <c r="E75" i="2"/>
  <c r="N75" i="2" s="1"/>
  <c r="M75" i="2" s="1"/>
  <c r="D75" i="2"/>
  <c r="E74" i="2"/>
  <c r="N74" i="2" s="1"/>
  <c r="M74" i="2" s="1"/>
  <c r="D74" i="2"/>
  <c r="E73" i="2"/>
  <c r="N73" i="2" s="1"/>
  <c r="M73" i="2" s="1"/>
  <c r="D73" i="2"/>
  <c r="E72" i="2"/>
  <c r="N72" i="2" s="1"/>
  <c r="M72" i="2" s="1"/>
  <c r="D72" i="2"/>
  <c r="N71" i="2"/>
  <c r="M71" i="2" s="1"/>
  <c r="E71" i="2"/>
  <c r="D71" i="2"/>
  <c r="E70" i="2"/>
  <c r="N70" i="2" s="1"/>
  <c r="M70" i="2" s="1"/>
  <c r="D70" i="2"/>
  <c r="E69" i="2"/>
  <c r="N69" i="2" s="1"/>
  <c r="M69" i="2" s="1"/>
  <c r="D69" i="2"/>
  <c r="E68" i="2"/>
  <c r="N68" i="2" s="1"/>
  <c r="M68" i="2" s="1"/>
  <c r="D68" i="2"/>
  <c r="N67" i="2"/>
  <c r="M67" i="2"/>
  <c r="E67" i="2"/>
  <c r="D67" i="2"/>
  <c r="E66" i="2"/>
  <c r="N66" i="2" s="1"/>
  <c r="M66" i="2" s="1"/>
  <c r="D66" i="2"/>
  <c r="E65" i="2"/>
  <c r="N65" i="2" s="1"/>
  <c r="M65" i="2" s="1"/>
  <c r="D65" i="2"/>
  <c r="E64" i="2"/>
  <c r="N64" i="2" s="1"/>
  <c r="M64" i="2" s="1"/>
  <c r="D64" i="2"/>
  <c r="E63" i="2"/>
  <c r="N63" i="2" s="1"/>
  <c r="M63" i="2" s="1"/>
  <c r="D63" i="2"/>
  <c r="E62" i="2"/>
  <c r="N62" i="2" s="1"/>
  <c r="M62" i="2" s="1"/>
  <c r="D62" i="2"/>
  <c r="E61" i="2"/>
  <c r="N61" i="2" s="1"/>
  <c r="M61" i="2" s="1"/>
  <c r="D61" i="2"/>
  <c r="E60" i="2"/>
  <c r="N60" i="2" s="1"/>
  <c r="M60" i="2" s="1"/>
  <c r="D60" i="2"/>
  <c r="N59" i="2"/>
  <c r="M59" i="2" s="1"/>
  <c r="E59" i="2"/>
  <c r="D59" i="2"/>
  <c r="N58" i="2"/>
  <c r="M58" i="2" s="1"/>
  <c r="E58" i="2"/>
  <c r="D58" i="2"/>
  <c r="E57" i="2"/>
  <c r="N57" i="2" s="1"/>
  <c r="M57" i="2" s="1"/>
  <c r="D57" i="2"/>
  <c r="E56" i="2"/>
  <c r="N56" i="2" s="1"/>
  <c r="M56" i="2" s="1"/>
  <c r="D56" i="2"/>
  <c r="E55" i="2"/>
  <c r="N55" i="2" s="1"/>
  <c r="M55" i="2" s="1"/>
  <c r="D55" i="2"/>
  <c r="N54" i="2"/>
  <c r="M54" i="2" s="1"/>
  <c r="E54" i="2"/>
  <c r="D54" i="2"/>
  <c r="E53" i="2"/>
  <c r="N53" i="2" s="1"/>
  <c r="M53" i="2" s="1"/>
  <c r="D53" i="2"/>
  <c r="E52" i="2"/>
  <c r="N52" i="2" s="1"/>
  <c r="M52" i="2" s="1"/>
  <c r="D52" i="2"/>
  <c r="E51" i="2"/>
  <c r="N51" i="2" s="1"/>
  <c r="M51" i="2" s="1"/>
  <c r="D51" i="2"/>
  <c r="E50" i="2"/>
  <c r="N50" i="2" s="1"/>
  <c r="M50" i="2" s="1"/>
  <c r="D50" i="2"/>
  <c r="E49" i="2"/>
  <c r="N49" i="2" s="1"/>
  <c r="M49" i="2" s="1"/>
  <c r="D49" i="2"/>
  <c r="N48" i="2"/>
  <c r="M48" i="2" s="1"/>
  <c r="E48" i="2"/>
  <c r="D48" i="2"/>
  <c r="N47" i="2"/>
  <c r="M47" i="2" s="1"/>
  <c r="E47" i="2"/>
  <c r="D47" i="2"/>
  <c r="E46" i="2"/>
  <c r="N46" i="2" s="1"/>
  <c r="M46" i="2" s="1"/>
  <c r="D46" i="2"/>
  <c r="N45" i="2"/>
  <c r="M45" i="2" s="1"/>
  <c r="E45" i="2"/>
  <c r="D45" i="2"/>
  <c r="N44" i="2"/>
  <c r="M44" i="2" s="1"/>
  <c r="E44" i="2"/>
  <c r="D44" i="2"/>
  <c r="E43" i="2"/>
  <c r="N43" i="2" s="1"/>
  <c r="M43" i="2" s="1"/>
  <c r="D43" i="2"/>
  <c r="N42" i="2"/>
  <c r="M42" i="2" s="1"/>
  <c r="E42" i="2"/>
  <c r="D42" i="2"/>
  <c r="E41" i="2"/>
  <c r="N41" i="2" s="1"/>
  <c r="M41" i="2" s="1"/>
  <c r="D41" i="2"/>
  <c r="E40" i="2"/>
  <c r="N40" i="2" s="1"/>
  <c r="M40" i="2" s="1"/>
  <c r="D40" i="2"/>
  <c r="N39" i="2"/>
  <c r="M39" i="2" s="1"/>
  <c r="E39" i="2"/>
  <c r="D39" i="2"/>
  <c r="M38" i="2"/>
  <c r="E38" i="2"/>
  <c r="N38" i="2" s="1"/>
  <c r="D38" i="2"/>
  <c r="N37" i="2"/>
  <c r="M37" i="2" s="1"/>
  <c r="E37" i="2"/>
  <c r="D37" i="2"/>
  <c r="N36" i="2"/>
  <c r="M36" i="2" s="1"/>
  <c r="E36" i="2"/>
  <c r="D36" i="2"/>
  <c r="N35" i="2"/>
  <c r="M35" i="2" s="1"/>
  <c r="E35" i="2"/>
  <c r="D35" i="2"/>
  <c r="E34" i="2"/>
  <c r="N34" i="2" s="1"/>
  <c r="M34" i="2" s="1"/>
  <c r="D34" i="2"/>
  <c r="E33" i="2"/>
  <c r="N33" i="2" s="1"/>
  <c r="M33" i="2" s="1"/>
  <c r="D33" i="2"/>
  <c r="E32" i="2"/>
  <c r="N32" i="2" s="1"/>
  <c r="M32" i="2" s="1"/>
  <c r="D32" i="2"/>
  <c r="E31" i="2"/>
  <c r="N31" i="2" s="1"/>
  <c r="M31" i="2" s="1"/>
  <c r="D31" i="2"/>
  <c r="N30" i="2"/>
  <c r="M30" i="2" s="1"/>
  <c r="D30" i="2"/>
  <c r="N29" i="2"/>
  <c r="M29" i="2" s="1"/>
  <c r="D29" i="2"/>
  <c r="N28" i="2"/>
  <c r="M28" i="2" s="1"/>
  <c r="D28" i="2"/>
  <c r="N27" i="2"/>
  <c r="M27" i="2" s="1"/>
  <c r="D27" i="2"/>
  <c r="N26" i="2"/>
  <c r="M26" i="2" s="1"/>
  <c r="D26" i="2"/>
  <c r="E25" i="2"/>
  <c r="N25" i="2" s="1"/>
  <c r="M25" i="2" s="1"/>
  <c r="D25" i="2"/>
  <c r="E24" i="2"/>
  <c r="N24" i="2" s="1"/>
  <c r="M24" i="2" s="1"/>
  <c r="D24" i="2"/>
  <c r="E23" i="2"/>
  <c r="N23" i="2" s="1"/>
  <c r="M23" i="2" s="1"/>
  <c r="D23" i="2"/>
  <c r="E22" i="2"/>
  <c r="N22" i="2" s="1"/>
  <c r="M22" i="2" s="1"/>
  <c r="D22" i="2"/>
  <c r="E21" i="2"/>
  <c r="N21" i="2" s="1"/>
  <c r="M21" i="2" s="1"/>
  <c r="D21" i="2"/>
  <c r="N20" i="2"/>
  <c r="M20" i="2" s="1"/>
  <c r="E20" i="2"/>
  <c r="D20" i="2"/>
  <c r="E19" i="2"/>
  <c r="N19" i="2" s="1"/>
  <c r="M19" i="2" s="1"/>
  <c r="D19" i="2"/>
  <c r="E18" i="2"/>
  <c r="N18" i="2" s="1"/>
  <c r="M18" i="2" s="1"/>
  <c r="D18" i="2"/>
  <c r="E17" i="2"/>
  <c r="N17" i="2" s="1"/>
  <c r="M17" i="2" s="1"/>
  <c r="D17" i="2"/>
  <c r="N16" i="2"/>
  <c r="M16" i="2" s="1"/>
  <c r="E16" i="2"/>
  <c r="D16" i="2"/>
  <c r="E15" i="2"/>
  <c r="N15" i="2" s="1"/>
  <c r="M15" i="2" s="1"/>
  <c r="D15" i="2"/>
  <c r="E14" i="2"/>
  <c r="N14" i="2" s="1"/>
  <c r="M14" i="2" s="1"/>
  <c r="D14" i="2"/>
  <c r="E13" i="2"/>
  <c r="N13" i="2" s="1"/>
  <c r="M13" i="2" s="1"/>
  <c r="D13" i="2"/>
  <c r="N12" i="2"/>
  <c r="M12" i="2" s="1"/>
  <c r="E12" i="2"/>
  <c r="D12" i="2"/>
  <c r="E11" i="2"/>
  <c r="N11" i="2" s="1"/>
  <c r="M11" i="2" s="1"/>
  <c r="D11" i="2"/>
  <c r="E10" i="2"/>
  <c r="N10" i="2" s="1"/>
  <c r="M10" i="2" s="1"/>
  <c r="D10" i="2"/>
  <c r="N9" i="2"/>
  <c r="M9" i="2" s="1"/>
  <c r="D9" i="2"/>
  <c r="N8" i="2"/>
  <c r="M8" i="2"/>
  <c r="D8" i="2"/>
  <c r="N7" i="2"/>
  <c r="M7" i="2"/>
  <c r="D7" i="2"/>
  <c r="N6" i="2"/>
  <c r="M6" i="2" s="1"/>
  <c r="D6" i="2"/>
  <c r="N5" i="2"/>
  <c r="M5" i="2"/>
  <c r="D5" i="2"/>
  <c r="N4" i="2"/>
  <c r="M4" i="2" s="1"/>
  <c r="D4" i="2"/>
  <c r="N3" i="2"/>
  <c r="M3" i="2" s="1"/>
  <c r="D3" i="2"/>
  <c r="N2" i="2"/>
  <c r="M2" i="2" s="1"/>
  <c r="D2" i="2"/>
</calcChain>
</file>

<file path=xl/sharedStrings.xml><?xml version="1.0" encoding="utf-8"?>
<sst xmlns="http://schemas.openxmlformats.org/spreadsheetml/2006/main" count="51452" uniqueCount="4466">
  <si>
    <t>TC ID</t>
  </si>
  <si>
    <t>Type</t>
  </si>
  <si>
    <t>Age</t>
  </si>
  <si>
    <t>Sleep/awake</t>
  </si>
  <si>
    <t>Row</t>
  </si>
  <si>
    <t>Seat Position</t>
  </si>
  <si>
    <t>Real child</t>
  </si>
  <si>
    <t>Training Focus set [Y/N]</t>
  </si>
  <si>
    <t>Customer focus set  [Y/N]</t>
  </si>
  <si>
    <t>Relevant for resim [Y/N]</t>
  </si>
  <si>
    <t>SOL GT</t>
  </si>
  <si>
    <t>Comment</t>
  </si>
  <si>
    <t>In json? [Y/N]</t>
  </si>
  <si>
    <t>Action Item</t>
  </si>
  <si>
    <t>Measurement name</t>
  </si>
  <si>
    <t>Location</t>
  </si>
  <si>
    <t>JsonComment</t>
  </si>
  <si>
    <t>Related T&amp;R</t>
  </si>
  <si>
    <t>CPD_GT</t>
  </si>
  <si>
    <t>OC_GT</t>
  </si>
  <si>
    <t>OC_Adult_GT</t>
  </si>
  <si>
    <t>SOD_GT</t>
  </si>
  <si>
    <t>M_BLD_GT</t>
  </si>
  <si>
    <t>S_BLD_GT</t>
  </si>
  <si>
    <t>Remove from list - real ncap1,2 available</t>
  </si>
  <si>
    <t xml:space="preserve"> NB</t>
  </si>
  <si>
    <t>1R</t>
  </si>
  <si>
    <t>N</t>
  </si>
  <si>
    <t>Y</t>
  </si>
  <si>
    <t>child</t>
  </si>
  <si>
    <t>Old measurement</t>
  </si>
  <si>
    <t>-</t>
  </si>
  <si>
    <t>TC_2.MF4.xz</t>
  </si>
  <si>
    <t>/mnt/measurements/07_CANape/Mitsubishi/5K45/MMC4.1.2/Validation/child/Sleep/</t>
  </si>
  <si>
    <t>TC_2_Try1.MF4.xz</t>
  </si>
  <si>
    <t>/mnt/measurements/07_CANape/Mitsubishi/5K45/MMC4.1.2/Validation/2025_11_29/child/part1/Sleep</t>
  </si>
  <si>
    <t>TC_2_Try2.MF4.xz</t>
  </si>
  <si>
    <t>TC_2_Try3.MF4.xz</t>
  </si>
  <si>
    <t>ncap1,2</t>
  </si>
  <si>
    <t>Update - komment + SOD GT</t>
  </si>
  <si>
    <t>CSR_XCP_Signals_Recorder_2026-01-12_13-41-04_TC2.MF4.xz</t>
  </si>
  <si>
    <t>/mnt/measurements/07_CANape/Mitsubishi/5K45/5.2.0/5K457EG11/SmokeTest/CPD</t>
  </si>
  <si>
    <t>New Born on 1st Row Right Seat Rearwards Sleep Blanket</t>
  </si>
  <si>
    <t>NB</t>
  </si>
  <si>
    <t>CSR_XCP_Signals_Recorder_2026-01-20_19-04-17_CPD_TC2_Try3.MF4.xz</t>
  </si>
  <si>
    <t>/mnt/measurements/07_CANape/Mitsubishi/5K45/MMC5.0.2/5K457EG11/CPD</t>
  </si>
  <si>
    <t>CSR_XCP_Signals_Recorder_2026-01-20_18-59-47_CPD_TC2_Try1.MF4.xz</t>
  </si>
  <si>
    <t>CSR_XCP_Signals_Recorder_2026-01-20_19-02-11_CPD_TC2_Try2.MF4.xz</t>
  </si>
  <si>
    <t>1YO</t>
  </si>
  <si>
    <t>2L</t>
  </si>
  <si>
    <t>Door is not locked, rerecord is needed (02.19.)</t>
  </si>
  <si>
    <t>Deleted</t>
  </si>
  <si>
    <t>CSR_XCP_Signals_Recorder_2025-12-22_14-54-54_TC11_CPD.MF4.xz</t>
  </si>
  <si>
    <t>/mnt/measurements/07_CANape/Mitsubishi/5K45/MMC5.1.1/5K457EG11/Smoke Tests</t>
  </si>
  <si>
    <t>2R</t>
  </si>
  <si>
    <t>TC_3.MF4.xz</t>
  </si>
  <si>
    <t>New Born on 2nd Row Right Rearwards Sleep</t>
  </si>
  <si>
    <t>TC_3_Try1.MF4.xz</t>
  </si>
  <si>
    <t>TC_3_Try2.MF4.xz</t>
  </si>
  <si>
    <t>TC_3_Try3.MF4.xz</t>
  </si>
  <si>
    <t>CSR_XCP_Signals_Recorder_2026-01-12_13-44-04_TC3.MF4.xz</t>
  </si>
  <si>
    <t>New Born on 2nd Row Right Seat Rearwards Sleep Blanket</t>
  </si>
  <si>
    <t>Added</t>
  </si>
  <si>
    <t>SmokeTest_CPD_TC3.MF4.xz</t>
  </si>
  <si>
    <t>/mnt/measurements/07_CANape/Mitsubishi/5K45/MMC5.0.2/5K457MG57/SmokeTest</t>
  </si>
  <si>
    <t>New Born in 2bd Row Right Seat Rearward Sleep</t>
  </si>
  <si>
    <t>3YO</t>
  </si>
  <si>
    <t>2C</t>
  </si>
  <si>
    <t>remove, real child mea available</t>
  </si>
  <si>
    <t>SmokeTest_CPD_TC20.MF4.xz</t>
  </si>
  <si>
    <t>TC_5_Try1.MF4.xz</t>
  </si>
  <si>
    <t>New Born on 2nd Row Left Rearwards Sleep</t>
  </si>
  <si>
    <t>TC_5_Try2.MF4.xz</t>
  </si>
  <si>
    <t>TC_5_Try3.MF4.xz</t>
  </si>
  <si>
    <t>3R</t>
  </si>
  <si>
    <t>TC_7.MF4.xz</t>
  </si>
  <si>
    <t>New Born on 3rd Row Right Rearwards Sleep</t>
  </si>
  <si>
    <t>TC_7_Try1.MF4.xz</t>
  </si>
  <si>
    <t>New Born in 3rd Row Right Seat Rearwards Sleep</t>
  </si>
  <si>
    <t>TC_7_Try2.MF4.xz</t>
  </si>
  <si>
    <t>TC_7_Try3.MF4.xz</t>
  </si>
  <si>
    <t>CSR_XCP_Signals_Recorder_2026-01-12_14-03-32_TC7.MF4.xz</t>
  </si>
  <si>
    <t>New Born on 3rd Row Right Seat Rearwards Sleep Blanket</t>
  </si>
  <si>
    <t>SmokeTest_CPD_TC7.MF4.xz</t>
  </si>
  <si>
    <t>New Born in 3rd Row Right Seat Rearward Sleep</t>
  </si>
  <si>
    <t>CPD_TC9_Try1.MF4.xz</t>
  </si>
  <si>
    <t>/mnt/measurements/07_CANape/Mitsubishi/5K45/MMC5.0.2/5K457EG11/RealChild</t>
  </si>
  <si>
    <t>1YO on 1st Row Right Seat Rearward Sleep Blanket</t>
  </si>
  <si>
    <t>CPD_TC9_Try2.MF4.xz</t>
  </si>
  <si>
    <t>CPD_TC9_Try3.MF4.xz</t>
  </si>
  <si>
    <t>CPD_TC9_Try4.MF4.xz</t>
  </si>
  <si>
    <t>CPD_TC9_Try5.MF4.xz</t>
  </si>
  <si>
    <t>TC_10.MF4.xz</t>
  </si>
  <si>
    <t>/mnt/measurements/07_CANape/Mitsubishi/5K45/MMC4.1.2/Validation/child/Awake</t>
  </si>
  <si>
    <t>1YO Child on 2nd Row Right Seat Rearwards Awake</t>
  </si>
  <si>
    <t>TC_10_Try_2.MF4.xz</t>
  </si>
  <si>
    <t>TC_10_Try_3.MF4.xz</t>
  </si>
  <si>
    <t>TC_10_Try1.MF4.xz</t>
  </si>
  <si>
    <t>/mnt/measurements/07_CANape/Mitsubishi/5K45/MMC4.1.2/Validation/2025_11_29/child/part1/Awake</t>
  </si>
  <si>
    <t>TC_10_Try2.MF4.xz</t>
  </si>
  <si>
    <t>TC_10_Try3.MF4.xz</t>
  </si>
  <si>
    <t>CSR_XCP_Signals_Recorder_2025-12-15_10-07-29_TC10_2R_CPD.MF4.xz</t>
  </si>
  <si>
    <t>/mnt/measurements/07_CANape/Mitsubishi/5K45/MMC5.0.1/5K457EG-11/Real_Child_Measurements</t>
  </si>
  <si>
    <t>1YO 2nd Row Right Seat Rearwards Awake</t>
  </si>
  <si>
    <t>CSR_XCP_Signals_Recorder_2025-12-15_10-09-13_TC10_2R_CPD.MF4.xz</t>
  </si>
  <si>
    <t>error</t>
  </si>
  <si>
    <t>CSR_XCP_Signals_Recorder_2025-12-15_10-12-14_TC10_2R_CPD.MF4.xz</t>
  </si>
  <si>
    <t>CSR_XCP_Signals_Recorder_2025-12-15_10-15-09_TC10_2R_CPD.MF4.xz</t>
  </si>
  <si>
    <t>CSR_XCP_Signals_Recorder_2025-12-15_10-18-01_TC10_2R_CPD.MF4.xz</t>
  </si>
  <si>
    <t>CSR_XCP_Signals_Recorder_2026-01-12_13-45-43_TC10.MF4.xz</t>
  </si>
  <si>
    <t>New Born on 3nd Row Right Seat Rearwards Awake Blanket</t>
  </si>
  <si>
    <t>Adult only</t>
  </si>
  <si>
    <t>1L</t>
  </si>
  <si>
    <t>adult</t>
  </si>
  <si>
    <t>SmokeTest_CPD_TC102.MF4.xz</t>
  </si>
  <si>
    <t>CSR_XCP_Signals_Recorder_2025-12-16_13-50-57_TC11_1YO2L_CPD.MF4.xz</t>
  </si>
  <si>
    <t>/mnt/measurements/07_CANape/Mitsubishi/5K45/MMC5.0.1/5K457EG-11/Real_Child_Measurements/2025_12_16</t>
  </si>
  <si>
    <t>1YO 2nd Row Left Seat Rearwards Blanket Sleep</t>
  </si>
  <si>
    <t>CSR_XCP_Signals_Recorder_2025-12-16_13-53-34_TC11_1YO2L_CPD.MF4.xz</t>
  </si>
  <si>
    <t>CSR_XCP_Signals_Recorder_2025-12-16_13-56-10_TC11_1YO2L_CPD.MF4.xz</t>
  </si>
  <si>
    <t>CSR_XCP_Signals_Recorder_2025-12-16_13-58-47_TC11_1YO2L_CPD.MF4.xz</t>
  </si>
  <si>
    <t>CSR_XCP_Signals_Recorder_2026-01-12_13-56-22_TC11.MF4.xz</t>
  </si>
  <si>
    <t>1YO on 2nd Row Left Seat Rearwards Sleep Blanket</t>
  </si>
  <si>
    <t>SmokeTest_CPD_TC11.MF4.xz</t>
  </si>
  <si>
    <t>ncap3</t>
  </si>
  <si>
    <t>F2</t>
  </si>
  <si>
    <t>F2L</t>
  </si>
  <si>
    <t>Door is closed several times</t>
  </si>
  <si>
    <t>CSR_XCP_Signals_Recorder_2026-01-20_09-29-35_CPD_TC240_Try4.MF4.xz</t>
  </si>
  <si>
    <t>CPD_SmokeTest_TS11.MF4.xz</t>
  </si>
  <si>
    <t>/mnt/measurements/07_CANape/Mitsubishi/5K45/MMC5.1.0/5K457MG47/SmokeTest</t>
  </si>
  <si>
    <t>1YO 2nd Row Left Seat Rearwards Sleep under Blanket</t>
  </si>
  <si>
    <t>TC_12.MF4.xz</t>
  </si>
  <si>
    <t>1YO Child on 2nd Row Left Seat Rearwards Awake</t>
  </si>
  <si>
    <t>TC_12_Try1.MF4.xz</t>
  </si>
  <si>
    <t>TC_12_Try2.MF4.xz</t>
  </si>
  <si>
    <t>F3</t>
  </si>
  <si>
    <t>F3R</t>
  </si>
  <si>
    <t>CSR_XCP_Signals_Recorder_2026-01-20_09-43-14_CPD_TC244_Try5.MF4.xz</t>
  </si>
  <si>
    <t>CSR_XCP_Signals_Recorder_2025-12-15_10-23-34_TC12_2L_CPD.MF4.xz</t>
  </si>
  <si>
    <t>1YO 2nd Row Left Seat Rearwards Awake</t>
  </si>
  <si>
    <t>CSR_XCP_Signals_Recorder_2025-12-15_10-26-15_TC12_2L_CPD.MF4.xz</t>
  </si>
  <si>
    <t>CSR_XCP_Signals_Recorder_2025-12-15_10-29-29_TC12_2L_CPD.MF4.xz</t>
  </si>
  <si>
    <t>CSR_XCP_Signals_Recorder_2025-12-15_10-32-16_TC12_2L_CPD.MF4.xz</t>
  </si>
  <si>
    <t>CSR_XCP_Signals_Recorder_2025-12-15_10-34-55_TC12_2L_CPD.MF4.xz</t>
  </si>
  <si>
    <t>CSR_XCP_Signals_Recorder_2026-01-12_13-57-44_TC12.MF4.xz</t>
  </si>
  <si>
    <t>1YO on 2nd Row Left Seat Rearwards Awake Blanket</t>
  </si>
  <si>
    <t>SmokeTest_CPD_TC12.MF4.xz</t>
  </si>
  <si>
    <t>CSR_XCP_Signals_Recorder_2025-12-22_14-57-30_TC12_CPD.MF4.xz</t>
  </si>
  <si>
    <t>CSR_XCP_Signals_Recorder_2025-12-22_15-01-04_TC12_CPD.MF4.xz</t>
  </si>
  <si>
    <t>CPD_SmokeTest_TS12.MF4.xz</t>
  </si>
  <si>
    <t>1YO 2nd Row Left Seat Rearwards Awake under Blanket</t>
  </si>
  <si>
    <t>CSR_XCP_Signals_Recorder_2026-01-20_09-38-41_CPD_TC244_Try2.MF4.xz</t>
  </si>
  <si>
    <t>CSR_XCP_Signals_Recorder_2025-12-16_13-37-27_TC13_1YO2M_CPD.MF4.xz</t>
  </si>
  <si>
    <t>1YO 2nd Row Middle Seat Rearwards Blanket Sleep</t>
  </si>
  <si>
    <t>CSR_XCP_Signals_Recorder_2025-12-16_13-40-05_TC13_1YO2M_CPD.MF4.xz</t>
  </si>
  <si>
    <t>CSR_XCP_Signals_Recorder_2025-12-16_13-42-41_TC13_1YO2M_CPD.MF4.xz</t>
  </si>
  <si>
    <t>resets found in measurement</t>
  </si>
  <si>
    <t>Update - komment + SOD GT + removed from file sorter list</t>
  </si>
  <si>
    <t>CSR_XCP_Signals_Recorder_2025-12-16_13-45-09_TC13_1YO2M_CPD.MF4.xz</t>
  </si>
  <si>
    <t>CSR_XCP_Signals_Recorder_2025-12-16_13-48-04_TC13_1YO2M_CPD.MF4.xz</t>
  </si>
  <si>
    <t>TC_14.MF4.xz</t>
  </si>
  <si>
    <t>1YO Child on 3rd Row Right Seat Rearwards Awake</t>
  </si>
  <si>
    <t>TC_14_Try1.MF4.xz</t>
  </si>
  <si>
    <t>TC_14_Try2.MF4.xz</t>
  </si>
  <si>
    <t>TC_14_Try3.MF4.xz</t>
  </si>
  <si>
    <t>CSR_XCP_Signals_Recorder_2025-12-16_14-19-18_TC14_1YO3R_CPD.MF4.xz</t>
  </si>
  <si>
    <t>1YO 3rd Row Right Seat Rearwards Blanket Awake</t>
  </si>
  <si>
    <t>CSR_XCP_Signals_Recorder_2025-12-16_14-26-59_TC14_1YO3R_CPD.MF4.xz</t>
  </si>
  <si>
    <t>CSR_XCP_Signals_Recorder_2025-12-16_14-32-38_TC14_1YO3R_CPD.MF4.xz</t>
  </si>
  <si>
    <t>CSR_XCP_Signals_Recorder_2025-12-16_14-37-07_TC14_1YO3R_CPD.MF4.xz</t>
  </si>
  <si>
    <t>CSR_XCP_Signals_Recorder_2025-12-16_14-41-03_TC14_1YO3R_CPD.MF4.xz</t>
  </si>
  <si>
    <t>CSR_XCP_Signals_Recorder_2026-01-26_11-12-00_CPD_TC182_Try1.MF4.xz</t>
  </si>
  <si>
    <t>/mnt/measurements/07_CANape/Mitsubishi/5K45/MMC5.0.2/5K457EG11/CPD/</t>
  </si>
  <si>
    <t>CSR_XCP_Signals_Recorder_2025-12-16_13-22-54_TC15_1YO3R_CPD.MF4.xz</t>
  </si>
  <si>
    <t>1YO 3rd Row Right Seat Rearwards Blanket Sleep</t>
  </si>
  <si>
    <t>CSR_XCP_Signals_Recorder_2025-12-16_13-25-33_TC15_1YO3R_CPD.MF4.xz</t>
  </si>
  <si>
    <t>CSR_XCP_Signals_Recorder_2025-12-16_13-28-12_TC15_1YO3R_CPD.MF4.xz</t>
  </si>
  <si>
    <t>CSR_XCP_Signals_Recorder_2025-12-16_13-30-53_TC15_1YO3R_CPD.MF4.xz</t>
  </si>
  <si>
    <t>CSR_XCP_Signals_Recorder_2025-12-16_13-33-33_TC15_1YO3R_CPD.MF4.xz</t>
  </si>
  <si>
    <t>3L</t>
  </si>
  <si>
    <t>TC_16_Try2.MF4.xz</t>
  </si>
  <si>
    <t>1YO in 3rd Row Left Seat Rearwards Sleep</t>
  </si>
  <si>
    <t>TC_16_Try3.MF4.xz</t>
  </si>
  <si>
    <t>TC_16.MF4.xz</t>
  </si>
  <si>
    <t>1YO Child on 3rd Row Left Seat Rearwards Awake</t>
  </si>
  <si>
    <t>CSR_XCP_Signals_Recorder_2026-01-12_14-05-41_TC16.MF4.xz</t>
  </si>
  <si>
    <t>1YO on 3rd Row Left Seat Rearwards Awake Blanket</t>
  </si>
  <si>
    <t>TC_16_Try1.MF4.xz</t>
  </si>
  <si>
    <t>CSR_XCP_Signals_Recorder_2026-01-26_11-13-36_CPD_TC182_Try2.MF4.xz</t>
  </si>
  <si>
    <t>CPD_TC16_Try2.MF4.xz</t>
  </si>
  <si>
    <t>/mnt/measurements/07_CANape/Mitsubishi/5K45/5.2.0/5K457EG11/Real_Childs</t>
  </si>
  <si>
    <t>CPD_TC16_Try3.MF4.xz</t>
  </si>
  <si>
    <t>CSR_XCP_Signals_Recorder_2026-01-26_11-16-46_CPD_TC182_Try3.MF4.xz</t>
  </si>
  <si>
    <t>CPD_TC16_Try5.MF4.xz</t>
  </si>
  <si>
    <t>CPD_TC17_Try1.MF4.xz</t>
  </si>
  <si>
    <t>3YO on 1st Row Right Seat Forward Awake</t>
  </si>
  <si>
    <t>CPD_TC17_Try2.MF4.xz</t>
  </si>
  <si>
    <t>CPD_TC17_Try3.MF4.xz</t>
  </si>
  <si>
    <t>CPD_TC17_Try4.MF4.xz</t>
  </si>
  <si>
    <t>CPD_TC17_Try5.MF4.xz</t>
  </si>
  <si>
    <t>CSR_XCP_Signals_Recorder_2025-12-18_15-59-42_TC17_CPD.MF4.xz</t>
  </si>
  <si>
    <t>/mnt/measurements/07_CANape/Mitsubishi/5K45/MMC5.1.0/5K457EG11</t>
  </si>
  <si>
    <t>CSR_XCP_Signals_Recorder_2025-12-18_16-02-16_TC17_CPD.MF4.xz</t>
  </si>
  <si>
    <t>CSR_XCP_Signals_Recorder_2025-12-18_16-04-43_TC17_CPD.MF4.xz</t>
  </si>
  <si>
    <t>CSR_XCP_Signals_Recorder_2025-12-18_16-06-30_TC17_CPD.MF4.xz</t>
  </si>
  <si>
    <t>CSR_XCP_Signals_Recorder_2025-12-18_16-08-07_TC17_CPD.MF4.xz</t>
  </si>
  <si>
    <t>CSR_XCP_Signals_Recorder_2025-12-23_11-49-41_TC17_CPD.MF4.xz</t>
  </si>
  <si>
    <t>CSR_XCP_Signals_Recorder_2025-12-23_11-51-13_TC17_CPD.MF4.xz</t>
  </si>
  <si>
    <t>CSR_XCP_Signals_Recorder_2025-12-23_11-52-43_TC17_CPD.MF4.xz</t>
  </si>
  <si>
    <t>CSR_XCP_Signals_Recorder_2025-12-23_11-54-15_TC17_CPD.MF4.xz</t>
  </si>
  <si>
    <t>CSR_XCP_Signals_Recorder_2025-12-23_11-56-52_TC17_CPD.MF4.xz</t>
  </si>
  <si>
    <t>CSR_XCP_Signals_Recorder_2026-01-29_16-04-22_TC17.MF4.xz</t>
  </si>
  <si>
    <t>/mnt/measurements/07_CANape/Mitsubishi/5K45/5.3.0_RC6/Customer_Testing/Real_Child_Measurements</t>
  </si>
  <si>
    <t>CSR_XCP_Signals_Recorder_2026-01-26_11-20-06_CPD_TC182_Try4.MF4.xz</t>
  </si>
  <si>
    <t>CSR_XCP_Signals_Recorder_2026-01-29_16-06-49_TC17.MF4.xz</t>
  </si>
  <si>
    <t>CSR_XCP_Signals_Recorder_2025-12-11_11-11-53_TC18_3YO_2R_CPD.MF4.xz</t>
  </si>
  <si>
    <t>/mnt/measurements/07_CANape/Mitsubishi/5K45/MMC5.0.0_RC3/Real_Child_Tests</t>
  </si>
  <si>
    <t>3YO 2nd Row Right Seat Forward Sleep</t>
  </si>
  <si>
    <t>CSR_XCP_Signals_Recorder_2025-12-11_11-13-35_TC18_3YO_2R_CPD.MF4.xz</t>
  </si>
  <si>
    <t>CSR_XCP_Signals_Recorder_2025-12-11_11-16-51_TC18_3YO_2R_CPD.MF4.xz</t>
  </si>
  <si>
    <t>CSR_XCP_Signals_Recorder_2025-12-11_11-18-13_TC18_3YO_2R_CPD.MF4.xz</t>
  </si>
  <si>
    <t>CSR_XCP_Signals_Recorder_2025-12-11_11-19-38_TC18_3YO_2R_CPD.MF4.xz</t>
  </si>
  <si>
    <t>TC_19_Try1.MF4.xz</t>
  </si>
  <si>
    <t>/mnt/measurements/07_CANape/Mitsubishi/5K45/MMC4.1.2/Validation/2025_11_29/child/part1/Awake/</t>
  </si>
  <si>
    <t>3YO Child on 2nd Row Left Seat Forward Awake</t>
  </si>
  <si>
    <t>TC_19_Try2.MF4.xz</t>
  </si>
  <si>
    <t>TC_19_Try3.MF4.xz</t>
  </si>
  <si>
    <t>CSR_XCP_Signals_Recorder_2025-12-11_11-27-04_TC20_3YO_2M_CPD.MF4.xz</t>
  </si>
  <si>
    <t>3YO 2nd Row Middle Seat Forward Sleep</t>
  </si>
  <si>
    <t>CSR_XCP_Signals_Recorder_2025-12-11_11-28-02_TC20_3YO_2M_CPD.MF4.xz</t>
  </si>
  <si>
    <t>CSR_XCP_Signals_Recorder_2025-12-11_11-28-54_TC20_3YO_2M_CPD.MF4.xz</t>
  </si>
  <si>
    <t>CSR_XCP_Signals_Recorder_2025-12-11_11-29-44_TC20_3YO_2M_CPD.MF4.xz</t>
  </si>
  <si>
    <t>CSR_XCP_Signals_Recorder_2025-12-11_11-30-35_TC20_3YO_2M_CPD.MF4.xz</t>
  </si>
  <si>
    <t>Object</t>
  </si>
  <si>
    <t>1P+F1D</t>
  </si>
  <si>
    <t>Y?</t>
  </si>
  <si>
    <t>NCAP3 long</t>
  </si>
  <si>
    <t>TC139_Try_1.MF4.xz</t>
  </si>
  <si>
    <t>/mnt/measurements/07_CANape/Mitsubishi/5K45/MMC5.0.1/5K457MG-47/CPD</t>
  </si>
  <si>
    <t xml:space="preserve">N </t>
  </si>
  <si>
    <t>CSR_XCP_Signals_Recorder_2026-01-12_15-25-03_TC20.MF4.xz</t>
  </si>
  <si>
    <t>CPD_SmokeTest_TS20.MF4.xz</t>
  </si>
  <si>
    <t>TC_21_Try1.MF4.xz</t>
  </si>
  <si>
    <t>/mnt/measurements/07_CANape/Mitsubishi/5K45/MMC4.1.2/Validation/2025_11_29/child/part2/Awake/</t>
  </si>
  <si>
    <t>3YO Child on 3rd Row Right Seat Forward Awake</t>
  </si>
  <si>
    <t>TC_21_Try2.MF4.xz</t>
  </si>
  <si>
    <t>TC_21_Try3.MF4.xz</t>
  </si>
  <si>
    <t>CSR_XCP_Signals_Recorder_2025-12-11_11-38-48_TC22_3YO_3L_CPD.MF4.xz</t>
  </si>
  <si>
    <t>3YO 3rd Row Left Seat Forward Sleep</t>
  </si>
  <si>
    <t>CSR_XCP_Signals_Recorder_2025-12-11_11-39-36_TC22_3YO_3L_CPD.MF4.xz</t>
  </si>
  <si>
    <t>CSR_XCP_Signals_Recorder_2025-12-11_11-40-24_TC22_3YO_3L_CPD.MF4.xz</t>
  </si>
  <si>
    <t>CSR_XCP_Signals_Recorder_2025-12-11_11-41-12_TC22_3YO_3L_CPD.MF4.xz</t>
  </si>
  <si>
    <t>6YO</t>
  </si>
  <si>
    <t>CSR_XCP_Signals_Recorder_2025-12-11_11-42-00_TC22_3YO_3L_CPD.MF4.xz</t>
  </si>
  <si>
    <t>CSR_XCP_Signals_Recorder_2025-12-10_10-07-16_TC23_6YOPS_CPD.MF4.xz</t>
  </si>
  <si>
    <t>6YO 1st Row Right Seat Forward Awake</t>
  </si>
  <si>
    <t>CSR_XCP_Signals_Recorder_2025-12-10_10-08-48_TC23_6YOPS_CPD.MF4.xz</t>
  </si>
  <si>
    <t>CSR_XCP_Signals_Recorder_2025-12-10_10-11-52_TC23_6YOPS_CPD.MF4.xz</t>
  </si>
  <si>
    <t>CSR_XCP_Signals_Recorder_2025-12-10_10-15-38_TC23_6YOPS_CPD.MF4.xz</t>
  </si>
  <si>
    <t>CSR_XCP_Signals_Recorder_2025-12-10_10-19-04_TC23_6YOPS_CPD.MF4.xz</t>
  </si>
  <si>
    <t>CSR_XCP_Signals_Recorder_2025-12-10_10-22-02_TC23_6YOPS_CPD.MF4.xz</t>
  </si>
  <si>
    <t>file error</t>
  </si>
  <si>
    <t>CSR_XCP_Signals_Recorder_2025-12-10_10-26-20_TC23_6YOPS_CPD.MF4.xz</t>
  </si>
  <si>
    <t>CSR_XCP_Signals_Recorder_2025-12-19_10-49-48_TC23_CPD.MF4.xz</t>
  </si>
  <si>
    <t>CSR_XCP_Signals_Recorder_2025-12-19_10-50-56_TC23_CPD.MF4.xz</t>
  </si>
  <si>
    <t>CSR_XCP_Signals_Recorder_2025-12-19_10-52-04_TC23_CPD.MF4.xz</t>
  </si>
  <si>
    <t>CSR_XCP_Signals_Recorder_2026-01-30_16-30-52_TC23.MF4.xz</t>
  </si>
  <si>
    <t>6YO on 1nd Right Seat Forward Awake</t>
  </si>
  <si>
    <t>CSR_XCP_Signals_Recorder_2026-01-30_16-31-33_TC23.MF4.xz</t>
  </si>
  <si>
    <t>CSR_XCP_Signals_Recorder_2026-01-30_14-03-06_TC23.MF4.xz</t>
  </si>
  <si>
    <t>/mnt/measurements/07_CANape/Mitsubishi/5K45/5.3.0_RC6/Customer_Testing/Real_Child_Measurements/6YO</t>
  </si>
  <si>
    <t>6YO 1st Row Right Forward Awake</t>
  </si>
  <si>
    <t>CSR_XCP_Signals_Recorder_2026-01-30_14-03-57_TC23.MF4.xz</t>
  </si>
  <si>
    <t>CSR_XCP_Signals_Recorder_2026-01-30_14-04-44_TC23.MF4.xz</t>
  </si>
  <si>
    <t>CSR_XCP_Signals_Recorder_2026-01-30_14-05-25_TC23.MF4.xz</t>
  </si>
  <si>
    <t>CSR_XCP_Signals_Recorder_2026-02-04_17-07-40_CPD_TC23_with_reset.MF4.xz</t>
  </si>
  <si>
    <t>/mnt/measurements/07_CANape/Mitsubishi/5K45/5.3.0_RC7/5K457EG11/RealChild</t>
  </si>
  <si>
    <t>CSR_XCP_Signals_Recorder_2026-02-04_17-08-51_CPD_TC23_with_reset.MF4.xz</t>
  </si>
  <si>
    <t>CSR_XCP_Signals_Recorder_2026-02-04_17-10-10_CPD_TC23_with_reset.MF4.xz</t>
  </si>
  <si>
    <t>TC_24_Try1.MF4.xz</t>
  </si>
  <si>
    <t>/mnt/measurements/07_CANape/Mitsubishi/5K45/MMC4.1.2/Validation/2025_11_29/child/part2/Sleep/</t>
  </si>
  <si>
    <t>TC_24_Try2.MF4.xz</t>
  </si>
  <si>
    <t>TC_24_Try3.MF4.xz</t>
  </si>
  <si>
    <t>CSR_XCP_Signals_Recorder_2026-01-12_14-43-04_TC24.MF4.xz</t>
  </si>
  <si>
    <t>CPD_TC24_Try1.MF4.xz</t>
  </si>
  <si>
    <t>6YO on 2nd Row Right Seat Forward Sleep</t>
  </si>
  <si>
    <t>CPD_TC24_Try2.MF4.xz</t>
  </si>
  <si>
    <t>CPD_TC24_Try3.MF4.xz</t>
  </si>
  <si>
    <t>CPD_TC24_Try4.MF4.xz</t>
  </si>
  <si>
    <t>CPD_TC24_Try5.MF4.xz</t>
  </si>
  <si>
    <t>SmokeTest_CPD_TC24.MF4.xz</t>
  </si>
  <si>
    <t>CSR_XCP_Signals_Recorder_2026-01-30_16-01-23_TC24.MF4.xz</t>
  </si>
  <si>
    <t>CSR_XCP_Signals_Recorder_2026-01-30_16-02-33_TC24.MF4.xz</t>
  </si>
  <si>
    <t>CSR_XCP_Signals_Recorder_2026-01-30_16-03-40_TC24.MF4.xz</t>
  </si>
  <si>
    <t>CSR_XCP_Signals_Recorder_2025-12-10_10-28-27_TC25_6YO2RL_CPD.MF4.xz</t>
  </si>
  <si>
    <t>6YO 2nd Row Left Seat Forward Awake</t>
  </si>
  <si>
    <t>CSR_XCP_Signals_Recorder_2025-12-10_10-31-22_TC25_6YO2RL_CPD.MF4.xz</t>
  </si>
  <si>
    <t>CSR_XCP_Signals_Recorder_2025-12-10_10-33-22_TC25_6YO2RL_CPD.MF4.xz</t>
  </si>
  <si>
    <t>CSR_XCP_Signals_Recorder_2025-12-10_10-35-23_TC25_6YO2RL_CPD.MF4.xz</t>
  </si>
  <si>
    <t>CSR_XCP_Signals_Recorder_2025-12-10_10-37-11_TC25_6YO2RL_CPD.MF4.xz</t>
  </si>
  <si>
    <t>CSR_XCP_Signals_Recorder_2025-12-19_10-39-58_TC25_CPD.MF4.xz</t>
  </si>
  <si>
    <t>CSR_XCP_Signals_Recorder_2025-12-19_10-41-06_TC25_CPD.MF4.xz</t>
  </si>
  <si>
    <t>CSR_XCP_Signals_Recorder_2025-12-19_10-42-12_TC25_CPD.MF4.xz</t>
  </si>
  <si>
    <t>CSR_XCP_Signals_Recorder_2026-01-30_16-26-12_TC25.MF4.xz</t>
  </si>
  <si>
    <t>6YO on 2nd Row Left Seat Forward Awake</t>
  </si>
  <si>
    <t>CSR_XCP_Signals_Recorder_2026-01-30_16-27-01_TC25.MF4.xz</t>
  </si>
  <si>
    <t>CSR_XCP_Signals_Recorder_2026-01-30_16-27-48_TC25.MF4.xz</t>
  </si>
  <si>
    <t>CSR_XCP_Signals_Recorder_2026-01-30_14-08-58_TC25.MF4.xz</t>
  </si>
  <si>
    <t>TC139_Try_2.MF4.xz</t>
  </si>
  <si>
    <t>CSR_XCP_Signals_Recorder_2026-01-30_14-10-22_TC25.MF4.xz</t>
  </si>
  <si>
    <t>CSR_XCP_Signals_Recorder_2026-02-04_17-13-56_CPD_TC25_with_reset.MF4.xz</t>
  </si>
  <si>
    <t>CSR_XCP_Signals_Recorder_2026-02-04_17-15-12_CPD_TC25_with_reset.MF4.xz</t>
  </si>
  <si>
    <t>CSR_XCP_Signals_Recorder_2026-02-04_17-16-32_CPD_TC25_with_reset.MF4.xz</t>
  </si>
  <si>
    <t>TC_26_Try1.MF4.xz</t>
  </si>
  <si>
    <t>TC_26_Try2.MF4.xz</t>
  </si>
  <si>
    <t>TC_26_Try3.MF4.xz</t>
  </si>
  <si>
    <t>TC139_Try_3.MF4.xz</t>
  </si>
  <si>
    <t>CSR_XCP_Signals_Recorder_2026-01-30_16-09-35_TC26.MF4.xz</t>
  </si>
  <si>
    <t>6YO on 2nd Row Middle Seat Forward Sleep</t>
  </si>
  <si>
    <t>CSR_XCP_Signals_Recorder_2026-01-30_16-10-22_TC26.MF4.xz</t>
  </si>
  <si>
    <t>CSR_XCP_Signals_Recorder_2026-01-30_16-11-11_TC26.MF4.xz</t>
  </si>
  <si>
    <t>CSR_XCP_Signals_Recorder_2026-01-30_16-13-49_TC26.MF4.xz</t>
  </si>
  <si>
    <t>CSR_XCP_Signals_Recorder_2025-12-10_10-40-19_TC27_6YO3RR_CPD.MF4.xz</t>
  </si>
  <si>
    <t>6YO 3rd Row Right Seat Forward Awake</t>
  </si>
  <si>
    <t>CSR_XCP_Signals_Recorder_2025-12-10_10-42-14_TC27_6YO3RR_CPD.MF4.xz</t>
  </si>
  <si>
    <t>CSR_XCP_Signals_Recorder_2025-12-10_10-43-45_TC27_6YO3RR_CPD.MF4.xz</t>
  </si>
  <si>
    <t>CSR_XCP_Signals_Recorder_2025-12-10_10-45-23_TC27_6YO3RR_CPD.MF4.xz</t>
  </si>
  <si>
    <t>CSR_XCP_Signals_Recorder_2025-12-10_10-46-57_TC27_6YO3RR_CPD.MF4.xz</t>
  </si>
  <si>
    <t>CSR_XCP_Signals_Recorder_2025-12-19_09-54-59_TC27_CPD.MF4.xz</t>
  </si>
  <si>
    <t>CSR_XCP_Signals_Recorder_2025-12-19_09-56-34_TC27_CPD.MF4.xz</t>
  </si>
  <si>
    <t>CSR_XCP_Signals_Recorder_2025-12-19_10-04-27_TC27_CPD.MF4.xz</t>
  </si>
  <si>
    <t>CSR_XCP_Signals_Recorder_2026-01-30_16-21-49_TC27.MF4.xz</t>
  </si>
  <si>
    <t>6YO on 3rd Row Right Seat Forward Awake</t>
  </si>
  <si>
    <t>CSR_XCP_Signals_Recorder_2026-01-30_16-22-29_TC27.MF4.xz</t>
  </si>
  <si>
    <t>CSR_XCP_Signals_Recorder_2026-01-30_16-23-12_TC27.MF4.xz</t>
  </si>
  <si>
    <t>CSR_XCP_Signals_Recorder_2026-01-30_14-14-17_TC27.MF4.xz</t>
  </si>
  <si>
    <t>CSR_XCP_Signals_Recorder_2026-01-30_14-14-55_TC27.MF4.xz</t>
  </si>
  <si>
    <t>CSR_XCP_Signals_Recorder_2026-01-30_14-15-41_TC27.MF4.xz</t>
  </si>
  <si>
    <t>CSR_XCP_Signals_Recorder_2026-02-04_17-20-23_CPD_TC27_with_reset.MF4.xz</t>
  </si>
  <si>
    <t>CSR_XCP_Signals_Recorder_2026-02-04_17-21-34_CPD_TC27_with_reset.MF4.xz</t>
  </si>
  <si>
    <t>CSR_XCP_Signals_Recorder_2026-02-04_17-22-54_CPD_TC27_with_reset.MF4.xz</t>
  </si>
  <si>
    <t>TC_28_Try1.MF4.xz</t>
  </si>
  <si>
    <t>TC_28_Try2.MF4.xz</t>
  </si>
  <si>
    <t>TC_28_Try3.MF4.xz</t>
  </si>
  <si>
    <t>CSR_XCP_Signals_Recorder_2026-01-30_16-17-14_TC28.MF4.xz</t>
  </si>
  <si>
    <t>6YO on 3rd Row Left Seat Forward Sleep</t>
  </si>
  <si>
    <t>CSR_XCP_Signals_Recorder_2026-01-30_16-17-59_TC28.MF4.xz</t>
  </si>
  <si>
    <t>CSR_XCP_Signals_Recorder_2026-01-30_16-18-46_TC28.MF4.xz</t>
  </si>
  <si>
    <t>6YO+NB</t>
  </si>
  <si>
    <t>2+3</t>
  </si>
  <si>
    <t>2R+3R</t>
  </si>
  <si>
    <t>CSR_XCP_Signals_Recorder_2026-01-30_16-36-33_TC30.MF4.xz</t>
  </si>
  <si>
    <t>/mnt/measurements/07_CANape/Mitsubishi/5K45/5.3.0_RC6/Customer_Testing</t>
  </si>
  <si>
    <t>6YO on 2nd Row Right and 1YO on 3rd Row Right</t>
  </si>
  <si>
    <t>CSR_XCP_Signals_Recorder_2026-01-30_16-37-12_TC30.MF4.xz</t>
  </si>
  <si>
    <t>CSR_XCP_Signals_Recorder_2026-01-30_16-37-59_TC30.MF4.xz</t>
  </si>
  <si>
    <t>CSR_XCP_Signals_Recorder_2026-01-30_16-38-48_TC30.MF4.xz</t>
  </si>
  <si>
    <t>CSR_XCP_Signals_Recorder_2026-01-30_16-39-34_TC30.MF4.xz</t>
  </si>
  <si>
    <t>multiple children</t>
  </si>
  <si>
    <t>NB+6YO</t>
  </si>
  <si>
    <t>CSR_XCP_Signals_Recorder_2026-02-04_17-27-04_CPD_TC30_with_reset.MF4.xz</t>
  </si>
  <si>
    <t>CSR_XCP_Signals_Recorder_2026-02-04_17-28-15_CPD_TC30_with_reset.MF4.xz</t>
  </si>
  <si>
    <t>CSR_XCP_Signals_Recorder_2026-02-04_17-29-33_CPD_TC30_with_reset.MF4.xz</t>
  </si>
  <si>
    <t>CSR_XCP_Signals_Recorder_2025-12-11_11-49-25_TC31_3YO_1L_CPD.MF4.xz</t>
  </si>
  <si>
    <t>3YO 1st Row Left Seat Awake</t>
  </si>
  <si>
    <t>CSR_XCP_Signals_Recorder_2025-12-11_11-50-58_TC31_3YO_1L_CPD.MF4.xz</t>
  </si>
  <si>
    <t>CSR_XCP_Signals_Recorder_2025-12-11_11-52-57_TC31_3YO_1L_CPD.MF4.xz</t>
  </si>
  <si>
    <t>CSR_XCP_Signals_Recorder_2025-12-11_11-56-10_TC31_3YO_1L_CPD.MF4.xz</t>
  </si>
  <si>
    <t>CSR_XCP_Signals_Recorder_2025-12-11_11-58-19_TC31_3YO_1L_CPD.MF4.xz</t>
  </si>
  <si>
    <t>TC_32_Try1.MF4.xz</t>
  </si>
  <si>
    <t>/mnt/measurements/07_CANape/Mitsubishi/5K45/MMC4.1.2/Validation/2025_12_02/ChildAwake</t>
  </si>
  <si>
    <t>3YO on 1st Row Left Seat Laying Awake</t>
  </si>
  <si>
    <t>TC_32_Try2.MF4.xz</t>
  </si>
  <si>
    <t>TC_32_Try3.MF4.xz</t>
  </si>
  <si>
    <t>TC_33_Try1.MF4.xz</t>
  </si>
  <si>
    <t>3YO on 1st Row Left Seat Awake</t>
  </si>
  <si>
    <t>TC_33_Try2.MF4.xz</t>
  </si>
  <si>
    <t>TC_33_Try3.MF4.xz</t>
  </si>
  <si>
    <t>TC_34_Try1.MF4.xz</t>
  </si>
  <si>
    <t>/mnt/measurements/07_CANape/Mitsubishi/5K45/MMC4.1.2/Validation/2025_12_02/ChildSleep</t>
  </si>
  <si>
    <t>3YO on 1st Row Left Seat Laying Sleep</t>
  </si>
  <si>
    <t>TC_34_Try2.MF4.xz</t>
  </si>
  <si>
    <t>TC_34_Try3.MF4.xz</t>
  </si>
  <si>
    <t>TC_35_Try1.MF4.xz</t>
  </si>
  <si>
    <t>TC_35_Try2.MF4.xz</t>
  </si>
  <si>
    <t>TC_35_Try3.MF4.xz</t>
  </si>
  <si>
    <t>TC_36_Try1.MF4.xz</t>
  </si>
  <si>
    <t>TC_36_Try2.MF4.xz</t>
  </si>
  <si>
    <t>TC_36_Try3.MF4.xz</t>
  </si>
  <si>
    <t>CSR_XCP_Signals_Recorder_2026-01-30_10-23-52_TC37.MF4.xz</t>
  </si>
  <si>
    <t>/mnt/measurements/07_CANape/Mitsubishi/5K45/5.3.0_RC6/Customer_Testing/Real_Child_Measurements/3YO</t>
  </si>
  <si>
    <t>CSR_XCP_Signals_Recorder_2026-01-30_10-25-19_TC37.MF4.xz</t>
  </si>
  <si>
    <t>3YO on 1st Row Left Seat Lying Sleep</t>
  </si>
  <si>
    <t>CSR_XCP_Signals_Recorder_2026-01-30_10-26-43_TC37.MF4.xz</t>
  </si>
  <si>
    <t>CSR_XCP_Signals_Recorder_2026-01-30_10-28-06_TC37.MF4.xz</t>
  </si>
  <si>
    <t>CSR_XCP_Signals_Recorder_2026-01-30_10-29-32_TC37.MF4.xz</t>
  </si>
  <si>
    <t>CSR_XCP_Signals_Recorder_2026-01-30_10-31-17_TC37.MF4.xz</t>
  </si>
  <si>
    <t>TC_38_Try1.MF4.xz</t>
  </si>
  <si>
    <t>TC_38_Try2.MF4.xz</t>
  </si>
  <si>
    <t>TC_38_Try3.MF4.xz</t>
  </si>
  <si>
    <t>TC_39_Try1.MF4.xz</t>
  </si>
  <si>
    <t>6YO on 1st Row Right Seat Laying Sleep</t>
  </si>
  <si>
    <t>TC_39_Try2.MF4.xz</t>
  </si>
  <si>
    <t>TC_39_Try3.MF4.xz</t>
  </si>
  <si>
    <t>Phone</t>
  </si>
  <si>
    <t>TC161_Try_1.MF4.xz</t>
  </si>
  <si>
    <t>TC161_Try_2.MF4.xz</t>
  </si>
  <si>
    <t>TC161_Try_3.MF4.xz</t>
  </si>
  <si>
    <t>CPD_TC40_Try1.MF4.xz</t>
  </si>
  <si>
    <t>CPD_TC40_Try2.MF4.xz</t>
  </si>
  <si>
    <t>CPD_TC40_Try3.MF4.xz</t>
  </si>
  <si>
    <t>CPD_TC40_Try4.MF4.xz</t>
  </si>
  <si>
    <t>CPD_TC40_Try5.MF4.xz</t>
  </si>
  <si>
    <t>CPD_TC41_Try1.MF4.xz</t>
  </si>
  <si>
    <t>CPD_TC41_Try2.MF4.xz</t>
  </si>
  <si>
    <t>CPD_TC41_Try3.MF4.xz</t>
  </si>
  <si>
    <t>CPD_TC41_Try4.MF4.xz</t>
  </si>
  <si>
    <t>CPD_TC41_Try5.MF4.xz</t>
  </si>
  <si>
    <t>CSR_XCP_Signals_Recorder_2025-12-15_11-06-59_TC42_3YO1R_CPD.MF4.xz</t>
  </si>
  <si>
    <t>3YO 1st Row Right Seat Awake</t>
  </si>
  <si>
    <t>CSR_XCP_Signals_Recorder_2025-12-15_11-08-40_TC42_3YO1R_CPD.MF4.xz</t>
  </si>
  <si>
    <t>CSR_XCP_Signals_Recorder_2025-12-15_11-10-23_TC42_3YO1R_CPD.MF4.xz</t>
  </si>
  <si>
    <t>CSR_XCP_Signals_Recorder_2025-12-15_11-12-15_TC42_3YO1R_CPD.MF4.xz</t>
  </si>
  <si>
    <t>CSR_XCP_Signals_Recorder_2025-12-15_11-13-56_TC42_3YO1R_CPD.MF4.xz</t>
  </si>
  <si>
    <t>CPD_TC43_Try1.MF4.xz</t>
  </si>
  <si>
    <t>CPD_TC43_Try2.MF4.xz</t>
  </si>
  <si>
    <t>CPD_TC43_Try3.MF4.xz</t>
  </si>
  <si>
    <t>CPD_TC43_Try4.MF4.xz</t>
  </si>
  <si>
    <t>CPD_TC43_Try5.MF4.xz</t>
  </si>
  <si>
    <t>TC_44_Try1.MF4.xz</t>
  </si>
  <si>
    <t>TC_44_Try2.MF4.xz</t>
  </si>
  <si>
    <t>TC_44_Try3.MF4.xz</t>
  </si>
  <si>
    <t>TC_45_Try1.MF4.xz</t>
  </si>
  <si>
    <t>TC_45_Try2.MF4.xz</t>
  </si>
  <si>
    <t>TC_45_Try3.MF4.xz</t>
  </si>
  <si>
    <t>TC_46_Try1.MF4.xz</t>
  </si>
  <si>
    <t>Door is opened early so HMI goes back from detection to monitoring; not good measurement to resim</t>
  </si>
  <si>
    <t>TC_46_Try2.MF4.xz</t>
  </si>
  <si>
    <t>TC_46_Try3.MF4.xz</t>
  </si>
  <si>
    <t>CSR_XCP_Signals_Recorder_2025-12-18_16-30-23_TC47_CPD.MF4.xz</t>
  </si>
  <si>
    <t>CSR_XCP_Signals_Recorder_2025-12-18_16-32-06_TC47_CPD.MF4.xz</t>
  </si>
  <si>
    <t>CSR_XCP_Signals_Recorder_2025-12-18_16-34-14_TC47_CPD.MF4.xz</t>
  </si>
  <si>
    <t>CSR_XCP_Signals_Recorder_2025-12-18_16-35-56_TC47_CPD.MF4.xz</t>
  </si>
  <si>
    <t>CSR_XCP_Signals_Recorder_2025-12-18_16-38-46_TC47_CPD.MF4.xz</t>
  </si>
  <si>
    <t>TC48_Try_1.MF4.xz</t>
  </si>
  <si>
    <t>/mnt/measurements/07_CANape/Mitsubishi/5K45/MMC5.0.0_RC3_with_resetfix/CPD/</t>
  </si>
  <si>
    <t>TC48_Try_2.MF4.xz</t>
  </si>
  <si>
    <t>TC48_Try_3.MF4.xz</t>
  </si>
  <si>
    <t>TC165_Try_1.MF4.xz</t>
  </si>
  <si>
    <t>TC165_Try_2.MF4.xz</t>
  </si>
  <si>
    <t>TC165_Try_3.MF4.xz</t>
  </si>
  <si>
    <t>TC49_Try_1.MF4.xz</t>
  </si>
  <si>
    <t>TC49_Try_2.MF4.xz</t>
  </si>
  <si>
    <t>TC49_Try_3.MF4.xz</t>
  </si>
  <si>
    <t>TC_50_Try1.MF4.xz</t>
  </si>
  <si>
    <t>TC_50_Try2.MF4.xz</t>
  </si>
  <si>
    <t>TC_50_Try3.MF4.xz</t>
  </si>
  <si>
    <t>SmokeTest_CPD_TC50.MF4.xz</t>
  </si>
  <si>
    <t>/mnt/measurements/07_CANape/Mitsubishi/5K45/MMC5.0.2/5K457MG57/SmokeTest/ncap3</t>
  </si>
  <si>
    <t>CSR_XCP_Signals_Recorder_2025-12-15_11-32-44_TC51_3YO2C_CPD.MF4.xz</t>
  </si>
  <si>
    <t>3YO 2nd Row Middle Seat Lying Awake</t>
  </si>
  <si>
    <t>CSR_XCP_Signals_Recorder_2025-12-15_11-34-50_TC51_3YO2C_CPD.MF4.xz</t>
  </si>
  <si>
    <t>CSR_XCP_Signals_Recorder_2025-12-15_11-36-29_TC51_3YO2C_CPD.MF4.xz</t>
  </si>
  <si>
    <t>CSR_XCP_Signals_Recorder_2025-12-15_11-38-04_TC51_3YO2C_CPD.MF4.xz</t>
  </si>
  <si>
    <t>CSR_XCP_Signals_Recorder_2025-12-15_11-39-49_TC51_3YO2C_CPD.MF4.xz</t>
  </si>
  <si>
    <t>CSR_XCP_Signals_Recorder_2026-01-12_15-14-46_TC51.MF4.xz</t>
  </si>
  <si>
    <t>CSR_XCP_Signals_Recorder_2026-01-29_16-10-35_TC51.MF4.xz</t>
  </si>
  <si>
    <t>3YO on 2nd Middle Seat Lying Awake</t>
  </si>
  <si>
    <t>CSR_XCP_Signals_Recorder_2026-01-29_16-12-21_TC51.MF4.xz</t>
  </si>
  <si>
    <t>CSR_XCP_Signals_Recorder_2026-01-29_16-13-52_TC51.MF4.xz</t>
  </si>
  <si>
    <t>TC_52_Try1.MF4.xz</t>
  </si>
  <si>
    <t>TC_52_Try2.MF4.xz</t>
  </si>
  <si>
    <t>TC_52_Try3.MF4.xz</t>
  </si>
  <si>
    <t>TC53_Try_1.MF4.xz</t>
  </si>
  <si>
    <t>/mnt/measurements/07_CANape/Mitsubishi/5K45/MMC5.0.0_RC3_with_resetfix/CPD</t>
  </si>
  <si>
    <t>TC53_Try_2.MF4.xz</t>
  </si>
  <si>
    <t>TC53_Try_3.MF4.xz</t>
  </si>
  <si>
    <t>CSR_XCP_Signals_Recorder_2025-12-18_17-02-49_TC54_CPD.MF4.xz</t>
  </si>
  <si>
    <t>CSR_XCP_Signals_Recorder_2025-12-18_17-04-21_TC54_CPD.MF4.xz</t>
  </si>
  <si>
    <t>CSR_XCP_Signals_Recorder_2025-12-18_17-05-54_TC54_CPD.MF4.xz</t>
  </si>
  <si>
    <t>CSR_XCP_Signals_Recorder_2025-12-18_17-15-22_TC54_CPD.MF4.xz</t>
  </si>
  <si>
    <t>CSR_XCP_Signals_Recorder_2025-12-18_17-16-57_TC54_CPD.MF4.xz</t>
  </si>
  <si>
    <t>CSR_XCP_Signals_Recorder_2025-12-17_14-13-57_TC55_3YO3L_CPD.MF4.xz</t>
  </si>
  <si>
    <t>CSR_XCP_Signals_Recorder_2025-12-17_14-15-22_TC55_3YO3L_CPD.MF4.xz</t>
  </si>
  <si>
    <t>CSR_XCP_Signals_Recorder_2025-12-17_14-17-27_TC55_3YO3L_CPD.MF4.xz</t>
  </si>
  <si>
    <t>CSR_XCP_Signals_Recorder_2025-12-17_14-18-54_TC55_3YO3L_CPD.MF4.xz</t>
  </si>
  <si>
    <t>CSR_XCP_Signals_Recorder_2025-12-17_14-20-27_TC55_3YO3L_CPD.MF4.xz</t>
  </si>
  <si>
    <t>F1</t>
  </si>
  <si>
    <t>F1D</t>
  </si>
  <si>
    <t>TC56_Try_1.MF4.xz</t>
  </si>
  <si>
    <t>TC56_Try_2.MF4.xz</t>
  </si>
  <si>
    <t>TC56_Try_3.MF4.xz</t>
  </si>
  <si>
    <t>CSR_XCP_Signals_Recorder_2025-12-18_13-52-08_TC56_CPD.MF4.xz</t>
  </si>
  <si>
    <t>CSR_XCP_Signals_Recorder_2025-12-18_13-53-50_TC56_CPD.MF4.xz</t>
  </si>
  <si>
    <t>CSR_XCP_Signals_Recorder_2025-12-18_14-05-21_TC56_CPD.MF4.xz</t>
  </si>
  <si>
    <t>CPD_TC56_Try1.MF4.xz</t>
  </si>
  <si>
    <t>3YO on 1st Row Left Footwell Awake</t>
  </si>
  <si>
    <t>CPD_TC56_Try2.MF4.xz</t>
  </si>
  <si>
    <t>CPD_TC56_Try3.MF4.xz</t>
  </si>
  <si>
    <t>CPD_TC56_Try4.MF4.xz</t>
  </si>
  <si>
    <t>CPD_TC56_Try5.MF4.xz</t>
  </si>
  <si>
    <t>CSR_XCP_Signals_Recorder_2026-01-20_09-53-27_CPD_TC56_Try5.MF4.xz</t>
  </si>
  <si>
    <t>Remove from list - Failing breathing rate</t>
  </si>
  <si>
    <t>CSR_XCP_Signals_Recorder_2026-01-20_09-46-39_CPD_TC56_Try1.MF4.xz</t>
  </si>
  <si>
    <t>CSR_XCP_Signals_Recorder_2026-01-20_09-48-47_CPD_TC56_Try2.MF4.xz</t>
  </si>
  <si>
    <t>CSR_XCP_Signals_Recorder_2026-01-20_09-50-16_CPD_TC56_Try3.MF4.xz</t>
  </si>
  <si>
    <t>CSR_XCP_Signals_Recorder_2026-01-20_09-51-41_CPD_TC56_Try4.MF4.xz</t>
  </si>
  <si>
    <t>F1P</t>
  </si>
  <si>
    <t>TC57_Try_1.MF4.xz</t>
  </si>
  <si>
    <t>TC57_Try_2.MF4.xz</t>
  </si>
  <si>
    <t>TC57_Try_3.MF4.xz</t>
  </si>
  <si>
    <t>CPD_TC57_Try1.MF4.xz</t>
  </si>
  <si>
    <t>3YO on 1st Row Right Footwell Awake</t>
  </si>
  <si>
    <t>CPD_TC57_Try2.MF4.xz</t>
  </si>
  <si>
    <t>CPD_TC57_Try3.MF4.xz</t>
  </si>
  <si>
    <t>CPD_TC57_Try4.MF4.xz</t>
  </si>
  <si>
    <t>CPD_TC57_Try5.MF4.xz</t>
  </si>
  <si>
    <t>Incorrect length</t>
  </si>
  <si>
    <t>CSR_XCP_Signals_Recorder_2025-12-23_11-31-20_TC57_CPD.MF4.xz</t>
  </si>
  <si>
    <t>CSR_XCP_Signals_Recorder_2025-12-23_11-32-54_TC57_CPD.MF4.xz</t>
  </si>
  <si>
    <t>CSR_XCP_Signals_Recorder_2025-12-23_11-34-09_TC57_CPD.MF4.xz</t>
  </si>
  <si>
    <t>CSR_XCP_Signals_Recorder_2025-12-23_11-36-44_TC57_CPD.MF4.xz</t>
  </si>
  <si>
    <t>CSR_XCP_Signals_Recorder_2025-12-23_11-39-21_TC57_CPD.MF4.xz</t>
  </si>
  <si>
    <t>CSR_XCP_Signals_Recorder_2026-01-29_16-22-22_TC57.MF4.xz</t>
  </si>
  <si>
    <t>CSR_XCP_Signals_Recorder_2026-01-29_16-24-52_TC57.MF4.xz</t>
  </si>
  <si>
    <t>CSR_XCP_Signals_Recorder_2026-01-29_16-26-15_TC57.MF4.xz</t>
  </si>
  <si>
    <t>TC58_Try_1.MF4.xz</t>
  </si>
  <si>
    <t>TC58_Try_2.MF4.xz</t>
  </si>
  <si>
    <t>TC58_Try_3.MF4.xz</t>
  </si>
  <si>
    <t>CPD_TC58_Try1.MF4.xz</t>
  </si>
  <si>
    <t>3YO on 1st Row Right Footwell Awake Outward Facing</t>
  </si>
  <si>
    <t>CPD_TC58_Try2.MF4.xz</t>
  </si>
  <si>
    <t>CPD_TC58_Try3.MF4.xz</t>
  </si>
  <si>
    <t>CPD_TC58_Try4.MF4.xz</t>
  </si>
  <si>
    <t>CPD_TC58_Try5.MF4.xz</t>
  </si>
  <si>
    <t>F2R</t>
  </si>
  <si>
    <t>TC59_Try_1.MF4.xz</t>
  </si>
  <si>
    <t>TC59_Try_2.MF4.xz</t>
  </si>
  <si>
    <t>TC59_Try_3.MF4.xz</t>
  </si>
  <si>
    <t>TC60_Try_1.MF4.xz</t>
  </si>
  <si>
    <t>TC60_Try_2.MF4.xz</t>
  </si>
  <si>
    <t>TC60_Try_3.MF4.xz</t>
  </si>
  <si>
    <t>F2C</t>
  </si>
  <si>
    <t>detection is deatcivated in mea (CpdFuncActive =5)</t>
  </si>
  <si>
    <t>MMC4.1.2/Validation/2025_11_28/orderedByTargetType/ncap3/TC_61_Try1.MF4.xz</t>
  </si>
  <si>
    <t>/mnt/measurements/07_CANape/Mitsubishi/5K45/MMC4.1.2/Validation</t>
  </si>
  <si>
    <t>MMC4.1.2/Validation/2025_11_28/orderedByTargetType/ncap3/TC_61_Try2.MF4.xz</t>
  </si>
  <si>
    <t>MMC4.1.2/Validation/2025_11_28/orderedByTargetType/ncap3/TC_61_Try3.MF4.xz</t>
  </si>
  <si>
    <t>TC_61_Try1.MF4.xz</t>
  </si>
  <si>
    <t>TC_61_Try2.MF4.xz</t>
  </si>
  <si>
    <t>TC_61_Try3.MF4.xz</t>
  </si>
  <si>
    <t>TC62_Try_1.MF4.xz</t>
  </si>
  <si>
    <t>3YO on 3rd Row Right Seat Footwell Awake</t>
  </si>
  <si>
    <t>TC62_Try_2.MF4.xz</t>
  </si>
  <si>
    <t>TC62_Try_3.MF4.xz</t>
  </si>
  <si>
    <t>CSR_XCP_Signals_Recorder_2026-01-30_10-12-17_TC62.MF4.xz</t>
  </si>
  <si>
    <t>CSR_XCP_Signals_Recorder_2026-01-30_10-14-10_TC62.MF4.xz</t>
  </si>
  <si>
    <t>CSR_XCP_Signals_Recorder_2026-01-30_10-16-49_TC62.MF4.xz</t>
  </si>
  <si>
    <t>3YO on 3rd Row Right Seat Awake</t>
  </si>
  <si>
    <t>CSR_XCP_Signals_Recorder_2026-01-30_10-18-55_TC62.MF4.xz</t>
  </si>
  <si>
    <t>F3L</t>
  </si>
  <si>
    <t>TC_63_Try1.MF4.xz</t>
  </si>
  <si>
    <t>TC_63_Try2.MF4.xz</t>
  </si>
  <si>
    <t>TC_63_Try3.MF4.xz</t>
  </si>
  <si>
    <t>TC64_Try_1.MF4.xz</t>
  </si>
  <si>
    <t>TC64_Try_2.MF4.xz</t>
  </si>
  <si>
    <t>TC64_Try_3.MF4.xz</t>
  </si>
  <si>
    <t>CSR_XCP_Signals_Recorder_2025-12-11_10-11-15_TC65_6YO_1R_CPD.MF4.xz</t>
  </si>
  <si>
    <t>6YO 1st Row Right Seat Lying Awake</t>
  </si>
  <si>
    <t>CSR_XCP_Signals_Recorder_2025-12-11_10-20-02_TC65_6YO_1R_CPD.MF4.xz</t>
  </si>
  <si>
    <t>CSR_XCP_Signals_Recorder_2025-12-11_10-23-00_TC65_6YO_1R_CPD.MF4.xz</t>
  </si>
  <si>
    <t>CSR_XCP_Signals_Recorder_2025-12-11_10-25-45_TC65_6YO_1R_CPD.MF4.xz</t>
  </si>
  <si>
    <t>TC_65_Try1.MF4.xz</t>
  </si>
  <si>
    <t>TC_65_Try2.MF4.xz</t>
  </si>
  <si>
    <t>TC_65_Try3.MF4.xz</t>
  </si>
  <si>
    <t>CSR_XCP_Signals_Recorder_2025-12-10_17-19-17_TC66_6YO2RR_CPD.MF4.xz</t>
  </si>
  <si>
    <t>6YO 2nd Row Right Seat Awake</t>
  </si>
  <si>
    <t>CSR_XCP_Signals_Recorder_2025-12-10_17-24-11_TC66__6YO2RR_CPD.MF4.xz</t>
  </si>
  <si>
    <t>CSR_XCP_Signals_Recorder_2025-12-10_17-25-54_TC66__6YO2RR_CPD.MF4.xz</t>
  </si>
  <si>
    <t>CSR_XCP_Signals_Recorder_2025-12-10_17-27-22_TC66__6YO2RR_CPD.MF4.xz</t>
  </si>
  <si>
    <t>CSR_XCP_Signals_Recorder_2025-12-10_17-30-40_TC66__6YO2RR_CPD.MF4.xz</t>
  </si>
  <si>
    <t>CSR_XCP_Signals_Recorder_2025-12-11_10-32-41_TC67_6YO_2R_CPD.MF4.xz</t>
  </si>
  <si>
    <t>6YO 2nd Row Right Seat Kneeling Awake</t>
  </si>
  <si>
    <t>CSR_XCP_Signals_Recorder_2025-12-11_10-34-11_TC67_6YO_2R_CPD.MF4.xz</t>
  </si>
  <si>
    <t>CSR_XCP_Signals_Recorder_2025-12-11_10-35-52_TC67_6YO_2R_CPD.MF4.xz</t>
  </si>
  <si>
    <t>CSR_XCP_Signals_Recorder_2025-12-11_10-38-31_TC67_6YO_2R_CPD.MF4.xz</t>
  </si>
  <si>
    <t>CSR_XCP_Signals_Recorder_2025-12-11_10-30-51_TC67_6YO_2R_CPD.MF4.xz</t>
  </si>
  <si>
    <t>TC_67_Try1.MF4.xz</t>
  </si>
  <si>
    <t>TC_67_Try2.MF4.xz</t>
  </si>
  <si>
    <t>TC_67_Try3.MF4.xz</t>
  </si>
  <si>
    <t>CPD_SmokeTest_TS68-Try1.MF4.xz</t>
  </si>
  <si>
    <t>CPD_SmokeTest_TS68_Try2.MF4.xz</t>
  </si>
  <si>
    <t>CPD_SmokeTest_TS68_Try3.MF4.xz</t>
  </si>
  <si>
    <t>TC68_Try_1.MF4.xz</t>
  </si>
  <si>
    <t>6YO on 2nd Row Left Seat Awake</t>
  </si>
  <si>
    <t>TC68_Try_2.MF4.xz</t>
  </si>
  <si>
    <t>TC68_Try_3.MF4.xz</t>
  </si>
  <si>
    <t>SmokeTest_CPD_TC68.MF4.xz</t>
  </si>
  <si>
    <t>6YO on 2nd Row Left Seat Rearwards Awake</t>
  </si>
  <si>
    <t>CSR_XCP_Signals_Recorder_2025-12-22_14-49-08_TC68_CPD.MF4.xz</t>
  </si>
  <si>
    <t>CSR_XCP_Signals_Recorder_2025-12-11_10-43-38_TC69_6YO_2L_CPD.MF4.xz</t>
  </si>
  <si>
    <t>6YO 2nd Row Left Seat Kneeling Awake</t>
  </si>
  <si>
    <t>CSR_XCP_Signals_Recorder_2025-12-11_10-46-04_TC69_6YO_2L_CPD.MF4.xz</t>
  </si>
  <si>
    <t>CSR_XCP_Signals_Recorder_2025-12-11_10-47-30_TC69_6YO_2L_CPD.MF4.xz</t>
  </si>
  <si>
    <t>CSR_XCP_Signals_Recorder_2025-12-11_10-49-08_TC69_6YO_2L_CPD.MF4.xz</t>
  </si>
  <si>
    <t>CSR_XCP_Signals_Recorder_2025-12-11_10-41-39_TC69_6YO_2L_CPD.MF4.xz</t>
  </si>
  <si>
    <t>m_CpdFuncActive = 8, CPD is in INIT</t>
  </si>
  <si>
    <t>TC_69_Try1.MF4.xz</t>
  </si>
  <si>
    <t>TC_69_Try2.MF4.xz</t>
  </si>
  <si>
    <t>TC_69_Try3.MF4.xz</t>
  </si>
  <si>
    <t>m_CpdFuncActive = 7, CPD degraded</t>
  </si>
  <si>
    <t>CSR_XCP_Signals_Recorder_2025-12-10_10-50-49_TC70_6YO2RC_CPD.MF4.xz</t>
  </si>
  <si>
    <t>Adult w child</t>
  </si>
  <si>
    <t>1+2</t>
  </si>
  <si>
    <t>1P+2L</t>
  </si>
  <si>
    <t>Rerecord with door locked</t>
  </si>
  <si>
    <t>CSR_XCP_Signals_Recorder_2025-12-15_16-50-58_TC97_6YO1R_AM502L_CPD.MF4.xz</t>
  </si>
  <si>
    <t>CSR_XCP_Signals_Recorder_2025-12-15_16-54-07_TC97_6YO1R_AM502L_CPD.MF4.xz</t>
  </si>
  <si>
    <t>CSR_XCP_Signals_Recorder_2025-12-15_16-55-41_TC97_6YO1R_AM502L_CPD.MF4.xz</t>
  </si>
  <si>
    <t>CSR_XCP_Signals_Recorder_2025-12-15_16-57-16_TC97_6YO1R_AM502L_CPD.MF4.xz</t>
  </si>
  <si>
    <t>CSR_XCP_Signals_Recorder_2025-12-18_16-42-47_TC70_CPD.MF4.xz</t>
  </si>
  <si>
    <t>6YO 2nd Row Middle Seat Lying Sleep</t>
  </si>
  <si>
    <t>CSR_XCP_Signals_Recorder_2025-12-18_16-44-24_TC70_CPD.MF4.xz</t>
  </si>
  <si>
    <t>CSR_XCP_Signals_Recorder_2025-12-18_16-45-59_TC70_CPD.MF4.xz</t>
  </si>
  <si>
    <t>CSR_XCP_Signals_Recorder_2025-12-18_16-47-35_TC70_CPD.MF4.xz</t>
  </si>
  <si>
    <t>CSR_XCP_Signals_Recorder_2025-12-18_16-49-09_TC70_CPD.MF4.xz</t>
  </si>
  <si>
    <t>CSR_XCP_Signals_Recorder_2026-01-20_16-07-49_CPD_TC70_Try5.MF4.xz</t>
  </si>
  <si>
    <t>6YO on 2nd Row Middle Seat Lying Sleep</t>
  </si>
  <si>
    <t>CSR_XCP_Signals_Recorder_2026-01-20_16-01-58_CPD_TC70_Try1.MF4.xz</t>
  </si>
  <si>
    <t>CSR_XCP_Signals_Recorder_2026-01-20_16-03-21_CPD_TC70_Try2.MF4.xz</t>
  </si>
  <si>
    <t>CSR_XCP_Signals_Recorder_2026-01-20_16-04-50_CPD_TC70_Try3.MF4.xz</t>
  </si>
  <si>
    <t>CSR_XCP_Signals_Recorder_2026-01-20_16-06-19_CPD_TC70_Try4.MF4.xz</t>
  </si>
  <si>
    <t>CSR_XCP_Signals_Recorder_2026-01-30_14-20-11_TC70.MF4.xz</t>
  </si>
  <si>
    <t>CSR_XCP_Signals_Recorder_2026-01-30_14-21-46_TC70.MF4.xz</t>
  </si>
  <si>
    <t>CSR_XCP_Signals_Recorder_2026-01-30_14-23-14_TC70.MF4.xz</t>
  </si>
  <si>
    <t>2R+F2L</t>
  </si>
  <si>
    <t>TC134_Try_1.MF4.xz</t>
  </si>
  <si>
    <t>TC134_Try_2.MF4.xz</t>
  </si>
  <si>
    <t>TC134_Try_3.MF4.xz</t>
  </si>
  <si>
    <t>TC71_Try_1.MF4.xz</t>
  </si>
  <si>
    <t>6YO on 3rd Row Right Seat Sleep</t>
  </si>
  <si>
    <t>TC71_Try_2.MF4.xz</t>
  </si>
  <si>
    <t>TC71_Try_3.MF4.xz</t>
  </si>
  <si>
    <t>Short seqquence</t>
  </si>
  <si>
    <t>CSR_XCP_Signals_Recorder_2025-12-10_10-52-35_TC70_6YO2RC_CPD.MF4.xz</t>
  </si>
  <si>
    <t>CSR_XCP_Signals_Recorder_2025-12-10_10-54-48_TC70_6YO2RC_CPD.MF4.xz</t>
  </si>
  <si>
    <t>CSR_XCP_Signals_Recorder_2025-12-10_11-00-30_TC70_6YO2RC_CPD.MF4.xz</t>
  </si>
  <si>
    <t>TC72_Try_1.MF4.xz</t>
  </si>
  <si>
    <t>TC72_Try_2.MF4.xz</t>
  </si>
  <si>
    <t>TC72_Try_3.MF4.xz</t>
  </si>
  <si>
    <t>CSR_XCP_Signals_Recorder_2025-12-10_17-36-32_TC73_6YO3RR_CPD.MF4.xz</t>
  </si>
  <si>
    <t>6YO 3rd Row Right Seat Awake</t>
  </si>
  <si>
    <t>CSR_XCP_Signals_Recorder_2025-12-10_17-47-06_TC73_6YO3RR_CPD.MF4.xz</t>
  </si>
  <si>
    <t>CSR_XCP_Signals_Recorder_2025-12-10_17-50-41_TC73_6YO3RR_CPD.MF4.xz</t>
  </si>
  <si>
    <t>CSR_XCP_Signals_Recorder_2025-12-10_17-54-19_TC73_6YO3RR_CPD.MF4.xz</t>
  </si>
  <si>
    <t>CSR_XCP_Signals_Recorder_2025-12-10_17-57-35_TC73_6YO3RR_CPD.MF4.xz</t>
  </si>
  <si>
    <t>TC74_Try_1.MF4.xz</t>
  </si>
  <si>
    <t>TC74_Try_2.MF4.xz</t>
  </si>
  <si>
    <t>TC74_Try_3.MF4.xz</t>
  </si>
  <si>
    <t>1D+2L</t>
  </si>
  <si>
    <t>CSR_XCP_Signals_Recorder_2025-12-10_16-42-25_TC84_AF05D_3YORL2_CPD.MF4.xz</t>
  </si>
  <si>
    <t>/mnt/measurements/07_CANape/Mitsubishi/5K45/MMC5.0.0_RC3/Real_Child_Tests/w_adult</t>
  </si>
  <si>
    <t>CSR_XCP_Signals_Recorder_2025-12-10_16-44-09_TC84_AF05D_3YORL2_CPD.MF4.xz</t>
  </si>
  <si>
    <t>Adult on 1st Row Left Seat and 3YO on 2nd Row Left Seat Forward</t>
  </si>
  <si>
    <t>CSR_XCP_Signals_Recorder_2025-12-10_16-45-46_TC84_AF05D_3YORL2_CPD.MF4.xz</t>
  </si>
  <si>
    <t>CSR_XCP_Signals_Recorder_2025-12-10_16-47-21_TC84_AF05D_3YORL2_CPD.MF4.xz</t>
  </si>
  <si>
    <t>CSR_XCP_Signals_Recorder_2025-12-10_16-48-54_TC84_AF05D_3YORL2_CPD.MF4.xz</t>
  </si>
  <si>
    <t>1+3</t>
  </si>
  <si>
    <t>1D+3R</t>
  </si>
  <si>
    <t>TC_85_Try1.MF4.xz</t>
  </si>
  <si>
    <t>/mnt/measurements/07_CANape/Mitsubishi/5K45/MMC4.1.2/Validation/2025_11_28/orderedByTargetType/adult</t>
  </si>
  <si>
    <t>AF05 Adult 1st Row Left Seat and 3YO child 3rd Row Right Seat Forward Sleep</t>
  </si>
  <si>
    <t>TC_85_Try2.MF4.xz</t>
  </si>
  <si>
    <t>TC_85_Try3.MF4.xz</t>
  </si>
  <si>
    <t>1D+3L</t>
  </si>
  <si>
    <t>TC_86_Try1.MF4.xz</t>
  </si>
  <si>
    <t>AF05 Adult 1st Row Left Seat and 3YO Child 3rd Row Right Seat Forward Awake</t>
  </si>
  <si>
    <t>TC_86_Try2.MF4.xz</t>
  </si>
  <si>
    <t>TC_86_Try3.MF4.xz</t>
  </si>
  <si>
    <t>TC_90_Try1.MF4.xz</t>
  </si>
  <si>
    <t>/mnt/measurements/07_CANape/Mitsubishi/5K45/MMC4.1.2/Validation/2025_11_29/adult</t>
  </si>
  <si>
    <t>AF05 Adult 1st Row Left Seat 6YO Child 2nd Row Left Seat Forward Sleep</t>
  </si>
  <si>
    <t>TC_90_Try2.MF4.xz</t>
  </si>
  <si>
    <t>TC_90_Try3.MF4.xz</t>
  </si>
  <si>
    <t>TC_91_Try1.MF4.xz</t>
  </si>
  <si>
    <t>AF05 Adult 1st Row Left Seat and 6YO Child 3rd Row Left Seat Forward Awake</t>
  </si>
  <si>
    <t>TC_91_Try2.MF4.xz</t>
  </si>
  <si>
    <t>TC_91_Try3.MF4.xz</t>
  </si>
  <si>
    <t>Adult w child (ncap3)</t>
  </si>
  <si>
    <t>1+F2</t>
  </si>
  <si>
    <t>1D+F2R</t>
  </si>
  <si>
    <t>TC_92_Try1.MF4.xz</t>
  </si>
  <si>
    <t>AF05 Adult 1st Row Left Seat and 3YO Child 2nd Row Right Seat Footwell Awake</t>
  </si>
  <si>
    <t>TC_92_Try2.MF4.xz</t>
  </si>
  <si>
    <t>TC_92_Try3.MF4.xz</t>
  </si>
  <si>
    <t>1+F3</t>
  </si>
  <si>
    <t>1D+F3L</t>
  </si>
  <si>
    <t>TC_93_Try1.MF4.xz</t>
  </si>
  <si>
    <t>AF05 Adult 1st Row Left Sear and 3YO Child 3rd Row Left Seat Footwell Awake</t>
  </si>
  <si>
    <t>TC_93_Try2.MF4.xz</t>
  </si>
  <si>
    <t>TC_93_Try3.MF4.xz</t>
  </si>
  <si>
    <t>1D+1P</t>
  </si>
  <si>
    <t>TC_94_Try1.MF4.xz</t>
  </si>
  <si>
    <t>Adult on 1st Row Left Seat and New Born on 1st Row Right Seat Rearwards Sleep</t>
  </si>
  <si>
    <t>TC_94_Try2.MF4.xz</t>
  </si>
  <si>
    <t>TC_94_Try3.MF4.xz</t>
  </si>
  <si>
    <t>1D+2R</t>
  </si>
  <si>
    <t>CSR_XCP_Signals_Recorder_2025-12-10_16-53-14_TC95_AF05D_3YORR2_CPD.MF4.xz</t>
  </si>
  <si>
    <t>Adult on 1st Row Left Seat and 3YO on 2nd Row Right Seat Forward</t>
  </si>
  <si>
    <t>CSR_XCP_Signals_Recorder_2025-12-10_16-54-43_TC95_AF05D_3YORR2_CPD.MF4.xz</t>
  </si>
  <si>
    <t>CSR_XCP_Signals_Recorder_2025-12-10_16-56-11_TC95_AF05D_3YORR2_CPD.MF4.xz</t>
  </si>
  <si>
    <t>CSR_XCP_Signals_Recorder_2025-12-10_16-57-41_TC95_AF05D_3YORR2_CPD.MF4.xz</t>
  </si>
  <si>
    <t>CSR_XCP_Signals_Recorder_2025-12-10_16-59-10_TC95_AF05D_3YORR2_CPD.MF4.xz</t>
  </si>
  <si>
    <t>1D+2C</t>
  </si>
  <si>
    <t>TC_96_Try_1.MF4.xz</t>
  </si>
  <si>
    <t>AF05 Adult 1st Row Left Seat and 6YO 2nd Row Center Forward Sleep</t>
  </si>
  <si>
    <t>TC_96_Try2.MF4.xz</t>
  </si>
  <si>
    <t>TC_96_Try3.MF4.xz</t>
  </si>
  <si>
    <t>CSR_XCP_Signals_Recorder_2025-12-10_11-02-28_TC70_6YO2RC_CPD.MF4.xz</t>
  </si>
  <si>
    <t>TC_5.MF4.xz</t>
  </si>
  <si>
    <t>DOOR is not locked rerecord is needed (02.19.)</t>
  </si>
  <si>
    <t>TC_190.MF4.xz</t>
  </si>
  <si>
    <t>Wrong measurement</t>
  </si>
  <si>
    <t>TC_201_Try1.MF4.xz</t>
  </si>
  <si>
    <t>1+2+3</t>
  </si>
  <si>
    <t>2L+3R</t>
  </si>
  <si>
    <t>CSR_XCP_Signals_Recorder_2025-12-19_10-06-58_TC98_CPD.MF4.xz</t>
  </si>
  <si>
    <t>CSR_XCP_Signals_Recorder_2025-12-19_10-08-51_TC98_CPD.MF4.xz</t>
  </si>
  <si>
    <t>CSR_XCP_Signals_Recorder_2025-12-19_10-11-20_TC98_CPD.MF4.xz</t>
  </si>
  <si>
    <t>1P+3L</t>
  </si>
  <si>
    <t>TC_99_Try1.MF4.xz</t>
  </si>
  <si>
    <t>6YO on 1st Row Right Seat Forward Awake and Adult 3rd Row Left Seat</t>
  </si>
  <si>
    <t>Added + removed from file sorter</t>
  </si>
  <si>
    <t>TC_99_Try2.MF4.xz</t>
  </si>
  <si>
    <t>TC_99_Try3.MF4.xz</t>
  </si>
  <si>
    <t>TC_102_Try1.MF4.xz</t>
  </si>
  <si>
    <t>Adult on 1st Row Left Seat</t>
  </si>
  <si>
    <t>TC_102_Try2.MF4.xz</t>
  </si>
  <si>
    <t>TC_102_Try3.MF4.xz</t>
  </si>
  <si>
    <t>CSR_XCP_Signals_Recorder_2025-12-22_15-21-33_TC102_CPD.MF4.xz</t>
  </si>
  <si>
    <t>TC_201_Try2.MF4.xz</t>
  </si>
  <si>
    <t>CPD_SmokeTest_TS102.MF4.xz</t>
  </si>
  <si>
    <t>TC_103_Try1.MF4.xz</t>
  </si>
  <si>
    <t>/mnt/measurements/07_CANape/Mitsubishi/5K45/MMC4.1.2/Validation/2025_11_28/</t>
  </si>
  <si>
    <t>Adult on 1st Row Right Seat</t>
  </si>
  <si>
    <t>TC_103_Try2.MF4.xz</t>
  </si>
  <si>
    <t>Measurement is too short</t>
  </si>
  <si>
    <t>TC_103_Try3.MF4.xz</t>
  </si>
  <si>
    <t>TC_103_Try3_Retry.MF4.xz</t>
  </si>
  <si>
    <t>TC_201_Try3.MF4.xz</t>
  </si>
  <si>
    <t>TC_190_Try3.MF4.xz</t>
  </si>
  <si>
    <t>/mnt/measurements/07_CANape/Mitsubishi/5K45/MMC4.1.2/Validation/2025_11_29/child/part3/Awake</t>
  </si>
  <si>
    <t>TC_182_Try1.MF4.xz</t>
  </si>
  <si>
    <t>/mnt/measurements/07_CANape/Mitsubishi/5K45/MMC4.1.2/Validation/2025_11_29/child/part2/Sleep</t>
  </si>
  <si>
    <t>CSR_XCP_Signals_Recorder_2026-01-29_15-53-18_TC103_NCAP_1_2.MF4.xz</t>
  </si>
  <si>
    <t>CSR_XCP_Signals_Recorder_2026-01-29_15-55-58_TC103_NCAP_1_2.MF4.xz</t>
  </si>
  <si>
    <t>CSR_XCP_Signals_Recorder_2026-01-29_15-58-36_TC103_NCAP_1_2.MF4.xz</t>
  </si>
  <si>
    <t>TC_182_Try2.MF4.xz</t>
  </si>
  <si>
    <t>TC_104_Try1.MF4.xz</t>
  </si>
  <si>
    <t>Adult on 2nd Row Right Seat</t>
  </si>
  <si>
    <t>TC_104_Try2.MF4.xz</t>
  </si>
  <si>
    <t>TC_104_Try3.MF4.xz</t>
  </si>
  <si>
    <t>TC_182_Try3.MF4.xz</t>
  </si>
  <si>
    <t>TC_183_Try3.MF4.xz</t>
  </si>
  <si>
    <t>wrong measurmeent</t>
  </si>
  <si>
    <t>CSR_XCP_Signals_Recorder_2026-02-03_13-34-46_TC104_NCAP1_2.MF4.xz</t>
  </si>
  <si>
    <t>/mnt/measurements/07_CANape/Mitsubishi/5K45/5.3.0_RC6.2/5K457EG11/FP_Test_Cases_Renamed</t>
  </si>
  <si>
    <t>CSR_XCP_Signals_Recorder_2026-02-03_15-05-58_TC104_AF95_NCAP1_2.MF4.xz</t>
  </si>
  <si>
    <t>CSR_XCP_Signals_Recorder_2026-02-03_15-06-57_TC104_AF95_NCAP1_2.MF4.xz</t>
  </si>
  <si>
    <t>CSR_XCP_Signals_Recorder_2026-02-03_15-07-43_TC104_AF95_NCAP1_2.MF4.xz</t>
  </si>
  <si>
    <t>TC_105_Try1.MF4.xz</t>
  </si>
  <si>
    <t>Adult on 2nd Row Middle Seat</t>
  </si>
  <si>
    <t>TC_105_Try2.MF4.xz</t>
  </si>
  <si>
    <t>TC_105_Try3.MF4.xz</t>
  </si>
  <si>
    <t>TC_106_Try1.MF4.xz</t>
  </si>
  <si>
    <t>Adult on 1st Row Right Seat and Adult on 2nd Row Middle Seat</t>
  </si>
  <si>
    <t>TC_106_Try2.MF4.xz</t>
  </si>
  <si>
    <t>TC_106_Try3.MF4.xz</t>
  </si>
  <si>
    <t>Adult only (ncap3)</t>
  </si>
  <si>
    <t>TC_107_Try1.MF4.xz</t>
  </si>
  <si>
    <t>Adult picks up something from the 2nd Row Left Footwell</t>
  </si>
  <si>
    <t>TC_107_Try2.MF4.xz</t>
  </si>
  <si>
    <t>TC_107_Try3.MF4.xz</t>
  </si>
  <si>
    <t>TC_12_Try3.MF4.xz</t>
  </si>
  <si>
    <t>TC_108_Try2.MF4.xz</t>
  </si>
  <si>
    <t>Adult picks up something from the 3rd Row Right Footwell</t>
  </si>
  <si>
    <t>TC_108_Try3.MF4.xz</t>
  </si>
  <si>
    <t>CSR_XCP_Signals_Recorder_2026-01-27_13-57-58_CPD_TC108_Try5.MF4.xz</t>
  </si>
  <si>
    <t>Adult picks up something from 3rd Row Rear R footwell NCAP3</t>
  </si>
  <si>
    <t>CSR_XCP_Signals_Recorder_2026-01-27_13-52-01_CPD_TC108_Try1.MF4.xz</t>
  </si>
  <si>
    <t>CSR_XCP_Signals_Recorder_2026-01-27_13-53-34_CPD_TC108_Try2.MF4.xz</t>
  </si>
  <si>
    <t>CSR_XCP_Signals_Recorder_2026-01-27_13-55-02_CPD_TC108_Try3.MF4.xz</t>
  </si>
  <si>
    <t>CSR_XCP_Signals_Recorder_2026-01-27_13-56-28_CPD_TC108_Try4.MF4.xz</t>
  </si>
  <si>
    <t>TC_109_Try1.MF4.xz</t>
  </si>
  <si>
    <t>Adult on 3rd Row Right Seat</t>
  </si>
  <si>
    <t>TC_109_Try2.MF4.xz</t>
  </si>
  <si>
    <t>TC_109_Try3.MF4.xz</t>
  </si>
  <si>
    <t>TC_110_Try1.MF4.xz</t>
  </si>
  <si>
    <t>Adult on 3rd Row Left Seat</t>
  </si>
  <si>
    <t>TC_110_Try2.MF4.xz</t>
  </si>
  <si>
    <t>TC_110_Try3.MF4.xz</t>
  </si>
  <si>
    <t>2R+3L</t>
  </si>
  <si>
    <t>TC126_Try1.MF4.xz</t>
  </si>
  <si>
    <t>/mnt/measurements/07_CANape/Mitsubishi/5K45/MMC5.0.2/5K457MG57/CPD</t>
  </si>
  <si>
    <t>Newborn 2nd Row Right Seat Rearward and 1YO 3rd Row Left Seat Rearward Sleep</t>
  </si>
  <si>
    <t>TC126_Try2.MF4.xz</t>
  </si>
  <si>
    <t>TC126_Try3.MF4.xz</t>
  </si>
  <si>
    <t>1P+2R</t>
  </si>
  <si>
    <t>CSR_XCP_Signals_Recorder_2025-12-10_16-15-07_TC129_3yoPS_6YORR_CPD.MF4.xz</t>
  </si>
  <si>
    <t>3YO 1st Row Right Seat Forward and 6YO 2nd Row Right Seat Forward</t>
  </si>
  <si>
    <t>CSR_XCP_Signals_Recorder_2025-12-10_16-20-17_TC129_3yoPS_6YORR_CPD.MF4.xz</t>
  </si>
  <si>
    <t>CSR_XCP_Signals_Recorder_2025-12-10_16-24-33_TC129_3yoPS_6YORR_CPD.MF4.xz</t>
  </si>
  <si>
    <t>CSR_XCP_Signals_Recorder_2025-12-10_16-32-14_TC129_3yoPS_6YORR_CPD.MF4.xz</t>
  </si>
  <si>
    <t>CSR_XCP_Signals_Recorder_2025-12-10_16-35-59_TC129_3yoPS_6YORR_CPD.MF4.xz</t>
  </si>
  <si>
    <t>CSR_XCP_Signals_Recorder_2025-12-19_10-23-25_TC130_CPD.MF4.xz</t>
  </si>
  <si>
    <t>3YO 2nd Row Right Seat forward and 6YO 3rd Row Right Seat Sleep Forward</t>
  </si>
  <si>
    <t>CSR_XCP_Signals_Recorder_2025-12-19_10-26-04_TC130_CPD.MF4.xz</t>
  </si>
  <si>
    <t>CSR_XCP_Signals_Recorder_2025-12-19_10-28-39_TC130_CPD.MF4.xz</t>
  </si>
  <si>
    <t>CSR_XCP_Signals_Recorder_2025-12-19_10-56-35_TC131_CPD.MF4.xz</t>
  </si>
  <si>
    <t>6YO 1st Row Right Seat Forward and New Born 2nd Row Left Seat Rearward</t>
  </si>
  <si>
    <t>CSR_XCP_Signals_Recorder_2025-12-19_10-57-43_TC131_CPD.MF4.xz</t>
  </si>
  <si>
    <t>CSR_XCP_Signals_Recorder_2025-12-19_11-00-14_TC131_CPD.MF4.xz</t>
  </si>
  <si>
    <t>1D+F1P</t>
  </si>
  <si>
    <t>TC132_Try_1.MF4.xz</t>
  </si>
  <si>
    <t>TC132_Try_2.MF4.xz</t>
  </si>
  <si>
    <t>TC132_Try_3.MF4.xz</t>
  </si>
  <si>
    <t>1L+F1R</t>
  </si>
  <si>
    <t>empty</t>
  </si>
  <si>
    <t>Update - SOD GT</t>
  </si>
  <si>
    <t>CSR_XCP_Signals_Recorder_2026-02-05_15-19-14_TC132_MovingToy1L_BagF1R_CPD.MF4.xz</t>
  </si>
  <si>
    <t>/mnt/measurements/07_CANape/Mitsubishi/5K45/5.3.0_RC6.2/5K457EG11/CSRGIMMC-2250</t>
  </si>
  <si>
    <t>Moving Toy in Driver Seat and Bag in Passenger Footwell</t>
  </si>
  <si>
    <t>CSR_XCP_Signals_Recorder_2026-02-05_15-20-28_TC132_MovingToy1L_BagF1R_CPD.MF4.xz</t>
  </si>
  <si>
    <t>CSR_XCP_Signals_Recorder_2026-02-05_15-21-37_TC132_MovingToy1L_BagF1R_CPD.MF4.xz</t>
  </si>
  <si>
    <t>CSR_XCP_Signals_Recorder_2026-02-05_15-23-32_TC132_MovingToy1L_BagF1R_CPD.MF4.xz</t>
  </si>
  <si>
    <t>CSR_XCP_Signals_Recorder_2026-02-05_15-25-04_TC132_MovingToy1L_BagF1R_CPD.MF4.xz</t>
  </si>
  <si>
    <t>1P+F2R</t>
  </si>
  <si>
    <t>TC133_Try_1.MF4.xz</t>
  </si>
  <si>
    <t>TC133_Try_2.MF4.xz</t>
  </si>
  <si>
    <t>TC133_Try_3.MF4.xz</t>
  </si>
  <si>
    <t>1R+F2R</t>
  </si>
  <si>
    <t>CSR_XCP_Signals_Recorder_2026-02-05_15-42-34_TC133_StaticToy1R_BagF2R_CPD.MF4.xz</t>
  </si>
  <si>
    <t>Static Toy in Passenger Seat and Bag in 2nd Row Right Footwell</t>
  </si>
  <si>
    <t>CSR_XCP_Signals_Recorder_2026-02-05_15-43-58_TC133_StaticToy1R_BagF2R_CPD.MF4.xz</t>
  </si>
  <si>
    <t>CSR_XCP_Signals_Recorder_2026-02-05_15-45-20_TC133_StaticToy1R_BagF2R_CPD.MF4.xz</t>
  </si>
  <si>
    <t>CSR_XCP_Signals_Recorder_2026-02-05_15-46-57_TC133_StaticToy1R_BagF2R_CPD.MF4.xz</t>
  </si>
  <si>
    <t>CSR_XCP_Signals_Recorder_2026-02-05_15-48-23_TC133_StaticToy1R_BagF2R_CPD.MF4.xz</t>
  </si>
  <si>
    <t>CSR_XCP_Signals_Recorder_2026-01-29_17-32-08_TC134_NCAP_1_2.MF4.xz</t>
  </si>
  <si>
    <t>Moving Toy on 2nd Row Right Seat and Bag on 2nd Row Left Footwell</t>
  </si>
  <si>
    <t>CSR_XCP_Signals_Recorder_2026-01-29_17-33-06_TC134_NCAP_1_2.MF4.xz</t>
  </si>
  <si>
    <t>CSR_XCP_Signals_Recorder_2026-01-29_17-33-50_TC134_NCAP_1_2.MF4.xz</t>
  </si>
  <si>
    <t>TC_49_Try1.MF4.xz</t>
  </si>
  <si>
    <t>/mnt/measurements/07_CANape/Mitsubishi/5K45/MMC4.1.2/Validation/2025_11_28/orderedByTargetType/child/Sleep</t>
  </si>
  <si>
    <t>TC_49_Try2.MF4.xz</t>
  </si>
  <si>
    <t>TC_49_Try3.MF4.xz</t>
  </si>
  <si>
    <t>CSR_XCP_Signals_Recorder_2026-02-03_13-20-27_TC134.MF4.xz</t>
  </si>
  <si>
    <t>Moving Toy 2nd Row Right Seat and Bag on 2nd Row Footwell</t>
  </si>
  <si>
    <t>CSR_XCP_Signals_Recorder_2026-02-03_13-21-51_TC134.MF4.xz</t>
  </si>
  <si>
    <t>CSR_XCP_Signals_Recorder_2026-02-03_13-22-39_TC134.MF4.xz</t>
  </si>
  <si>
    <t>2L+F2C</t>
  </si>
  <si>
    <t>TC135_Try_1.MF4.xz</t>
  </si>
  <si>
    <t>TC135_Try_2.MF4.xz</t>
  </si>
  <si>
    <t>TC135_Try_3.MF4.xz</t>
  </si>
  <si>
    <t>CSR_XCP_Signals_Recorder_2026-02-05_15-53-32_TC135_StaticToy2L_BagF2C_CPD.MF4.xz</t>
  </si>
  <si>
    <t>Static Toy in 2nd Row Left and Bag in 2nd Row Midlle Footwell</t>
  </si>
  <si>
    <t>CSR_XCP_Signals_Recorder_2026-02-05_15-55-10_TC135_StaticToy2L_BagF2C_CPD.MF4.xz</t>
  </si>
  <si>
    <t>CSR_XCP_Signals_Recorder_2026-02-05_15-56-41_TC135_StaticToy2L_BagF2C_CPD.MF4.xz</t>
  </si>
  <si>
    <t>CSR_XCP_Signals_Recorder_2026-02-05_15-58-52_TC135_StaticToy2L_BagF2C_CPD.MF4.xz</t>
  </si>
  <si>
    <t>CSR_XCP_Signals_Recorder_2026-02-05_16-01-12_TC135_StaticToy2L_BagF2C_CPD.MF4.xz</t>
  </si>
  <si>
    <t>2C+F3R</t>
  </si>
  <si>
    <t>TC136_Try_1.MF4.xz</t>
  </si>
  <si>
    <t>TC136_Try_2.MF4.xz</t>
  </si>
  <si>
    <t>TC136_Try_3.MF4.xz</t>
  </si>
  <si>
    <t>CSR_XCP_Signals_Recorder_2026-02-05_16-07-52_TC136_MovingToy2C_BagF3R_CPD.MF4.xz</t>
  </si>
  <si>
    <t>Moving Toy in 2nd Row Middle and Bag in 3rd Row Right Footwell</t>
  </si>
  <si>
    <t>CSR_XCP_Signals_Recorder_2026-02-05_16-10-17_TC136_MovingToy2C_BagF3R_CPD.MF4.xz</t>
  </si>
  <si>
    <t>CSR_XCP_Signals_Recorder_2026-02-05_16-12-32_TC136_MovingToy2C_BagF3R_CPD.MF4.xz</t>
  </si>
  <si>
    <t>CSR_XCP_Signals_Recorder_2026-02-05_16-14-45_TC136_MovingToy2C_BagF3R_CPD.MF4.xz</t>
  </si>
  <si>
    <t>CSR_XCP_Signals_Recorder_2026-02-05_16-16-37_TC136_MovingToy2C_BagF3R_CPD.MF4.xz</t>
  </si>
  <si>
    <t>3R+F3L</t>
  </si>
  <si>
    <t>TC137_Try_1.MF4.xz</t>
  </si>
  <si>
    <t>TC137_Try_2.MF4.xz</t>
  </si>
  <si>
    <t>TC137_Try_3.MF4.xz</t>
  </si>
  <si>
    <t>CSR_XCP_Signals_Recorder_2026-02-05_16-23-24_TC137_StaticToy3R_BagF3L_CPD.MF4.xz</t>
  </si>
  <si>
    <t>Static Toy in 3rd Row Right and Bag in 3rd Row Left Footwell</t>
  </si>
  <si>
    <t>CSR_XCP_Signals_Recorder_2026-02-05_16-25-08_TC137_StaticToy3R_BagF3L_CPD.MF4.xz</t>
  </si>
  <si>
    <t>CSR_XCP_Signals_Recorder_2026-02-05_16-27-38_TC137_StaticToy3R_BagF3L_CPD.MF4.xz</t>
  </si>
  <si>
    <t>location azi quality mismatch</t>
  </si>
  <si>
    <t>CSR_XCP_Signals_Recorder_2026-02-05_16-29-30_TC137_StaticToy3R_BagF3L_CPD.MF4.xz</t>
  </si>
  <si>
    <t>CSR_XCP_Signals_Recorder_2026-02-05_16-38-27_TC137_StaticToy3R_BagF3L_CPD.MF4.xz</t>
  </si>
  <si>
    <t>3L+F1D</t>
  </si>
  <si>
    <t>TC138_Try_1.MF4.xz</t>
  </si>
  <si>
    <t>TC138_Try_2.MF4.xz</t>
  </si>
  <si>
    <t>TC138_Try_3.MF4.xz</t>
  </si>
  <si>
    <t>TC_71_Try1.MF4.xz</t>
  </si>
  <si>
    <t>TC_71_Try2.MF4.xz</t>
  </si>
  <si>
    <t>TC_71_Try3.MF4.xz</t>
  </si>
  <si>
    <t>2R+F1P</t>
  </si>
  <si>
    <t>TC140_Try_1.MF4.xz</t>
  </si>
  <si>
    <t>TC140_Try_2.MF4.xz</t>
  </si>
  <si>
    <t>TC140_Try_3.MF4.xz</t>
  </si>
  <si>
    <t>2R+F1R</t>
  </si>
  <si>
    <t>CSR_XCP_Signals_Recorder_2026-02-05_16-42-37_TC140_Bag2R_StaticToyF1R_CPD.MF4.xz</t>
  </si>
  <si>
    <t>Bag in 2nd Row Right and Static Toy in Passenger Footwell</t>
  </si>
  <si>
    <t>CSR_XCP_Signals_Recorder_2026-02-05_16-44-16_TC140_Bag2R_StaticToyF1R_CPD.MF4.xz</t>
  </si>
  <si>
    <t>CSR_XCP_Signals_Recorder_2026-02-05_16-45-47_TC140_Bag2R_StaticToyF1R_CPD.MF4.xz</t>
  </si>
  <si>
    <t>CSR_XCP_Signals_Recorder_2026-02-05_16-47-23_TC140_Bag2R_StaticToyF1R_CPD.MF4.xz</t>
  </si>
  <si>
    <t>CSR_XCP_Signals_Recorder_2026-02-05_16-49-15_TC140_Bag2R_StaticToyF1R_CPD.MF4.xz</t>
  </si>
  <si>
    <t>2L+F2R</t>
  </si>
  <si>
    <t>TC141_Try_1.MF4.xz</t>
  </si>
  <si>
    <t>TC141_Try_2.MF4.xz</t>
  </si>
  <si>
    <t>TC141_Try_3.MF4.xz</t>
  </si>
  <si>
    <t>2C+F2L</t>
  </si>
  <si>
    <t>TC142_Try_1.MF4.xz</t>
  </si>
  <si>
    <t>TC142_Try_2.MF4.xz</t>
  </si>
  <si>
    <t>TC142_Try_3.MF4.xz</t>
  </si>
  <si>
    <t>CSR_XCP_Signals_Recorder_2026-02-05_16-55-13_TC142_Bag2C_StaticToyF2L_CPD.MF4.xz</t>
  </si>
  <si>
    <t>Bag in 2nd Row Middle and Static Toy in 2nd Row Left Footwell</t>
  </si>
  <si>
    <t>CSR_XCP_Signals_Recorder_2026-02-05_16-57-50_TC142_Bag2C_StaticToyF2L_CPD.MF4.xz</t>
  </si>
  <si>
    <t>CSR_XCP_Signals_Recorder_2026-02-05_16-59-41_TC142_Bag2C_StaticToyF2L_CPD.MF4.xz</t>
  </si>
  <si>
    <t>CSR_XCP_Signals_Recorder_2026-02-05_17-04-53_TC142_Bag2C_StaticToyF2L_CPD.MF4.xz</t>
  </si>
  <si>
    <t>CSR_XCP_Signals_Recorder_2026-02-05_17-06-43_TC142_Bag2C_StaticToyF2L_CPD.MF4.xz</t>
  </si>
  <si>
    <t>3R+F2C</t>
  </si>
  <si>
    <t>TC143_Try_1.MF4.xz</t>
  </si>
  <si>
    <t>TC143_Try_2.MF4.xz</t>
  </si>
  <si>
    <t>TC143_Try_3.MF4.xz</t>
  </si>
  <si>
    <t>3L+F3R</t>
  </si>
  <si>
    <t>TC144_Try_1.MF4.xz</t>
  </si>
  <si>
    <t>TC144_Try_2.MF4.xz</t>
  </si>
  <si>
    <t>TC144_Try_3.MF4.xz</t>
  </si>
  <si>
    <t>CSR_XCP_Signals_Recorder_2026-02-05_17-10-14_TC144_Bag3L_StaticToyF3R_CPD.MF4.xz</t>
  </si>
  <si>
    <t>Bag in 3rd Row Left and Static Toy in 3rd Row Right Footwell</t>
  </si>
  <si>
    <t>CSR_XCP_Signals_Recorder_2026-02-05_17-12-02_TC144_Bag3L_StaticToyF3R_CPD.MF4.xz</t>
  </si>
  <si>
    <t>CSR_XCP_Signals_Recorder_2026-02-05_17-14-34_TC144_Bag3L_StaticToyF3R_CPD.MF4.xz</t>
  </si>
  <si>
    <t>CSR_XCP_Signals_Recorder_2026-02-05_17-16-24_TC144_Bag3L_StaticToyF3R_CPD.MF4.xz</t>
  </si>
  <si>
    <t>CSR_XCP_Signals_Recorder_2026-02-05_17-17-48_TC144_Bag3L_StaticToyF3R_CPD.MF4.xz</t>
  </si>
  <si>
    <t>TC145_Try_1.MF4.xz</t>
  </si>
  <si>
    <t>TC145_Try_2.MF4.xz</t>
  </si>
  <si>
    <t>TC145_Try_3.MF4.xz</t>
  </si>
  <si>
    <t>Liquid</t>
  </si>
  <si>
    <t>TC_146_Try1.MF4.xz</t>
  </si>
  <si>
    <t>/mnt/measurements/07_CANape/Mitsubishi/5K45/MMC4.1.2/Validation/2025_11_29/empty</t>
  </si>
  <si>
    <t>Liquid Bottle in 1st Row Left Seat</t>
  </si>
  <si>
    <t>TC_146_Try2.MF4.xz</t>
  </si>
  <si>
    <t>TC_146_Try3.MF4.xz</t>
  </si>
  <si>
    <t>TC_72_Try1.MF4.xz</t>
  </si>
  <si>
    <t>TC_147_Try1.MF4.xz</t>
  </si>
  <si>
    <t>Liquid Bottle on 1st Row Right Seat</t>
  </si>
  <si>
    <t>TC_147_Try2.MF4.xz</t>
  </si>
  <si>
    <t>TC_147_Try3.MF4.xz</t>
  </si>
  <si>
    <t>CSR_XCP_Signals_Recorder_2026-02-02_13-21-38_TC147_NCAP1_2.MF4.xz</t>
  </si>
  <si>
    <t>1 Liter water bottle half full in 1st Row Right</t>
  </si>
  <si>
    <t>TC_148_Try1.MF4.xz</t>
  </si>
  <si>
    <t>Liquid Bottle on 2nd Row Right Seat</t>
  </si>
  <si>
    <t>TC_148_Try2.MF4.xz</t>
  </si>
  <si>
    <t>TC_148_Try3.MF4.xz</t>
  </si>
  <si>
    <t>TC_72_Try2.MF4.xz</t>
  </si>
  <si>
    <t>TC_149_Try1.MF4.xz</t>
  </si>
  <si>
    <t>Liquid Bottle in 2nd Row Left Seat</t>
  </si>
  <si>
    <t>TC_149_Try2.MF4.xz</t>
  </si>
  <si>
    <t>TC_149_Try3.MF4.xz</t>
  </si>
  <si>
    <t>CSR_XCP_Signals_Recorder_2026-02-02_13-25-02_TC149_NCAP1_2.MF4.xz</t>
  </si>
  <si>
    <t>1 Liter water bottle half full in 2nd Row Left</t>
  </si>
  <si>
    <t>TC_72_Try3.MF4.xz</t>
  </si>
  <si>
    <t>CSR_XCP_Signals_Recorder_2026-01-29_15-38-54_TC150_NCAP_1_2.MF4.xz</t>
  </si>
  <si>
    <t>Liquid Bottle on 2nd Row Middle Seat</t>
  </si>
  <si>
    <t>CSR_XCP_Signals_Recorder_2026-01-29_15-40-14_TC150_NCAP_1_2.MF4.xz</t>
  </si>
  <si>
    <t>CSR_XCP_Signals_Recorder_2026-01-29_15-41-21_TC150_NCAP_1_2.MF4.xz</t>
  </si>
  <si>
    <t>Real child measurmeent is available</t>
  </si>
  <si>
    <t>TC_40_Try_2.MF4.xz</t>
  </si>
  <si>
    <t>/mnt/measurements/07_CANape/Mitsubishi/5K45/MMC4.1.2/Validation/2025_11_28/orderedByTargetType/child/Awake"</t>
  </si>
  <si>
    <t>TC_40_Try1.MF4.xz</t>
  </si>
  <si>
    <t>TC_40_Try3.MF4.xz</t>
  </si>
  <si>
    <t>CSR_XCP_Signals_Recorder_2025-12-11_15-02-06_TC151_Liquid3R_CPD.MF4.xz</t>
  </si>
  <si>
    <t>/mnt/measurements/07_CANape/Mitsubishi/5K45/MMC5.0.0_RC3/CPD_Test_Cases</t>
  </si>
  <si>
    <t>CSR_XCP_Signals_Recorder_2025-12-11_15-03-44_TC151_Liquid3R_CPD.MF4.xz</t>
  </si>
  <si>
    <t>CSR_XCP_Signals_Recorder_2025-12-11_15-05-26_TC151_Liquid3R_CPD.MF4.xz</t>
  </si>
  <si>
    <t>Input signal CpdFuncActive is always 4</t>
  </si>
  <si>
    <t>TC_108_Try1.MF4.xz</t>
  </si>
  <si>
    <t>CSR_XCP_Signals_Recorder_2026-02-05_17-25-50_TC151_Liquid3R_CPD.MF4.xz</t>
  </si>
  <si>
    <t>20 Liter container half full in 3rd Row Right</t>
  </si>
  <si>
    <t>CSR_XCP_Signals_Recorder_2026-02-05_17-35-44_TC151_Liquid3R_CPD.MF4.xz</t>
  </si>
  <si>
    <t>CSR_XCP_Signals_Recorder_2026-02-05_17-37-41_TC151_Liquid3R_CPD.MF4.xz</t>
  </si>
  <si>
    <t>CSR_XCP_Signals_Recorder_2026-02-05_17-41-37_TC151_Liquid3R_CPD.MF4.xz</t>
  </si>
  <si>
    <t>CSR_XCP_Signals_Recorder_2026-02-05_17-43-08_TC151_Liquid3R_CPD.MF4.xz</t>
  </si>
  <si>
    <t>CSR_XCP_Signals_Recorder_2025-12-11_15-08-35_TC152_Liquid3L_CPD.MF4.xz</t>
  </si>
  <si>
    <t>CSR_XCP_Signals_Recorder_2025-12-11_15-10-38_TC152_Liquid3L_CPD.MF4.xz</t>
  </si>
  <si>
    <t>CSR_XCP_Signals_Recorder_2025-12-11_15-12-46_TC152_Liquid3L_CPD.MF4.xz</t>
  </si>
  <si>
    <t>CSR_XCP_Signals_Recorder_2026-02-02_13-26-35_TC152_NCAP1_2.MF4.xz</t>
  </si>
  <si>
    <t>1 Liter water bottle half full in 3rd Row Right</t>
  </si>
  <si>
    <t>Liquid (ncap3)</t>
  </si>
  <si>
    <t>CSR_XCP_Signals_Recorder_2025-12-11_15-17-04_TC153_Liquid1LFW_CPD.MF4.xz</t>
  </si>
  <si>
    <t>Liquid Bottle in 1st Row Left Seat Footwell</t>
  </si>
  <si>
    <t>CSR_XCP_Signals_Recorder_2025-12-11_15-18-56_TC153_Liquid1LFW_CPD.MF4.xz</t>
  </si>
  <si>
    <t>CSR_XCP_Signals_Recorder_2025-12-11_15-20-36_TC153_Liquid1LFW_CPD.MF4.xz</t>
  </si>
  <si>
    <t>CSR_XCP_Signals_Recorder_2025-12-11_15-24-02_TC154_Liquid1RFW_CPD.MF4.xz</t>
  </si>
  <si>
    <t>Liquid Bottle in 1st Row Right Seat Footwell</t>
  </si>
  <si>
    <t>CSR_XCP_Signals_Recorder_2025-12-11_15-25-48_TC154_Liquid1RFW_CPD.MF4.xz</t>
  </si>
  <si>
    <t>CSR_XCP_Signals_Recorder_2025-12-11_15-28-53_TC154_Liquid1RFW_CPD.MF4.xz</t>
  </si>
  <si>
    <t>CSR_XCP_Signals_Recorder_2025-12-11_15-36-26_TC155_Liquid2RFW_CPD.MF4.xz</t>
  </si>
  <si>
    <t>Liquid Bottle in 2nd Row Right Seat Footwell</t>
  </si>
  <si>
    <t>CSR_XCP_Signals_Recorder_2025-12-11_15-38-09_TC155_Liquid2RFW_CPD.MF4.xz</t>
  </si>
  <si>
    <t>CSR_XCP_Signals_Recorder_2025-12-11_15-39-51_TC155_Liquid2RFW_CPD.MF4.xz</t>
  </si>
  <si>
    <t>CSR_XCP_Signals_Recorder_2025-12-11_15-42-36_TC156_Liquid2LFW_CPD.MF4.xz</t>
  </si>
  <si>
    <t>Liquid Bottle in 2nd Row Left Seat Footwell</t>
  </si>
  <si>
    <t>CSR_XCP_Signals_Recorder_2025-12-11_15-44-21_TC156_Liquid2LFW_CPD.MF4.xz</t>
  </si>
  <si>
    <t>CSR_XCP_Signals_Recorder_2025-12-11_15-46-14_TC156_Liquid2LFW_CPD.MF4.xz</t>
  </si>
  <si>
    <t>CSR_XCP_Signals_Recorder_2025-12-11_15-49-03_TC157_Liquid2CFW_CPD.MF4.xz</t>
  </si>
  <si>
    <t>Liquid Bottle in 2nd Row Middle Seat Footwell</t>
  </si>
  <si>
    <t>CSR_XCP_Signals_Recorder_2025-12-11_15-50-49_TC157_Liquid2CFW_CPD.MF4.xz</t>
  </si>
  <si>
    <t>CSR_XCP_Signals_Recorder_2025-12-11_15-52-39_TC157_Liquid2CFW_CPD.MF4.xz</t>
  </si>
  <si>
    <t>CSR_XCP_Signals_Recorder_2025-12-11_15-56-08_TC158_Liquid3RFW_CPD.MF4.xz</t>
  </si>
  <si>
    <t>Liquid Bottle in 3rd Row Right Seat Footwell</t>
  </si>
  <si>
    <t>CSR_XCP_Signals_Recorder_2025-12-11_15-57-45_TC158_Liquid3RFW_CPD.MF4.xz</t>
  </si>
  <si>
    <t>CSR_XCP_Signals_Recorder_2025-12-11_15-59-30_TC158_Liquid3RFW_CPD.MF4.xz</t>
  </si>
  <si>
    <t>CSR_XCP_Signals_Recorder_2025-12-11_16-03-18_TC159_Liquid3LFW_CPD.MF4.xz</t>
  </si>
  <si>
    <t>Liquid Bottle in 3rd Row Left Seat Footwell</t>
  </si>
  <si>
    <t>CSR_XCP_Signals_Recorder_2025-12-11_16-05-02_TC159_Liquid3LFW_CPD.MF4.xz</t>
  </si>
  <si>
    <t>CSR_XCP_Signals_Recorder_2025-12-11_16-07-00_TC159_Liquid3LFW_CPD.MF4.xz</t>
  </si>
  <si>
    <t>TC160_Try_1.MF4.xz</t>
  </si>
  <si>
    <t>TC160_Try_2.MF4.xz</t>
  </si>
  <si>
    <t>TC160_Try_3.MF4.xz</t>
  </si>
  <si>
    <t>CSR_XCP_Signals_Recorder_2026-01-30_14-09-40_TC25.MF4.xz</t>
  </si>
  <si>
    <t>CSR_XCP_Signals_Recorder_2026-01-30_14-50-35_TC235.MF4.xz</t>
  </si>
  <si>
    <t>CSR_XCP_Signals_Recorder_2026-01-29_16-05-49_TC17.MF4.xz</t>
  </si>
  <si>
    <t>CSR_XCP_Signals_Recorder_2026-01-29_17-22-58_TC162_NCAP_1_2.MF4.xz</t>
  </si>
  <si>
    <t>Phone on 2nd Row Right Seat</t>
  </si>
  <si>
    <t>CSR_XCP_Signals_Recorder_2026-01-29_17-23-45_TC162_NCAP_1_2.MF4.xz</t>
  </si>
  <si>
    <t>Doors are not locked</t>
  </si>
  <si>
    <t>CSR_XCP_Signals_Recorder_2026-01-30_16-08-33_TC26.MF4.xz</t>
  </si>
  <si>
    <t>Radar stays in INIT, "m_CpdFuncActive": 8</t>
  </si>
  <si>
    <t>CSR_XCP_Signals_Recorder_2026-01-30_16-00-17_TC235.MF4.xz</t>
  </si>
  <si>
    <t>CSR_XCP_Signals_Recorder_2026-01-29_15-48-12_TC103_NCAP_3.MF4.xz</t>
  </si>
  <si>
    <t>TC162_Try_1.MF4.xz</t>
  </si>
  <si>
    <t>TC162_Try_2.MF4.xz</t>
  </si>
  <si>
    <t>TC162_Try_3.MF4.xz</t>
  </si>
  <si>
    <t>CSR_XCP_Signals_Recorder_2026-02-03_13-24-06_TC162_NCAP1_2.MF4.xz</t>
  </si>
  <si>
    <t>CSR_XCP_Signals_Recorder_2026-02-03_13-25-09_TC162_NCAP1_2.MF4.xz</t>
  </si>
  <si>
    <t>CSR_XCP_Signals_Recorder_2026-02-03_13-26-00_TC162_NCAP1_2.MF4.xz</t>
  </si>
  <si>
    <t>CSR_XCP_Signals_Recorder_2026-01-29_15-49-51_TC103_NCAP_3.MF4.xz</t>
  </si>
  <si>
    <t>CSR_XCP_Signals_Recorder_2026-01-29_15-51-35_TC103_NCAP_3.MF4.xz</t>
  </si>
  <si>
    <t>CSR_XCP_Signals_Recorder_2026-01-29_15-42-19_TC150_NCAP_3.MF4.xz</t>
  </si>
  <si>
    <t>TC163_Try_1.MF4.xz</t>
  </si>
  <si>
    <t>TC163_Try_2.MF4.xz</t>
  </si>
  <si>
    <t>TC163_Try_3.MF4.xz</t>
  </si>
  <si>
    <t>TC164_Try_1.MF4.xz</t>
  </si>
  <si>
    <t>TC164_Try_2.MF4.xz</t>
  </si>
  <si>
    <t>TC164_Try_3.MF4.xz</t>
  </si>
  <si>
    <t>CSR_XCP_Signals_Recorder_2026-01-29_15-44-29_TC150_NCAP_3.MF4.xz</t>
  </si>
  <si>
    <t>CSR_XCP_Signals_Recorder_2026-01-29_15-46-04_TC150_NCAP_3.MF4.xz</t>
  </si>
  <si>
    <t>CSR_XCP_Signals_Recorder_2026-01-29_17-24-33_TC162_NCAP_1_2.MF4.xz</t>
  </si>
  <si>
    <t>TC166_Try_1.MF4.xz</t>
  </si>
  <si>
    <t>TC166_Try_2.MF4.xz</t>
  </si>
  <si>
    <t>TC166_Try_3.MF4.xz</t>
  </si>
  <si>
    <t>Phone (ncap3)</t>
  </si>
  <si>
    <t>TC167_Try_1.MF4.xz</t>
  </si>
  <si>
    <t>Phone 1st Row Right Seat Footwell</t>
  </si>
  <si>
    <t>TC167_Try_2.MF4.xz</t>
  </si>
  <si>
    <t>TC167_Try_3.MF4.xz</t>
  </si>
  <si>
    <t>TC168_Try_1.MF4.xz</t>
  </si>
  <si>
    <t>Phone 1st Row Left Seat Footwell</t>
  </si>
  <si>
    <t>TC168_Try_2.MF4.xz</t>
  </si>
  <si>
    <t>TC168_Try_3.MF4.xz</t>
  </si>
  <si>
    <t>TC169_Try_1.MF4.xz</t>
  </si>
  <si>
    <t>Phone 2nd Row Right Seat Footwell</t>
  </si>
  <si>
    <t>TC169_Try_2.MF4.xz</t>
  </si>
  <si>
    <t>TC169_Try_3.MF4.xz</t>
  </si>
  <si>
    <t>TC170_Try_1.MF4.xz</t>
  </si>
  <si>
    <t>Phone 2nd Row Left Seat Footwell</t>
  </si>
  <si>
    <t>TC170_Try_2.MF4.xz</t>
  </si>
  <si>
    <t>TC170_Try_3.MF4.xz</t>
  </si>
  <si>
    <t>TC171_Try_1.MF4.xz</t>
  </si>
  <si>
    <t>Phone 2nd Row Middle Seat Footwell</t>
  </si>
  <si>
    <t>TC171_Try_2.MF4.xz</t>
  </si>
  <si>
    <t>TC171_Try_3.MF4.xz</t>
  </si>
  <si>
    <t>TC172_Try_1.MF4.xz</t>
  </si>
  <si>
    <t>Phone 3rd Row Right Seat Footwell</t>
  </si>
  <si>
    <t>TC172_Try_2.MF4.xz</t>
  </si>
  <si>
    <t>TC172_Try_3.MF4.xz</t>
  </si>
  <si>
    <t>TC173_Try_1blf.MF4.xz</t>
  </si>
  <si>
    <t>Phone 3rd Row Left Seat Footwell</t>
  </si>
  <si>
    <t>TC173_Try_2.MF4.xz</t>
  </si>
  <si>
    <t>TC173_Try_3.MF4.xz</t>
  </si>
  <si>
    <t>Outside</t>
  </si>
  <si>
    <t>CSR_XCP_Signals_Recorder_2026-01-29_11-59-03_TS176.mf4.xz</t>
  </si>
  <si>
    <t>/mnt/measurements/07_CANape/Mitsubishi/5K45/5.3.0_RC6/5K457EG11/FP_Outside</t>
  </si>
  <si>
    <t>CSR_XCP_Signals_Recorder_2026-01-29_12-01-45_TS176.mf4.xz</t>
  </si>
  <si>
    <t>CSR_XCP_Signals_Recorder_2026-01-29_12-03-19_TS176.mf4.xz</t>
  </si>
  <si>
    <t>CSR_XCP_Signals_Recorder_2026-01-29_12-04-51_TS176.mf4.xz</t>
  </si>
  <si>
    <t>CSR_XCP_Signals_Recorder_2026-01-29_17-38-42_TC176_NCAP_1_2.MF4.xz</t>
  </si>
  <si>
    <t>Adult Standing Outside on 2nd Row Right</t>
  </si>
  <si>
    <t>removed from file sorter list</t>
  </si>
  <si>
    <t>CSR_XCP_Signals_Recorder_2026-01-29_17-39-32_TC176_NCAP_1_2.MF4.xz</t>
  </si>
  <si>
    <t>CSR_XCP_Signals_Recorder_2026-01-29_17-40-17_TC176_NCAP_1_2.MF4.xz</t>
  </si>
  <si>
    <t>CSR_XCP_Signals_Recorder_2026-01-29_17-26-03_TC162_NCAP_3.MF4.xz</t>
  </si>
  <si>
    <t>CSR_XCP_Signals_Recorder_2026-01-29_17-28-27_TC162_NCAP_3.MF4.xz</t>
  </si>
  <si>
    <t>CSR_XCP_Signals_Recorder_2026-01-29_17-40-56_TC176_NCAP_3.MF4.xz</t>
  </si>
  <si>
    <t>CSR_XCP_Signals_Recorder_2026-01-29_17-42-35_TC176_NCAP_3.MF4.xz</t>
  </si>
  <si>
    <t>CSR_XCP_Signals_Recorder_2026-01-29_17-44-02_TC176_NCAP_3.MF4.xz</t>
  </si>
  <si>
    <t>CSR_XCP_Signals_Recorder_2026-02-03_13-15-09_TC176_NCAP1_2.MF4.xz</t>
  </si>
  <si>
    <t>CSR_XCP_Signals_Recorder_2026-02-03_13-16-13_TC176_NCAP1_2.MF4.xz</t>
  </si>
  <si>
    <t>CSR_XCP_Signals_Recorder_2026-02-03_13-17-37_TC176_NCAP1_2.MF4.xz</t>
  </si>
  <si>
    <t>CSR_XCP_Signals_Recorder_2026-01-29_12-16-30_TS177.mf4.xz</t>
  </si>
  <si>
    <t>CSR_XCP_Signals_Recorder_2026-01-29_12-18-01_TS177.mf4.xz</t>
  </si>
  <si>
    <t>CSR_XCP_Signals_Recorder_2026-01-29_12-19-32_TS177.mf4.xz</t>
  </si>
  <si>
    <t>CSR_XCP_Signals_Recorder_2026-01-29_12-21-06_TS177.mf4.xz</t>
  </si>
  <si>
    <t>CSR_XCP_Signals_Recorder_2026-02-04_17-49-02_CPD_TC178_with_reset.MF4.xz</t>
  </si>
  <si>
    <t>CSR_XCP_Signals_Recorder_2026-02-04_17-51-28_CPD_TC178_with_reset.MF4.xz</t>
  </si>
  <si>
    <t>CSR_XCP_Signals_Recorder_2025-12-23_11-25-29_TC178_CPD.MF4.xz</t>
  </si>
  <si>
    <t>2L+3L</t>
  </si>
  <si>
    <t>CSR_XCP_Signals_Recorder_2025-12-23_11-09-04_TC179_CPD.MF4.xz</t>
  </si>
  <si>
    <t>CSR_XCP_Signals_Recorder_2025-12-23_11-10-38_TC179_CPD.MF4.xz</t>
  </si>
  <si>
    <t>CSR_XCP_Signals_Recorder_2025-12-23_11-12-10_TC179_CPD.MF4.xz</t>
  </si>
  <si>
    <t>CSR_XCP_Signals_Recorder_2025-12-23_11-13-51_TC179_CPD.MF4.xz</t>
  </si>
  <si>
    <t>CSR_XCP_Signals_Recorder_2026-01-29_12-07-46_TS180.mf4.xz</t>
  </si>
  <si>
    <t>CSR_XCP_Signals_Recorder_2026-01-29_12-09-09_TS180.mf4.xz</t>
  </si>
  <si>
    <t>CSR_XCP_Signals_Recorder_2026-01-29_12-11-39_TS180.mf4.xz</t>
  </si>
  <si>
    <t>CSR_XCP_Signals_Recorder_2026-01-29_12-13-06_TS180.mf4.xz</t>
  </si>
  <si>
    <t>CSR_XCP_Signals_Recorder_2026-01-29_12-24-22_TS181.mf4.xz</t>
  </si>
  <si>
    <t>CSR_XCP_Signals_Recorder_2026-01-29_12-25-46_TS181.mf4.xz</t>
  </si>
  <si>
    <t>CSR_XCP_Signals_Recorder_2026-01-29_12-27-11_TS181.mf4.xz</t>
  </si>
  <si>
    <t>CSR_XCP_Signals_Recorder_2026-01-29_12-28-34_TS181.mf4.xz</t>
  </si>
  <si>
    <t>CSR_XCP_Signals_Recorder_2025-12-22_16-23-08_TC181_CPD.MF4.xz</t>
  </si>
  <si>
    <t>CSR_XCP_Signals_Recorder_2025-12-22_16-28-28_TC181_CPD.MF4.xz</t>
  </si>
  <si>
    <t>CSR_XCP_Signals_Recorder_2025-12-22_16-21-27_TC181_CPD.MF4.xz</t>
  </si>
  <si>
    <t>CSR_XCP_Signals_Recorder_2025-12-22_16-25-05_TC181_CPD.MF4.xz</t>
  </si>
  <si>
    <t>CSR_XCP_Signals_Recorder_2025-12-22_16-26-46_TC181_CPD.MF4.xz</t>
  </si>
  <si>
    <t>TC_182.MF4.xz</t>
  </si>
  <si>
    <t>CSR_XCP_Signals_Recorder_2026-02-02_11-36-22_TC2.MF4.xz</t>
  </si>
  <si>
    <t>CSR_XCP_Signals_Recorder_2026-02-02_11-44-54_TC10.MF4.xz</t>
  </si>
  <si>
    <t>CSR_XCP_Signals_Recorder_2026-02-02_11-42-23_TC12_Added_Sunshield.MF4.xz</t>
  </si>
  <si>
    <t>CSR_XCP_Signals_Recorder_2026-02-02_11-50-31_TC14.MF4.xz</t>
  </si>
  <si>
    <t>error: Requested byte range is out of bounds of dl_data</t>
  </si>
  <si>
    <t>CSR_XCP_Signals_Recorder_2026-01-26_11-23-32_CPD_TC182_Try5.MF4.xz</t>
  </si>
  <si>
    <t>CSR_XCP_Signals_Recorder_2026-02-03_13-32-58_TC104_NCAP1_2.MF4.xz</t>
  </si>
  <si>
    <t>Door left open</t>
  </si>
  <si>
    <t>CSR_XCP_Signals_Recorder_2026-02-03_13-33-55_TC104_NCAP1_2.MF4.xz</t>
  </si>
  <si>
    <t>CSR_XCP_Signals_Recorder_2026-02-02_13-34-48_TC146_NCAP3.MF4.xz</t>
  </si>
  <si>
    <t>CSR_XCP_Signals_Recorder_2026-02-02_13-30-38_TC148_NCAP3.MF4.xz</t>
  </si>
  <si>
    <t>CSR_XCP_Signals_Recorder_2026-01-29_16-59-51_TC182.MF4.xz</t>
  </si>
  <si>
    <t>New Born on 1st Row Right Seat Rearwards Sleep Sunshild and Blanket</t>
  </si>
  <si>
    <t>CSR_XCP_Signals_Recorder_2026-01-29_17-00-54_TC182.MF4.xz</t>
  </si>
  <si>
    <t>CSR_XCP_Signals_Recorder_2026-01-29_17-01-46_TC182.MF4.xz</t>
  </si>
  <si>
    <t>CSR_XCP_Signals_Recorder_2026-01-29_17-03-34_TC182.MF4.xz</t>
  </si>
  <si>
    <t>CSR_XCP_Signals_Recorder_2026-01-26_CPD_TC182_Try1.MF4.xz</t>
  </si>
  <si>
    <t>5K45/5.3.0_RC5/5K457EG11/CPD/</t>
  </si>
  <si>
    <t>CSR_XCP_Signals_Recorder_2026-01-26_CPD_TC182_Try2.MF4.xz</t>
  </si>
  <si>
    <t>CSR_XCP_Signals_Recorder_2026-01-26_CPD_TC182_Try3.MF4.xz</t>
  </si>
  <si>
    <t>CSR_XCP_Signals_Recorder_2026-01-26_CPD_TC182_Try4.MF4.xz</t>
  </si>
  <si>
    <t>TC_183.MF4.xz</t>
  </si>
  <si>
    <t>New Born on 2nd Row Right Seat Rearwards Sunshield</t>
  </si>
  <si>
    <t>TC_183_Try1.MF4.xz</t>
  </si>
  <si>
    <t>TC_183_Try2.MF4.xz</t>
  </si>
  <si>
    <t>CSR_XCP_Signals_Recorder_2026-02-02_13-33-02_TC149_NCAP3.MF4.xz</t>
  </si>
  <si>
    <t>TC_184.MF4.xz</t>
  </si>
  <si>
    <t>New Born on 2nd Row Left Seat Rearwards Sunshield</t>
  </si>
  <si>
    <t>TC_184_Try1.MF4.xz</t>
  </si>
  <si>
    <t>TC_184_Try2.MF4.xz</t>
  </si>
  <si>
    <t>TC_184_Try3.MF4.xz</t>
  </si>
  <si>
    <t>CSR_XCP_Signals_Recorder_2026-01-12_13-59-22_TC184.MF4.xz</t>
  </si>
  <si>
    <t>New Born on 2nd Row Left Seat Rearwards Sleep Sunshield and Blanket</t>
  </si>
  <si>
    <t>Update - komment + SOD GT+removed from file sorter list</t>
  </si>
  <si>
    <t>TC_185.MF4.xz</t>
  </si>
  <si>
    <t>TC_185_Try1.MF4.xz</t>
  </si>
  <si>
    <t>New Born on 2nd Row Middle Seat Rearwards Sunshield</t>
  </si>
  <si>
    <t>TC_185_Try2.MF4.xz</t>
  </si>
  <si>
    <t>TC_185_Try3.MF4.xz</t>
  </si>
  <si>
    <t>TC_186.MF4.xz</t>
  </si>
  <si>
    <t>New Born on 3rd Row Right Seat Rearwards Sunshield</t>
  </si>
  <si>
    <t>TC_186_Try1.MF4.xz</t>
  </si>
  <si>
    <t>TC_186_Try2.MF4.xz</t>
  </si>
  <si>
    <t>TC_186_Try3.MF4.xz</t>
  </si>
  <si>
    <t>TC_187.MF4.xz</t>
  </si>
  <si>
    <t>New Born on rd Row Left Seat Rearwards Sunshield</t>
  </si>
  <si>
    <t>TC_187_Try1.MF4.xz</t>
  </si>
  <si>
    <t>/mnt/measurements/07_CANape/Mitsubishi/5K45/MMC4.1.2/Validation/2025_11_29/child/part3/Sleep</t>
  </si>
  <si>
    <t>New Born on 3rd Row Left Seat Rearwards Sunfield</t>
  </si>
  <si>
    <t>TC_187_Try2.MF4.xz</t>
  </si>
  <si>
    <t>New Born on 3rd Row Left Seat Rearwards Sunshield</t>
  </si>
  <si>
    <t>TC_187_Try3.MF4.xz</t>
  </si>
  <si>
    <t>CSR_XCP_Signals_Recorder_2026-02-02_13-27-51_TC151_NCAP3.MF4.xz</t>
  </si>
  <si>
    <t>TC_188.MF4.xz</t>
  </si>
  <si>
    <t>1YO on 1st Row Right Seat Rearwards Sunshield</t>
  </si>
  <si>
    <t>TC_188_Try1.MF4.xz</t>
  </si>
  <si>
    <t>1YO 1st Row Right Seat Rearwards Awake</t>
  </si>
  <si>
    <t>TC_188_Try2.MF4.xz</t>
  </si>
  <si>
    <t>wrong measurement</t>
  </si>
  <si>
    <t>TC_188_Try3.MF4.xz</t>
  </si>
  <si>
    <t>TC_189_Try1.MF4.xz</t>
  </si>
  <si>
    <t>TC_189_Try2.MF4.xz</t>
  </si>
  <si>
    <t>TC_189_Try3.MF4.xz</t>
  </si>
  <si>
    <t>TC189_Try_1.MF4.xz</t>
  </si>
  <si>
    <t>1YO on 2nd Row Right Seat Rearwards Sleep</t>
  </si>
  <si>
    <t>TC189_Try_2.MF4.xz</t>
  </si>
  <si>
    <t>TC189_Try_3.MF4.xz</t>
  </si>
  <si>
    <t>CSR_XCP_Signals_Recorder_2026-02-03_13-27-03_TC162_NCAP3.MF4.xz</t>
  </si>
  <si>
    <t>TC_190_Try1.MF4.xz</t>
  </si>
  <si>
    <t>1YO on 2nd Row Left Seat Rearwards Sunshield</t>
  </si>
  <si>
    <t>TC_190_Try2.MF4.xz</t>
  </si>
  <si>
    <t>CSR_XCP_Signals_Recorder_2026-02-03_13-28-37_TC162_NCAP3.MF4.xz</t>
  </si>
  <si>
    <t>CSR_XCP_Signals_Recorder_2026-02-03_13-30-19_TC162_NCAP3.MF4.xz</t>
  </si>
  <si>
    <t>TC191_Try_1.MF4.xz</t>
  </si>
  <si>
    <t>1YO in 2nd Row Middle Seat Rearwards Sunshield</t>
  </si>
  <si>
    <t>TC191_Try_2.MF4.xz</t>
  </si>
  <si>
    <t>TC191_Try_3.MF4.xz</t>
  </si>
  <si>
    <t>TC_192.MF4.xz</t>
  </si>
  <si>
    <t>1YO on 3rd Row Right Seat Rearwards Sunshield</t>
  </si>
  <si>
    <t>TC_192_Try1.MF4.xz</t>
  </si>
  <si>
    <t>TC_192_Try2.MF4.xz</t>
  </si>
  <si>
    <t>TC_192_Try3.MF4.xz</t>
  </si>
  <si>
    <t>CPD_TC192_Try1.MF4.xz</t>
  </si>
  <si>
    <t>1YO 3rd Row Right Seat Rearwards Sleep</t>
  </si>
  <si>
    <t>CPD_TC192_Try2.MF4.xz</t>
  </si>
  <si>
    <t>CPD_TC192_Try3.MF4.xz</t>
  </si>
  <si>
    <t>CPD_TC192_Try4.MF4.xz</t>
  </si>
  <si>
    <t>CPD_TC192_Try5.MF4.xz</t>
  </si>
  <si>
    <t>TC193_Try_1.MF4.xz</t>
  </si>
  <si>
    <t>1YO in 3rd Row Right Seat Rearwards Sunshield</t>
  </si>
  <si>
    <t>TC193_Try_2.MF4.xz</t>
  </si>
  <si>
    <t>TC193_Try_3.MF4.xz</t>
  </si>
  <si>
    <t>NB awake</t>
  </si>
  <si>
    <t>TC_194.MF4.xz</t>
  </si>
  <si>
    <t>TC_194_Try1.MF4.xz</t>
  </si>
  <si>
    <t>Newborn 1st Row Right Seat Rearwards Awake</t>
  </si>
  <si>
    <t>TC_194_Try2.MF4.xz</t>
  </si>
  <si>
    <t>TC_194_Try3.MF4.xz</t>
  </si>
  <si>
    <t>TC195_Try_1.MF4.xz</t>
  </si>
  <si>
    <t>New Born on 2nd Row Right Seat Rearwards Awake</t>
  </si>
  <si>
    <t>TC195_Try_2.MF4.xz</t>
  </si>
  <si>
    <t>TC195_Try_3.MF4.xz</t>
  </si>
  <si>
    <t>CSR_XCP_Signals_Recorder_2026-01-12_13-53-44_TC195.MF4.xz</t>
  </si>
  <si>
    <t>TC_196.MF4.xz</t>
  </si>
  <si>
    <t>Newborn 2nd Row Left Seat Rearwards Awake</t>
  </si>
  <si>
    <t>TC_196_Try1.MF4.xz</t>
  </si>
  <si>
    <t>TC_196_Try2.MF4.xz</t>
  </si>
  <si>
    <t>TC_196_Try3.MF4.xz</t>
  </si>
  <si>
    <t>TC_197_Try1.MF4.xz</t>
  </si>
  <si>
    <t>Newborn 2nd Row Center Seat Rearwards Awake</t>
  </si>
  <si>
    <t>TC_197_Try2.MF4.xz</t>
  </si>
  <si>
    <t>TC_197_Try3.MF4.xz</t>
  </si>
  <si>
    <t>TC_198.MF4.xz</t>
  </si>
  <si>
    <t>Newborn 3rd Row Right Seat Rearwards Awake</t>
  </si>
  <si>
    <t>TC_198_Try1.MF4.xz</t>
  </si>
  <si>
    <t>TC_198_Try2.MF4.xz</t>
  </si>
  <si>
    <t>TC_198_Try3.MF4.xz</t>
  </si>
  <si>
    <t>TC_200.MF4.xz</t>
  </si>
  <si>
    <t>1YO on 1st Row Right Seat Rearwards Blanket</t>
  </si>
  <si>
    <t>TC_200_Try1.MF4.xz</t>
  </si>
  <si>
    <t>/mnt/measurements/07_CANape/Mitsubishi/5K45/MMC4.1.2/Validation/2025_11_29/child/part3/Awake/</t>
  </si>
  <si>
    <t>TC_200_Try2.MF4.xz</t>
  </si>
  <si>
    <t>TC_200_Try3.MF4.xz</t>
  </si>
  <si>
    <t>CSR_XCP_Signals_Recorder_2026-01-30_16-42-31_TC200.MF4.xz</t>
  </si>
  <si>
    <t>1YO 1st Row Right Seat Rearwards Awake under Blanket</t>
  </si>
  <si>
    <t>CSR_XCP_Signals_Recorder_2026-01-30_16-43-08_TC200.MF4.xz</t>
  </si>
  <si>
    <t>CSR_XCP_Signals_Recorder_2026-01-30_16-43-43_TC200.MF4.xz</t>
  </si>
  <si>
    <t>CSR_XCP_Signals_Recorder_2026-01-31_13-33-25_TC200_Reset.MF4.xz</t>
  </si>
  <si>
    <t>/mnt/measurements/07_CANape/Mitsubishi/5K45/5.3.0_RC6.2/5K457EG11/NB_Awake_with_Blanket</t>
  </si>
  <si>
    <t>CSR_XCP_Signals_Recorder_2026-01-31_13-25-44_TC200_No_Reset.MF4.xz</t>
  </si>
  <si>
    <t>CSR_XCP_Signals_Recorder_2026-01-31_13-26-47_TC200_No_Reset.MF4.xz</t>
  </si>
  <si>
    <t>CSR_XCP_Signals_Recorder_2026-01-31_13-28-02_TC200_No_Reset.MF4.xz</t>
  </si>
  <si>
    <t>CSR_XCP_Signals_Recorder_2026-01-31_13-29-23_TC200_Reset.MF4.xz</t>
  </si>
  <si>
    <t>CSR_XCP_Signals_Recorder_2026-01-31_13-31-56_TC200_Reset.MF4.xz</t>
  </si>
  <si>
    <t>CSR_XCP_Signals_Recorder_2026-02-03_13-11-44_TC176_NCAP3.MF4.xz</t>
  </si>
  <si>
    <t>CSR_XCP_Signals_Recorder_2026-02-03_13-13-32_TC176_NCAP3.MF4.xz</t>
  </si>
  <si>
    <t>CSR_XCP_Signals_Recorder_2026-02-02_11-47-51_TC187.MF4.xz</t>
  </si>
  <si>
    <t>TC201_Try_1.MF4.xz</t>
  </si>
  <si>
    <t>1YO on 2nd Row Right Seat Rearwards Blanket</t>
  </si>
  <si>
    <t>TC201_Try_2.MF4.xz</t>
  </si>
  <si>
    <t>TC201_Try_3.MF4.xz</t>
  </si>
  <si>
    <t>CPD_TC201_Try1.MF4.xz</t>
  </si>
  <si>
    <t>3YO on 2nd Row Right Seat Rearwards Sleep Blanket</t>
  </si>
  <si>
    <t>CPD_TC201_Try2.MF4.xz</t>
  </si>
  <si>
    <t>CPD_TC201_Try3.MF4.xz</t>
  </si>
  <si>
    <t>CPD_TC201_Try4.MF4.xz</t>
  </si>
  <si>
    <t>CPD_TC201_Try5.MF4.xz</t>
  </si>
  <si>
    <t>TC_202.MF4.xz</t>
  </si>
  <si>
    <t>1YO on 2nd Row Middle Seat Rearwards Blanket</t>
  </si>
  <si>
    <t>TC_202_Try1.MF4.xz</t>
  </si>
  <si>
    <t>TC_202_Try2.MF4.xz</t>
  </si>
  <si>
    <t>TC_202_Try3.MF4.xz</t>
  </si>
  <si>
    <t>TC203_Try_1.MF4.xz</t>
  </si>
  <si>
    <t>1YO on 3rd Row Left Seat Rearwards Blanket</t>
  </si>
  <si>
    <t>TC203_Try_2.MF4.xz</t>
  </si>
  <si>
    <t>TC203_Try_3.MF4.xz</t>
  </si>
  <si>
    <t>CPD_TC204_Try1.MF4.xz</t>
  </si>
  <si>
    <t>3YO on 3rd Row Left Seat Lying Awake</t>
  </si>
  <si>
    <t>CPD_TC204_Try2.MF4.xz</t>
  </si>
  <si>
    <t>CPD_TC204_Try3.MF4.xz</t>
  </si>
  <si>
    <t>CPD_TC204_Try4.MF4.xz</t>
  </si>
  <si>
    <t>CPD_TC204_Try5.MF4.xz</t>
  </si>
  <si>
    <t>CSR_XCP_Signals_Recorder_2026-01-29_16-32-52_TC204.MF4.xz</t>
  </si>
  <si>
    <t>CSR_XCP_Signals_Recorder_2026-01-29_16-34-37_TC204.MF4.xz</t>
  </si>
  <si>
    <t>CSR_XCP_Signals_Recorder_2026-01-29_16-36-18_TC204.MF4.xz</t>
  </si>
  <si>
    <t>TC205_Try_1.MF4.xz</t>
  </si>
  <si>
    <t>TC205_Try_2.MF4.xz</t>
  </si>
  <si>
    <t>TC205_Try_3.MF4.xz</t>
  </si>
  <si>
    <t>CPD_TC205_Try1.MF4.xz</t>
  </si>
  <si>
    <t>3YO on 3rd Row Right Seat Rearwards Sleep Blanket</t>
  </si>
  <si>
    <t>CPD_TC205_Try2.MF4.xz</t>
  </si>
  <si>
    <t>CPD_TC205_Try3.MF4.xz</t>
  </si>
  <si>
    <t>CPD_TC205_Try4.MF4.xz</t>
  </si>
  <si>
    <t>CPD_TC205_Try5.MF4.xz</t>
  </si>
  <si>
    <t>TC206_Try_1.MF4.xz</t>
  </si>
  <si>
    <t>TC206_Try_2.MF4.xz</t>
  </si>
  <si>
    <t>TC206_Try_3.MF4.xz</t>
  </si>
  <si>
    <t>CPD_TC206_Try2.MF4.xz</t>
  </si>
  <si>
    <t>6YO on 3rd Row Left Seat Lying Awake Blanket</t>
  </si>
  <si>
    <t>CPD_TC206_Try3.MF4.xz</t>
  </si>
  <si>
    <t>CPD_TC206_Try4.MF4.xz</t>
  </si>
  <si>
    <t>CPD_TC206_Try7.MF4.xz</t>
  </si>
  <si>
    <t>TC207_Try_1.MF4.xz</t>
  </si>
  <si>
    <t>TC207_Try_2.MF4.xz</t>
  </si>
  <si>
    <t>TC207_Try_3.MF4.xz</t>
  </si>
  <si>
    <t>CPD_TC207_Try1.MF4.xz</t>
  </si>
  <si>
    <t>3YO on 2nd Row Middle Seat Lying Awake Blanket</t>
  </si>
  <si>
    <t>CPD_TC207_Try2.MF4.xz</t>
  </si>
  <si>
    <t>CPD_TC207_Try3.MF4.xz</t>
  </si>
  <si>
    <t>CPD_TC207_Try4.MF4.xz</t>
  </si>
  <si>
    <t>CPD_TC207_Try5.MF4.xz</t>
  </si>
  <si>
    <t>CSR_XCP_Signals_Recorder_2025-12-22_16-08-38_TC208_CPD.MF4.xz</t>
  </si>
  <si>
    <t>6YO 3rd Row Right Seat Lying Awake</t>
  </si>
  <si>
    <t>CSR_XCP_Signals_Recorder_2025-12-22_16-10-19_TC208_CPD.MF4.xz</t>
  </si>
  <si>
    <t>CSR_XCP_Signals_Recorder_2025-12-22_16-12-00_TC208_CPD.MF4.xz</t>
  </si>
  <si>
    <t>Radar stays in INIT, "m_CpdFuncActive": 8;</t>
  </si>
  <si>
    <t>CSR_XCP_Signals_Recorder_2025-12-22_16-13-42_TC208_CPD.MF4.xz</t>
  </si>
  <si>
    <t>CSR_XCP_Signals_Recorder_2025-12-22_16-15-26_TC208_CPD.MF4.xz</t>
  </si>
  <si>
    <t>TC209_Try_1.MF4.xz</t>
  </si>
  <si>
    <t>6YO on 3rd Row Left Seat Awake</t>
  </si>
  <si>
    <t>TC209_Try_2.MF4.xz</t>
  </si>
  <si>
    <t>TC209_Try_3.MF4.xz</t>
  </si>
  <si>
    <t>TC210_Try_1.MF4.xz</t>
  </si>
  <si>
    <t>6YO on 3rd Row Right Seat Lying Sleep</t>
  </si>
  <si>
    <t>TC210_Try_2.MF4.xz</t>
  </si>
  <si>
    <t>TC210_Try_3.MF4.xz</t>
  </si>
  <si>
    <t>TC_211_Try1.MF4.xz</t>
  </si>
  <si>
    <t>TC_211_Try2.MF4.xz</t>
  </si>
  <si>
    <t>TC_211_Try3.MF4.xz</t>
  </si>
  <si>
    <t>TC212_Try_1.MF4.xz</t>
  </si>
  <si>
    <t>6YO on 1st Row Left Seat Lying Sleep</t>
  </si>
  <si>
    <t>TC212_Try_2.MF4.xz</t>
  </si>
  <si>
    <t>TC212_Try_3.MF4.xz</t>
  </si>
  <si>
    <t>TC_213_Try1.MF4.xz</t>
  </si>
  <si>
    <t>6YO 1st Row Right Seat Lying Sleep</t>
  </si>
  <si>
    <t>TC_213_Try2.MF4.xz</t>
  </si>
  <si>
    <t>TC_213_Try3.MF4.xz</t>
  </si>
  <si>
    <t>CSR_XCP_Signals_Recorder_2025-12-22_16-33-26_TC214_CPD.MF4.xz</t>
  </si>
  <si>
    <t>CSR_XCP_Signals_Recorder_2025-12-22_16-35-05_TC214_CPD.MF4.xz</t>
  </si>
  <si>
    <t>CSR_XCP_Signals_Recorder_2025-12-22_16-36-43_TC214_CPD.MF4.xz</t>
  </si>
  <si>
    <t>CSR_XCP_Signals_Recorder_2025-12-22_16-38-22_TC214_CPD.MF4.xz</t>
  </si>
  <si>
    <t>CSR_XCP_Signals_Recorder_2025-12-22_16-40-01_TC214_CPD.MF4.xz</t>
  </si>
  <si>
    <t>CSR_XCP_Signals_Recorder_2026-01-30_10-37-25_TC215.MF4.xz</t>
  </si>
  <si>
    <t>3YO on 1st Row Left Seat Lying Awake</t>
  </si>
  <si>
    <t>CSR_XCP_Signals_Recorder_2026-01-30_10-39-48_TC215.MF4.xz</t>
  </si>
  <si>
    <t>CSR_XCP_Signals_Recorder_2026-01-30_10-43-02_TC215.MF4.xz</t>
  </si>
  <si>
    <t>CSR_XCP_Signals_Recorder_2026-01-30_10-45-45_TC215.MF4.xz</t>
  </si>
  <si>
    <t>CSR_XCP_Signals_Recorder_2026-01-30_10-47-10_TC215.MF4.xz</t>
  </si>
  <si>
    <t>CSR_XCP_Signals_Recorder_2025-12-18_16-13-48_TC216_CPD.MF4.xz</t>
  </si>
  <si>
    <t>6YO on 3rd Row Left Seat Lying Awake</t>
  </si>
  <si>
    <t>CSR_XCP_Signals_Recorder_2025-12-18_16-15-31_TC216_CPD.MF4.xz</t>
  </si>
  <si>
    <t>CSR_XCP_Signals_Recorder_2025-12-18_16-17-05_TC216_CPD.MF4.xz</t>
  </si>
  <si>
    <t>CSR_XCP_Signals_Recorder_2025-12-18_16-18-38_TC216_CPD.MF4.xz</t>
  </si>
  <si>
    <t>CSR_XCP_Signals_Recorder_2025-12-18_16-20-14_TC216_CPD.MF4.xz</t>
  </si>
  <si>
    <t>CSR_XCP_Signals_Recorder_2026-01-20_16-23-48_CPD_TC216_Try5.MF4.xz</t>
  </si>
  <si>
    <t>CSR_XCP_Signals_Recorder_2026-01-20_16-12-57_CPD_TC216_Try_1.MF4.xz</t>
  </si>
  <si>
    <t>CSR_XCP_Signals_Recorder_2026-01-20_16-14-45_CPD_TC216_Try2.MF4.xz</t>
  </si>
  <si>
    <t>CSR_XCP_Signals_Recorder_2026-01-20_16-17-46_CPD_TC216_Try3.MF4.xz</t>
  </si>
  <si>
    <t>CSR_XCP_Signals_Recorder_2026-01-20_16-22-17_CPD_TC216_Try4.MF4.xz</t>
  </si>
  <si>
    <t>degraded measurement</t>
  </si>
  <si>
    <t>CPD_TC216_Try1.MF4.xz</t>
  </si>
  <si>
    <t>5.2.0/5K457EG11/Real_Childs/</t>
  </si>
  <si>
    <t>CPD_TC216_Try2.MF4.xz</t>
  </si>
  <si>
    <t>CPD_TC216_Try3.MF4.xz</t>
  </si>
  <si>
    <t>CPD_TC216_Try4.MF4.xz</t>
  </si>
  <si>
    <t>TC217_Try_1.MF4.xz</t>
  </si>
  <si>
    <t>TC217_Try_2.MF4.xz</t>
  </si>
  <si>
    <t>TC217_Try_3.MF4.xz</t>
  </si>
  <si>
    <t>CSR_XCP_Signals_Recorder_2026-01-23_17-48-47_CPD_TC217_Try1.MF4.xz</t>
  </si>
  <si>
    <t>6YO on 3rd Row Right Seat Lying Awake</t>
  </si>
  <si>
    <t>CSR_XCP_Signals_Recorder_2026-01-23_17-50-11_CPD_TC217_Try2.MF4.xz</t>
  </si>
  <si>
    <t>CSR_XCP_Signals_Recorder_2026-01-23_17-53-09_CPD_TC217_Try4.MF4.xz</t>
  </si>
  <si>
    <t>CSR_XCP_Signals_Recorder_2026-01-23_17-54-42_CPD_TC217_Try5.MF4.xz</t>
  </si>
  <si>
    <t>CSR_XCP_Signals_Recorder_2026-01-30_14-28-16_TC217.MF4.xz</t>
  </si>
  <si>
    <t>CSR_XCP_Signals_Recorder_2026-01-30_14-30-42_TC217.MF4.xz</t>
  </si>
  <si>
    <t>CSR_XCP_Signals_Recorder_2026-01-30_14-33-45_TC217.MF4.xz</t>
  </si>
  <si>
    <t>CSR_XCP_Signals_Recorder_2026-02-04_17-33-15_CPD_TC217_with_reset.MF4.xz</t>
  </si>
  <si>
    <t>CSR_XCP_Signals_Recorder_2026-02-04_17-35-19_CPD_TC217_with_reset.MF4.xz</t>
  </si>
  <si>
    <t>CSR_XCP_Signals_Recorder_2026-02-04_17-37-19_CPD_TC217_with_reset.MF4.xz</t>
  </si>
  <si>
    <t>TC218_Try_1.MF4.xz</t>
  </si>
  <si>
    <t>TC218_Try_2.MF4.xz</t>
  </si>
  <si>
    <t>TC218_Try_3.MF4.xz</t>
  </si>
  <si>
    <t>TC_219_Try1.MF4.xz</t>
  </si>
  <si>
    <t>TC_219_Try2.MF4.xz</t>
  </si>
  <si>
    <t>TC_219_Try3.MF4.xz</t>
  </si>
  <si>
    <t>CSR_XCP_Signals_Recorder_2025-12-15_11-18-09_TC221_6YO_1R_CPD.MF4.xz</t>
  </si>
  <si>
    <t>6YO 1st Row Right Seat Seat Kneeling Awake</t>
  </si>
  <si>
    <t>CSR_XCP_Signals_Recorder_2025-12-15_11-19-57_TC221_6YO_1R_CPD.MF4.xz</t>
  </si>
  <si>
    <t>CSR_XCP_Signals_Recorder_2025-12-15_11-21-43_TC221_6YO_1R_CPD.MF4.xz</t>
  </si>
  <si>
    <t>CSR_XCP_Signals_Recorder_2025-12-15_11-23-12_TC221_6YO_1R_CPD.MF4.xz</t>
  </si>
  <si>
    <t>CSR_XCP_Signals_Recorder_2025-12-15_11-25-41_TC221_6YO_1R_CPD.MF4.xz</t>
  </si>
  <si>
    <t>CSR_XCP_Signals_Recorder_2025-12-15_11-27-14_TC221_6YO_1R_CPD.MF4.xz</t>
  </si>
  <si>
    <t>CSR_XCP_Signals_Recorder_2025-12-18_17-27-53_TC221_CPD.MF4.xz</t>
  </si>
  <si>
    <t>CSR_XCP_Signals_Recorder_2025-12-18_17-29-21_TC221_CPD.MF4.xz</t>
  </si>
  <si>
    <t>CSR_XCP_Signals_Recorder_2025-12-18_17-30-52_TC221_CPD.MF4.xz</t>
  </si>
  <si>
    <t>CSR_XCP_Signals_Recorder_2025-12-18_17-32-23_TC221_CPD.MF4.xz</t>
  </si>
  <si>
    <t>CSR_XCP_Signals_Recorder_2025-12-18_17-33-53_TC221_CPD.MF4.xz</t>
  </si>
  <si>
    <t>CSR_XCP_Signals_Recorder_2025-12-18_17-40-51_TC221_CPD.MF4.xz</t>
  </si>
  <si>
    <t>CSR_XCP_Signals_Recorder_2025-12-18_17-42-20_TC221_CPD.MF4.xz</t>
  </si>
  <si>
    <t>CSR_XCP_Signals_Recorder_2025-12-18_17-45-29_TC221_CPD.MF4.xz</t>
  </si>
  <si>
    <t>CSR_XCP_Signals_Recorder_2025-12-18_17-47-01_TC221_CPD.MF4.xz</t>
  </si>
  <si>
    <t>CSR_XCP_Signals_Recorder_2025-12-15_14-08-28_TC223_6YO2L_CPD.MF4.xz</t>
  </si>
  <si>
    <t>6YO 2nd Row Left Seat Seat Kneeling Awake</t>
  </si>
  <si>
    <t>CSR_XCP_Signals_Recorder_2025-12-15_14-10-03_TC223_6YO2L_CPD.MF4.xz</t>
  </si>
  <si>
    <t>CSR_XCP_Signals_Recorder_2025-12-15_14-11-45_TC223_6YO2L_CPD.MF4.xz</t>
  </si>
  <si>
    <t>CSR_XCP_Signals_Recorder_2025-12-15_14-14-05_TC223_6YO2L_CPD.MF4.xz</t>
  </si>
  <si>
    <t>CSR_XCP_Signals_Recorder_2025-12-15_14-15-37_TC223_6YO2L_CPD.MF4.xz</t>
  </si>
  <si>
    <t>CSR_XCP_Signals_Recorder_2025-12-15_16-19-27_TC225_3R_CPD.MF4.xz</t>
  </si>
  <si>
    <t>6YO 3rd Row Right Seat Seat Kneeling Awake</t>
  </si>
  <si>
    <t>CSR_XCP_Signals_Recorder_2025-12-15_16-21-04_TC225_3R_CPD.MF4.xz</t>
  </si>
  <si>
    <t>CSR_XCP_Signals_Recorder_2025-12-15_16-22-42_TC225_3R_CPD.MF4.xz</t>
  </si>
  <si>
    <t>CSR_XCP_Signals_Recorder_2025-12-15_16-24-17_TC225_3R_CPD.MF4.xz</t>
  </si>
  <si>
    <t>CSR_XCP_Signals_Recorder_2025-12-15_16-25-53_TC225_3R_CPD.MF4.xz</t>
  </si>
  <si>
    <t>CSR_XCP_Signals_Recorder_2026-01-30_10-51-53_TC226.MF4.xz</t>
  </si>
  <si>
    <t>3YO on 1st Row Right Seat Kneeling Awake</t>
  </si>
  <si>
    <t>CSR_XCP_Signals_Recorder_2026-01-30_10-54-26_TC226.MF4.xz</t>
  </si>
  <si>
    <t>CSR_XCP_Signals_Recorder_2026-01-30_10-57-00_TC226.MF4.xz</t>
  </si>
  <si>
    <t>CSR_XCP_Signals_Recorder_2026-01-30_10-59-13_TC226.MF4.xz</t>
  </si>
  <si>
    <t>CSR_XCP_Signals_Recorder_2026-01-30_11-01-43_TC226.MF4.xz</t>
  </si>
  <si>
    <t>CSR_XCP_Signals_Recorder_2025-12-15_11-43-57_TC229_6YO1L_CPD.MF4.xz</t>
  </si>
  <si>
    <t>6YO 1st Row Left Seat Seat Kneeling Awake</t>
  </si>
  <si>
    <t>CSR_XCP_Signals_Recorder_2025-12-15_11-45-24_TC229_6YO1L_CPD.MF4.xz</t>
  </si>
  <si>
    <t>CSR_XCP_Signals_Recorder_2025-12-15_11-46-57_TC229_6YO1L_CPD.MF4.xz</t>
  </si>
  <si>
    <t>CSR_XCP_Signals_Recorder_2025-12-15_11-48-34_TC229_6YO1L_CPD.MF4.xz</t>
  </si>
  <si>
    <t>CSR_XCP_Signals_Recorder_2025-12-15_11-50-08_TC229_6YO1L_CPD.MF4.xz</t>
  </si>
  <si>
    <t>CSR_XCP_Signals_Recorder_2026-01-30_14-36-58_TC229.MF4.xz</t>
  </si>
  <si>
    <t>CSR_XCP_Signals_Recorder_2026-01-30_14-38-50_TC229.MF4.xz</t>
  </si>
  <si>
    <t>CSR_XCP_Signals_Recorder_2026-01-30_14-41-26_TC229.MF4.xz</t>
  </si>
  <si>
    <t>CSR_XCP_Signals_Recorder_2025-12-11_10-52-08_TC230_6YO_2R_CPD.MF4.xz</t>
  </si>
  <si>
    <t>CSR_XCP_Signals_Recorder_2025-12-11_10-54-24_TC230_6YO_2R_CPD.MF4.xz</t>
  </si>
  <si>
    <t>CSR_XCP_Signals_Recorder_2025-12-11_10-56-40_TC230_6YO_2R_CPD.MF4.xz</t>
  </si>
  <si>
    <t>CSR_XCP_Signals_Recorder_2025-12-11_10-58-30_TC230_6YO_2R_CPD.MF4.xz</t>
  </si>
  <si>
    <t>CSR_XCP_Signals_Recorder_2025-12-11_11-00-28_TC230_6YO_2R_CPD.MF4.xz</t>
  </si>
  <si>
    <t>CSR_XCP_Signals_Recorder_2025-12-15_16-08-47_TC231_6YO2M_CPD.MF4.xzRadarFC_Master_standardized.json</t>
  </si>
  <si>
    <t>CSR_XCP_Signals_Recorder_2025-12-15_16-10-26_TC231_6YO2M_CPD.MF4.xzRadarFC_Master_standardized.json</t>
  </si>
  <si>
    <t>CSR_XCP_Signals_Recorder_2025-12-15_16-11-59_TC231_6YO2M_CPD.MF4.xzRadarFC_Master_standardized.json</t>
  </si>
  <si>
    <t>CSR_XCP_Signals_Recorder_2025-12-15_16-13-35_TC231_6YO2M_CPD.MF4.xzRadarFC_Master_standardized.json</t>
  </si>
  <si>
    <t>CSR_XCP_Signals_Recorder_2025-12-15_16-15-06_TC231_6YO2M_CPD.MF4.xzRadarFC_Master_standardized.json</t>
  </si>
  <si>
    <t>CSR_XCP_Signals_Recorder_2025-12-15_16-30-04_TC232_3L_CPD.MF4.xzRadarFC_Master_standardized.json</t>
  </si>
  <si>
    <t>CSR_XCP_Signals_Recorder_2025-12-15_16-31-34_TC232_3L_CPD.MF4.xzRadarFC_Master_standardized.json</t>
  </si>
  <si>
    <t>CSR_XCP_Signals_Recorder_2025-12-15_16-33-04_TC232_3L_CPD.MF4.xzRadarFC_Master_standardized.json</t>
  </si>
  <si>
    <t>CSR_XCP_Signals_Recorder_2025-12-15_16-34-33_TC232_3L_CPD.MF4.xzRadarFC_Master_standardized.json</t>
  </si>
  <si>
    <t>CSR_XCP_Signals_Recorder_2025-12-15_16-36-03_TC232_3L_CPD.MF4.xzRadarFC_Master_standardized.json</t>
  </si>
  <si>
    <t>CSR_XCP_Signals_Recorder_2025-12-15_14-21-11_TC235_6YO1L_CPD.MF4.xz</t>
  </si>
  <si>
    <t>CSR_XCP_Signals_Recorder_2025-12-15_14-22-43_TC235_6YO1L_CPD.MF4.xz</t>
  </si>
  <si>
    <t>CSR_XCP_Signals_Recorder_2025-12-15_14-25-12_TC235_6YO1L_CPD.MF4.xz</t>
  </si>
  <si>
    <t>CSR_XCP_Signals_Recorder_2025-12-15_14-26-45_TC235_6YO1L_CPD.MF4.xz</t>
  </si>
  <si>
    <t>CSR_XCP_Signals_Recorder_2025-12-15_14-28-24_TC235_6YO1L_CPD.MF4.xz</t>
  </si>
  <si>
    <t>CSR_XCP_Signals_Recorder_2026-02-02_11-39-26_TC190.MF4.xz</t>
  </si>
  <si>
    <t>CSR_XCP_Signals_Recorder_2026-01-30_14-47-44_TC235.MF4.xz</t>
  </si>
  <si>
    <t>CSR_XCP_Signals_Recorder_2026-01-30_14-49-11_TC235.MF4.xz</t>
  </si>
  <si>
    <t>CSR_XCP_Signals_Recorder_2026-01-12_13-37-49_TC182.MF4.xz</t>
  </si>
  <si>
    <t>CSR_XCP_Signals_Recorder_2026-02-04_17-41-07_CPD_TC235_with_reset.MF4.xz</t>
  </si>
  <si>
    <t>CSR_XCP_Signals_Recorder_2026-02-04_17-43-25_CPD_TC235_with_reset.MF4.xz</t>
  </si>
  <si>
    <t>CSR_XCP_Signals_Recorder_2026-02-04_17-45-44_CPD_TC235_with_reset.MF4.xz</t>
  </si>
  <si>
    <t>CSR_XCP_Signals_Recorder_2025-12-15_16-40-55_TC236_3R_CPD.MF4.xz</t>
  </si>
  <si>
    <t>CSR_XCP_Signals_Recorder_2025-12-15_16-42-26_TC236_3R_CPD.MF4.xz</t>
  </si>
  <si>
    <t>CSR_XCP_Signals_Recorder_2025-12-15_16-44-00_TC236_3R_CPD.MF4.xz</t>
  </si>
  <si>
    <t>CSR_XCP_Signals_Recorder_2025-12-15_16-45-28_TC236_3R_CPD.MF4.xz</t>
  </si>
  <si>
    <t>CSR_XCP_Signals_Recorder_2025-12-15_16-46-58_TC236_3R_CPD.MF4.xz</t>
  </si>
  <si>
    <t>CSR_XCP_Signals_Recorder_2026-01-20_09-18-22_CPD_TC238_Try4.MF4.xz</t>
  </si>
  <si>
    <t>3YO on 2nd Row Right Footwell Sitting</t>
  </si>
  <si>
    <t>CSR_XCP_Signals_Recorder_2026-01-20_09-20-08_CPD_TC238_Try5.MF4.xz</t>
  </si>
  <si>
    <t>CSR_XCP_Signals_Recorder_2026-01-20_09-13-02_CPD_TC238_Try1.MF4.xz</t>
  </si>
  <si>
    <t>CSR_XCP_Signals_Recorder_2026-01-20_09-15-17_CPD_TC238_Try2.MF4.xz</t>
  </si>
  <si>
    <t>CSR_XCP_Signals_Recorder_2026-01-20_09-16-50_CPD_TC238_Try3.MF4.xz</t>
  </si>
  <si>
    <t>CPD_TC239_Try1.MF4.xz</t>
  </si>
  <si>
    <t>3YO on 3rd Row Left Seat Footwell Sitting Awake</t>
  </si>
  <si>
    <t>CPD_TC239_Try2.MF4.xz</t>
  </si>
  <si>
    <t>CPD_TC239_Try3.MF4.xz</t>
  </si>
  <si>
    <t>CPD_TC239_Try4.MF4.xz</t>
  </si>
  <si>
    <t>CPD_TC239_Try5.MF4.xz</t>
  </si>
  <si>
    <t>CSR_XCP_Signals_Recorder_2026-01-20_09-31-09__CPD_TC240_Try5.MF4.xz</t>
  </si>
  <si>
    <t>3YO on 2nd Row Left Footwell Sitting</t>
  </si>
  <si>
    <t>CSR_XCP_Signals_Recorder_2026-01-20_09-24-31_CPD_TC240_Try1.MF4.xz</t>
  </si>
  <si>
    <t>CSR_XCP_Signals_Recorder_2026-01-20_09-26-00_CPD_TC240_Try2.MF4.xz</t>
  </si>
  <si>
    <t>CSR_XCP_Signals_Recorder_2026-01-20_09-27-47_CPD_TC240_Try3.MF4.xz</t>
  </si>
  <si>
    <t>CPD_TC16_Try1.MF4.xz</t>
  </si>
  <si>
    <t>CSR_XCP_Signals_Recorder_2026-01-29_16-44-55_TC240.MF4.xz</t>
  </si>
  <si>
    <t>3YO on 2nd Row Left Footwell</t>
  </si>
  <si>
    <t>CSR_XCP_Signals_Recorder_2026-01-29_16-46-23_TC240.MF4.xz</t>
  </si>
  <si>
    <t>CSR_XCP_Signals_Recorder_2026-01-29_16-47-51_TC240.MF4.xz</t>
  </si>
  <si>
    <t>CPD_TC243_Try1.MF4.xz</t>
  </si>
  <si>
    <t>3YO on 3rd Row Right Seat Footwell Sitting Awake</t>
  </si>
  <si>
    <t>CPD_TC243_Try2.MF4.xz</t>
  </si>
  <si>
    <t>CPD_TC243_Try3.MF4.xz</t>
  </si>
  <si>
    <t>CPD_TC243_Try4.MF4.xz</t>
  </si>
  <si>
    <t>CPD_TC243_Try5.MF4.xz</t>
  </si>
  <si>
    <t>CPD_TC16_Try4.MF4.xz</t>
  </si>
  <si>
    <t>CSR_XCP_Signals_Recorder_2026-01-20_09-37-04_CPD_TC244_Try1.MF4.xz</t>
  </si>
  <si>
    <t>3YO on 3rd Row Right Footwell Sitting</t>
  </si>
  <si>
    <t>DOOR is not locked</t>
  </si>
  <si>
    <t>CSR_XCP_Signals_Recorder_2026-01-12_14-11-04_TC103.MF4.xz</t>
  </si>
  <si>
    <t>CSR_XCP_Signals_Recorder_2026-01-20_09-40-07_CPD_TC244_Try3.MF4.xz</t>
  </si>
  <si>
    <t>CSR_XCP_Signals_Recorder_2026-01-20_09-41-40_CPD_TC244_Try4.MF4.xz</t>
  </si>
  <si>
    <t>TC247_Try_1.MF4.xz</t>
  </si>
  <si>
    <t>TC247_Try_2.MF4.xz</t>
  </si>
  <si>
    <t>TC247_Try_3.MF4.xz</t>
  </si>
  <si>
    <t>TC248_Try_1.MF4.xz</t>
  </si>
  <si>
    <t>TC248_Try_2.MF4.xz</t>
  </si>
  <si>
    <t>TC248_Try_3.MF4.xz</t>
  </si>
  <si>
    <t>TC249_Try_1.MF4.xz</t>
  </si>
  <si>
    <t>3YO on 1st Row Left Seat Lying in Footwell Awake</t>
  </si>
  <si>
    <t>TC249_Try_2.MF4.xz</t>
  </si>
  <si>
    <t>TC249_Try_3.MF4.xz</t>
  </si>
  <si>
    <t>TC251_Try_1.MF4.xz</t>
  </si>
  <si>
    <t>TC251_Try_2.MF4.xz</t>
  </si>
  <si>
    <t>TC251_Try_3.MF4.xz</t>
  </si>
  <si>
    <t>TC252_Try_1.MF4.xz</t>
  </si>
  <si>
    <t>3YO on 1st Row Right Seat Lying Forward in Footwell Awake</t>
  </si>
  <si>
    <t>TC252_Try_2.MF4.xz</t>
  </si>
  <si>
    <t>TC252_Try_3.MF4.xz</t>
  </si>
  <si>
    <t>TC253_Try_1.MF4.xz</t>
  </si>
  <si>
    <t>3YO on 1st Row Left Seat Lying Rearward in Footwell Awake</t>
  </si>
  <si>
    <t>TC253_Try_2.MF4.xz</t>
  </si>
  <si>
    <t>TC253_Try_3.MF4.xz</t>
  </si>
  <si>
    <t>TC257_Try_1.MF4.xz</t>
  </si>
  <si>
    <t>TC257_Try_2.MF4.xz</t>
  </si>
  <si>
    <t>TC257_Try_3.MF4.xz</t>
  </si>
  <si>
    <t>TC258_Try_1.MF4.xz</t>
  </si>
  <si>
    <t>TC258_Try_2.MF4.xz</t>
  </si>
  <si>
    <t>TC258_Try_3.MF4.xz</t>
  </si>
  <si>
    <t>TC261_Try_1.MF4.xz</t>
  </si>
  <si>
    <t>TC261_Try_2.MF4.xz</t>
  </si>
  <si>
    <t>TC261_Try_3.MF4.xz</t>
  </si>
  <si>
    <t>CSR_XCP_Signals_Recorder_2026-01-23_16-45-01_CPD_TC261_Try1.MF4.xz</t>
  </si>
  <si>
    <t>CSR_XCP_Signals_Recorder_2026-01-23_16-46-27_CPD_TC261_Try2.MF4.xz</t>
  </si>
  <si>
    <t>CSR_XCP_Signals_Recorder_2026-01-23_16-47-51_CPD_TC261_Try3.MF4.xz</t>
  </si>
  <si>
    <t>CSR_XCP_Signals_Recorder_2026-01-23_16-49-15_CPD_TC261_Try4.MF4.xz</t>
  </si>
  <si>
    <t>CSR_XCP_Signals_Recorder_2026-01-23_16-50-42_CPD_TC261_Try5.MF4.xz</t>
  </si>
  <si>
    <t>Empty</t>
  </si>
  <si>
    <t>Passenger_Rear_Soft.MF4.xz</t>
  </si>
  <si>
    <t>/mnt/measurements/07_CANape/Mitsubishi/5K45/MMC4.1.2/8EmptyCases</t>
  </si>
  <si>
    <t>Passenger Side Door 2bd Row Closed Softly</t>
  </si>
  <si>
    <t>Driver_Front_Hard.MF4.xz</t>
  </si>
  <si>
    <t>Driver Side Door 1st Row Closed Hardly</t>
  </si>
  <si>
    <t>Driver_Front_Soft.MF4.xz</t>
  </si>
  <si>
    <t>Driver Side Door 1st Row Closed Softly</t>
  </si>
  <si>
    <t>Driver_Rear_Hard.MF4.xz</t>
  </si>
  <si>
    <t>Driver Side Door 2nd Row Closed Hardly</t>
  </si>
  <si>
    <t>resetting measurement</t>
  </si>
  <si>
    <t>Driver_Rear_Soft.MF4.xz</t>
  </si>
  <si>
    <t>Passenger_Front_Hard.MF4.xz</t>
  </si>
  <si>
    <t>Passenger Side Door 1st Row Closed Hardly</t>
  </si>
  <si>
    <t>Passenger_Front_Soft.MF4.xz</t>
  </si>
  <si>
    <t>Passenger Side Door 1st Row Closed Softly</t>
  </si>
  <si>
    <t>Passenger_Rear_Hard.MF4.xz</t>
  </si>
  <si>
    <t>Passenger Side Door 2nd Row Closed Hardly</t>
  </si>
  <si>
    <t>CSR_XCP_Signals_Recorder_2026-01-21_16-05-44_CPD_TC263_Try1.MF4.xz</t>
  </si>
  <si>
    <t>3YO on 1st Row Right Footwell Moving</t>
  </si>
  <si>
    <t>CSR_XCP_Signals_Recorder_2026-01-21_16-07-23_CPD_TC263_Try2.MF4.xz</t>
  </si>
  <si>
    <t>CSR_XCP_Signals_Recorder_2026-01-21_16-09-25_CPD_TC263_Try3.MF4.xz</t>
  </si>
  <si>
    <t>CSR_XCP_Signals_Recorder_2026-01-21_16-10-55_CPD_TC263_Try4.MF4.xz</t>
  </si>
  <si>
    <t>CSR_XCP_Signals_Recorder_2026-01-21_16-12-48_CPD_TC263_Try5.MF4.xz</t>
  </si>
  <si>
    <t>CSR_XCP_Signals_Recorder_2026-01-21_16-22-50_CPD_TC264_Try1.MF4.xz</t>
  </si>
  <si>
    <t>CSR_XCP_Signals_Recorder_2026-01-21_16-24-23_CPD_TC264_Try2.MF4.xz</t>
  </si>
  <si>
    <t>CSR_XCP_Signals_Recorder_2026-01-21_16-26-03_CPD_TC264_Try3.MF4.xz</t>
  </si>
  <si>
    <t>CSR_XCP_Signals_Recorder_2026-01-21_16-27-36_CPD_TC264_Try4.MF4.xz</t>
  </si>
  <si>
    <t>CSR_XCP_Signals_Recorder_2026-01-21_16-29-08_CPD_TC264_Try5.MF4.xz</t>
  </si>
  <si>
    <t>CSR_XCP_Signals_Recorder_2026-01-21_16-38-35_CPD_TC265_Try1.MF4.xz</t>
  </si>
  <si>
    <t>CSR_XCP_Signals_Recorder_2026-01-21_16-40-05_CPD_TC265_Try2.MF4.xz</t>
  </si>
  <si>
    <t>CSR_XCP_Signals_Recorder_2026-01-21_16-41-43_CPD_TC265_Try3.MF4.xz</t>
  </si>
  <si>
    <t>CSR_XCP_Signals_Recorder_2026-01-21_16-43-12_CPD_TC265_Try4.MF4.xz</t>
  </si>
  <si>
    <t>CSR_XCP_Signals_Recorder_2026-01-21_16-44-52_CPD_TC265_Try5.MF4.xz</t>
  </si>
  <si>
    <t>CSR_XCP_Signals_Recorder_2026-01-23_15-45-44_CPD_TC266_Try1.MF4.xz</t>
  </si>
  <si>
    <t>6YO on 1st Row Right Seat Moving</t>
  </si>
  <si>
    <t>CSR_XCP_Signals_Recorder_2026-01-23_15-48-52_CPD_TC266_Try2.MF4.xz</t>
  </si>
  <si>
    <t>CSR_XCP_Signals_Recorder_2026-01-23_15-50-57_CPD_TC266_Try3.MF4.xz</t>
  </si>
  <si>
    <t>CSR_XCP_Signals_Recorder_2026-01-23_15-52-45_CPD_TC266_Try4.MF4.xz</t>
  </si>
  <si>
    <t>CSR_XCP_Signals_Recorder_2026-01-23_15-54-32_CPD_TC266_Try5.MF4.xz</t>
  </si>
  <si>
    <t>CSR_XCP_Signals_Recorder_2026-01-23_15-58-26_CPD_TC267_Try1.MF4.xz</t>
  </si>
  <si>
    <t>CSR_XCP_Signals_Recorder_2026-01-23_16-00-01_CPD_TC267_Try2.MF4.xz</t>
  </si>
  <si>
    <t>CSR_XCP_Signals_Recorder_2026-01-23_16-03-00_CPD_TC267_Try4.MF4.xz</t>
  </si>
  <si>
    <t>CSR_XCP_Signals_Recorder_2026-01-23_16-04-26_CPD_TC267_Try5.MF4.xz</t>
  </si>
  <si>
    <t>CSR_XCP_Signals_Recorder_2026-01-23_16-56-27_CPD_TC268_Try1.MF4.xz</t>
  </si>
  <si>
    <t>6YO on 1st Row Right Seat Kneeling Child Moving</t>
  </si>
  <si>
    <t>CSR_XCP_Signals_Recorder_2026-01-23_16-58-05_CPD_TC268_Try2.MF4.xz</t>
  </si>
  <si>
    <t>CSR_XCP_Signals_Recorder_2026-01-23_16-59-34_CPD_TC268_Try3.MF4.xz</t>
  </si>
  <si>
    <t>CSR_XCP_Signals_Recorder_2026-01-23_17-01-03_CPD_TC268_Try4.MF4.xz</t>
  </si>
  <si>
    <t>CSR_XCP_Signals_Recorder_2026-01-23_17-02-35_CPD_TC268_Try5.MF4.xz</t>
  </si>
  <si>
    <t>n/a</t>
  </si>
  <si>
    <t>not found</t>
  </si>
  <si>
    <t>TC not identifiable</t>
  </si>
  <si>
    <t>CSR_XCP_Signals_Recorder_2026-01-29_13-19-58_Right_BacktoFront.MF4.xz</t>
  </si>
  <si>
    <t>Adult Moving Right side BacktoFront</t>
  </si>
  <si>
    <t>CSR_XCP_Signals_Recorder_2026-01-29_13-21-52_Right_FronttoBack.MF4.xz</t>
  </si>
  <si>
    <t>Adult Moving Right side FronttoBack</t>
  </si>
  <si>
    <t>CSR_XCP_Signals_Recorder_2026-01-29_13-23-39_Left_FronttoBack.MF4.xz</t>
  </si>
  <si>
    <t>Adult Moving Left side FronttoBack</t>
  </si>
  <si>
    <t>CSR_XCP_Signals_Recorder_2026-01-29_13-25-39_Left_Backtofront.MF4.xz</t>
  </si>
  <si>
    <t>Adult Moving Left side BacktoFront</t>
  </si>
  <si>
    <t>CSR_XCP_Signals_Recorder_2026-01-29_15-12-05_Right_BacktoFront.MF4.xz</t>
  </si>
  <si>
    <t>CSR_XCP_Signals_Recorder_2026-01-29_15-13-53_Right_FronttoBack.MF4.xz</t>
  </si>
  <si>
    <t>CSR_XCP_Signals_Recorder_2026-01-29_15-15-45_Left_FronttoBack.MF4.xz</t>
  </si>
  <si>
    <t>CSR_XCP_Signals_Recorder_2026-01-29_15-17-35_Left_BacktoFront.MF4.xz</t>
  </si>
  <si>
    <t>CSR_XCP_Signals_Recorder_2026-01-29_17-45-50_Moving_Outside_Right_NCAP_1_2.MF4.xz</t>
  </si>
  <si>
    <t>Adult moving outside on right side</t>
  </si>
  <si>
    <t>CSR_XCP_Signals_Recorder_2026-01-29_17-46-48_Moving_Outside_Right_NCAP_1_2.MF4.xz</t>
  </si>
  <si>
    <t>CSR_XCP_Signals_Recorder_2026-01-29_17-47-38_Moving_Outside_Right_NCAP_1_2.MF4.xz</t>
  </si>
  <si>
    <t>CSR_XCP_Signals_Recorder_2026-01-29_17-48-21_Moving_Outside_Right_NCAP_3.MF4.xz</t>
  </si>
  <si>
    <t>CSR_XCP_Signals_Recorder_2026-01-29_17-49-52_Moving_Outside_Right_NCAP_3.MF4.xz</t>
  </si>
  <si>
    <t>CSR_XCP_Signals_Recorder_2026-02-03_15-17-41_AF50_2L_NCAP1_2.MF4.xz</t>
  </si>
  <si>
    <t>Adult Inside 2nd Row on Left</t>
  </si>
  <si>
    <t>CSR_XCP_Signals_Recorder_2026-02-02_13-36-52_Adult_Outside_1R.MF4.xz</t>
  </si>
  <si>
    <t>Adult Standing 1st Row on Right</t>
  </si>
  <si>
    <t>CSR_XCP_Signals_Recorder_2026-02-02_13-38-23_Adult_Outside_2L.MF4.xz</t>
  </si>
  <si>
    <t>Adult Standing 2nd Row on Left</t>
  </si>
  <si>
    <t>CSR_XCP_Signals_Recorder_2026-02-02_13-40-55_Adult_Outside_3R.MF4.xz</t>
  </si>
  <si>
    <t>Adult Standing 3rd Row on Right</t>
  </si>
  <si>
    <t>CSR_XCP_Signals_Recorder_2026-02-02_13-42-55_Adult_Inside_1L.MF4.xz</t>
  </si>
  <si>
    <t>Adult Inside 1st Row on Left</t>
  </si>
  <si>
    <t>CSR_XCP_Signals_Recorder_2026-02-02_13-44-50_Adult_Inside_2C.MF4.xz</t>
  </si>
  <si>
    <t>Adult Inside 2nd Row on Middle</t>
  </si>
  <si>
    <t>CSR_XCP_Signals_Recorder_2026-02-02_13-46-38_Adult_Inside_2R.MF4.xz</t>
  </si>
  <si>
    <t>Adult Inside 2nd Row on Right</t>
  </si>
  <si>
    <t>CSR_XCP_Signals_Recorder_2026-02-02_13-48-28_Adult_Inside_3L.MF4.xz</t>
  </si>
  <si>
    <t>CSR_XCP_Signals_Recorder_2026-02-03_15-08-50_AF95_2L_NCAP1_2.MF4.xz</t>
  </si>
  <si>
    <t>CSR_XCP_Signals_Recorder_2026-02-03_15-09-35_AF95_2L_NCAP1_2.MF4.xz</t>
  </si>
  <si>
    <t>CSR_XCP_Signals_Recorder_2026-02-03_15-11-10_AF95_2L_NCAP1_2.MF4.xz</t>
  </si>
  <si>
    <t>CSR_XCP_Signals_Recorder_2026-02-03_15-12-37_AF95_2L_NCAP3.MF4.xz</t>
  </si>
  <si>
    <t>CSR_XCP_Signals_Recorder_2026-02-03_15-15-00_AF50_2L_NCAP1_2.MF4.xz</t>
  </si>
  <si>
    <t>CSR_XCP_Signals_Recorder_2026-02-03_15-16-44_AF50_2L_NCAP1_2.MF4.xz</t>
  </si>
  <si>
    <t>Full_1l_liquid_bottle_2nd_row.MF4.xz</t>
  </si>
  <si>
    <t>/mnt/measurements/07_CANape/Mitsubishi/5K45/5.5.0_RC1/Liquid</t>
  </si>
  <si>
    <t>700ml water bottle half full on the right corner of front right passenger seat</t>
  </si>
  <si>
    <t>Full_500ml_liquid_bottle_2nd_row.MF4.xz</t>
  </si>
  <si>
    <t>Half_1l_liquid_bottle_1st_row.MF4.xz</t>
  </si>
  <si>
    <t>Half_1l_liquid_bottle_2nd_row.MF4.xz</t>
  </si>
  <si>
    <t>Half_500ml_liquid_bottle_2nd_row.MF4.xz</t>
  </si>
  <si>
    <t>TC146_Half_Fill_1000ml_Liquid_1st_Left_2026-02-20_14-02-42.MF4.xz</t>
  </si>
  <si>
    <t>mnt/measurements/07_CANape/Mitsubishi/5K45/In_Vehicle_Request/ASW/FP_build_4453acfd88ee_5K45EG11/Liquid</t>
  </si>
  <si>
    <t>1 Liter water bottle half full in 1st Row Left</t>
  </si>
  <si>
    <t>TC_147_Half_Fill_1000ml_Liquid_1st_Right_2026-02-20_14-05-40.MF4.xz</t>
  </si>
  <si>
    <t>TC_148_Half_Fill_1000ml_Liquid_2nd_Right_2026-02-20_14-09-19.MF4.xz</t>
  </si>
  <si>
    <t>1 Liter water bottle half full in 2nd Row Right</t>
  </si>
  <si>
    <t>TC_149_Half_Fill_1000ml_Liquid_2nd_Left_2026-02-20_15-09-56.MF4.xz</t>
  </si>
  <si>
    <t>TC_150_Half_Fill_1000ml_Liquid_2nd_Middle_2026-02-20_15-07-24.MF4.xz</t>
  </si>
  <si>
    <t>1 Liter water bottle half full in 2nd Row Middle</t>
  </si>
  <si>
    <t>TC_151_Half_Fill_1000ml_Liquid_3rd_Right_2026-02-20_15-12-40.MF4.xz</t>
  </si>
  <si>
    <t>TC_152_Half_Fill_1000ml_Liquid_3rd_Left_2026-02-20_15-17-14.MF4.xz</t>
  </si>
  <si>
    <t>TC_132_Moving_Toy_1st_Left_2026-02-20_16-02-36.MF4.xz</t>
  </si>
  <si>
    <t>mnt/measurements/07_CANape/Mitsubishi/5K45/In_Vehicle_Request/ASW/FP_build_4453acfd88ee_5K45EG11/Moving_Toy</t>
  </si>
  <si>
    <t>Moving Toy in 1st Row Left</t>
  </si>
  <si>
    <t>TC_133_Moving_Toy_1st_Right_2026-02-20_16-05-59.MF4.xz</t>
  </si>
  <si>
    <t>Moving Toy in 1st Row Right</t>
  </si>
  <si>
    <t>TC_134_Moving_Toy_2nd_Right_2026-02-20_16-09-56.MF4.xz</t>
  </si>
  <si>
    <t>Moving Toy in 2nd Row Right</t>
  </si>
  <si>
    <t>TC_135_Moving_Toy_2nd_Left_2026-02-20_16-15-35.MF4.xz</t>
  </si>
  <si>
    <t>Moving Toy in 2nd Row Left</t>
  </si>
  <si>
    <t>TC_136_Moving_Toy_2nd_Mid_2026-02-20_16-13-57.MF4.xz</t>
  </si>
  <si>
    <t>Moving Toy in 2nd Row Middle</t>
  </si>
  <si>
    <t>TC_137_Moving_Toy_3rd_Right_2026-02-20_16-19-40.MF4.xz</t>
  </si>
  <si>
    <t>Moving Toy in 3rd Row Right</t>
  </si>
  <si>
    <t>TC_138_Moving_Toy_3rd_Left_2026-02-20_16-20-32.MF4.xz</t>
  </si>
  <si>
    <t>Moving Toy in 3rd Row Left</t>
  </si>
  <si>
    <t>ASW Bitidentity error</t>
  </si>
  <si>
    <t>TC176_Outside_Second_Row_Right_AM50_Standing_2026-02-20_13-36-41.MF4.xz</t>
  </si>
  <si>
    <t>mnt/measurements/07_CANape/Mitsubishi/5K45/In_Vehicle_Request/ASW/FP_build_4453acfd88ee_5K45EG11/Outside</t>
  </si>
  <si>
    <t>TC178_Adult_Only_Outside_Second_Row_Right_AM50_Standing_2026-02-20_13-36-41.MF4.xz</t>
  </si>
  <si>
    <t>TC179_Adult_Only_Outside_Second_Row_Left_AM50_Standing_2026-02-20_13-23-31.MF4.xz</t>
  </si>
  <si>
    <t>Adult Standing Outside in 2nd Row Left</t>
  </si>
  <si>
    <t>TC180_Outside_Third_Row_Right_AM50_Standing_2026-02-20_13-35-12.MF4.xz</t>
  </si>
  <si>
    <t>Adult Standing Outside in 3rd Row Right</t>
  </si>
  <si>
    <t>TC181_Adult_Only_Outside_Third_Row_Left_AM50_Standing_2026-02-20_13-26-24.MF4.xz</t>
  </si>
  <si>
    <t>TC_161_Vibrate_Phone_1st_Right_2026-02-20_16-07-37.MF4.xz</t>
  </si>
  <si>
    <t>mnt/measurements/07_CANape/Mitsubishi/5K45/In_Vehicle_Request/ASW/FP_build_4453acfd88ee_5K45EG11/Vibrate_Phone</t>
  </si>
  <si>
    <t>Vibrate Phone in 1st Row Right</t>
  </si>
  <si>
    <t>TC_162_Vibrate_Phone_2nd_Right_2026-02-20_16-11-20.MF4.xz</t>
  </si>
  <si>
    <t>Vibrate Phone in 2nd Row Right</t>
  </si>
  <si>
    <t>TC_163_Vibrate_Phone_2nd_Left_2026-02-20_16-16-52.MF4.xz</t>
  </si>
  <si>
    <t>Vibrate Phone in 2nd Row Left</t>
  </si>
  <si>
    <t>TC_164_Vibrate_Phone_2nd_Mid_2026-02-20_16-12-37.MF4.xz</t>
  </si>
  <si>
    <t>TC_166_Vibrate_Phone_3rd_Left_2026-02-20_16-21-46.MF4.xz</t>
  </si>
  <si>
    <t>Vibrate Phone in 3rd Row Left</t>
  </si>
  <si>
    <t>TC160_Vibrate_Phone_1st_Left_2026-02-20_16-04-12.MF4.xz</t>
  </si>
  <si>
    <t>Vibrate Phone in 1st Row Left</t>
  </si>
  <si>
    <t>TC165_Vibrate_Phone_3rd_Right_2026-02-20_16-18-31.MF4.xz</t>
  </si>
  <si>
    <t>Vibrate Phone in 3rd Row Right</t>
  </si>
  <si>
    <t>Rain</t>
  </si>
  <si>
    <t>Adult</t>
  </si>
  <si>
    <t>RSP Bitidentity test is needed</t>
  </si>
  <si>
    <t>MMC_XC90_MMC510_RainChamber_CPD_ASFL_30mm_2025-12-18_08-58-03.MF4.xz</t>
  </si>
  <si>
    <t>/mnt/measurements/07_CANape/VolvoXC90/MMC_510/RainChamber/adult/</t>
  </si>
  <si>
    <t>Adult in Front Left in RainChamber at 30mm</t>
  </si>
  <si>
    <t>MMC_XC90_MMC510_RainChamber_CPD_ASFL_30mm_2025-12-18_08-58-50.MF4.xz</t>
  </si>
  <si>
    <t>MMC_XC90_MMC510_RainChamber_CPD_ASFL_30mm_2025-12-18_13-54-40.MF4.xz</t>
  </si>
  <si>
    <t>MMC_XC90_MMC510_RainChamber_CPD_ASFL_30mm_2025-12-18_13-55-27.MF4.xz</t>
  </si>
  <si>
    <t>MMC_XC90_MMC510_RainChamber_CPD_ASFL_30mm_2025-12-18_13-56-21.MF4.xz</t>
  </si>
  <si>
    <t>MMC_XC90_MMC510_RainChamber_CPD_ASFL_30mm_2025-12-18_14-00-16.MF4.xz</t>
  </si>
  <si>
    <t>MMC_XC90_MMC510_RainChamber_CPD_ASFL_50mm_2025-12-18_14-01-44.MF4.xz</t>
  </si>
  <si>
    <t>Adult in Front Left in RainChamber at 50mm</t>
  </si>
  <si>
    <t>MMC_XC90_MMC510_RainChamber_CPD_ASFL_50mm_2025-12-18_14-02-39.MF4.xz</t>
  </si>
  <si>
    <t>Failed on RSP-bit identity check</t>
  </si>
  <si>
    <t>MMC_XC90_MMC510_RainChamber_CPD_ASFL_50mm_2025-12-18_14-04-03.MF4.xz</t>
  </si>
  <si>
    <t>MMC_XC90_MMC510_RainChamber_CPD_ASFL_100mm_2025-12-18_14-06-53.MF4.xz</t>
  </si>
  <si>
    <t>MMC_XC90_MMC510_RainChamber_CPD_ASFL_100mm_2025-12-18_14-07-45.MF4.xz</t>
  </si>
  <si>
    <t>Adult in Front Left in RainChamber at 100mm</t>
  </si>
  <si>
    <t>MMC_XC90_MMC510_RainChamber_CPD_ASFL_100mm_2025-12-18_14-08-43.MF4.xz</t>
  </si>
  <si>
    <t>MMC_XC90_MMC510_RainChamber_CPD_ASFL_100mm_2025-12-18_14-09-46.MF4.xz</t>
  </si>
  <si>
    <t>Adult + 1YO</t>
  </si>
  <si>
    <t>1L+1R</t>
  </si>
  <si>
    <t>MMC_XC90_MMC510_RainChamber_CPD_ASFL_DSFR_1YO_50mm_2025-12-18_09-05-50.MF4.xz</t>
  </si>
  <si>
    <t>Adult in Front Left and 1YO Dummy in Front Right in RainChamber at 50mm</t>
  </si>
  <si>
    <t>MMC_XC90_MMC510_RainChamber_CPD_ASFL_DSFR_1YO_100mm_2025-12-18_09-39-08.MF4.xz</t>
  </si>
  <si>
    <t>Adult in Front Left and 1YO Dummy in Front Right in RainChamber at 100mm</t>
  </si>
  <si>
    <t>Adult + 3YO</t>
  </si>
  <si>
    <t>MMC_XC90_MMC510_RainChamber_CPD_ASFL_DSFR_3YO_100mm_2025-12-18_09-48-12.MF4.xz</t>
  </si>
  <si>
    <t>Adult in Front Left and 3YO Dummy in Front Right in RainChamber at 100mm</t>
  </si>
  <si>
    <t>Adult + 6YO</t>
  </si>
  <si>
    <t>MMC_XC90_MMC510_RainChamber_CPD_ASFL_DSFR_6YO_100mm_2025-12-18_09-49-21.MF4.xz</t>
  </si>
  <si>
    <t>Adult in Front Left and 6YO Dummy in Front Right in RainChamber at 100mm</t>
  </si>
  <si>
    <t>1L+2L</t>
  </si>
  <si>
    <t>MMC_XC90_MMC510_RainChamber_CPD_ASFL_DSML_1YO_Frontward_30mm_2025-12-18_11-17-13.MF4.xz</t>
  </si>
  <si>
    <t>1L+2R</t>
  </si>
  <si>
    <t>MMC_XC90_MMC510_RainChamber_CPD_ASFL_DSMR_1YO_Rearward_100mm_2025-12-18_11-15-10.MF4.xz</t>
  </si>
  <si>
    <t>MMC_XC90_MMC510_RainChamber_CPD_ASFL_DSMR_3YO_Frontward_30mm_2025-12-18_10-52-15.MF4.xz</t>
  </si>
  <si>
    <t>1L+3R</t>
  </si>
  <si>
    <t>MMC_XC90_MMC510_RainChamber_CPD_ASFL_DSRR_1YO_Rearward_100mm_2025-12-18_12-11-23.MF4.xz</t>
  </si>
  <si>
    <t>MMC_XC90_MMC510_RainChamber_CPD_ASFL_DSRR_6YO_Frontward_50mm_2025-12-18_12-42-01.MF4.xz</t>
  </si>
  <si>
    <t>MMC_XC90_MMC510_RainChamber_CPD_ASFL_DSRR_6YO_Frontward_100mm_2025-12-18_12-43-20.MF4.xz</t>
  </si>
  <si>
    <t>MMC_XC90_MMC510_RainChamber_CPD_ASFR_30mm_2025-12-18_15-30-23.MF4.xz</t>
  </si>
  <si>
    <t>MMC_XC90_MMC510_RainChamber_CPD_ASFR_30mm_2025-12-18_15-31-25.MF4.xz</t>
  </si>
  <si>
    <t>Adult in Front Right in RainChamber at 30mm</t>
  </si>
  <si>
    <t>MMC_XC90_MMC510_RainChamber_CPD_ASFR_30mm_2025-12-18_15-32-35.MF4.xz</t>
  </si>
  <si>
    <t>MMC_XC90_MMC510_RainChamber_CPD_ASFR_30mm_2025-12-18_15-33-34.MF4.xz</t>
  </si>
  <si>
    <t>Adult + NB</t>
  </si>
  <si>
    <t>1R+2L</t>
  </si>
  <si>
    <t>MMC_XC90_MMC510_RainChamber_CPD_ASFR_DSML_Newborn_30mm_2025-12-18_15-38-09.MF4.xz</t>
  </si>
  <si>
    <t>Adult in Front Right and New Born Dummy in Second Row Left in RainChamber at 30mm</t>
  </si>
  <si>
    <t>MMC_XC90_MMC510_RainChamber_CPD_ASFR_DSML_Newborn_30mm_2025-12-18_15-38-58.MF4.xz</t>
  </si>
  <si>
    <t>RSP Bitidentity test is needed + removed from file sorter list</t>
  </si>
  <si>
    <t>MMC_XC90_MMC510_RainChamber_CPD_ASFR_DSML_Newborn_30mm_2025-12-18_15-39-49.MF4.xz</t>
  </si>
  <si>
    <t>1R+2R</t>
  </si>
  <si>
    <t>MMC_XC90_MMC510_RainChamber_CPD_ASFR_DSMR_Newborn_30mm_2025-12-18_15-41-03.MF4.xz</t>
  </si>
  <si>
    <t>MMC_XC90_MMC510_RainChamber_CPD_ASFR_DSMR_Newborn_30mm_2025-12-18_15-41-50.MF4.xz</t>
  </si>
  <si>
    <t>MMC_XC90_MMC510_RainChamber_CPD_ASFR_DSMR_Newborn_30mm_2025-12-18_15-42-44.MF4.xz</t>
  </si>
  <si>
    <t>Adult in Front Right and New Born Dummy in Second Row Right in RainChamber at 30mm</t>
  </si>
  <si>
    <t>1R+3L</t>
  </si>
  <si>
    <t>MMC_XC90_MMC510_RainChamber_CPD_ASFR_DSRL_3YO_Frontward_30mm_2025-12-18_13-04-59.MF4.xz</t>
  </si>
  <si>
    <t>MMC_XC90_MMC510_RainChamber_CPD_ASML_30mm_2025-12-18_14-25-45.MF4.xz</t>
  </si>
  <si>
    <t>Adult in Second Row Middle in RainChamber at 30mm</t>
  </si>
  <si>
    <t>MMC_XC90_MMC510_RainChamber_CPD_ASML_30mm_2025-12-18_14-26-43.MF4.xz</t>
  </si>
  <si>
    <t>MMC_XC90_MMC510_RainChamber_CPD_ASML_30mm_2025-12-18_14-27-36.MF4.xz</t>
  </si>
  <si>
    <t>MMC_XC90_MMC510_RainChamber_CPD_ASML_50mm_2025-12-18_14-38-34.MF4.xz</t>
  </si>
  <si>
    <t>Adult in Second Row Middle in RainChamber at 50mm</t>
  </si>
  <si>
    <t>MMC_XC90_MMC510_RainChamber_CPD_ASML_50mm_2025-12-18_14-39-21.MF4.xz</t>
  </si>
  <si>
    <t>MMC_XC90_MMC510_RainChamber_CPD_ASML_50mm_2025-12-18_14-40-08.MF4.xz</t>
  </si>
  <si>
    <t>MMC_XC90_MMC510_RainChamber_CPD_ASML_100mm_2025-12-18_14-41-38.MF4.xz</t>
  </si>
  <si>
    <t>MMC_XC90_MMC510_RainChamber_CPD_ASML_100mm_2025-12-18_14-42-21.MF4.xz</t>
  </si>
  <si>
    <t>Adult in Second Row Middle in RainChamber at 100mm</t>
  </si>
  <si>
    <t>MMC_XC90_MMC510_RainChamber_CPD_ASML_100mm_2025-12-18_14-43-06.MF4.xz</t>
  </si>
  <si>
    <t>2+1</t>
  </si>
  <si>
    <t>2L+1L</t>
  </si>
  <si>
    <t>MMC_XC90_MMC510_RainChamber_CPD_ASML_DSFL_1YO_Frontward_30mm_2025-12-18_10-16-10.MF4.xz</t>
  </si>
  <si>
    <t>MMC_XC90_MMC510_RainChamber_CPD_ASML_DSFL_1YO_Rearward_30mm_2025-12-18_10-00-40.MF4.xz</t>
  </si>
  <si>
    <t>Adult in Second Row Left and Dummy 1YO Rearward Front Left in RainChamber at 30mm</t>
  </si>
  <si>
    <t>MMC_XC90_MMC510_RainChamber_CPD_ASML_DSFL_3YO_Frontward_30mm_2025-12-18_10-17-38.MF4.xz</t>
  </si>
  <si>
    <t>MMC_XC90_MMC510_RainChamber_CPD_ASML_DSFL_3YO_Frontward_30mm_2025-12-18_10-19-20.MF4.xz</t>
  </si>
  <si>
    <t>2+2</t>
  </si>
  <si>
    <t>2L+2R</t>
  </si>
  <si>
    <t>MMC_XC90_MMC510_RainChamber_CPD_ASML_DSMR_6YO_Frontward_30mm_2025-12-18_11-00-05.MF4.xz</t>
  </si>
  <si>
    <t>MMC_XC90_MMC510_RainChamber_CPD_ASML_DSMR_Newborn_30mm_2025-12-18_15-52-47.MF4.xz</t>
  </si>
  <si>
    <t>MMC_XC90_MMC510_RainChamber_CPD_ASML_DSMR_Newborn_30mm_2025-12-18_15-53-36.MF4.xz</t>
  </si>
  <si>
    <t>MMC_XC90_MMC510_RainChamber_CPD_ASML_DSMR_Newborn_30mm_2025-12-18_15-54-19.MF4.xz</t>
  </si>
  <si>
    <t>Adult in Second Row Right and Dummy Newborn in Second Row Right in RainChamber at 30mm</t>
  </si>
  <si>
    <t>MMC_XC90_MMC510_RainChamber_CPD_ASML_DSRR_1YO_Frontward_30mm_2025-12-18_12-14-42.MF4.xz</t>
  </si>
  <si>
    <t>MMC_XC90_MMC510_RainChamber_CPD_ASML_DSRR_1YO_Rearward_30mm_2025-12-18_12-12-57.MF4.xz</t>
  </si>
  <si>
    <t>MMC_XC90_MMC510_RainChamber_CPD_ASMM_30mm_2025-12-18_14-28-50.MF4.xz</t>
  </si>
  <si>
    <t>MMC_XC90_MMC510_RainChamber_CPD_ASMM_30mm_2025-12-18_14-29-43.MF4.xz</t>
  </si>
  <si>
    <t>MMC_XC90_MMC510_RainChamber_CPD_ASMM_50mm_2025-12-18_14-36-01.MF4.xz</t>
  </si>
  <si>
    <t>MMC_XC90_MMC510_RainChamber_CPD_ASMM_50mm_2025-12-18_14-36-47.MF4.xz</t>
  </si>
  <si>
    <t>MMC_XC90_MMC510_RainChamber_CPD_ASMM_50mm_2025-12-18_14-37-37.MF4.xz</t>
  </si>
  <si>
    <t>MMC_XC90_MMC510_RainChamber_CPD_ASMM_100mm_2025-12-18_14-44-03.MF4.xz</t>
  </si>
  <si>
    <t>MMC_XC90_MMC510_RainChamber_CPD_ASMM_100mm_2025-12-18_14-44-47.MF4.xz</t>
  </si>
  <si>
    <t>MMC_XC90_MMC510_RainChamber_CPD_ASMM_100mm_2025-12-18_14-45-51.MF4.xz</t>
  </si>
  <si>
    <t>2C+2L</t>
  </si>
  <si>
    <t>MMC_XC90_MMC510_RainChamber_CPD_ASMM_DSML_Newborn_30mm_2025-12-18_15-48-15.MF4.xz</t>
  </si>
  <si>
    <t>Adult in Second Row Middle and NewBorn Dummy in Second Row Left in RainChamber at 30mm</t>
  </si>
  <si>
    <t>MMC_XC90_MMC510_RainChamber_CPD_ASMM_DSML_Newborn_30mm_2025-12-18_15-49-05.MF4.xz</t>
  </si>
  <si>
    <t>MMC_XC90_MMC510_RainChamber_CPD_ASMM_DSML_Newborn_30mm_2025-12-18_15-51-08.MF4.xz</t>
  </si>
  <si>
    <t>MMC_XC90_MMC510_RainChamber_CPD_ASMR_30mm_2025-12-18_14-30-45.MF4.xz</t>
  </si>
  <si>
    <t>Adult in Second Row Right in RainChamber at 30mm</t>
  </si>
  <si>
    <t>MMC_XC90_MMC510_RainChamber_CPD_ASMR_30mm_2025-12-18_14-32-00.MF4.xz</t>
  </si>
  <si>
    <t>MMC_XC90_MMC510_RainChamber_CPD_ASMR_50mm_2025-12-18_14-33-18.MF4.xz</t>
  </si>
  <si>
    <t>MMC_XC90_MMC510_RainChamber_CPD_ASMR_50mm_2025-12-18_14-34-45.MF4.xz</t>
  </si>
  <si>
    <t>MMC_XC90_MMC510_RainChamber_CPD_ASMR_100mm_2025-12-18_14-46-53.MF4.xz</t>
  </si>
  <si>
    <t>MMC_XC90_MMC510_RainChamber_CPD_ASMR_100mm_2025-12-18_14-47-38.MF4.xz</t>
  </si>
  <si>
    <t>MMC_XC90_MMC510_RainChamber_CPD_ASMR_100mm_2025-12-18_14-48-34.MF4.xz</t>
  </si>
  <si>
    <t>2R+2L</t>
  </si>
  <si>
    <t>MMC_XC90_MMC510_RainChamber_CPD_ASMR_DSML_3YO_Frontward_30mm_2025-12-18_11-27-57.MF4.xz</t>
  </si>
  <si>
    <t>MMC_XC90_MMC510_RainChamber_CPD_ASMR_DSML_3YO_Frontward_100mm_2025-12-18_11-26-09.MF4.xz</t>
  </si>
  <si>
    <t>MMC_XC90_MMC510_RainChamber_CPD_ASMR_DSML_Newborn_30mm_2025-12-18_15-45-17.MF4.xz</t>
  </si>
  <si>
    <t>Adult in Second Row Right and 3YO Dummy Frontward in Second Row Left in RainChamber at 30mm</t>
  </si>
  <si>
    <t>MMC_XC90_MMC510_RainChamber_CPD_ASMR_DSML_Newborn_30mm_2025-12-18_15-46-12.MF4.xz</t>
  </si>
  <si>
    <t>MMC_XC90_MMC510_RainChamber_CPD_ASMR_DSML_Newborn_30mm_2025-12-18_15-47-03.MF4.xz</t>
  </si>
  <si>
    <t>MMC_XC90_MMC510_RainChamber_CPD_ASMR_DSRL_1YO_Rearward_30mm_2025-12-18_12-48-24.MF4.xz</t>
  </si>
  <si>
    <t>Adult in Second Row Right and 1YO Dummy Rearward in Third Row Left in RainChamber at 30mm</t>
  </si>
  <si>
    <t>MMC_XC90_MMC510_RainChamber_CPD_ASMR_DSRR_3YO_Frontward_30mm_2025-12-18_12-24-07.MF4.xz</t>
  </si>
  <si>
    <t>MMC_XC90_MMC510_RainChamber_CPD_DSFL_1YO_Frontward_30mm_2025-12-18_10-09-04.MF4.xz</t>
  </si>
  <si>
    <t>/mnt/measurements/07_CANape/VolvoXC90/MMC_510/RainChamber/child/</t>
  </si>
  <si>
    <t>1YO Dummy Frontward in Front Left in RainChamber at 30mm</t>
  </si>
  <si>
    <t>MMC_XC90_MMC510_RainChamber_CPD_DSFL_1YO_Frontward_50mm_2025-12-18_10-10-51.MF4.xz</t>
  </si>
  <si>
    <t>1YO Dummy Frontward in Front Left in RainChamber at 50mm</t>
  </si>
  <si>
    <t>MMC_XC90_MMC510_RainChamber_CPD_DSFL_1YO_Frontward_100mm_2025-12-18_10-12-51.MF4.xz</t>
  </si>
  <si>
    <t>1YO Dummy Frontward in Front Left in RainChamber at 100mm</t>
  </si>
  <si>
    <t>MMC_XC90_MMC510_RainChamber_CPD_DSFL_1YO_Rearward_30mm_2025-12-18_10-02-14.MF4.xz</t>
  </si>
  <si>
    <t>MMC_XC90_MMC510_RainChamber_CPD_DSFL_1YO_Rearward_50mm_2025-12-18_10-04-24.MF4.xz</t>
  </si>
  <si>
    <t>MMC_XC90_MMC510_RainChamber_CPD_DSFL_1YO_Rearward_100mm_2025-12-18_10-06-58.MF4.xz</t>
  </si>
  <si>
    <t>MMC_XC90_MMC510_RainChamber_CPD_DSFL_3YO_Frontward_30mm_2025-12-18_10-21-32.MF4.xz</t>
  </si>
  <si>
    <t>3YO Dummy Frontward in Front Left in RainChamber at 30mm</t>
  </si>
  <si>
    <t>MMC_XC90_MMC510_RainChamber_CPD_DSFL_3YO_Frontward_50mm_2025-12-18_10-23-52.MF4.xz</t>
  </si>
  <si>
    <t>3YO Dummy Frontward in Front Left in RainChamber at 50mm</t>
  </si>
  <si>
    <t>MMC_XC90_MMC510_RainChamber_CPD_DSFL_3YO_Frontward_100mm_2025-12-18_10-26-04.MF4.xz</t>
  </si>
  <si>
    <t>3YO Dummy Frontward in Front Left in RainChamber at 100mm</t>
  </si>
  <si>
    <t>MMC_XC90_MMC510_RainChamber_CPD_DSFL_3YO_Frontward_100mm_2025-12-18_10-28-52.MF4.xz</t>
  </si>
  <si>
    <t>MMC_XC90_MMC510_RainChamber_CPD_DSFL_6YO_Frontward_30mm_2025-12-18_10-31-38.MF4.xz</t>
  </si>
  <si>
    <t>6YO Dummy Frontward in Front Left in RainChamber at 30mm</t>
  </si>
  <si>
    <t>MMC_XC90_MMC510_RainChamber_CPD_DSFL_6YO_Frontward_50mm_2025-12-18_10-33-37.MF4.xz</t>
  </si>
  <si>
    <t>6YO Dummy Frontward in Front Left in RainChamber at 50mm</t>
  </si>
  <si>
    <t>MMC_XC90_MMC510_RainChamber_CPD_DSFL_6YO_Frontward_100mm_2025-12-18_10-35-35.MF4.xz</t>
  </si>
  <si>
    <t>MMC_XC90_MMC510_RainChamber_CPD_DSFR_1YO_30mm_2025-12-18_09-31-54.MF4.xz</t>
  </si>
  <si>
    <t>1YO Dummy in Front Right in RainChamber at 30mm</t>
  </si>
  <si>
    <t>MMC_XC90_MMC510_RainChamber_CPD_DSFR_1YO_50mm_2025-12-18_09-03-58.MF4.xz</t>
  </si>
  <si>
    <t>1YO Dummy in Front Right in RainChamber at 50mm</t>
  </si>
  <si>
    <t>MMC_XC90_MMC510_RainChamber_CPD_DSFR_1YO_50mm_2025-12-18_09-33-54.MF4.xz</t>
  </si>
  <si>
    <t>MMC_XC90_MMC510_RainChamber_CPD_DSFR_1YO_100mm_2025-12-18_09-07-52.MF4.xz</t>
  </si>
  <si>
    <t>1YO Dummy in Front Right in RainChamber at 100mm</t>
  </si>
  <si>
    <t>MMC_XC90_MMC510_RainChamber_CPD_DSFR_1YO_100mm_2025-12-18_09-10-20.MF4.xz</t>
  </si>
  <si>
    <t>MMC_XC90_MMC510_RainChamber_CPD_DSFR_1YO_100mm_2025-12-18_09-16-57.MF4.xz</t>
  </si>
  <si>
    <t>MMC_XC90_MMC510_RainChamber_CPD_DSFR_1YO_100mm_2025-12-18_09-35-42.MF4.xz</t>
  </si>
  <si>
    <t>MMC_XC90_MMC510_RainChamber_CPD_DSFR_3YO_30mm_2025-12-18_09-41-15.MF4.xz</t>
  </si>
  <si>
    <t>3YO Dummy in Front Right in RainChamber at 30mm</t>
  </si>
  <si>
    <t>MMC_XC90_MMC510_RainChamber_CPD_DSFR_3YO_50mm_2025-12-18_09-43-14.MF4.xz</t>
  </si>
  <si>
    <t>3YO Dummy in Front Right in RainChamber at 50mm</t>
  </si>
  <si>
    <t>MMC_XC90_MMC510_RainChamber_CPD_DSFR_3YO_100mm_2025-12-18_09-45-07.MF4.xz</t>
  </si>
  <si>
    <t>3YO Dummy in Front Right in RainChamber at 100mm</t>
  </si>
  <si>
    <t>MMC_XC90_MMC510_RainChamber_CPD_DSFR_6YO_30mm_2025-12-18_09-52-01.MF4.xz</t>
  </si>
  <si>
    <t>6YO Dummy in Front Right in RainChamber at 30mm</t>
  </si>
  <si>
    <t>MMC_XC90_MMC510_RainChamber_CPD_DSFR_6YO_50mm_2025-12-18_09-53-48.MF4.xz</t>
  </si>
  <si>
    <t>6YO Dummy in Front Right in RainChamber at 50mm</t>
  </si>
  <si>
    <t>MMC_XC90_MMC510_RainChamber_CPD_DSFR_6YO_100mm_2025-12-18_09-55-54.MF4.xz</t>
  </si>
  <si>
    <t>6YO Dummy in Front Right in RainChamber at 100mm</t>
  </si>
  <si>
    <t>NB deepsleep</t>
  </si>
  <si>
    <t>MMC_XC90_MMC510_RainChamber_CPD_DSFR_Newborn_DeepSleep_30mm_2025-12-18_08-48-49.MF4.xz</t>
  </si>
  <si>
    <t>NewBorn Dummy DeepSleep in Front Right in RainChamber at 30mm</t>
  </si>
  <si>
    <t>MMC_XC90_MMC510_RainChamber_CPD_DSML_1YO_Frontward_30mm_2025-12-18_11-18-34.MF4.xz</t>
  </si>
  <si>
    <t>1YO Dummy Frontward in Second Row Left in RainChamber at 30mm</t>
  </si>
  <si>
    <t>MMC_XC90_MMC510_RainChamber_CPD_DSML_1YO_Frontward_50mm_2025-12-18_11-20-49.MF4.xz</t>
  </si>
  <si>
    <t>1YO Dummy Frontward in Second Row Left in RainChamber at 50mm</t>
  </si>
  <si>
    <t>MMC_XC90_MMC510_RainChamber_CPD_DSML_1YO_Frontward_100mm_2025-12-18_11-22-51.MF4.xz</t>
  </si>
  <si>
    <t>1YO Dummy Frontward in Second Row Left in RainChamber at 100mm</t>
  </si>
  <si>
    <t>MMC_XC90_MMC510_RainChamber_CPD_DSML_1YO_Rearward_30mm_2025-12-18_11-07-37.MF4.xz</t>
  </si>
  <si>
    <t>1YO Dummy Rearward in Second Row Left in RainChamber at 30mm</t>
  </si>
  <si>
    <t>MMC_XC90_MMC510_RainChamber_CPD_DSML_1YO_Rearward_50mm_2025-12-18_11-10-39.MF4.xz</t>
  </si>
  <si>
    <t>1YO Dummy Rearward in Second Row Left in RainChamber at 50mm</t>
  </si>
  <si>
    <t>MMC_XC90_MMC510_RainChamber_CPD_DSML_1YO_Rearward_100mm_2025-12-18_11-12-46.MF4.xz</t>
  </si>
  <si>
    <t>1YO Dummy Rearward in Second Row Left in RainChamber at 100mm</t>
  </si>
  <si>
    <t>MMC_XC90_MMC510_RainChamber_CPD_DSML_3YO_Frontward_30mm_2025-12-18_11-29-22.MF4.xz</t>
  </si>
  <si>
    <t>MMC_XC90_MMC510_RainChamber_CPD_DSML_3YO_Frontward_50mm_2025-12-18_11-31-34.MF4.xz</t>
  </si>
  <si>
    <t>MMC_XC90_MMC510_RainChamber_CPD_DSML_3YO_Frontward_100mm_2025-12-18_11-34-29.MF4.xz</t>
  </si>
  <si>
    <t>3YO Dummy Frontward in Second Row Left in RainChamber at 100mm</t>
  </si>
  <si>
    <t>MMC_XC90_MMC510_RainChamber_CPD_DSML_6YO_Frontward_30mm_2025-12-18_11-37-46.MF4.xz</t>
  </si>
  <si>
    <t>6YO Dummy Frontward in Second Row Left in RainChamber at 30mm</t>
  </si>
  <si>
    <t>MMC_XC90_MMC510_RainChamber_CPD_DSML_6YO_Frontward_50mm_2025-12-18_11-41-20.MF4.xz</t>
  </si>
  <si>
    <t>6YO Dummy Frontward in Second Row Left in RainChamber at 50mm</t>
  </si>
  <si>
    <t>MMC_XC90_MMC510_RainChamber_CPD_DSML_6YO_Frontward_100mm_2025-12-18_11-43-17.MF4.xz</t>
  </si>
  <si>
    <t>6YO Dummy Frontward in Second Row Left in RainChamber at 100mm</t>
  </si>
  <si>
    <t>MMC_XC90_MMC510_RainChamber_CPD_DSMR_1YO_Frontward_30mm_2025-12-18_10-45-20.MF4.xz</t>
  </si>
  <si>
    <t>MMC_XC90_MMC510_RainChamber_CPD_DSMR_1YO_Frontward_50mm_2025-12-18_10-47-35.MF4.xz</t>
  </si>
  <si>
    <t>1YO Dummy Frontward in Second Row Right in RainChamber at 50mm</t>
  </si>
  <si>
    <t>MMC_XC90_MMC510_RainChamber_CPD_DSMR_1YO_Frontward_100mm_2025-12-18_10-49-23.MF4.xz</t>
  </si>
  <si>
    <t>1YO Dummy Frontward in Second Row Right in RainChamber at 100mm</t>
  </si>
  <si>
    <t>MMC_XC90_MMC510_RainChamber_CPD_DSMR_1YO_Rearward_30mm_2025-12-18_10-38-26.MF4.xz</t>
  </si>
  <si>
    <t>1YO Dummy Rearward in Second Row Right in RainChamber at 30mm</t>
  </si>
  <si>
    <t>MMC_XC90_MMC510_RainChamber_CPD_DSMR_1YO_Rearward_50mm_2025-12-18_10-40-24.MF4.xz</t>
  </si>
  <si>
    <t>1YO Dummy Rearward in Second Row Right in RainChamber at 50mm</t>
  </si>
  <si>
    <t>MMC_XC90_MMC510_RainChamber_CPD_DSMR_1YO_Rearward_100mm_2025-12-18_10-42-18.MF4.xz</t>
  </si>
  <si>
    <t>1YO Dummy Rearward in Second Row Right in RainChamber at 100mm</t>
  </si>
  <si>
    <t>MMC_XC90_MMC510_RainChamber_CPD_DSMR_3YO_Frontward_30mm_2025-12-18_10-53-53.MF4.xz</t>
  </si>
  <si>
    <t>3YO Dummy Frontward in Second Row Right in RainChamber at 30mm</t>
  </si>
  <si>
    <t>MMC_XC90_MMC510_RainChamber_CPD_DSMR_3YO_Frontward_50mm_2025-12-18_10-55-47.MF4.xz</t>
  </si>
  <si>
    <t>3YO Dummy Frontward in Second Row Right in RainChamber at 50mm</t>
  </si>
  <si>
    <t>MMC_XC90_MMC510_RainChamber_CPD_DSMR_3YO_Frontward_100mm_2025-12-18_10-57-39.MF4.xz</t>
  </si>
  <si>
    <t>MMC_XC90_MMC510_RainChamber_CPD_DSMR_6YO_Frontward_30mm_2025-12-18_11-01-39.MF4.xz</t>
  </si>
  <si>
    <t>MMC_XC90_MMC510_RainChamber_CPD_DSMR_6YO_Frontward_50mm_2025-12-18_11-03-45.MF4.xz</t>
  </si>
  <si>
    <t>6YO Dummy Frontward in Second Row Right in RainChamber at 50mm</t>
  </si>
  <si>
    <t>MMC_XC90_MMC510_RainChamber_CPD_DSMR_6YO_Frontward_100mm_2025-12-18_11-05-38.MF4.xz</t>
  </si>
  <si>
    <t>MMC_XC90_MMC510_RainChamber_CPD_DSRL_1YO_Frontward_30mm_2025-12-18_12-58-52.MF4.xz</t>
  </si>
  <si>
    <t>MMC_XC90_MMC510_RainChamber_CPD_DSRL_1YO_Frontward_50mm_2025-12-18_13-00-41.MF4.xz</t>
  </si>
  <si>
    <t>MMC_XC90_MMC510_RainChamber_CPD_DSRL_1YO_Frontward_100mm_2025-12-18_13-02-29.MF4.xz</t>
  </si>
  <si>
    <t>MMC_XC90_MMC510_RainChamber_CPD_DSRL_1YO_Rearward_30mm_2025-12-18_12-49-48.MF4.xz</t>
  </si>
  <si>
    <t>MMC_XC90_MMC510_RainChamber_CPD_DSRL_1YO_Rearward_50mm_2025-12-18_12-52-23.MF4.xz</t>
  </si>
  <si>
    <t>1YO Dummy Frontward in Third Row Left in RainChamber at 50mm</t>
  </si>
  <si>
    <t>MMC_XC90_MMC510_RainChamber_CPD_DSRL_1YO_Rearward_100mm_2025-12-18_12-55-11.MF4.xz</t>
  </si>
  <si>
    <t>1YO Dummy Frontward in Third Row Left in RainChamber at 100mm</t>
  </si>
  <si>
    <t>MMC_XC90_MMC510_RainChamber_CPD_DSRL_3YO_Frontward_30mm_2025-12-18_13-06-58.MF4.xz</t>
  </si>
  <si>
    <t>3YO Dummy Frontward in Third Row Left in RainChamber at 30mm</t>
  </si>
  <si>
    <t>MMC_XC90_MMC510_RainChamber_CPD_DSRL_3YO_Frontward_50mm_2025-12-18_13-10-33.MF4.xz</t>
  </si>
  <si>
    <t>3YO Dummy Frontward in Third Row Left in RainChamber at 50mm</t>
  </si>
  <si>
    <t>MMC_XC90_MMC510_RainChamber_CPD_DSRL_3YO_Frontward_100mm_2025-12-18_13-12-44.MF4.xz</t>
  </si>
  <si>
    <t>3YO Dummy Frontward in Third Row Left in RainChamber at 100mm</t>
  </si>
  <si>
    <t>MMC_XC90_MMC510_RainChamber_CPD_DSRL_6YO_Frontward_30mm_2025-12-18_13-29-53.MF4.xz</t>
  </si>
  <si>
    <t>6YO Dummy Frontward in Third Row Left in RainChamber at 30mm</t>
  </si>
  <si>
    <t>MMC_XC90_MMC510_RainChamber_CPD_DSRL_6YO_Frontward_50mm_2025-12-18_13-32-10.MF4.xz</t>
  </si>
  <si>
    <t>MMC_XC90_MMC510_RainChamber_CPD_DSRL_6YO_Frontward_100mm_2025-12-18_13-34-09.MF4.xz</t>
  </si>
  <si>
    <t>6YO Dummy Frontward in Third Row Left in RainChamber at 100mm</t>
  </si>
  <si>
    <t>MMC_XC90_MMC510_RainChamber_CPD_DSRR_1YO_Frontward_30mm_2025-12-18_12-16-44.MF4.xz</t>
  </si>
  <si>
    <t>1YO Dummy Frontward in Third Row Right in RainChamber at 30mm</t>
  </si>
  <si>
    <t>MMC_XC90_MMC510_RainChamber_CPD_DSRR_1YO_Frontward_50mm_2025-12-18_12-19-11.MF4.xz</t>
  </si>
  <si>
    <t>1YO Dummy Frontward in Third Row Right in RainChamber at 50mm</t>
  </si>
  <si>
    <t>MMC_XC90_MMC510_RainChamber_CPD_DSRR_1YO_Frontward_100mm_2025-12-18_12-21-22.MF4.xz</t>
  </si>
  <si>
    <t>1YO Dummy Frontward in Third Row Right in RainChamber at 100mm</t>
  </si>
  <si>
    <t>MMC_XC90_MMC510_RainChamber_CPD_DSRR_1YO_Rearward_30mm_2025-12-18_12-03-55.MF4.xz</t>
  </si>
  <si>
    <t>1YO Dummy Rearward in Third Row Right in RainChamber at 30mm</t>
  </si>
  <si>
    <t>MMC_XC90_MMC510_RainChamber_CPD_DSRR_1YO_Rearward_50mm_2025-12-18_12-06-42.MF4.xz</t>
  </si>
  <si>
    <t>1YO Dummy Rearward in Third Row Right in RainChamber at 50mm</t>
  </si>
  <si>
    <t>MMC_XC90_MMC510_RainChamber_CPD_DSRR_1YO_Rearward_100mm_2025-12-18_12-08-57.MF4.xz</t>
  </si>
  <si>
    <t>1YO Dummy Rearward in Third Row Right in RainChamber at 100mm</t>
  </si>
  <si>
    <t>MMC_XC90_MMC510_RainChamber_CPD_DSRR_3YO_Frontward_30mm_2025-12-18_12-26-51.MF4.xz</t>
  </si>
  <si>
    <t>3YO Dummy Frontward in Third Row Right in RainChamber at 30mm</t>
  </si>
  <si>
    <t>MMC_XC90_MMC510_RainChamber_CPD_DSRR_3YO_Frontward_50mm_2025-12-18_12-29-02.MF4.xz</t>
  </si>
  <si>
    <t>3YO Dummy Frontward in Third Row Right in RainChamber at 50mm</t>
  </si>
  <si>
    <t>MMC_XC90_MMC510_RainChamber_CPD_DSRR_3YO_Frontward_100mm_2025-12-18_12-31-29.MF4.xz</t>
  </si>
  <si>
    <t>3YO Dummy Frontward in Third Row Right in RainChamber at 100mm</t>
  </si>
  <si>
    <t>MMC_XC90_MMC510_RainChamber_CPD_DSRR_6YO_Frontward_30mm_2025-12-18_12-34-05.MF4.xz</t>
  </si>
  <si>
    <t>6YO Dummy Frontward in Third Row Right in RainChamber at 30mm</t>
  </si>
  <si>
    <t>MMC_XC90_MMC510_RainChamber_CPD_DSRR_6YO_Frontward_50mm_2025-12-18_12-35-39.MF4.xz</t>
  </si>
  <si>
    <t>MMC_XC90_MMC510_RainChamber_CPD_DSRR_6YO_Frontward_50mm_2025-12-18_12-39-52.MF4.xz</t>
  </si>
  <si>
    <t>6YO Dummy Frontward in Third Row Right in RainChamber at 50mm</t>
  </si>
  <si>
    <t>MMC_XC90_MMC510_RainChamber_CPD_DSRR_6YO_Frontward_100mm_2025-12-18_12-44-32.MF4.xz</t>
  </si>
  <si>
    <t>Empty Car</t>
  </si>
  <si>
    <t>MMC_XC90_MMC510_RainChamber_CPD_EmptyVehicle_20mm_2025-12-18_15-00-04.MF4.xz</t>
  </si>
  <si>
    <t>/mnt/measurements/07_CANape/VolvoXC90/MMC_510/RainChamber/empty/</t>
  </si>
  <si>
    <t>Empty Vehicle in RainChamber at 20mm</t>
  </si>
  <si>
    <t>MMC_XC90_MMC510_RainChamber_CPD_EmptyVehicle_30mm_2025-12-18_08-41-54.MF4.xz</t>
  </si>
  <si>
    <t>MMC_XC90_MMC510_RainChamber_CPD_EmptyVehicle_30mm_2025-12-18_08-45-33.MF4.xz</t>
  </si>
  <si>
    <t>Empty Vehicle in RainChamber at 30mm</t>
  </si>
  <si>
    <t>MMC_XC90_MMC510_RainChamber_CPD_EmptyVehicle_30mm_2025-12-18_08-46-56.MF4.xz</t>
  </si>
  <si>
    <t>MMC_XC90_MMC510_RainChamber_CPD_EmptyVehicle_30mm_2025-12-18_08-52-13.MF4.xz</t>
  </si>
  <si>
    <t>MMC_XC90_MMC510_RainChamber_CPD_EmptyVehicle_30mm_2025-12-18_08-55-12.MF4.xz</t>
  </si>
  <si>
    <t>MMC_XC90_MMC510_RainChamber_CPD_EmptyVehicle_30mm_2025-12-18_13-40-26.MF4.xz</t>
  </si>
  <si>
    <t>MMC_XC90_MMC510_RainChamber_CPD_EmptyVehicle_30mm_2025-12-18_13-41-23.MF4.xz</t>
  </si>
  <si>
    <t>MMC_XC90_MMC510_RainChamber_CPD_EmptyVehicle_30mm_2025-12-18_13-42-13.MF4.xz</t>
  </si>
  <si>
    <t>MMC_XC90_MMC510_RainChamber_CPD_EmptyVehicle_50mm_2025-12-18_13-43-32.MF4.xz</t>
  </si>
  <si>
    <t>Empty Vehicle in RainChamber at 50mm</t>
  </si>
  <si>
    <t>MMC_XC90_MMC510_RainChamber_CPD_EmptyVehicle_50mm_2025-12-18_13-44-51.MF4.xz</t>
  </si>
  <si>
    <t>MMC_XC90_MMC510_RainChamber_CPD_EmptyVehicle_50mm_2025-12-18_13-45-54.MF4.xz</t>
  </si>
  <si>
    <t>Corrupt measurement</t>
  </si>
  <si>
    <t>MMC_XC90_MMC510_RainChamber_CPD_EmptyVehicle_50mm_2025-12-18_13-47-06.MF4.xz</t>
  </si>
  <si>
    <t>MMC_XC90_MMC510_RainChamber_CPD_EmptyVehicle_50mm_2025-12-18_13-48-05.MF4.xz</t>
  </si>
  <si>
    <t>MMC_XC90_MMC510_RainChamber_CPD_EmptyVehicle_80mm_2025-12-18_15-13-42.MF4.xz</t>
  </si>
  <si>
    <t>Empty Vehicle in RainChamber at 80mm</t>
  </si>
  <si>
    <t>MMC_XC90_MMC510_RainChamber_CPD_EmptyVehicle_100mm_2025-12-18_09-58-13.MF4.xz</t>
  </si>
  <si>
    <t>Empty Vehicle in RainChamber at 100mm</t>
  </si>
  <si>
    <t>MMC_XC90_MMC510_RainChamber_CPD_EmptyVehicle_100mm_2025-12-18_13-49-52.MF4.xz</t>
  </si>
  <si>
    <t>MMC_XC90_MMC510_RainChamber_CPD_EmptyVehicle_100mm_2025-12-18_13-50-44.MF4.xz</t>
  </si>
  <si>
    <t>MMC_XC90_MMC510_RainChamber_EmptyVehicle_LightRain_2025-12-18_13-18-44.MF4.xz</t>
  </si>
  <si>
    <t>Empty Vehicle in LightRain</t>
  </si>
  <si>
    <t>MMC_XC90_MMC510_RainChamber_EmptyVehicle_LightRain_2025-12-18_13-19-53.MF4.xz</t>
  </si>
  <si>
    <t>CSRMMC_5K45_4453acfd88ee_CPD_TC132_TS1L_2026-02-23_14-29-27.MF4.xz</t>
  </si>
  <si>
    <t>/mnt/measurements/07_CANape/Mitsubishi/5K45/In_Vehicle_Request/ASW/FP_build_4453acfd88ee_5K45EG11/FP_Campaign/Inside_FP/</t>
  </si>
  <si>
    <t>Moving Toy on 1st Row Left Seat and Bag on 1st Row Right Footwell</t>
  </si>
  <si>
    <t>CSRGIMMC-2373</t>
  </si>
  <si>
    <t>CSRMMC_5K45_4453acfd88ee_CPD_TC132_TS1L_2026-02-23_14-30-56.MF4.xz</t>
  </si>
  <si>
    <t>CSRMMC_5K45_4453acfd88ee_CPD_TC132_TS1L_2026-02-23_14-32-22.MF4.xz</t>
  </si>
  <si>
    <t>CSRMMC_5K45_4453acfd88ee_CPD_TC132_TS1L_2026-02-23_14-33-47.MF4.xz</t>
  </si>
  <si>
    <t>CSRMMC_5K45_4453acfd88ee_CPD_TC133_TS1R_2026-02-23_14-50-46.MF4.xz</t>
  </si>
  <si>
    <t>Static Toy on 1st Row Right Seat and Bag on 2nd Row Right Footwell</t>
  </si>
  <si>
    <t>CSRMMC_5K45_4453acfd88ee_CPD_TC133_TS1R_2026-02-23_14-52-18.MF4.xz</t>
  </si>
  <si>
    <t>CSRMMC_5K45_4453acfd88ee_CPD_TC133_TS1R_2026-02-23_14-54-59.MF4.xz</t>
  </si>
  <si>
    <t>CSRMMC_5K45_4453acfd88ee_CPD_TC134_TS2R_2026-02-23_16-18-45.MF4.xz</t>
  </si>
  <si>
    <t>CSRMMC_5K45_4453acfd88ee_CPD_TC134_TS2R_2026-02-23_16-19-36.MF4.xz</t>
  </si>
  <si>
    <t>CSRMMC_5K45_4453acfd88ee_CPD_TC134_TS2R_2026-02-23_16-20-50.MF4.xz</t>
  </si>
  <si>
    <t>CSRMMC_5K45_4453acfd88ee_CPD_TC134_TS2R_2026-02-23_16-21-50.MF4.xz</t>
  </si>
  <si>
    <t>CSRMMC_5K45_4453acfd88ee_CPD_TC135_TS2L_2026-02-23_15-44-26.MF4.xz</t>
  </si>
  <si>
    <t>Moving Toy on 2nd Row Left Seat and Bag on 2nd Row Middle Footwell</t>
  </si>
  <si>
    <t>CSRMMC_5K45_4453acfd88ee_CPD_TC135_TS2L_2026-02-23_15-45-41.MF4.xz</t>
  </si>
  <si>
    <t>CSRMMC_5K45_4453acfd88ee_CPD_TC135_TS2L_2026-02-23_15-47-12.MF4.xz</t>
  </si>
  <si>
    <t>CSRMMC_5K45_4453acfd88ee_CPD_TC135_TS2L_2026-02-23_15-49-28.MF4.xz</t>
  </si>
  <si>
    <t>2M</t>
  </si>
  <si>
    <t>bitidentity failure: mismatch location size 4 vs 0 at cycle 41</t>
  </si>
  <si>
    <t>Add to json + Bitidentity tests are needed</t>
  </si>
  <si>
    <t>CSRMMC_5K45_4453acfd88ee_CPD_TC136_TS2M_2026-02-23_16-03-05_Middle_Row_Cam.MF4.xz</t>
  </si>
  <si>
    <t>CSRMMC_5K45_4453acfd88ee_CPD_TC136_TS2M_2026-02-23_16-04-02.MF4.xz</t>
  </si>
  <si>
    <t>Moving Toy on 2nd Row Middle Seat and Bag on 3rd Row Right Footwell</t>
  </si>
  <si>
    <t>CSRMMC_5K45_4453acfd88ee_CPD_TC136_TS2M_2026-02-23_16-04-53.MF4.xz</t>
  </si>
  <si>
    <t>CSRMMC_5K45_4453acfd88ee_CPD_TC136_TS2M_2026-02-23_16-05-44.MF4.xz</t>
  </si>
  <si>
    <t>CSRMMC_5K45_4453acfd88ee_CPD_TC137_TS3R_2026-02-23_17-07-05.MF4.xz</t>
  </si>
  <si>
    <t>Static Toy on 3rd Row Right Seat and Bag on 3rd Row Left Footwell</t>
  </si>
  <si>
    <t>CSRMMC_5K45_4453acfd88ee_CPD_TC137_TS3R_2026-02-23_17-08-14.MF4.xz</t>
  </si>
  <si>
    <t>CSRMMC_5K45_4453acfd88ee_CPD_TC137_TS3R_2026-02-23_17-10-08.MF4.xz</t>
  </si>
  <si>
    <t>CSRMMC_5K45_4453acfd88ee_CPD_TC137_TS3R_2026-02-23_17-11-55.MF4.xz</t>
  </si>
  <si>
    <t>CSRMMC_5K45_4453acfd88ee_CPD_TC138_TS3L_2026-02-23_16-55-20.MF4.xz</t>
  </si>
  <si>
    <t>Moving Toy on 3rd Row Left Seat and Bag on 1st Row Left Footwell</t>
  </si>
  <si>
    <t>CSRMMC_5K45_4453acfd88ee_CPD_TC138_TS3L_2026-02-23_16-56-15.MF4.xz</t>
  </si>
  <si>
    <t>CSRMMC_5K45_4453acfd88ee_CPD_TC138_TS3L_2026-02-23_16-57-29.MF4.xz</t>
  </si>
  <si>
    <t>CSRMMC_5K45_4453acfd88ee_CPD_TC138_TS3L_2026-02-23_16-58-24.MF4.xz</t>
  </si>
  <si>
    <t>CSRMMC_5K45_4453acfd88ee_CPD_TC146_WS1L_Half_1L_2026-02-23_14-15-38.MF4.xz</t>
  </si>
  <si>
    <t>1 Liter Water Bottle half Full on 1st Row Left Seat</t>
  </si>
  <si>
    <t>CSRMMC_5K45_4453acfd88ee_CPD_TC146_WS1L_Half_1L_2026-02-23_14-17-08.MF4.xz</t>
  </si>
  <si>
    <t>CSRMMC_5K45_4453acfd88ee_CPD_TC146_WS1L_Half_20L_2026-02-23_14-58-48.MF4.xz</t>
  </si>
  <si>
    <t>20 Liter Water Can half Full on 1st Row Left Seat</t>
  </si>
  <si>
    <t>CSRMMC_5K45_4453acfd88ee_CPD_TC146_WS1L_Half_20L_2026-02-23_15-00-02.MF4.xz</t>
  </si>
  <si>
    <t>CSRMMC_5K45_4453acfd88ee_CPD_TC147_WS1R_Half_1L_2026-02-23_14-36-33.MF4.xz</t>
  </si>
  <si>
    <t>1 Liter Water Bottle half Full on 1st Row Right Seat</t>
  </si>
  <si>
    <t>CSRMMC_5K45_4453acfd88ee_CPD_TC147_WS1R_Half_1L_2026-02-23_14-37-41.MF4.xz</t>
  </si>
  <si>
    <t>CSRMMC_5K45_4453acfd88ee_CPD_TC147_WS1R_Half_20L_2026-02-23_14-41-21.MF4.xz</t>
  </si>
  <si>
    <t>20 Liter Water Can half Full on 1st Row Right Seat</t>
  </si>
  <si>
    <t>CSRMMC_5K45_4453acfd88ee_CPD_TC147_WS1R_Half_20L_2026-02-23_14-42-32.MF4.xz</t>
  </si>
  <si>
    <t>20 Liter Water Bottle Can Full on 1st Row Right Seat</t>
  </si>
  <si>
    <t>CSRMMC_5K45_4453acfd88ee_CPD_TC148_WS2R_Half_1L_2026-02-23_16-07-28.MF4.xz</t>
  </si>
  <si>
    <t>1 Liter Water Bottle half Full on 2nd Row Right Seat</t>
  </si>
  <si>
    <t>CSRMMC_5K45_4453acfd88ee_CPD_TC148_WS2R_Half_1L_2026-02-23_16-08-48.MF4.xz</t>
  </si>
  <si>
    <t>CSRMMC_5K45_4453acfd88ee_CPD_TC148_WS2R_Half_20L_2026-02-23_16-10-49.MF4.xz</t>
  </si>
  <si>
    <t>20 Liter Water Can half Full on 2nd Row Right Seat</t>
  </si>
  <si>
    <t>CSRMMC_5K45_4453acfd88ee_CPD_TC148_WS2R_Half_20L_2026-02-23_16-12-18.MF4.xz</t>
  </si>
  <si>
    <t>CSRMMC_5K45_4453acfd88ee_CPD_TC149_WS2L_Half_1L_2026-02-23_15-33-26.MF4.xz</t>
  </si>
  <si>
    <t>1 Liter Water Bottle half Full on 2nd Row Left Seat</t>
  </si>
  <si>
    <t>CSRMMC_5K45_4453acfd88ee_CPD_TC149_WS2L_Half_1L_2026-02-23_15-34-27.MF4.xz</t>
  </si>
  <si>
    <t>CSRMMC_5K45_4453acfd88ee_CPD_TC149_WS2L_Half_20L_2026-02-23_15-36-04.MF4.xz</t>
  </si>
  <si>
    <t>20 Liter Water Can half Full on 2nd Row Left Seat</t>
  </si>
  <si>
    <t>CSRMMC_5K45_4453acfd88ee_CPD_TC149_WS2L_Half_20L_2026-02-23_15-37-13.MF4.xz</t>
  </si>
  <si>
    <t>CSRMMC_5K45_4453acfd88ee_CPD_TC150_WS2M_Half_1L_2026-02-23_15-51-18.MF4.xz</t>
  </si>
  <si>
    <t>1 Liter Water Bottle half Full on 2nd Row Middle Seat</t>
  </si>
  <si>
    <t>CSRMMC_5K45_4453acfd88ee_CPD_TC150_WS2M_Half_1L_2026-02-23_15-52-40.MF4.xz</t>
  </si>
  <si>
    <t>CSRMMC_5K45_4453acfd88ee_CPD_TC150_WS2M_Half_20L_2026-02-23_15-54-22.MF4.xz</t>
  </si>
  <si>
    <t>20 Liter Water Can half Full on 2nd Row Middle Seat</t>
  </si>
  <si>
    <t>CSRMMC_5K45_4453acfd88ee_CPD_TC150_WS2M_Half_20L_2026-02-23_15-55-52.MF4.xz</t>
  </si>
  <si>
    <t>CSRMMC_5K45_4453acfd88ee_CPD_TC151_WS3R_Half_1L_2026-02-23_16-27-18.MF4.xz</t>
  </si>
  <si>
    <t>1 Liter Water Bottle half Full on 3rd Row Right Seat</t>
  </si>
  <si>
    <t>CSRMMC_5K45_4453acfd88ee_CPD_TC151_WS3R_Half_1L_2026-02-23_16-28-15.MF4.xz</t>
  </si>
  <si>
    <t>CSRMMC_5K45_4453acfd88ee_CPD_TC151_WS3R_Half_20L_2026-02-23_16-42-58.MF4.xz</t>
  </si>
  <si>
    <t>20 Liter Water Can half Full on 3rd Row Right Seat</t>
  </si>
  <si>
    <t>CSRMMC_5K45_4453acfd88ee_CPD_TC151_WS3R_Half_20L_2026-02-23_16-44-10.MF4.xz</t>
  </si>
  <si>
    <t>CSRMMC_5K45_4453acfd88ee_CPD_TC152_WS3L_Half_1L_2026-02-23_16-23-52.MF4.xz</t>
  </si>
  <si>
    <t>1 Liter Water Bottle half Full on 3rd Row Left Seat</t>
  </si>
  <si>
    <t>CSRMMC_5K45_4453acfd88ee_CPD_TC152_WS3L_Half_1L_2026-02-23_16-25-11.MF4.xz</t>
  </si>
  <si>
    <t>CSRMMC_5K45_4453acfd88ee_CPD_TC152_WS3L_Half_20L_2026-02-23_16-46-04.MF4.xz</t>
  </si>
  <si>
    <t>20 Liter Water Can half Full on 3rd Row Left Seat</t>
  </si>
  <si>
    <t>CSRMMC_5K45_4453acfd88ee_CPD_TC152_WS3L_Half_20L_2026-02-23_16-47-28.MF4.xz</t>
  </si>
  <si>
    <t>CSRMMC_5K45_4453acfd88ee_CPD_TC160_PS1L_2026-02-23_14-23-36.MF4.xz</t>
  </si>
  <si>
    <t>Phone on 1st Row Left Seat</t>
  </si>
  <si>
    <t>CSRMMC_5K45_4453acfd88ee_CPD_TC160_PS1L_2026-02-23_14-25-26.MF4.xz</t>
  </si>
  <si>
    <t>CSRMMC_5K45_4453acfd88ee_CPD_TC160_PS1L_2026-02-23_14-26-41.MF4.xz</t>
  </si>
  <si>
    <t>CSRMMC_5K45_4453acfd88ee_CPD_TC160_PS1L_2026-02-23_14-28-24.MF4.xz</t>
  </si>
  <si>
    <t>CSRMMC_5K45_4453acfd88ee_CPD_TC161_PS1R_2026-02-23_14-44-06.MF4.xz</t>
  </si>
  <si>
    <t>Phone on 1st Row Right Seat</t>
  </si>
  <si>
    <t>CSRMMC_5K45_4453acfd88ee_CPD_TC161_PS1R_2026-02-23_14-45-27.MF4.xz</t>
  </si>
  <si>
    <t>CSRMMC_5K45_4453acfd88ee_CPD_TC161_PS1R_2026-02-23_14-46-36.MF4.xz</t>
  </si>
  <si>
    <t>CSRMMC_5K45_4453acfd88ee_CPD_TC161_PS1R_2026-02-23_14-48-12.MF4.xz</t>
  </si>
  <si>
    <t>CSRMMC_5K45_4453acfd88ee_CPD_TC162_PS2R_2026-02-23_16-14-13.MF4.xz</t>
  </si>
  <si>
    <t>CSRMMC_5K45_4453acfd88ee_CPD_TC162_PS2R_2026-02-23_16-15-17.MF4.xz</t>
  </si>
  <si>
    <t>CSRMMC_5K45_4453acfd88ee_CPD_TC162_PS2R_2026-02-23_16-16-29.MF4.xz</t>
  </si>
  <si>
    <t>CSRMMC_5K45_4453acfd88ee_CPD_TC162_PS2R_2026-02-23_16-17-34.MF4.xz</t>
  </si>
  <si>
    <t>CSRMMC_5K45_4453acfd88ee_CPD_TC163_PS2L_2026-02-23_15-39-00.MF4.xz</t>
  </si>
  <si>
    <t>Phone on 2nd Row Left Seat</t>
  </si>
  <si>
    <t>CSRMMC_5K45_4453acfd88ee_CPD_TC163_PS2L_2026-02-23_15-40-18.MF4.xz</t>
  </si>
  <si>
    <t>CSRMMC_5K45_4453acfd88ee_CPD_TC163_PS2L_2026-02-23_15-41-34.MF4.xz</t>
  </si>
  <si>
    <t>CSRMMC_5K45_4453acfd88ee_CPD_TC163_PS2L_2026-02-23_15-42-48.MF4.xz</t>
  </si>
  <si>
    <t>CSRMMC_5K45_4453acfd88ee_CPD_TC164_PS2M_2026-02-23_15-57-58.MF4.xz</t>
  </si>
  <si>
    <t>Phone on 2nd Row Middle Seat</t>
  </si>
  <si>
    <t>CSRMMC_5K45_4453acfd88ee_CPD_TC164_PS2M_2026-02-23_15-59-43.MF4.xz</t>
  </si>
  <si>
    <t>CSRMMC_5K45_4453acfd88ee_CPD_TC164_PS2M_2026-02-23_16-00-45.MF4.xz</t>
  </si>
  <si>
    <t>CSRMMC_5K45_4453acfd88ee_CPD_TC164_PS2M_2026-02-23_16-01-49.MF4.xz</t>
  </si>
  <si>
    <t>CSRMMC_5K45_4453acfd88ee_CPD_TC165_PS3R_2026-02-23_16-59-35.MF4.xz</t>
  </si>
  <si>
    <t>Phone on 3rd Row Right Seat</t>
  </si>
  <si>
    <t>CSRMMC_5K45_4453acfd88ee_CPD_TC165_PS3R_2026-02-23_17-02-32.MF4.xz</t>
  </si>
  <si>
    <t>CSRMMC_5K45_4453acfd88ee_CPD_TC165_PS3R_2026-02-23_17-04-17.MF4.xz</t>
  </si>
  <si>
    <t>CSRMMC_5K45_4453acfd88ee_CPD_TC165_PS3R_2026-02-23_17-05-40.MF4.xz</t>
  </si>
  <si>
    <t>CSRMMC_5K45_4453acfd88ee_CPD_TC166_PS3L_2026-02-23_16-50-17.MF4.xz</t>
  </si>
  <si>
    <t>CSRMMC_5K45_4453acfd88ee_CPD_TC166_PS3L_2026-02-23_16-51-39.MF4.xz</t>
  </si>
  <si>
    <t>Phone on 3rd Row Left Seat</t>
  </si>
  <si>
    <t>CSRMMC_5K45_4453acfd88ee_CPD_TC166_PS3L_2026-02-23_16-53-02.MF4.xz</t>
  </si>
  <si>
    <t>CSRMMC_5K45_4453acfd88ee_CPD_TC166_PS3L_2026-02-23_16-54-06.MF4.xz</t>
  </si>
  <si>
    <t>CSRMMC_5K45_4453acfd88ee_CPD_TS1R_TC133_2026-02-23_14-53-35.MF4.xz</t>
  </si>
  <si>
    <t>?</t>
  </si>
  <si>
    <t>L</t>
  </si>
  <si>
    <t>CSRMMC_5K45_4453acfd88ee_CPD_OutsideFPsideleft_2026-02-24_14-48-26.MF4.xz</t>
  </si>
  <si>
    <t>/mnt/measurements/07_CANape/Mitsubishi/5K45/In_Vehicle_Request/ASW/FP_build_4453acfd88ee_5K45EG11/FP_Campaign/Outside_FP/</t>
  </si>
  <si>
    <t>Adult Walking Outside on Left Side</t>
  </si>
  <si>
    <t>CSRMMC_5K45_4453acfd88ee_CPD_OutsideFPsideleft_2026-02-24_14-49-47.MF4.xz</t>
  </si>
  <si>
    <t>CSRMMC_5K45_4453acfd88ee_CPD_OutsideFPsideleft_2026-02-24_14-51-22.MF4.xz</t>
  </si>
  <si>
    <t>CSRMMC_5K45_4453acfd88ee_CPD_OutsideFPsideleft_2026-02-24_14-53-19.MF4.xz</t>
  </si>
  <si>
    <t>R</t>
  </si>
  <si>
    <t>CSRMMC_5K45_4453acfd88ee_CPD_OutsideFPsideright_2026-02-24_13-59-12.MF4.xz</t>
  </si>
  <si>
    <t>Adult Walking Outside on Right Side</t>
  </si>
  <si>
    <t>CSRMMC_5K45_4453acfd88ee_CPD_OutsideFPsideright_2026-02-24_14-00-33.MF4.xz</t>
  </si>
  <si>
    <t>CSRMMC_5K45_4453acfd88ee_CPD_OutsideFPsideright_2026-02-24_14-02-14.MF4.xz</t>
  </si>
  <si>
    <t>CSRMMC_5K45_4453acfd88ee_CPD_OutsideFPsideright_2026-02-24_14-04-07.MF4.xz</t>
  </si>
  <si>
    <t>CSRMMC_5K45_4453acfd88ee_CPD_TC176_AX2R_2026-02-24_13-43-30.MF4.xz</t>
  </si>
  <si>
    <t>Adult AM%50 Standing Outside at 2nd Row Right Side</t>
  </si>
  <si>
    <t>CSRMMC_5K45_4453acfd88ee_CPD_TC176_AX2R_2026-02-24_13-45-57.MF4.xz</t>
  </si>
  <si>
    <t>CSRMMC_5K45_4453acfd88ee_CPD_TC176_AX2R_2026-02-24_13-47-28.MF4.xz</t>
  </si>
  <si>
    <t>CSRMMC_5K45_4453acfd88ee_CPD_TC176_AX2R_2026-02-24_13-48-39.MF4.xz</t>
  </si>
  <si>
    <t>CSRMMC_5K45_4453acfd88ee_CPD_TC177_AX2L_2026-02-24_14-34-53_Middle_Row_Cam.MF4.xz</t>
  </si>
  <si>
    <t>Adult Standing Outside at 2nd Row Left Side</t>
  </si>
  <si>
    <t>CSRMMC_5K45_4453acfd88ee_CPD_TC177_AX2L_2026-02-24_14-36-08_Middle_Row_Cam.MF4.xz</t>
  </si>
  <si>
    <t>CSRMMC_5K45_4453acfd88ee_CPD_TC177_AX2L_2026-02-24_14-37-37_Middle_Row_Cam.MF4.xz</t>
  </si>
  <si>
    <t>CSRMMC_5K45_4453acfd88ee_CPD_TC177_AX2L_2026-02-24_14-39-18_Middle_Row_Cam.MF4.xz</t>
  </si>
  <si>
    <t>CSRMMC_5K45_4453acfd88ee_CPD_TC178_AX2R3R_2026-02-24_14-14-58.MF4.xz</t>
  </si>
  <si>
    <t>Two Adults Standing Outside at 2nd Row Right Side at 3rd Row Right Side</t>
  </si>
  <si>
    <t>CSRMMC_5K45_4453acfd88ee_CPD_TC178_AX2R3R_2026-02-24_14-24-38_Middle_Row_Cam.MF4.xz</t>
  </si>
  <si>
    <t>CSRMMC_5K45_4453acfd88ee_CPD_TC178_AX2R3R_2026-02-24_14-25-34_Middle_Row_Cam.MF4.xz</t>
  </si>
  <si>
    <t>CSRMMC_5K45_4453acfd88ee_CPD_TC178_AX2R3R_2026-02-24_14-28-04_Middle_Row_Cam.MF4.xz</t>
  </si>
  <si>
    <t>CSRMMC_5K45_4453acfd88ee_CPD_TC179_AX2L3L_2026-02-24_14-30-33_Middle_Row_Cam.MF4.xz</t>
  </si>
  <si>
    <t>Two Adult Standing Outside at 2nd Row Left Side and 3rd Row Left Side</t>
  </si>
  <si>
    <t>CSRMMC_5K45_4453acfd88ee_CPD_TC179_AX2L3L_2026-02-24_14-31-19_Middle_Row_Cam.MF4.xz</t>
  </si>
  <si>
    <t>CSRMMC_5K45_4453acfd88ee_CPD_TC179_AX2L3L_2026-02-24_14-32-06_Middle_Row_Cam.MF4.xz</t>
  </si>
  <si>
    <t>CSRMMC_5K45_4453acfd88ee_CPD_TC179_AX2L3L_2026-02-24_14-32-52_Middle_Row_Cam.MF4.xz</t>
  </si>
  <si>
    <t>CSRMMC_5K45_4453acfd88ee_CPD_TC180_AX3R_2026-02-24_13-51-17.MF4.xz</t>
  </si>
  <si>
    <t>Adult Standing Outside at 3rd Row Right Side</t>
  </si>
  <si>
    <t>CSRMMC_5K45_4453acfd88ee_CPD_TC180_AX3R_2026-02-24_13-52-38.MF4.xz</t>
  </si>
  <si>
    <t>CSRMMC_5K45_4453acfd88ee_CPD_TC180_AX3R_2026-02-24_13-54-05.MF4.xz</t>
  </si>
  <si>
    <t>CSRMMC_5K45_4453acfd88ee_CPD_TC180_AX3R_2026-02-24_13-55-42_Middle_Row_Cam.MF4.xz</t>
  </si>
  <si>
    <t>CSRMMC_5K45_4453acfd88ee_CPD_TC181_AX3L_2026-02-24_14-40-48.MF4.xz</t>
  </si>
  <si>
    <t>Adult Standing Outside at 3rd Row Left Side</t>
  </si>
  <si>
    <t>CSRMMC_5K45_4453acfd88ee_CPD_TC181_AX3L_2026-02-24_14-41-49.MF4.xz</t>
  </si>
  <si>
    <t>CSRMMC_5K45_4453acfd88ee_CPD_TC181_AX3L_2026-02-24_14-42-57.MF4.xz</t>
  </si>
  <si>
    <t>CSRMMC_5K45_4453acfd88ee_CPD_TC181_AX3L_2026-02-24_14-45-42_Middle_Row_Cam.MF4.xz</t>
  </si>
  <si>
    <t>CSR_XCP_Signals_Recorder_2026-01-12_15-39-41_Empty_Car.MF4</t>
  </si>
  <si>
    <t>New mea name</t>
  </si>
  <si>
    <t>appendix</t>
  </si>
  <si>
    <t>New location</t>
  </si>
  <si>
    <t>Remove from list - real NCAP12 available</t>
  </si>
  <si>
    <t>NCAP12</t>
  </si>
  <si>
    <t>CSR_XCP_Signals_Recorder_2026-01-12_13-41-04_TC2_NCAP12_ NB_1R_CPD.MF4.xz</t>
  </si>
  <si>
    <t>CSR_XCP_Signals_Recorder_2026-01-20_19-04-17_CPD_TC2_Try3_NCAP12_NB_1R_CPD.MF4.xz</t>
  </si>
  <si>
    <t>CSR_XCP_Signals_Recorder_2026-01-20_18-59-47_CPD_TC2_Try1_NCAP12_NB_1R_CPD.MF4.xz</t>
  </si>
  <si>
    <t>CSR_XCP_Signals_Recorder_2026-01-20_19-02-11_CPD_TC2_Try2_NCAP12_NB_1R_CPD.MF4.xz</t>
  </si>
  <si>
    <t>TC_3_NCAP12_ NB_2R_CPD.MF4.xz</t>
  </si>
  <si>
    <t>TC_3_Try1_NCAP12_ NB_2R_CPD.MF4.xz</t>
  </si>
  <si>
    <t>TC_3_Try2_NCAP12_ NB_2R_CPD.MF4.xz</t>
  </si>
  <si>
    <t>TC_3_Try3_NCAP12_ NB_2R_CPD.MF4.xz</t>
  </si>
  <si>
    <t>CSR_XCP_Signals_Recorder_2026-01-12_13-44-04_TC3_NCAP12_ NB_2R_CPD.MF4.xz</t>
  </si>
  <si>
    <t>SmokeTest_CPD_TC3_NCAP12_ NB_2R_CPD.MF4.xz</t>
  </si>
  <si>
    <t>TC_5_Try1_NCAP12_ NB_2L_CPD.MF4.xz</t>
  </si>
  <si>
    <t>TC_5_Try2_NCAP12_ NB_2L_CPD.MF4.xz</t>
  </si>
  <si>
    <t>TC_5_Try3_NCAP12_ NB_2L_CPD.MF4.xz</t>
  </si>
  <si>
    <t>TC_7_NCAP12_ NB_3R_CPD.MF4.xz</t>
  </si>
  <si>
    <t>TC_7_Try1_NCAP12_ NB_3R_CPD.MF4.xz</t>
  </si>
  <si>
    <t>TC_7_Try2_NCAP12_ NB_3R_CPD.MF4.xz</t>
  </si>
  <si>
    <t>TC_7_Try3_NCAP12_ NB_3R_CPD.MF4.xz</t>
  </si>
  <si>
    <t>CSR_XCP_Signals_Recorder_2026-01-12_14-03-32_TC7_NCAP12_ NB_3R_CPD.MF4.xz</t>
  </si>
  <si>
    <t>SmokeTest_CPD_TC7_NCAP12_ NB_3R_CPD.MF4.xz</t>
  </si>
  <si>
    <t>CPD_TC9_Try1_NCAP12_1YO_1R_CPD.MF4.xz</t>
  </si>
  <si>
    <t>CPD_TC9_Try2_NCAP12_1YO_1R_CPD.MF4.xz</t>
  </si>
  <si>
    <t>CPD_TC9_Try3_NCAP12_1YO_1R_CPD.MF4.xz</t>
  </si>
  <si>
    <t>CPD_TC9_Try4_NCAP12_1YO_1R_CPD.MF4.xz</t>
  </si>
  <si>
    <t>CPD_TC9_Try5_NCAP12_1YO_1R_CPD.MF4.xz</t>
  </si>
  <si>
    <t>TC_10_NCAP12_1YO_2R_CPD.MF4.xz</t>
  </si>
  <si>
    <t>TC_10_Try_2_NCAP12_1YO_2R_CPD.MF4.xz</t>
  </si>
  <si>
    <t>TC_10_Try_3_NCAP12_1YO_2R_CPD.MF4.xz</t>
  </si>
  <si>
    <t>TC_10_Try1_NCAP12_1YO_2R_CPD.MF4.xz</t>
  </si>
  <si>
    <t>TC_10_Try2_NCAP12_1YO_2R_CPD.MF4.xz</t>
  </si>
  <si>
    <t>TC_10_Try3_NCAP12_1YO_2R_CPD.MF4.xz</t>
  </si>
  <si>
    <t>CSR_XCP_Signals_Recorder_2025-12-15_10-07-29_TC10_NCAP12_1YO_2R_CPD.MF4.xz</t>
  </si>
  <si>
    <t>CSR_XCP_Signals_Recorder_2025-12-15_10-09-13_TC10_NCAP12_1YO_2R_CPD.MF4.xz</t>
  </si>
  <si>
    <t>CSR_XCP_Signals_Recorder_2025-12-15_10-15-09_TC10_NCAP12_1YO_2R_CPD.MF4.xz</t>
  </si>
  <si>
    <t>CSR_XCP_Signals_Recorder_2025-12-15_10-18-01_TC10_NCAP12_1YO_2R_CPD.MF4.xz</t>
  </si>
  <si>
    <t>CSR_XCP_Signals_Recorder_2026-01-12_13-45-43_TC10_NCAP12_1YO_2R_CPD.MF4.xz</t>
  </si>
  <si>
    <t>CSR_XCP_Signals_Recorder_2025-12-16_13-50-57_TC11_NCAP12_1YO_2L_CPD.MF4.xz</t>
  </si>
  <si>
    <t>CSR_XCP_Signals_Recorder_2025-12-16_13-58-47_TC11_NCAP12_1YO_2L_CPD.MF4.xz</t>
  </si>
  <si>
    <t>CSR_XCP_Signals_Recorder_2026-01-12_13-56-22_TC11_NCAP12_1YO_2L_CPD.MF4.xz</t>
  </si>
  <si>
    <t>SmokeTest_CPD_TC11_NCAP12_1YO_2L_CPD.MF4.xz</t>
  </si>
  <si>
    <t>CSR_XCP_Signals_Recorder_2025-12-22_14-54-54_TC11_NCAP12_1YO_2L_CPD.MF4.xz</t>
  </si>
  <si>
    <t>CPD_SmokeTest_TS11_NCAP12_1YO_2L_CPD.MF4.xz</t>
  </si>
  <si>
    <t>TC_12_NCAP12_1YO_2L_CPD.MF4.xz</t>
  </si>
  <si>
    <t>TC_12_Try1_NCAP12_1YO_2L_CPD.MF4.xz</t>
  </si>
  <si>
    <t>TC_12_Try2_NCAP12_1YO_2L_CPD.MF4.xz</t>
  </si>
  <si>
    <t>TC_12_Try3_NCAP12_1YO_2L_CPD.MF4.xz</t>
  </si>
  <si>
    <t>CSR_XCP_Signals_Recorder_2025-12-15_10-23-34_TC12_NCAP12_1YO_2L_CPD.MF4.xz</t>
  </si>
  <si>
    <t>CSR_XCP_Signals_Recorder_2025-12-15_10-26-15_TC12_2L_CPD_NCAP12_1YO_2L_CPD.MF4.xz</t>
  </si>
  <si>
    <t>CSR_XCP_Signals_Recorder_2025-12-15_10-29-29_TC12_2L_CPD_NCAP12_1YO_2L_CPD.MF4.xz</t>
  </si>
  <si>
    <t>CSR_XCP_Signals_Recorder_2025-12-15_10-34-55_TC12_2L_CPD_NCAP12_1YO_2L_CPD.MF4.xz</t>
  </si>
  <si>
    <t>CSR_XCP_Signals_Recorder_2026-01-12_13-57-44_TC12_NCAP12_1YO_2L_CPD.MF4.xz</t>
  </si>
  <si>
    <t>SmokeTest_CPD_TC12_NCAP12_1YO_2L_CPD.MF4.xz</t>
  </si>
  <si>
    <t>CSR_XCP_Signals_Recorder_2025-12-22_14-57-30_TC12_CPD_NCAP12_1YO_2L_CPD.MF4.xz</t>
  </si>
  <si>
    <t>CSR_XCP_Signals_Recorder_2025-12-22_15-01-04_TC12_CPD_NCAP12_1YO_2L_CPD.MF4.xz</t>
  </si>
  <si>
    <t>CPD_SmokeTest_TS12_NCAP12_1YO_2L_CPD.MF4.xz</t>
  </si>
  <si>
    <t>CSR_XCP_Signals_Recorder_2025-12-16_13-37-27_TC13_1YO2M_CPD_NCAP12_1YO_2C_CPD.MF4.xz</t>
  </si>
  <si>
    <t>CSR_XCP_Signals_Recorder_2025-12-16_13-40-05_TC13_1YO2M_CPD_NCAP12_1YO_2C_CPD.MF4.xz</t>
  </si>
  <si>
    <t>CSR_XCP_Signals_Recorder_2025-12-16_13-45-09_TC13_1YO2M_CPD_NCAP12_1YO_2C_CPD.MF4.xz</t>
  </si>
  <si>
    <t>CSR_XCP_Signals_Recorder_2025-12-16_13-48-04_TC13_1YO2M_CPD_NCAP12_1YO_2C_CPD.MF4.xz</t>
  </si>
  <si>
    <t>TC_14_NCAP12_1YO_3R_CPD.MF4.xz</t>
  </si>
  <si>
    <t>TC_14_Try1_NCAP12_1YO_3R_CPD.MF4.xz</t>
  </si>
  <si>
    <t>TC_14_Try2_NCAP12_1YO_3R_CPD.MF4.xz</t>
  </si>
  <si>
    <t>TC_14_Try3_NCAP12_1YO_3R_CPD.MF4.xz</t>
  </si>
  <si>
    <t>CSR_XCP_Signals_Recorder_2025-12-16_14-19-18_TC14_1YO3R_CPD_NCAP12_1YO_3R_CPD.MF4.xz</t>
  </si>
  <si>
    <t>CSR_XCP_Signals_Recorder_2025-12-16_14-26-59_TC14_1YO3R_CPD_NCAP12_1YO_3R_CPD.MF4.xz</t>
  </si>
  <si>
    <t>CSR_XCP_Signals_Recorder_2025-12-16_14-32-38_TC14_1YO3R_CPD_NCAP12_1YO_3R_CPD.MF4.xz</t>
  </si>
  <si>
    <t>CSR_XCP_Signals_Recorder_2025-12-16_14-37-07_TC14_1YO3R_CPD_NCAP12_1YO_3R_CPD.MF4.xz</t>
  </si>
  <si>
    <t>CSR_XCP_Signals_Recorder_2025-12-16_14-41-03_TC14_1YO3R_CPD_NCAP12_1YO_3R_CPD.MF4.xz</t>
  </si>
  <si>
    <t>CSR_XCP_Signals_Recorder_2025-12-16_13-22-54_TC15_1YO3R_CPD_NCAP12_1YO_3R_CPD.MF4.xz</t>
  </si>
  <si>
    <t>CSR_XCP_Signals_Recorder_2025-12-16_13-25-33_TC15_1YO3R_CPD_NCAP12_1YO_3R_CPD.MF4.xz</t>
  </si>
  <si>
    <t>CSR_XCP_Signals_Recorder_2025-12-16_13-28-12_TC15_1YO3R_CPD_NCAP12_1YO_3R_CPD.MF4.xz</t>
  </si>
  <si>
    <t>CSR_XCP_Signals_Recorder_2025-12-16_13-30-53_TC15_1YO3R_CPD_NCAP12_1YO_3R_CPD.MF4.xz</t>
  </si>
  <si>
    <t>CSR_XCP_Signals_Recorder_2025-12-16_13-33-33_TC15_1YO3R_CPD_NCAP12_1YO_3R_CPD.MF4.xz</t>
  </si>
  <si>
    <t>TC_16_Try2_NCAP12_1YO_3L_CPD.MF4.xz</t>
  </si>
  <si>
    <t>TC_16_Try3_NCAP12_1YO_3L_CPD.MF4.xz</t>
  </si>
  <si>
    <t>TC_16_NCAP12_1YO_3L_CPD.MF4.xz</t>
  </si>
  <si>
    <t>CSR_XCP_Signals_Recorder_2026-01-12_14-05-41_TC16_NCAP12_1YO_3L_CPD.MF4.xz</t>
  </si>
  <si>
    <t>TC_16_Try1_NCAP12_1YO_3L_CPD.MF4.xz</t>
  </si>
  <si>
    <t>CPD_TC16_Try3_NCAP12_1YO_3L_CPD.MF4.xz</t>
  </si>
  <si>
    <t>CPD_TC16_Try5_NCAP12_1YO_3L_CPD.MF4.xz</t>
  </si>
  <si>
    <t>CPD_TC17_Try1_NCAP12_3YO_1R_CPD.MF4.xz</t>
  </si>
  <si>
    <t>CPD_TC17_Try2_NCAP12_3YO_1R_CPD.MF4.xz</t>
  </si>
  <si>
    <t>CPD_TC17_Try3_NCAP12_3YO_1R_CPD.MF4.xz</t>
  </si>
  <si>
    <t>CPD_TC17_Try4_NCAP12_3YO_1R_CPD.MF4.xz</t>
  </si>
  <si>
    <t>CPD_TC17_Try5_NCAP12_3YO_1R_CPD.MF4.xz</t>
  </si>
  <si>
    <t>CSR_XCP_Signals_Recorder_2025-12-18_15-59-42_TC17_CPD_NCAP12_3YO_1R_CPD.MF4.xz</t>
  </si>
  <si>
    <t>CSR_XCP_Signals_Recorder_2025-12-18_16-02-16_TC17_CPD_NCAP12_3YO_1R_CPD.MF4.xz</t>
  </si>
  <si>
    <t>CSR_XCP_Signals_Recorder_2025-12-18_16-04-43_TC17_CPD_NCAP12_3YO_1R_CPD.MF4.xz</t>
  </si>
  <si>
    <t>CSR_XCP_Signals_Recorder_2025-12-18_16-06-30_TC17_CPD_NCAP12_3YO_1R_CPD.MF4.xz</t>
  </si>
  <si>
    <t>CSR_XCP_Signals_Recorder_2025-12-18_16-08-07_TC17_CPD_NCAP12_3YO_1R_CPD.MF4.xz</t>
  </si>
  <si>
    <t>CSR_XCP_Signals_Recorder_2025-12-23_11-49-41_TC17_CPD_NCAP12_3YO_1R_CPD.MF4.xz</t>
  </si>
  <si>
    <t>CSR_XCP_Signals_Recorder_2025-12-23_11-51-13_TC17_CPD_NCAP12_3YO_1R_CPD.MF4.xz</t>
  </si>
  <si>
    <t>CSR_XCP_Signals_Recorder_2025-12-23_11-52-43_TC17_CPD_NCAP12_3YO_1R_CPD.MF4.xz</t>
  </si>
  <si>
    <t>CSR_XCP_Signals_Recorder_2025-12-23_11-54-15_TC17_CPD_NCAP12_3YO_1R_CPD.MF4.xz</t>
  </si>
  <si>
    <t>CSR_XCP_Signals_Recorder_2025-12-23_11-56-52_TC17_CPD_NCAP12_3YO_1R_CPD.MF4.xz</t>
  </si>
  <si>
    <t>CSR_XCP_Signals_Recorder_2026-01-29_16-04-22_TC17_NCAP12_3YO_1R_CPD.MF4.xz</t>
  </si>
  <si>
    <t>CSR_XCP_Signals_Recorder_2026-01-29_16-05-49_TC17_NCAP12_3YO_1R_CPD.MF4.xz</t>
  </si>
  <si>
    <t>CSR_XCP_Signals_Recorder_2025-12-11_11-11-53_TC18_3YO_2R_CPD_NCAP12_3YO_2R_CPD.MF4.xz</t>
  </si>
  <si>
    <t>CSR_XCP_Signals_Recorder_2025-12-11_11-13-35_TC18_3YO_2R_CPD_NCAP12_3YO_2R_CPD.MF4.xz</t>
  </si>
  <si>
    <t>CSR_XCP_Signals_Recorder_2025-12-11_11-16-51_TC18_3YO_2R_CPD_NCAP12_3YO_2R_CPD.MF4.xz</t>
  </si>
  <si>
    <t>CSR_XCP_Signals_Recorder_2025-12-11_11-18-13_TC18_3YO_2R_CPD_NCAP12_3YO_2R_CPD.MF4.xz</t>
  </si>
  <si>
    <t>CSR_XCP_Signals_Recorder_2025-12-11_11-19-38_TC18_3YO_2R_CPD_NCAP12_3YO_2R_CPD.MF4.xz</t>
  </si>
  <si>
    <t>TC_19_Try1_NCAP12_3YO_2L_CPD.MF4.xz</t>
  </si>
  <si>
    <t>/mnt/measurements/07_CANape/Mitsubishi/5K45/MMC4.1.2/Validation/2025_11_29/child/part1/Awake/TC_19_Try3.MF4.xz</t>
  </si>
  <si>
    <t>TC_19_Try2_NCAP12_3YO_2L_CPD.MF4.xz</t>
  </si>
  <si>
    <t>TC_19_Try3_NCAP12_3YO_2L_CPD.MF4.xz</t>
  </si>
  <si>
    <t>CSR_XCP_Signals_Recorder_2025-12-11_11-27-04_TC20_3YO_2M_CPD_NCAP12_3YO_2C_CPD.MF4.xz</t>
  </si>
  <si>
    <t>CSR_XCP_Signals_Recorder_2025-12-11_11-28-02_TC20_3YO_2M_CPD_NCAP12_3YO_2C_CPD.MF4.xz</t>
  </si>
  <si>
    <t>CSR_XCP_Signals_Recorder_2025-12-11_11-29-44_TC20_3YO_2M_CPD_NCAP12_3YO_2C_CPD.MF4.xz</t>
  </si>
  <si>
    <t>CSR_XCP_Signals_Recorder_2025-12-11_11-30-35_TC20_3YO_2M_CPD_NCAP12_3YO_2C_CPD.MF4.xz</t>
  </si>
  <si>
    <t>TC_21_Try1_NCAP12_3YO_3R_CPD.MF4.xz</t>
  </si>
  <si>
    <t>TC_21_Try2_NCAP12_3YO_3R_CPD.MF4.xz</t>
  </si>
  <si>
    <t>TC_21_Try3_NCAP12_3YO_3R_CPD.MF4.xz</t>
  </si>
  <si>
    <t>CSR_XCP_Signals_Recorder_2025-12-11_11-38-48_TC22_3YO_3L_CPD_NCAP12_3YO_3L_CPD.MF4.xz</t>
  </si>
  <si>
    <t>CSR_XCP_Signals_Recorder_2025-12-11_11-39-36_TC22_3YO_3L_CPD_NCAP12_3YO_3L_CPD.MF4.xz</t>
  </si>
  <si>
    <t>CSR_XCP_Signals_Recorder_2025-12-11_11-40-24_TC22_3YO_3L_CPD_NCAP12_3YO_3L_CPD.MF4.xz</t>
  </si>
  <si>
    <t>CSR_XCP_Signals_Recorder_2025-12-11_11-41-12_TC22_3YO_3L_CPD_NCAP12_3YO_3L_CPD.MF4.xz</t>
  </si>
  <si>
    <t>CSR_XCP_Signals_Recorder_2025-12-11_11-42-00_TC22_3YO_3L_CPD_NCAP12_6YO_3L_CPD.MF4.xz</t>
  </si>
  <si>
    <t>CSR_XCP_Signals_Recorder_2025-12-10_10-07-16_TC23_6YOPS_CPD_NCAP12_6YO_1R_CPD.MF4.xz</t>
  </si>
  <si>
    <t>CSR_XCP_Signals_Recorder_2025-12-10_10-08-48_TC23_6YOPS_CPD_NCAP12_6YO_1R_CPD.MF4.xz</t>
  </si>
  <si>
    <t>CSR_XCP_Signals_Recorder_2025-12-10_10-11-52_TC23_6YOPS_CPD_NCAP12_6YO_1R_CPD.MF4.xz</t>
  </si>
  <si>
    <t>CSR_XCP_Signals_Recorder_2025-12-10_10-15-38_TC23_6YOPS_CPD_NCAP12_6YO_1R_CPD.MF4.xz</t>
  </si>
  <si>
    <t>CSR_XCP_Signals_Recorder_2025-12-10_10-19-04_TC23_6YOPS_CPD_NCAP12_6YO_1R_CPD.MF4.xz</t>
  </si>
  <si>
    <t>CSR_XCP_Signals_Recorder_2025-12-10_10-22-02_TC23_6YOPS_CPD_NCAP12_6YO_1R_CPD.MF4.xz</t>
  </si>
  <si>
    <t>CSR_XCP_Signals_Recorder_2026-01-30_16-30-52_TC23_NCAP12_6YO_1R_CPD.MF4.xz</t>
  </si>
  <si>
    <t>CSR_XCP_Signals_Recorder_2026-01-30_16-31-33_TC23_NCAP12_6YO_1R_CPD.MF4.xz</t>
  </si>
  <si>
    <t>CSR_XCP_Signals_Recorder_2026-01-30_14-03-06_TC23_NCAP12_6YO_1R_CPD.MF4.xz</t>
  </si>
  <si>
    <t>CSR_XCP_Signals_Recorder_2026-01-30_14-03-57_TC23_NCAP12_6YO_1R_CPD.MF4.xz</t>
  </si>
  <si>
    <t>CSR_XCP_Signals_Recorder_2026-01-30_14-04-44_TC23_NCAP12_6YO_1R_CPD.MF4.xz</t>
  </si>
  <si>
    <t>CSR_XCP_Signals_Recorder_2026-01-30_14-05-25_TC23_NCAP12_6YO_1R_CPD.MF4.xz</t>
  </si>
  <si>
    <t>CPD_TC24_Try1_NCAP12_6YO_2R_CPD.MF4.xz</t>
  </si>
  <si>
    <t>CPD_TC24_Try2_NCAP12_6YO_2R_CPD.MF4.xz</t>
  </si>
  <si>
    <t>CPD_TC24_Try3_NCAP12_6YO_2R_CPD.MF4.xz</t>
  </si>
  <si>
    <t>CPD_TC24_Try4_NCAP12_6YO_2R_CPD.MF4.xz</t>
  </si>
  <si>
    <t>CPD_TC24_Try5_NCAP12_6YO_2R_CPD.MF4.xz</t>
  </si>
  <si>
    <t>CSR_XCP_Signals_Recorder_2026-01-30_16-01-23_TC24_NCAP12_6YO_2R_CPD.MF4.xz</t>
  </si>
  <si>
    <t>CSR_XCP_Signals_Recorder_2026-01-30_16-02-33_TC24_NCAP12_6YO_2R_CPD.MF4.xz</t>
  </si>
  <si>
    <t>CSR_XCP_Signals_Recorder_2026-01-30_16-03-40_TC24_NCAP12_6YO_2R_CPD.MF4.xz</t>
  </si>
  <si>
    <t>CSR_XCP_Signals_Recorder_2025-12-10_10-28-27_TC25_6YO2RL_CPD_NCAP12_6YO_2L_CPD.MF4.xz</t>
  </si>
  <si>
    <t>CSR_XCP_Signals_Recorder_2025-12-10_10-31-22_TC25_6YO2RL_CPD_NCAP12_6YO_2L_CPD.MF4.xz</t>
  </si>
  <si>
    <t>CSR_XCP_Signals_Recorder_2025-12-10_10-33-22_TC25_6YO2RL_CPD_NCAP12_6YO_2L_CPD.MF4.xz</t>
  </si>
  <si>
    <t>CSR_XCP_Signals_Recorder_2025-12-10_10-35-23_TC25_6YO2RL_CPD_NCAP12_6YO_2L_CPD.MF4.xz</t>
  </si>
  <si>
    <t>CSR_XCP_Signals_Recorder_2025-12-10_10-37-11_TC25_6YO2RL_CPD_NCAP12_6YO_2L_CPD.MF4.xz</t>
  </si>
  <si>
    <t>CSR_XCP_Signals_Recorder_2026-01-30_16-26-12_TC25_NCAP12_6YO_2L_CPD.MF4.xz</t>
  </si>
  <si>
    <t>CSR_XCP_Signals_Recorder_2026-01-30_16-27-01_TC25_NCAP12_6YO_2L_CPD.MF4.xz</t>
  </si>
  <si>
    <t>CSR_XCP_Signals_Recorder_2026-01-30_16-27-48_TC25_NCAP12_6YO_2L_CPD.MF4.xz</t>
  </si>
  <si>
    <t>CSR_XCP_Signals_Recorder_2026-01-30_14-08-58_TC25_NCAP12_6YO_2L_CPD.MF4.xz</t>
  </si>
  <si>
    <t>CSR_XCP_Signals_Recorder_2026-01-30_14-10-22_TC25_NCAP12_6YO_2L_CPD.MF4.xz</t>
  </si>
  <si>
    <t>CSR_XCP_Signals_Recorder_2026-01-30_16-09-35_TC26_NCAP12_6YO_2C_CPD.MF4.xz</t>
  </si>
  <si>
    <t>CSR_XCP_Signals_Recorder_2026-01-30_16-10-22_TC26_NCAP12_6YO_2C_CPD.MF4.xz</t>
  </si>
  <si>
    <t>CSR_XCP_Signals_Recorder_2026-01-30_16-11-11_TC26_NCAP12_6YO_2C_CPD.MF4.xz</t>
  </si>
  <si>
    <t>CSR_XCP_Signals_Recorder_2026-01-30_16-13-49_TC26_NCAP12_6YO_2C_CPD.MF4.xz</t>
  </si>
  <si>
    <t>CSR_XCP_Signals_Recorder_2025-12-10_10-40-19_TC27_6YO3RR_CPD_NCAP12_6YO_3R_CPD.MF4.xz</t>
  </si>
  <si>
    <t>CSR_XCP_Signals_Recorder_2025-12-10_10-42-14_TC27_6YO3RR_CPD_NCAP12_6YO_3R_CPD.MF4.xz</t>
  </si>
  <si>
    <t>CSR_XCP_Signals_Recorder_2025-12-10_10-43-45_TC27_6YO3RR_CPD_NCAP12_6YO_3R_CPD.MF4.xz</t>
  </si>
  <si>
    <t>CSR_XCP_Signals_Recorder_2025-12-10_10-45-23_TC27_6YO3RR_CPD_NCAP12_6YO_3R_CPD.MF4.xz</t>
  </si>
  <si>
    <t>CSR_XCP_Signals_Recorder_2025-12-10_10-46-57_TC27_6YO3RR_CPD_NCAP12_6YO_3R_CPD.MF4.xz</t>
  </si>
  <si>
    <t>CSR_XCP_Signals_Recorder_2026-01-30_16-21-49_TC27_NCAP12_6YO_3R_CPD.MF4.xz</t>
  </si>
  <si>
    <t>CSR_XCP_Signals_Recorder_2026-01-30_16-22-29_TC27_NCAP12_6YO_3R_CPD.MF4.xz</t>
  </si>
  <si>
    <t>CSR_XCP_Signals_Recorder_2026-01-30_16-23-12_TC27_NCAP12_6YO_3R_CPD.MF4.xz</t>
  </si>
  <si>
    <t>CSR_XCP_Signals_Recorder_2026-01-30_14-14-17_TC27_NCAP12_6YO_3R_CPD.MF4.xz</t>
  </si>
  <si>
    <t>CSR_XCP_Signals_Recorder_2026-01-30_14-14-55_TC27_NCAP12_6YO_3R_CPD.MF4.xz</t>
  </si>
  <si>
    <t>CSR_XCP_Signals_Recorder_2026-01-30_14-15-41_TC27_NCAP12_6YO_3R_CPD.MF4.xz</t>
  </si>
  <si>
    <t>CSR_XCP_Signals_Recorder_2026-01-30_16-17-14_TC28_NCAP12_6YO_3L_CPD.MF4.xz</t>
  </si>
  <si>
    <t>CSR_XCP_Signals_Recorder_2026-01-30_16-17-59_TC28_NCAP12_6YO_3L_CPD.MF4.xz</t>
  </si>
  <si>
    <t>CSR_XCP_Signals_Recorder_2026-01-30_16-18-46_TC28_NCAP12_6YO_3L_CPD.MF4.xz</t>
  </si>
  <si>
    <t>CSR_XCP_Signals_Recorder_2026-01-30_16-36-33_TC30_NCAP12_6YO+NB_2R+3R_CPD.MF4.xz</t>
  </si>
  <si>
    <t>CSR_XCP_Signals_Recorder_2026-01-30_16-37-12_TC30_NCAP12_6YO+NB_2R+3R_CPD.MF4.xz</t>
  </si>
  <si>
    <t>CSR_XCP_Signals_Recorder_2026-01-30_16-37-59_TC30_NCAP12_6YO+NB_2R+3R_CPD.MF4.xz</t>
  </si>
  <si>
    <t>CSR_XCP_Signals_Recorder_2026-01-30_16-38-48_TC30_NCAP12_6YO+NB_2R+3R_CPD.MF4.xz</t>
  </si>
  <si>
    <t>CSR_XCP_Signals_Recorder_2026-01-30_16-39-34_TC30_NCAP12_6YO+NB_2R+3R_CPD.MF4.xz</t>
  </si>
  <si>
    <t>NCAP3</t>
  </si>
  <si>
    <t>CSR_XCP_Signals_Recorder_2025-12-11_11-49-25_TC31_3YO_1L_CPD_NCAP3_3YO_1L_CPD.MF4.xz</t>
  </si>
  <si>
    <t>CSR_XCP_Signals_Recorder_2025-12-11_11-50-58_TC31_3YO_1L_CPD_NCAP3_3YO_1L_CPD.MF4.xz</t>
  </si>
  <si>
    <t>CSR_XCP_Signals_Recorder_2025-12-11_11-52-57_TC31_3YO_1L_CPD_NCAP3_3YO_1L_CPD.MF4.xz</t>
  </si>
  <si>
    <t>CSR_XCP_Signals_Recorder_2025-12-11_11-56-10_TC31_3YO_1L_CPD_NCAP3_3YO_1L_CPD.MF4.xz</t>
  </si>
  <si>
    <t>CSR_XCP_Signals_Recorder_2025-12-11_11-58-19_TC31_3YO_1L_CPD_NCAP3_3YO_1L_CPD.MF4.xz</t>
  </si>
  <si>
    <t>TC_32_Try1_NCAP3_3YO_1L_CPD.MF4.xz</t>
  </si>
  <si>
    <t>TC_32_Try2_NCAP3_3YO_1L_CPD.MF4.xz</t>
  </si>
  <si>
    <t>TC_32_Try3_NCAP3_3YO_1L_CPD.MF4.xz</t>
  </si>
  <si>
    <t>TC_33_Try1_NCAP3_3YO_1L_CPD.MF4.xz</t>
  </si>
  <si>
    <t>TC_33_Try2_NCAP3_3YO_1L_CPD.MF4.xz</t>
  </si>
  <si>
    <t>TC_33_Try3_NCAP3_3YO_1L_CPD.MF4.xz</t>
  </si>
  <si>
    <t>TC_34_Try1_NCAP3_3YO_1L_CPD.MF4.xz</t>
  </si>
  <si>
    <t>TC_34_Try2_NCAP3_3YO_1L_CPD.MF4.xz</t>
  </si>
  <si>
    <t>TC_34_Try3_NCAP3_3YO_1L_CPD.MF4.xz</t>
  </si>
  <si>
    <t>TC_35_Try1_NCAP3_3YO_1L_CPD.MF4.xz</t>
  </si>
  <si>
    <t>TC_35_Try2_NCAP3_3YO_1L_CPD.MF4.xz</t>
  </si>
  <si>
    <t>TC_35_Try3_NCAP3_3YO_1L_CPD.MF4.xz</t>
  </si>
  <si>
    <t>TC_36_Try1_NCAP3_3YO_1L_CPD.MF4.xz</t>
  </si>
  <si>
    <t>TC_36_Try2_NCAP3_3YO_1L_CPD.MF4.xz</t>
  </si>
  <si>
    <t>TC_36_Try3_NCAP3_3YO_1L_CPD.MF4.xz</t>
  </si>
  <si>
    <t>CSR_XCP_Signals_Recorder_2026-01-30_10-25-19_TC37_NCAP3_3YO_1L_CPD.MF4.xz</t>
  </si>
  <si>
    <t>CSR_XCP_Signals_Recorder_2026-01-30_10-28-06_TC37_NCAP3_3YO_1L_CPD.MF4.xz</t>
  </si>
  <si>
    <t>CSR_XCP_Signals_Recorder_2026-01-30_10-29-32_TC37_NCAP3_3YO_1L_CPD.MF4.xz</t>
  </si>
  <si>
    <t>CSR_XCP_Signals_Recorder_2026-01-30_10-31-17_TC37_NCAP3_3YO_1L_CPD.MF4.xz</t>
  </si>
  <si>
    <t>TC_38_Try1_NCAP3_3YO_1L_CPD.MF4.xz</t>
  </si>
  <si>
    <t>TC_38_Try2_NCAP3_3YO_1L_CPD.MF4.xz</t>
  </si>
  <si>
    <t>TC_38_Try3_NCAP3_3YO_1L_CPD.MF4.xz</t>
  </si>
  <si>
    <t>TC_39_Try1_NCAP3_6YO_1R_CPD.MF4.xz</t>
  </si>
  <si>
    <t>TC_39_Try2_NCAP3_6YO_1R_CPD.MF4.xz</t>
  </si>
  <si>
    <t>TC_39_Try3_NCAP3_6YO_1R_CPD.MF4.xz</t>
  </si>
  <si>
    <t>CPD_TC40_Try1_NCAP3_3YO_1L_CPD.MF4.xz</t>
  </si>
  <si>
    <t>CPD_TC40_Try2_NCAP3_3YO_1L_CPD.MF4.xz</t>
  </si>
  <si>
    <t>CPD_TC40_Try3_NCAP3_3YO_1L_CPD.MF4.xz</t>
  </si>
  <si>
    <t>CPD_TC40_Try4_NCAP3_3YO_1L_CPD.MF4.xz</t>
  </si>
  <si>
    <t>CPD_TC40_Try5_NCAP3_3YO_1L_CPD.MF4.xz</t>
  </si>
  <si>
    <t>CPD_TC41_Try1_NCAP3_3YO_1L_CPD.MF4.xz</t>
  </si>
  <si>
    <t>CPD_TC41_Try2_NCAP3_3YO_1L_CPD.MF4.xz</t>
  </si>
  <si>
    <t>CPD_TC41_Try3_NCAP3_3YO_1L_CPD.MF4.xz</t>
  </si>
  <si>
    <t>CPD_TC41_Try4_NCAP3_3YO_1L_CPD.MF4.xz</t>
  </si>
  <si>
    <t>CPD_TC41_Try5_NCAP3_3YO_1L_CPD.MF4.xz</t>
  </si>
  <si>
    <t>CSR_XCP_Signals_Recorder_2025-12-15_11-06-59_TC42_3YO1R_CPD_NCAP3_3YO_1L_CPD.MF4.xz</t>
  </si>
  <si>
    <t>CSR_XCP_Signals_Recorder_2025-12-15_11-08-40_TC42_3YO1R_CPD_NCAP3_3YO_1L_CPD.MF4.xz</t>
  </si>
  <si>
    <t>CSR_XCP_Signals_Recorder_2025-12-15_11-10-23_TC42_3YO1R_CPD_NCAP3_3YO_1L_CPD.MF4.xz</t>
  </si>
  <si>
    <t>CSR_XCP_Signals_Recorder_2025-12-15_11-12-15_TC42_3YO1R_CPD_NCAP3_3YO_1L_CPD.MF4.xz</t>
  </si>
  <si>
    <t>CSR_XCP_Signals_Recorder_2025-12-15_11-13-56_TC42_3YO1R_CPD_NCAP3_3YO_1L_CPD.MF4.xz</t>
  </si>
  <si>
    <t>CPD_TC43_Try1_NCAP3_3YO_1L_CPD.MF4.xz</t>
  </si>
  <si>
    <t>CPD_TC43_Try2_NCAP3_3YO_1L_CPD.MF4.xz</t>
  </si>
  <si>
    <t>CPD_TC43_Try3_NCAP3_3YO_1L_CPD.MF4.xz</t>
  </si>
  <si>
    <t>CPD_TC43_Try4_NCAP3_3YO_1L_CPD.MF4.xz</t>
  </si>
  <si>
    <t>CPD_TC43_Try5_NCAP3_3YO_1L_CPD.MF4.xz</t>
  </si>
  <si>
    <t>TC_44_Try1_NCAP3_3YO_1L_CPD.MF4.xz</t>
  </si>
  <si>
    <t>TC_44_Try2_NCAP3_3YO_1L_CPD.MF4.xz</t>
  </si>
  <si>
    <t>TC_44_Try3_NCAP3_3YO_1L_CPD.MF4.xz</t>
  </si>
  <si>
    <t>TC_45_Try1_NCAP3_3YO_1L_CPD.MF4.xz</t>
  </si>
  <si>
    <t>TC_45_Try2_NCAP3_3YO_1L_CPD.MF4.xz</t>
  </si>
  <si>
    <t>TC_45_Try3_NCAP3_3YO_1L_CPD.MF4.xz</t>
  </si>
  <si>
    <t>TC_46_Try1_NCAP3_3YO_1L_CPD.MF4.xz</t>
  </si>
  <si>
    <t>TC_46_Try3_NCAP3_3YO_1L_CPD.MF4.xz</t>
  </si>
  <si>
    <t>CSR_XCP_Signals_Recorder_2025-12-18_16-30-23_TC47_CPD_NCAP3_3YO_1L_CPD.MF4.xz</t>
  </si>
  <si>
    <t>/mnr/measurements/07_CANape/Mitsubishi/5K45/MMC5.1.0/5K457EG11</t>
  </si>
  <si>
    <t>CSR_XCP_Signals_Recorder_2025-12-18_16-32-06_TC47_CPD_NCAP3_3YO_1L_CPD.MF4.xz</t>
  </si>
  <si>
    <t>CSR_XCP_Signals_Recorder_2025-12-18_16-34-14_TC47_CPD_NCAP3_3YO_1L_CPD.MF4.xz</t>
  </si>
  <si>
    <t>CSR_XCP_Signals_Recorder_2025-12-18_16-35-56_TC47_CPD_NCAP3_3YO_1L_CPD.MF4.xz</t>
  </si>
  <si>
    <t>CSR_XCP_Signals_Recorder_2025-12-18_16-38-46_TC47_CPD_NCAP3_3YO_1L_CPD.MF4.xz</t>
  </si>
  <si>
    <t>TC48_Try_1_NCAP3_3YO_2R_CPD.MF4.xz</t>
  </si>
  <si>
    <t>TC48_Try_2_NCAP3_3YO_2R_CPD.MF4.xz</t>
  </si>
  <si>
    <t>TC48_Try_3_NCAP3_3YO_2R_CPD.MF4.xz</t>
  </si>
  <si>
    <t>TC49_Try_1_NCAP3_3YO_2L_CPD.MF4.xz</t>
  </si>
  <si>
    <t>TC49_Try_2_NCAP3_3YO_2L_CPD.MF4.xz</t>
  </si>
  <si>
    <t>TC49_Try_3_NCAP3_3YO_2L_CPD.MF4.xz</t>
  </si>
  <si>
    <t>MMC4.1.2/Validation/2025_12_02/ChildSleep/ncap3/TC_50_Try1.MF4.xz</t>
  </si>
  <si>
    <t>MMC4.1.2/Validation/2025_12_02/ChildSleep/ncap3/TC_50_Try1_NCAP3_3YO_2C_CPD.MF4.xz</t>
  </si>
  <si>
    <t>MMC4.1.2/Validation/2025_12_02/ChildSleep/ncap3/TC_50_Try2.MF4.xz</t>
  </si>
  <si>
    <t>MMC4.1.2/Validation/2025_12_02/ChildSleep/ncap3/TC_50_Try2_NCAP3_3YO_2C_CPD.MF4.xz</t>
  </si>
  <si>
    <t>MMC4.1.2/Validation/2025_12_02/ChildSleep/ncap3/TC_50_Try3.MF4.xz</t>
  </si>
  <si>
    <t>MMC4.1.2/Validation/2025_12_02/ChildSleep/ncap3/TC_50_Try3_NCAP3_3YO_2C_CPD.MF4.xz</t>
  </si>
  <si>
    <t>MMC5.0.2/5K457MG57/SmokeTest/ncap3/SmokeTest_CPD_TC50.MF4.xz</t>
  </si>
  <si>
    <t>MMC5.0.2/5K457MG57/SmokeTest/ncap3/SmokeTest_CPD_TC50_NCAP3_3YO_2C_CPD.MF4.xz</t>
  </si>
  <si>
    <t>CSR_XCP_Signals_Recorder_2025-12-15_11-32-44_TC51_3YO2C_CPD_NCAP3_3YO_2C_CPD.MF4.xz</t>
  </si>
  <si>
    <t>CSR_XCP_Signals_Recorder_2025-12-15_11-34-50_TC51_3YO2C_CPD_NCAP3_3YO_2C_CPD.MF4.xz</t>
  </si>
  <si>
    <t>CSR_XCP_Signals_Recorder_2025-12-15_11-36-29_TC51_3YO2C_CPD_NCAP3_3YO_2C_CPD.MF4.xz</t>
  </si>
  <si>
    <t>CSR_XCP_Signals_Recorder_2025-12-15_11-38-04_TC51_3YO2C_CPD_NCAP3_3YO_2C_CPD.MF4.xz</t>
  </si>
  <si>
    <t>CSR_XCP_Signals_Recorder_2025-12-15_11-39-49_TC51_3YO2C_CPD_NCAP3_3YO_2C_CPD.MF4.xz</t>
  </si>
  <si>
    <t>CSR_XCP_Signals_Recorder_2026-01-29_16-10-35_TC51_NCAP3_3YO_2C_CPD.MF4.xz</t>
  </si>
  <si>
    <t>CSR_XCP_Signals_Recorder_2026-01-29_16-12-21_TC51_NCAP3_3YO_2C_CPD.MF4.xz</t>
  </si>
  <si>
    <t>CSR_XCP_Signals_Recorder_2026-01-29_16-13-52_TC51_NCAP3_3YO_2C_CPD.MF4.xz</t>
  </si>
  <si>
    <t>TC_52_Try1_NCAP3_3YO_2C_CPD.MF4.xz</t>
  </si>
  <si>
    <t>TC_52_Try2_NCAP3_3YO_2C_CPD.MF4.xz</t>
  </si>
  <si>
    <t>TC53_Try_1_NCAP3_3YO_2C_CPD.MF4.xz</t>
  </si>
  <si>
    <t>TC53_Try_2_NCAP3_3YO_2C_CPD.MF4.xz</t>
  </si>
  <si>
    <t>TC53_Try_3_NCAP3_3YO_2C_CPD.MF4.xz</t>
  </si>
  <si>
    <t>CSR_XCP_Signals_Recorder_2025-12-18_17-02-49_TC54_CPD_NCAP3_3YO_3R_CPD.MF4.xz</t>
  </si>
  <si>
    <t>CSR_XCP_Signals_Recorder_2025-12-18_17-04-21_TC54_CPD_NCAP3_3YO_3R_CPD.MF4.xz</t>
  </si>
  <si>
    <t>CSR_XCP_Signals_Recorder_2025-12-18_17-05-54_TC54_CPD_NCAP3_3YO_3R_CPD.MF4.xz</t>
  </si>
  <si>
    <t>CSR_XCP_Signals_Recorder_2025-12-18_17-15-22_TC54_CPD_NCAP3_3YO_3R_CPD.MF4.xz</t>
  </si>
  <si>
    <t>CSR_XCP_Signals_Recorder_2025-12-18_17-16-57_TC54_CPD_NCAP3_3YO_3R_CPD.MF4.xz</t>
  </si>
  <si>
    <t>CSR_XCP_Signals_Recorder_2025-12-17_14-13-57_TC55_3YO3L_CPD_NCAP3_3YO_3L_CPD.MF4.xz</t>
  </si>
  <si>
    <t>CSR_XCP_Signals_Recorder_2025-12-17_14-15-22_TC55_3YO3L_CPD_NCAP3_3YO_3L_CPD.MF4.xz</t>
  </si>
  <si>
    <t>CSR_XCP_Signals_Recorder_2025-12-17_14-17-27_TC55_3YO3L_CPD_NCAP3_3YO_3L_CPD.MF4.xz</t>
  </si>
  <si>
    <t>CSR_XCP_Signals_Recorder_2025-12-17_14-18-54_TC55_3YO3L_CPD_NCAP3_3YO_3L_CPD.MF4.xz</t>
  </si>
  <si>
    <t>CSR_XCP_Signals_Recorder_2025-12-17_14-20-27_TC55_3YO3L_CPD_NCAP3_3YO_3L_CPD.MF4.xz</t>
  </si>
  <si>
    <t>CPD_TC56_Try1_NCAP3_3YO_F1D_CPD.MF4.xz</t>
  </si>
  <si>
    <t>CPD_TC56_Try2_NCAP3_3YO_F1D_CPD.MF4.xz</t>
  </si>
  <si>
    <t>CPD_TC56_Try3_NCAP3_3YO_F1D_CPD.MF4.xz</t>
  </si>
  <si>
    <t>CPD_TC56_Try4_NCAP3_3YO_F1D_CPD.MF4.xz</t>
  </si>
  <si>
    <t>CPD_TC56_Try5_NCAP3_3YO_F1D_CPD.MF4.xz</t>
  </si>
  <si>
    <t>CSR_XCP_Signals_Recorder_2026-01-20_09-53-27_CPD_TC56_Try5_NCAP3_3YO_F1D_CPD.MF4.xz</t>
  </si>
  <si>
    <t>CSR_XCP_Signals_Recorder_2026-01-20_09-48-47_CPD_TC56_Try2_NCAP3_3YO_F1D_CPD.MF4.xz</t>
  </si>
  <si>
    <t>CSR_XCP_Signals_Recorder_2026-01-20_09-50-16_CPD_TC56_Try3_NCAP3_3YO_F1D_CPD.MF4.xz</t>
  </si>
  <si>
    <t>CSR_XCP_Signals_Recorder_2026-01-20_09-51-41_CPD_TC56_Try4_NCAP3_3YO_F1D_CPD.MF4.xz</t>
  </si>
  <si>
    <t>CPD_TC57_Try1_NCAP3_3YO_F1P_CPD.MF4.xz</t>
  </si>
  <si>
    <t>CPD_TC57_Try2_NCAP3_3YO_F1P_CPD.MF4.xz</t>
  </si>
  <si>
    <t>CPD_TC57_Try3_NCAP3_3YO_F1P_CPD.MF4.xz</t>
  </si>
  <si>
    <t>CPD_TC57_Try4_NCAP3_3YO_F1P_CPD.MF4.xz</t>
  </si>
  <si>
    <t>CPD_TC57_Try5_NCAP3_3YO_F1P_CPD.MF4.xz</t>
  </si>
  <si>
    <t>CSR_XCP_Signals_Recorder_2026-01-29_16-22-22_TC57_NCAP3_3YO_F1P_CPD.MF4.xz</t>
  </si>
  <si>
    <t>CSR_XCP_Signals_Recorder_2026-01-29_16-24-52_TC57_NCAP3_3YO_F1P_CPD.MF4.xz</t>
  </si>
  <si>
    <t>CSR_XCP_Signals_Recorder_2026-01-29_16-26-15_TC57_NCAP3_3YO_F1P_CPD.MF4.xz</t>
  </si>
  <si>
    <t>CPD_TC58_Try1_NCAP3_3YO_F1P_CPD.MF4.xz</t>
  </si>
  <si>
    <t>CPD_TC58_Try2_NCAP3_3YO_F1P_CPD.MF4.xz</t>
  </si>
  <si>
    <t>CPD_TC58_Try3_NCAP3_3YO_F1P_CPD.MF4.xz</t>
  </si>
  <si>
    <t>CPD_TC58_Try4_NCAP3_3YO_F1P_CPD.MF4.xz</t>
  </si>
  <si>
    <t>CPD_TC58_Try5_NCAP3_3YO_F1P_CPD.MF4.xz</t>
  </si>
  <si>
    <t>TC59_Try_1_NCAP3_3YO_F2R_CPD.MF4.xz</t>
  </si>
  <si>
    <t>TC59_Try_2_NCAP3_3YO_F2R_CPD.MF4.xz</t>
  </si>
  <si>
    <t>TC59_Try_3_NCAP3_3YO_F2R_CPD.MF4.xz</t>
  </si>
  <si>
    <t>TC60_Try_1_NCAP3_3YO_F2L_CPD.MF4.xz</t>
  </si>
  <si>
    <t>TC60_Try_2_NCAP3_3YO_F2L_CPD.MF4.xz</t>
  </si>
  <si>
    <t>TC60_Try_3_NCAP3_3YO_F2L_CPD.MF4.xz</t>
  </si>
  <si>
    <t>TC_61_Try1_NCAP3_3YO_F2C_CPD.MF4.xz</t>
  </si>
  <si>
    <t>TC_61_Try2_NCAP3_3YO_F2C_CPD.MF4.xz</t>
  </si>
  <si>
    <t>TC_61_Try3_NCAP3_3YO_F2C_CPD.MF4.xz</t>
  </si>
  <si>
    <t>TC62_Try_1_NCAP3_3YO_F3R_CPD.MF4.xz</t>
  </si>
  <si>
    <t>TC62_Try_2_NCAP3_3YO_F3R_CPD.MF4.xz</t>
  </si>
  <si>
    <t>TC62_Try_3_NCAP3_3YO_F3R_CPD.MF4.xz</t>
  </si>
  <si>
    <t>CSR_XCP_Signals_Recorder_2026-01-30_10-16-49_TC62_NCAP3_3YO_F3R_CPD.MF4.xz</t>
  </si>
  <si>
    <t>TC_63_Try1_NCAP3_3YO_F3L_CPD.MF4.xz</t>
  </si>
  <si>
    <t>TC_63_Try2_NCAP3_3YO_F3L_CPD.MF4.xz</t>
  </si>
  <si>
    <t>TC_63_Try3_NCAP3_3YO_F3L_CPD.MF4.xz</t>
  </si>
  <si>
    <t>TC64_Try_1_NCAP3_3YO_F3L_CPD.MF4.xz</t>
  </si>
  <si>
    <t>TC64_Try_2_NCAP3_3YO_F3L_CPD.MF4.xz</t>
  </si>
  <si>
    <t>TC64_Try_3_NCAP3_3YO_F3L_CPD.MF4.xz</t>
  </si>
  <si>
    <t>CSR_XCP_Signals_Recorder_2025-12-11_10-11-15_TC65_6YO_1R_CPD_NCAP3_6YO_1R_CPD.MF4.xz</t>
  </si>
  <si>
    <t>CSR_XCP_Signals_Recorder_2025-12-11_10-20-02_TC65_6YO_1R_CPD_NCAP3_6YO_1R_CPD.MF4.xz</t>
  </si>
  <si>
    <t>CSR_XCP_Signals_Recorder_2025-12-11_10-23-00_TC65_6YO_1R_CPD_NCAP3_6YO_1R_CPD.MF4.xz</t>
  </si>
  <si>
    <t>CSR_XCP_Signals_Recorder_2025-12-11_10-25-45_TC65_6YO_1R_CPD_NCAP3_6YO_1R_CPD.MF4.xz</t>
  </si>
  <si>
    <t>CSR_XCP_Signals_Recorder_2025-12-10_17-19-17_TC66_6YO2RR_CPD_NCAP3_6YO_2R_CPD.MF4.xz</t>
  </si>
  <si>
    <t>CSR_XCP_Signals_Recorder_2025-12-10_17-24-11_TC66__6YO2RR_CPD_NCAP3_6YO_2R_CPD.MF4.xz</t>
  </si>
  <si>
    <t>CSR_XCP_Signals_Recorder_2025-12-10_17-25-54_TC66__6YO2RR_CPD_NCAP3_6YO_2R_CPD.MF4.xz</t>
  </si>
  <si>
    <t>CSR_XCP_Signals_Recorder_2025-12-10_17-27-22_TC66__6YO2RR_CPD_NCAP3_6YO_2R_CPD.MF4.xz</t>
  </si>
  <si>
    <t>CSR_XCP_Signals_Recorder_2025-12-10_17-30-40_TC66__6YO2RR_CPD_NCAP3_6YO_2R_CPD.MF4.xz</t>
  </si>
  <si>
    <t>CSR_XCP_Signals_Recorder_2025-12-11_10-32-41_TC67_6YO_2R_CPD_NCAP3_6YO_2R_CPD.MF4.xz</t>
  </si>
  <si>
    <t>CSR_XCP_Signals_Recorder_2025-12-11_10-34-11_TC67_6YO_2R_CPD_NCAP3_6YO_2R_CPD.MF4.xz</t>
  </si>
  <si>
    <t>CSR_XCP_Signals_Recorder_2025-12-11_10-35-52_TC67_6YO_2R_CPD_NCAP3_6YO_2R_CPD.MF4.xz</t>
  </si>
  <si>
    <t>CSR_XCP_Signals_Recorder_2025-12-11_10-38-31_TC67_6YO_2R_CPD_NCAP3_6YO_2R_CPD.MF4.xz</t>
  </si>
  <si>
    <t>CSR_XCP_Signals_Recorder_2025-12-11_10-30-51_TC67_6YO_2R_CPD_NCAP3_6YO_2R_CPD.MF4.xz</t>
  </si>
  <si>
    <t>TC68_Try_1_NCAP3_6YO_2L_CPD.MF4.xz</t>
  </si>
  <si>
    <t>TC68_Try_2_NCAP3_6YO_2L_CPD.MF4.xz</t>
  </si>
  <si>
    <t>TC68_Try_3_NCAP3_6YO_2L_CPD.MF4.xz</t>
  </si>
  <si>
    <t>SmokeTest_CPD_TC68_NCAP3_6YO_2L_CPD.MF4.xz</t>
  </si>
  <si>
    <t>CSR_XCP_Signals_Recorder_2025-12-22_14-49-08_TC68_CPD_NCAP3_6YO_2L_CPD.MF4.xz</t>
  </si>
  <si>
    <t>CSR_XCP_Signals_Recorder_2025-12-11_10-43-38_TC69_6YO_2L_CPD_NCAP3_6YO_2L_CPD.MF4.xz</t>
  </si>
  <si>
    <t>CSR_XCP_Signals_Recorder_2025-12-11_10-46-04_TC69_6YO_2L_CPD_NCAP3_6YO_2L_CPD.MF4.xz</t>
  </si>
  <si>
    <t>CSR_XCP_Signals_Recorder_2025-12-11_10-47-30_TC69_6YO_2L_CPD_NCAP3_6YO_2L_CPD.MF4.xz</t>
  </si>
  <si>
    <t>CSR_XCP_Signals_Recorder_2025-12-11_10-49-08_TC69_6YO_2L_CPD_NCAP3_6YO_2L_CPD.MF4.xz</t>
  </si>
  <si>
    <t>CSR_XCP_Signals_Recorder_2025-12-11_10-41-39_TC69_6YO_2L_CPD_NCAP3_6YO_2L_CPD.MF4.xz</t>
  </si>
  <si>
    <t>CSR_XCP_Signals_Recorder_2025-12-18_16-42-47_TC70_CPD_NCAP3_6YO_2C_CPD.MF4.xz</t>
  </si>
  <si>
    <t>CSR_XCP_Signals_Recorder_2025-12-18_16-44-24_TC70_CPD_NCAP3_6YO_2C_CPD.MF4.xz</t>
  </si>
  <si>
    <t>CSR_XCP_Signals_Recorder_2025-12-18_16-45-59_TC70_CPD_NCAP3_6YO_2C_CPD.MF4.xz</t>
  </si>
  <si>
    <t>CSR_XCP_Signals_Recorder_2025-12-18_16-47-35_TC70_CPD_NCAP3_6YO_2C_CPD.MF4.xz</t>
  </si>
  <si>
    <t>CSR_XCP_Signals_Recorder_2025-12-18_16-49-09_TC70_CPD_NCAP3_6YO_2C_CPD.MF4.xz</t>
  </si>
  <si>
    <t>CSR_XCP_Signals_Recorder_2026-01-20_16-07-49_CPD_TC70_Try5_NCAP3_6YO_2C_CPD.MF4.xz</t>
  </si>
  <si>
    <t>CSR_XCP_Signals_Recorder_2026-01-20_16-01-58_CPD_TC70_Try1_NCAP3_6YO_2C_CPD.MF4.xz</t>
  </si>
  <si>
    <t>CSR_XCP_Signals_Recorder_2026-01-20_16-03-21_CPD_TC70_Try2_NCAP3_6YO_2C_CPD.MF4.xz</t>
  </si>
  <si>
    <t>CSR_XCP_Signals_Recorder_2026-01-20_16-04-50_CPD_TC70_Try3_NCAP3_6YO_2C_CPD.MF4.xz</t>
  </si>
  <si>
    <t>CSR_XCP_Signals_Recorder_2026-01-20_16-06-19_CPD_TC70_Try4_NCAP3_6YO_2C_CPD.MF4.xz</t>
  </si>
  <si>
    <t>CSR_XCP_Signals_Recorder_2026-01-30_14-20-11_TC70_NCAP3_6YO_2C_CPD.MF4.xz</t>
  </si>
  <si>
    <t>CSR_XCP_Signals_Recorder_2026-01-30_14-21-46_TC70_NCAP3_6YO_2C_CPD.MF4.xz</t>
  </si>
  <si>
    <t>CSR_XCP_Signals_Recorder_2026-01-30_14-23-14_TC70_NCAP3_6YO_2C_CPD.MF4.xz</t>
  </si>
  <si>
    <t>TC71_Try_1_NCAP3_6YO_3R_CPD.MF4.xz</t>
  </si>
  <si>
    <t>TC71_Try_2_NCAP3_6YO_3R_CPD.MF4.xz</t>
  </si>
  <si>
    <t>TC71_Try_3_NCAP3_6YO_3R_CPD.MF4.xz</t>
  </si>
  <si>
    <t>TC72_Try_1_NCAP3_6YO_3R_CPD.MF4.xz</t>
  </si>
  <si>
    <t>TC72_Try_2_NCAP3_6YO_3R_CPD.MF4.xz</t>
  </si>
  <si>
    <t>TC72_Try_3_NCAP3_6YO_3R_CPD.MF4.xz</t>
  </si>
  <si>
    <t>CSR_XCP_Signals_Recorder_2025-12-10_17-36-32_TC73_6YO3RR_CPD_NCAP3_6YO_3R_CPD.MF4.xz</t>
  </si>
  <si>
    <t>CSR_XCP_Signals_Recorder_2025-12-10_17-47-06_TC73_6YO3RR_CPD_NCAP3_6YO_3R_CPD.MF4.xz</t>
  </si>
  <si>
    <t>CSR_XCP_Signals_Recorder_2025-12-10_17-50-41_TC73_6YO3RR_CPD_NCAP3_6YO_3R_CPD.MF4.xz</t>
  </si>
  <si>
    <t>CSR_XCP_Signals_Recorder_2025-12-10_17-54-19_TC73_6YO3RR_CPD_NCAP3_6YO_3R_CPD.MF4.xz</t>
  </si>
  <si>
    <t>CSR_XCP_Signals_Recorder_2025-12-10_17-57-35_TC73_6YO3RR_CPD_NCAP3_6YO_3R_CPD.MF4.xz</t>
  </si>
  <si>
    <t>TC74_Try_1_NCAP3_6YO_3L_CPD.MF4.xz</t>
  </si>
  <si>
    <t>TC74_Try_2_NCAP3_6YO_3L_CPD.MF4.xz</t>
  </si>
  <si>
    <t>TC74_Try_3_NCAP3_6YO_3L_CPD.MF4.xz</t>
  </si>
  <si>
    <t>Adult_w_child</t>
  </si>
  <si>
    <t>CSR_XCP_Signals_Recorder_2025-12-10_16-42-25_TC84_AF05D_3YORL2_CPD_Adult_w_child_3YO_1D+2L_CPD.MF4.xz</t>
  </si>
  <si>
    <t>CSR_XCP_Signals_Recorder_2025-12-10_16-44-09_TC84_AF05D_3YORL2_CPD_Adult_w_child_3YO_1D+2L_CPD.MF4.xz</t>
  </si>
  <si>
    <t>CSR_XCP_Signals_Recorder_2025-12-10_16-45-46_TC84_AF05D_3YORL2_CPD_Adult_w_child_3YO_1D+2L_CPD.MF4.xz</t>
  </si>
  <si>
    <t>CSR_XCP_Signals_Recorder_2025-12-10_16-47-21_TC84_AF05D_3YORL2_CPD_Adult_w_child_3YO_1D+2L_CPD.MF4.xz</t>
  </si>
  <si>
    <t>CSR_XCP_Signals_Recorder_2025-12-10_16-48-54_TC84_AF05D_3YORL2_CPD_Adult_w_child_3YO_1D+2L_CPD.MF4.xz</t>
  </si>
  <si>
    <t>TC_85_Try1_Adult_w_child_3YO_1D+3R_CPD.MF4.xz</t>
  </si>
  <si>
    <t>TC_85_Try2_Adult_w_child_3YO_1D+3R_CPD.MF4.xz</t>
  </si>
  <si>
    <t>TC_85_Try3_Adult_w_child_3YO_1D+3R_CPD.MF4.xz</t>
  </si>
  <si>
    <t>TC_86_Try1_Adult_w_child_3YO_1D+3L_CPD.MF4.xz</t>
  </si>
  <si>
    <t>TC_86_Try2_Adult_w_child_3YO_1D+3L_CPD.MF4.xz</t>
  </si>
  <si>
    <t>TC_86_Try3_Adult_w_child_3YO_1D+3L_CPD.MF4.xz</t>
  </si>
  <si>
    <t>TC_90_Try1_Adult_w_child_6YO_1D+2L_CPD.MF4.xz</t>
  </si>
  <si>
    <t>TC_90_Try2_Adult_w_child_6YO_1D+2L_CPD.MF4.xz</t>
  </si>
  <si>
    <t>TC_90_Try3_Adult_w_child_6YO_1D+2L_CPD.MF4.xz</t>
  </si>
  <si>
    <t>TC_91_Try1_Adult_w_child_6YO_1D+3L_CPD.MF4.xz</t>
  </si>
  <si>
    <t>TC_91_Try2_Adult_w_child_6YO_1D+3L_CPD.MF4.xz</t>
  </si>
  <si>
    <t>TC_91_Try3_Adult_w_child_6YO_1D+3L_CPD.MF4.xz</t>
  </si>
  <si>
    <t>TC_92_Try1_Adult_w_child_3YO_1D+F2R_CPD.MF4.xz</t>
  </si>
  <si>
    <t>TC_92_Try2_Adult_w_child_3YO_1D+F2R_CPD.MF4.xz</t>
  </si>
  <si>
    <t>TC_92_Try3_Adult_w_child_3YO_1D+F2R_CPD.MF4.xz</t>
  </si>
  <si>
    <t>TC_93_Try1_Adult_w_child_3YO_1D+F3L_CPD.MF4.xz</t>
  </si>
  <si>
    <t>TC_93_Try2_Adult_w_child_3YO_1D+F3L_CPD.MF4.xz</t>
  </si>
  <si>
    <t>TC_93_Try3_Adult_w_child_3YO_1D+F3L_CPD.MF4.xz</t>
  </si>
  <si>
    <t>TC_94_Try1_Adult_w_child_NB_1D+1P_CPD.MF4.xz</t>
  </si>
  <si>
    <t>TC_94_Try2_Adult_w_child_NB_1D+1P_CPD.MF4.xz</t>
  </si>
  <si>
    <t>TC_94_Try3_Adult_w_child_NB_1D+1P_CPD.MF4.xz</t>
  </si>
  <si>
    <t>CSR_XCP_Signals_Recorder_2025-12-10_16-53-14_TC95_AF05D_3YORR2_CPD_Adult_w_child_3YO_1D+2R_CPD.MF4.xz</t>
  </si>
  <si>
    <t>CSR_XCP_Signals_Recorder_2025-12-10_16-54-43_TC95_AF05D_3YORR2_CPD_Adult_w_child_3YO_1D+2R_CPD.MF4.xz</t>
  </si>
  <si>
    <t>CSR_XCP_Signals_Recorder_2025-12-10_16-56-11_TC95_AF05D_3YORR2_CPD_Adult_w_child_3YO_1D+2R_CPD.MF4.xz</t>
  </si>
  <si>
    <t>CSR_XCP_Signals_Recorder_2025-12-10_16-57-41_TC95_AF05D_3YORR2_CPD_Adult_w_child_3YO_1D+2R_CPD.MF4.xz</t>
  </si>
  <si>
    <t>CSR_XCP_Signals_Recorder_2025-12-10_16-59-10_TC95_AF05D_3YORR2_CPD_Adult_w_child_3YO_1D+2R_CPD.MF4.xz</t>
  </si>
  <si>
    <t>TC_96_Try_1_Adult_w_child_6YO_1D+2C_CPD.MF4.xz</t>
  </si>
  <si>
    <t>TC_96_Try2_Adult_w_child_6YO_1D+2C_CPD.MF4.xz</t>
  </si>
  <si>
    <t>TC_96_Try3_Adult_w_child_6YO_1D+2C_CPD.MF4.xz</t>
  </si>
  <si>
    <t>TC_99_Try1_Adult_w_child_3YO_1P+3L_CPD.MF4.xz</t>
  </si>
  <si>
    <t>TC_99_Try2_Adult_w_child_3YO_1P+3L_CPD.MF4.xz</t>
  </si>
  <si>
    <t>TC_99_Try3_Adult_w_child_3YO_1P+3L_CPD.MF4.xz</t>
  </si>
  <si>
    <t>Adult_only</t>
  </si>
  <si>
    <t>TC_102_Try1_Adult_only__1L_CPD.MF4.xz</t>
  </si>
  <si>
    <t>TC_102_Try2_Adult_only__1L_CPD.MF4.xz</t>
  </si>
  <si>
    <t>TC_102_Try3_Adult_only__1L_CPD.MF4.xz</t>
  </si>
  <si>
    <t>CSR_XCP_Signals_Recorder_2025-12-22_15-21-33_TC102_CPD_Adult_only__1L_CPD.MF4.xz</t>
  </si>
  <si>
    <t>TC_103_Try1_Adult_only__1R_CPD.MF4.xz</t>
  </si>
  <si>
    <t>/mnt/measurements/07_CANape/Mitsubishi/5K45/MMC4.1.2/Validation/2025_11_28/TC_103_Try1.MF4.xz</t>
  </si>
  <si>
    <t>TC_103_Try2_Adult_only__1R_CPD.MF4.xz</t>
  </si>
  <si>
    <t>/mnt/measurements/07_CANape/Mitsubishi/5K45/MMC4.1.2/Validation/2025_11_28/TC_103_Try2.MF4.xz</t>
  </si>
  <si>
    <t>TC_103_Try3_Adult_only__1R_CPD.MF4.xz</t>
  </si>
  <si>
    <t>/mnt/measurements/07_CANape/Mitsubishi/5K45/MMC4.1.2/Validation/2025_11_28/TC_103_Try3.MF4.xz</t>
  </si>
  <si>
    <t>TC_103_Try3_Retry_Adult_only__1R_CPD.MF4.xz</t>
  </si>
  <si>
    <t>/mnt/measurements/07_CANape/Mitsubishi/5K45/MMC4.1.2/Validation/2025_11_28/TC_103_Try3_Retry.MF4.xz</t>
  </si>
  <si>
    <t>CSR_XCP_Signals_Recorder_2026-01-29_15-55-58_TC103_NCAP_1_2_Adult_only__1R_CPD.MF4.xz</t>
  </si>
  <si>
    <t>TC_104_Try1_Adult_only__2R_CPD.MF4.xz</t>
  </si>
  <si>
    <t>TC_104_Try2_Adult_only__2R_CPD.MF4.xz</t>
  </si>
  <si>
    <t>TC_104_Try3_Adult_only__2R_CPD.MF4.xz</t>
  </si>
  <si>
    <t>TC_105_Try1_Adult_only__2C_CPD.MF4.xz</t>
  </si>
  <si>
    <t>TC_105_Try2_Adult_only__2C_CPD.MF4.xz</t>
  </si>
  <si>
    <t>TC_105_Try3_Adult_only__2C_CPD.MF4.xz</t>
  </si>
  <si>
    <t>TC_106_Try1_Adult_only__1P+2L_CPD.MF4.xz</t>
  </si>
  <si>
    <t>TC_106_Try2_Adult_only__1P+2L_CPD.MF4.xz</t>
  </si>
  <si>
    <t>TC_106_Try3_Adult_only__1P+2L_CPD.MF4.xz</t>
  </si>
  <si>
    <t>TC_107_Try1_Adult_only__F2L_CPD.MF4.xz</t>
  </si>
  <si>
    <t>TC_107_Try2_Adult_only__F2L_CPD.MF4.xz</t>
  </si>
  <si>
    <t>TC_107_Try3_Adult_only__F2L_CPD.MF4.xz</t>
  </si>
  <si>
    <t>TC_108_Try2_Adult_only__F3R_CPD.MF4.xz</t>
  </si>
  <si>
    <t>TC_108_Try3_Adult_only__F3R_CPD.MF4.xz</t>
  </si>
  <si>
    <t>CSR_XCP_Signals_Recorder_2026-01-27_13-57-58_CPD_TC108_Try5_Adult_only__F3R_CPD.MF4.xz</t>
  </si>
  <si>
    <t>CSR_XCP_Signals_Recorder_2026-01-27_13-52-01_CPD_TC108_Try1_Adult_only__F3R_CPD.MF4.xz</t>
  </si>
  <si>
    <t>CSR_XCP_Signals_Recorder_2026-01-27_13-53-34_CPD_TC108_Try2_Adult_only__F3R_CPD.MF4.xz</t>
  </si>
  <si>
    <t>CSR_XCP_Signals_Recorder_2026-01-27_13-55-02_CPD_TC108_Try3_Adult_only__F3R_CPD.MF4.xz</t>
  </si>
  <si>
    <t>CSR_XCP_Signals_Recorder_2026-01-27_13-56-28_CPD_TC108_Try4_Adult_only__F3R_CPD.MF4.xz</t>
  </si>
  <si>
    <t>TC_109_Try1_Adult_only__3R_CPD.MF4.xz</t>
  </si>
  <si>
    <t>TC_109_Try2_Adult_only__3R_CPD.MF4.xz</t>
  </si>
  <si>
    <t>TC_109_Try3_Adult_only__3R_CPD.MF4.xz</t>
  </si>
  <si>
    <t>TC_110_Try1_Adult_only__3L_CPD.MF4.xz</t>
  </si>
  <si>
    <t>TC_110_Try2_Adult_only__3L_CPD.MF4.xz</t>
  </si>
  <si>
    <t>TC_110_Try3_Adult_only__3L_CPD.MF4.xz</t>
  </si>
  <si>
    <t>multiple_children</t>
  </si>
  <si>
    <t>TC126_Try1_multiple_children__2R+3L_CPD.MF4.xz</t>
  </si>
  <si>
    <t>TC126_Try2_multiple_children__2R+3L_CPD.MF4.xz</t>
  </si>
  <si>
    <t>TC126_Try3_multiple_children__2R+3L_CPD.MF4.xz</t>
  </si>
  <si>
    <t>CSR_XCP_Signals_Recorder_2025-12-10_16-15-07_TC129_3yoPS_6YORR_CPD_multiple_children__1P+2R_CPD.MF4.xz</t>
  </si>
  <si>
    <t>CSR_XCP_Signals_Recorder_2025-12-10_16-20-17_TC129_3yoPS_6YORR_CPD_multiple_children__1P+2R_CPD.MF4.xz</t>
  </si>
  <si>
    <t>CSR_XCP_Signals_Recorder_2025-12-10_16-24-33_TC129_3yoPS_6YORR_CPD_multiple_children__1P+2R_CPD.MF4.xz</t>
  </si>
  <si>
    <t>CSR_XCP_Signals_Recorder_2025-12-10_16-32-14_TC129_3yoPS_6YORR_CPD_multiple_children__1P+2R_CPD.MF4.xz</t>
  </si>
  <si>
    <t>CSR_XCP_Signals_Recorder_2025-12-10_16-35-59_TC129_3yoPS_6YORR_CPD_multiple_children__1P+2R_CPD.MF4.xz</t>
  </si>
  <si>
    <t>CSR_XCP_Signals_Recorder_2025-12-19_10-23-25_TC130_CPD_multiple_children__2R+3R_CPD.MF4.xz</t>
  </si>
  <si>
    <t>CSR_XCP_Signals_Recorder_2025-12-19_10-26-04_TC130_CPD_multiple_children__2R+3R_CPD.MF4.xz</t>
  </si>
  <si>
    <t>CSR_XCP_Signals_Recorder_2025-12-19_10-28-39_TC130_CPD_multiple_children__2R+3R_CPD.MF4.xz</t>
  </si>
  <si>
    <t>CSR_XCP_Signals_Recorder_2025-12-19_10-56-35_TC131_CPD_multiple_children__1P+2L_CPD.MF4.xz</t>
  </si>
  <si>
    <t>CSR_XCP_Signals_Recorder_2025-12-19_10-57-43_TC131_CPD_multiple_children__1P+2L_CPD.MF4.xz</t>
  </si>
  <si>
    <t>CSR_XCP_Signals_Recorder_2025-12-19_11-00-14_TC131_CPD_multiple_children__1P+2L_CPD.MF4.xz</t>
  </si>
  <si>
    <t>CSR_XCP_Signals_Recorder_2026-01-29_17-32-08_TC134_NCAP_1_2_Object__2R+F2L_CPD.MF4.xz</t>
  </si>
  <si>
    <t>CSR_XCP_Signals_Recorder_2026-01-29_17-33-06_TC134_NCAP_1_2_Object__2R+F2L_CPD.MF4.xz</t>
  </si>
  <si>
    <t>CSR_XCP_Signals_Recorder_2026-01-29_17-33-50_TC134_NCAP_1_2_Object__2R+F2L_CPD.MF4.xz</t>
  </si>
  <si>
    <t>TC_146_Try1_Liquid__1L_CPD.MF4.xz</t>
  </si>
  <si>
    <t>TC_146_Try2_Liquid__1L_CPD.MF4.xz</t>
  </si>
  <si>
    <t>TC_146_Try3_Liquid__1L_CPD.MF4.xz</t>
  </si>
  <si>
    <t>TC_147_Try1_Liquid__1R_CPD.MF4.xz</t>
  </si>
  <si>
    <t>TC_147_Try2_Liquid__1R_CPD.MF4.xz</t>
  </si>
  <si>
    <t>TC_147_Try3_Liquid__1R_CPD.MF4.xz</t>
  </si>
  <si>
    <t>TC_148_Try1_Liquid__2R_CPD.MF4.xz</t>
  </si>
  <si>
    <t>TC_148_Try2_Liquid__2R_CPD.MF4.xz</t>
  </si>
  <si>
    <t>TC_148_Try3_Liquid__2R_CPD.MF4.xz</t>
  </si>
  <si>
    <t>TC_149_Try1_Liquid__2L_CPD.MF4.xz</t>
  </si>
  <si>
    <t>TC_149_Try2_Liquid__2L_CPD.MF4.xz</t>
  </si>
  <si>
    <t>TC_149_Try3_Liquid__2L_CPD.MF4.xz</t>
  </si>
  <si>
    <t>CSR_XCP_Signals_Recorder_2026-01-29_15-38-54_TC150_NCAP_1_2_Liquid__2C_CPD.MF4.xz</t>
  </si>
  <si>
    <t>CSR_XCP_Signals_Recorder_2026-01-29_15-40-14_TC150_NCAP_1_2_Liquid__2C_CPD.MF4.xz</t>
  </si>
  <si>
    <t>CSR_XCP_Signals_Recorder_2026-01-29_15-41-21_TC150_NCAP_1_2_Liquid__2C_CPD.MF4.xz</t>
  </si>
  <si>
    <t>CSR_XCP_Signals_Recorder_2025-12-11_15-17-04_TC153_Liquid1LFW_CPD_Liquid__F1D_CPD.MF4.xz</t>
  </si>
  <si>
    <t>CSR_XCP_Signals_Recorder_2025-12-11_15-18-56_TC153_Liquid1LFW_CPD_Liquid__F1D_CPD.MF4.xz</t>
  </si>
  <si>
    <t>CSR_XCP_Signals_Recorder_2025-12-11_15-20-36_TC153_Liquid1LFW_CPD_Liquid__F1D_CPD.MF4.xz</t>
  </si>
  <si>
    <t>CSR_XCP_Signals_Recorder_2025-12-11_15-24-02_TC154_Liquid1RFW_CPD_Liquid__F1P_CPD.MF4.xz</t>
  </si>
  <si>
    <t>CSR_XCP_Signals_Recorder_2025-12-11_15-25-48_TC154_Liquid1RFW_CPD_Liquid__F1P_CPD.MF4.xz</t>
  </si>
  <si>
    <t>CSR_XCP_Signals_Recorder_2025-12-11_15-28-53_TC154_Liquid1RFW_CPD_Liquid__F1P_CPD.MF4.xz</t>
  </si>
  <si>
    <t>CSR_XCP_Signals_Recorder_2025-12-11_15-36-26_TC155_Liquid2RFW_CPD_Liquid__F2R_CPD.MF4.xz</t>
  </si>
  <si>
    <t>CSR_XCP_Signals_Recorder_2025-12-11_15-38-09_TC155_Liquid2RFW_CPD_Liquid__F2R_CPD.MF4.xz</t>
  </si>
  <si>
    <t>CSR_XCP_Signals_Recorder_2025-12-11_15-39-51_TC155_Liquid2RFW_CPD_Liquid__F2R_CPD.MF4.xz</t>
  </si>
  <si>
    <t>CSR_XCP_Signals_Recorder_2025-12-11_15-42-36_TC156_Liquid2LFW_CPD_Liquid__F2L_CPD.MF4.xz</t>
  </si>
  <si>
    <t>CSR_XCP_Signals_Recorder_2025-12-11_15-44-21_TC156_Liquid2LFW_CPD_Liquid__F2L_CPD.MF4.xz</t>
  </si>
  <si>
    <t>CSR_XCP_Signals_Recorder_2025-12-11_15-46-14_TC156_Liquid2LFW_CPD_Liquid__F2L_CPD.MF4.xz</t>
  </si>
  <si>
    <t>CSR_XCP_Signals_Recorder_2025-12-11_15-49-03_TC157_Liquid2CFW_CPD_Liquid__F2C_CPD.MF4.xz</t>
  </si>
  <si>
    <t>CSR_XCP_Signals_Recorder_2025-12-11_15-50-49_TC157_Liquid2CFW_CPD_Liquid__F2C_CPD.MF4.xz</t>
  </si>
  <si>
    <t>CSR_XCP_Signals_Recorder_2025-12-11_15-52-39_TC157_Liquid2CFW_CPD_Liquid__F2C_CPD.MF4.xz</t>
  </si>
  <si>
    <t>CSR_XCP_Signals_Recorder_2025-12-11_15-56-08_TC158_Liquid3RFW_CPD_Liquid__F3R_CPD.MF4.xz</t>
  </si>
  <si>
    <t>CSR_XCP_Signals_Recorder_2025-12-11_15-57-45_TC158_Liquid3RFW_CPD_Liquid__F3R_CPD.MF4.xz</t>
  </si>
  <si>
    <t>CSR_XCP_Signals_Recorder_2025-12-11_15-59-30_TC158_Liquid3RFW_CPD_Liquid__F3R_CPD.MF4.xz</t>
  </si>
  <si>
    <t>CSR_XCP_Signals_Recorder_2025-12-11_16-03-18_TC159_Liquid3LFW_CPD_Liquid__F3L_CPD.MF4.xz</t>
  </si>
  <si>
    <t>CSR_XCP_Signals_Recorder_2025-12-11_16-05-02_TC159_Liquid3LFW_CPD_Liquid__F3L_CPD.MF4.xz</t>
  </si>
  <si>
    <t>CSR_XCP_Signals_Recorder_2025-12-11_16-07-00_TC159_Liquid3LFW_CPD_Liquid__F3L_CPD.MF4.xz</t>
  </si>
  <si>
    <t>CSR_XCP_Signals_Recorder_2026-01-29_17-22-58_TC162_NCAP_1_2_Phone__2R_CPD.MF4.xz</t>
  </si>
  <si>
    <t>CSR_XCP_Signals_Recorder_2026-01-29_17-23-45_TC162_NCAP_1_2_Phone__2R_CPD.MF4.xz</t>
  </si>
  <si>
    <t>TC166_Try_3_Phone__3L_CPD.MF4.xz</t>
  </si>
  <si>
    <t>TC167_Try_1_Phone__F1D_CPD.MF4.xz</t>
  </si>
  <si>
    <t>TC167_Try_2_Phone__F1D_CPD.MF4.xz</t>
  </si>
  <si>
    <t>TC167_Try_3_Phone__F1D_CPD.MF4.xz</t>
  </si>
  <si>
    <t>TC168_Try_1_Phone__F1P_CPD.MF4.xz</t>
  </si>
  <si>
    <t>TC168_Try_2_Phone__F1P_CPD.MF4.xz</t>
  </si>
  <si>
    <t>TC168_Try_3_Phone__F1P_CPD.MF4.xz</t>
  </si>
  <si>
    <t>TC169_Try_1_Phone__F2R_CPD.MF4.xz</t>
  </si>
  <si>
    <t>TC169_Try_2_Phone__F2R_CPD.MF4.xz</t>
  </si>
  <si>
    <t>TC169_Try_3_Phone__F2R_CPD.MF4.xz</t>
  </si>
  <si>
    <t>TC170_Try_1_Phone__F2L_CPD.MF4.xz</t>
  </si>
  <si>
    <t>TC170_Try_2_Phone__F2L_CPD.MF4.xz</t>
  </si>
  <si>
    <t>TC170_Try_3_Phone__F2L_CPD.MF4.xz</t>
  </si>
  <si>
    <t>TC171_Try_1_Phone__F2C_CPD.MF4.xz</t>
  </si>
  <si>
    <t>TC171_Try_2_Phone__F2C_CPD.MF4.xz</t>
  </si>
  <si>
    <t>TC171_Try_3_Phone__F2C_CPD.MF4.xz</t>
  </si>
  <si>
    <t>TC172_Try_1_Phone__F3R_CPD.MF4.xz</t>
  </si>
  <si>
    <t>TC172_Try_2_Phone__F3R_CPD.MF4.xz</t>
  </si>
  <si>
    <t>TC172_Try_3_Phone__F3R_CPD.MF4.xz</t>
  </si>
  <si>
    <t>TC173_Try_1blf_Phone__F3L_CPD.MF4.xz</t>
  </si>
  <si>
    <t>TC173_Try_2_Phone__F3L_CPD.MF4.xz</t>
  </si>
  <si>
    <t>TC173_Try_3_Phone__F3L_CPD.MF4.xz</t>
  </si>
  <si>
    <t>CSR_XCP_Signals_Recorder_2026-01-29_17-38-42_TC176_NCAP_1_2_Outside__2R_CPD.MF4.xz</t>
  </si>
  <si>
    <t>CSR_XCP_Signals_Recorder_2026-01-29_17-39-32_TC176_NCAP_1_2_Outside__2R_CPD.MF4.xz</t>
  </si>
  <si>
    <t>CSR_XCP_Signals_Recorder_2026-01-29_17-40-17_TC176_NCAP_1_2_Outside__2R_CPD.MF4.xz</t>
  </si>
  <si>
    <t>CSR_XCP_Signals_Recorder_2026-01-29_16-59-51_TC182_NCAP12_NB_1R_CPD.MF4.xz</t>
  </si>
  <si>
    <t>CSR_XCP_Signals_Recorder_2026-01-29_17-00-54_TC182_NCAP12_NB_1R_CPD.MF4.xz</t>
  </si>
  <si>
    <t>CSR_XCP_Signals_Recorder_2026-01-29_17-01-46_TC182_NCAP12_NB_1R_CPD.MF4.xz</t>
  </si>
  <si>
    <t>CSR_XCP_Signals_Recorder_2026-01-29_17-03-34_TC182_NCAP12_NB_1R_CPD.MF4.xz</t>
  </si>
  <si>
    <t>TC_183_NCAP12_NB_2R_CPD.MF4.xz</t>
  </si>
  <si>
    <t>TC_183_Try1_NCAP12_NB_2R_CPD.MF4.xz</t>
  </si>
  <si>
    <t>TC_183_Try2_NCAP12_NB_2R_CPD.MF4.xz</t>
  </si>
  <si>
    <t>TC_183_Try3_NCAP12_NB_2R_CPD.MF4.xz</t>
  </si>
  <si>
    <t>TC_184_NCAP12_NB_2L_CPD.MF4.xz</t>
  </si>
  <si>
    <t>TC_184_Try1_NCAP12_NB_2L_CPD.MF4.xz</t>
  </si>
  <si>
    <t>TC_184_Try2_NCAP12_NB_2L_CPD.MF4.xz</t>
  </si>
  <si>
    <t>TC_184_Try3_NCAP12_NB_2L_CPD.MF4.xz</t>
  </si>
  <si>
    <t>CSR_XCP_Signals_Recorder_2026-01-12_13-59-22_TC184_NCAP12_NB_2L_CPD.MF4.xz</t>
  </si>
  <si>
    <t>TC_185_NCAP12_NB_2C_CPD.MF4.xz</t>
  </si>
  <si>
    <t>TC_185_Try1_NCAP12_NB_2C_CPD.MF4.xz</t>
  </si>
  <si>
    <t>TC_185_Try2_NCAP12_NB_2C_CPD.MF4.xz</t>
  </si>
  <si>
    <t>TC_185_Try3_NCAP12_NB_2C_CPD.MF4.xz</t>
  </si>
  <si>
    <t>TC_186_NCAP12_NB_3R_CPD.MF4.xz</t>
  </si>
  <si>
    <t>TC_186_Try1_NCAP12_NB_3R_CPD.MF4.xz</t>
  </si>
  <si>
    <t>TC_186_Try2_NCAP12_NB_3R_CPD.MF4.xz</t>
  </si>
  <si>
    <t>TC_186_Try3_NCAP12_NB_3R_CPD.MF4.xz</t>
  </si>
  <si>
    <t>TC_187_NCAP12_NB_3L_CPD.MF4.xz</t>
  </si>
  <si>
    <t>TC_187_Try1_NCAP12_NB_3L_CPD.MF4.xz</t>
  </si>
  <si>
    <t>TC_187_Try2_NCAP12_NB_3L_CPD.MF4.xz</t>
  </si>
  <si>
    <t>TC_187_Try3_NCAP12_NB_3L_CPD.MF4.xz</t>
  </si>
  <si>
    <t>TC_188_NCAP12_1YO_1R_CPD.MF4.xz</t>
  </si>
  <si>
    <t>TC_188_Try1_NCAP12_1YO_1R_CPD.MF4.xz</t>
  </si>
  <si>
    <t>TC_188_Try2_NCAP12_1YO_1R_CPD.MF4.xz</t>
  </si>
  <si>
    <t>TC189_Try_1_NCAP12_1YO_2R_CPD.MF4.xz</t>
  </si>
  <si>
    <t>TC189_Try_2_NCAP12_1YO_2R_CPD.MF4.xz</t>
  </si>
  <si>
    <t>TC189_Try_3_NCAP12_1YO_2R_CPD.MF4.xz</t>
  </si>
  <si>
    <t>TC_190_NCAP12_1YO_2L_CPD.MF4.xz</t>
  </si>
  <si>
    <t>TC_190_Try1_NCAP12_1YO_2L_CPD.MF4.xz</t>
  </si>
  <si>
    <t>TC_190_Try2_NCAP12_1YO_2L_CPD.MF4.xz</t>
  </si>
  <si>
    <t>TC_190_Try3_NCAP12_1YO_2L_CPD.MF4.xz</t>
  </si>
  <si>
    <t>TC191_Try_1_NCAP12_1YO_2C_CPD.MF4.xz</t>
  </si>
  <si>
    <t>TC191_Try_2_NCAP12_1YO_2C_CPD.MF4.xz</t>
  </si>
  <si>
    <t>TC191_Try_3_NCAP12_1YO_2C_CPD.MF4.xz</t>
  </si>
  <si>
    <t>TC_192_NCAP12_1YO_3R_CPD.MF4.xz</t>
  </si>
  <si>
    <t>TC_192_Try1_NCAP12_1YO_3R_CPD.MF4.xz</t>
  </si>
  <si>
    <t>TC_192_Try2_NCAP12_1YO_3R_CPD.MF4.xz</t>
  </si>
  <si>
    <t>TC_192_Try3_NCAP12_1YO_3R_CPD.MF4.xz</t>
  </si>
  <si>
    <t>CPD_TC192_Try1_NCAP12_1YO_3R_CPD.MF4.xz</t>
  </si>
  <si>
    <t>CPD_TC192_Try2_NCAP12_1YO_3R_CPD.MF4.xz</t>
  </si>
  <si>
    <t>CPD_TC192_Try3_NCAP12_1YO_3R_CPD.MF4.xz</t>
  </si>
  <si>
    <t>CPD_TC192_Try4_NCAP12_1YO_3R_CPD.MF4.xz</t>
  </si>
  <si>
    <t>CPD_TC192_Try5_NCAP12_1YO_3R_CPD.MF4.xz</t>
  </si>
  <si>
    <t>TC193_Try_1_NCAP12_1YO_3L_CPD.MF4.xz</t>
  </si>
  <si>
    <t>TC193_Try_2_NCAP12_1YO_3L_CPD.MF4.xz</t>
  </si>
  <si>
    <t>TC193_Try_3_NCAP12_1YO_3L_CPD.MF4.xz</t>
  </si>
  <si>
    <t>NB_awake</t>
  </si>
  <si>
    <t>TC_194_NB_awake_NB_1R_CPD.MF4.xz</t>
  </si>
  <si>
    <t>/mnt/measurements/07_CANape/Mitsubishi/5K45/MMC4.1.2\Validation\child\Awake</t>
  </si>
  <si>
    <t>TC_194_Try1_NB_awake_NB_1R_CPD.MF4.xz</t>
  </si>
  <si>
    <t>/mnt/measurements/07_CANape/Mitsubishi/5K45/MMC4.1.2\Validation\2025_11_29\child\part3\Awake</t>
  </si>
  <si>
    <t>TC_194_Try2_NB_awake_NB_1R_CPD.MF4.xz</t>
  </si>
  <si>
    <t>TC_194_Try3_NB_awake_NB_1R_CPD.MF4.xz</t>
  </si>
  <si>
    <t>TC195_Try_1_NB_awake_NB_2R_CPD.MF4.xz</t>
  </si>
  <si>
    <t>TC195_Try_2_NB_awake_NB_2R_CPD.MF4.xz</t>
  </si>
  <si>
    <t>TC195_Try_3_NB_awake_NB_2R_CPD.MF4.xz</t>
  </si>
  <si>
    <t>CSR_XCP_Signals_Recorder_2026-01-12_13-53-44_TC195_NB_awake_NB_2R_CPD.MF4.xz</t>
  </si>
  <si>
    <t>TC_196_NB_awake_NB_2L_CPD.MF4.xz</t>
  </si>
  <si>
    <t>TC_196_Try1_NB_awake_NB_2L_CPD.MF4.xz</t>
  </si>
  <si>
    <t>TC_196_Try2_NB_awake_NB_2L_CPD.MF4.xz</t>
  </si>
  <si>
    <t>TC_196_Try3_NB_awake_NB_2L_CPD.MF4.xz</t>
  </si>
  <si>
    <t>TC_196_Try3_NB_awake_NB_2C_CPD.MF4.xz</t>
  </si>
  <si>
    <t>TC_197_Try1_NB_awake_NB_2C_CPD.MF4.xz</t>
  </si>
  <si>
    <t>TC_197_Try2_NB_awake_NB_2C_CPD.MF4.xz</t>
  </si>
  <si>
    <t>TC_197_Try3_NB_awake_NB_2C_CPD.MF4.xz</t>
  </si>
  <si>
    <t>TC_198_NB_awake_NB_3R_CPD.MF4.xz</t>
  </si>
  <si>
    <t>TC_198_Try1_NB_awake_NB_3R_CPD.MF4.xz</t>
  </si>
  <si>
    <t>TC_198_Try2_NB_awake_NB_3R_CPD.MF4.xz</t>
  </si>
  <si>
    <t>TC_198_Try3_NB_awake_NB_3R_CPD.MF4.xz</t>
  </si>
  <si>
    <t>TC_200_NCAP12_1YO_1R_CPD.MF4.xz</t>
  </si>
  <si>
    <t>TC_200_Try1_NCAP12_1YO_1R_CPD.MF4.xz</t>
  </si>
  <si>
    <t>TC_200_Try2_NCAP12_1YO_1R_CPD.MF4.xz</t>
  </si>
  <si>
    <t>TC_200_Try3_NCAP12_1YO_1R_CPD.MF4.xz</t>
  </si>
  <si>
    <t>CSR_XCP_Signals_Recorder_2026-01-30_16-42-31_TC200_NCAP12_1YO_1R_CPD.MF4.xz</t>
  </si>
  <si>
    <t>CSR_XCP_Signals_Recorder_2026-01-30_16-43-08_TC200_NCAP12_1YO_1R_CPD.MF4.xz</t>
  </si>
  <si>
    <t>CSR_XCP_Signals_Recorder_2026-01-30_16-43-43_TC200_NCAP12_1YO_1R_CPD.MF4.xz</t>
  </si>
  <si>
    <t>TC201_Try_1_NCAP12_1YO_2R_CPD.MF4.xz</t>
  </si>
  <si>
    <t>TC201_Try_2_NCAP12_1YO_2R_CPD.MF4.xz</t>
  </si>
  <si>
    <t>TC201_Try_3_NCAP12_1YO_2R_CPD.MF4.xz</t>
  </si>
  <si>
    <t>CPD_TC201_Try1_NCAP12_1YO_2R_CPD.MF4.xz</t>
  </si>
  <si>
    <t>CPD_TC201_Try2_NCAP12_1YO_2R_CPD.MF4.xz</t>
  </si>
  <si>
    <t>CPD_TC201_Try3_NCAP12_1YO_2R_CPD.MF4.xz</t>
  </si>
  <si>
    <t>CPD_TC201_Try4_NCAP12_1YO_2R_CPD.MF4.xz</t>
  </si>
  <si>
    <t>CPD_TC201_Try5_NCAP12_1YO_2R_CPD.MF4.xz</t>
  </si>
  <si>
    <t>TC_202_NCAP12_1YO_2C_CPD.MF4.xz</t>
  </si>
  <si>
    <t>TC_202_Try1_NCAP12_1YO_2C_CPD.MF4.xz</t>
  </si>
  <si>
    <t>TC_202_Try2_NCAP12_1YO_2C_CPD.MF4.xz</t>
  </si>
  <si>
    <t>TC_202_Try3_NCAP12_1YO_2C_CPD.MF4.xz</t>
  </si>
  <si>
    <t>TC203_Try_1_NCAP12_1YO_3L_CPD.MF4.xz</t>
  </si>
  <si>
    <t>TC203_Try_2_NCAP12_1YO_3L_CPD.MF4.xz</t>
  </si>
  <si>
    <t>TC203_Try_3_NCAP12_1YO_3L_CPD.MF4.xz</t>
  </si>
  <si>
    <t>CPD_TC204_Try1_NCAP3_3YO_3L_CPD.MF4.xz</t>
  </si>
  <si>
    <t>CPD_TC204_Try2_NCAP3_3YO_3L_CPD.MF4.xz</t>
  </si>
  <si>
    <t>CPD_TC204_Try3_NCAP3_3YO_3L_CPD.MF4.xz</t>
  </si>
  <si>
    <t>CPD_TC204_Try4_NCAP3_3YO_3L_CPD.MF4.xz</t>
  </si>
  <si>
    <t>CPD_TC204_Try5_NCAP3_3YO_3L_CPD.MF4.xz</t>
  </si>
  <si>
    <t>CSR_XCP_Signals_Recorder_2026-01-29_16-32-52_TC204_NCAP3_3YO_3L_CPD.MF4.xz</t>
  </si>
  <si>
    <t>CSR_XCP_Signals_Recorder_2026-01-29_16-34-37_TC204_NCAP3_3YO_3L_CPD.MF4.xz</t>
  </si>
  <si>
    <t>CSR_XCP_Signals_Recorder_2026-01-29_16-36-18_TC204_NCAP3_3YO_3L_CPD.MF4.xz</t>
  </si>
  <si>
    <t>CPD_TC205_Try1_NCAP3_3YO_3R_CPD.MF4.xz</t>
  </si>
  <si>
    <t>CPD_TC205_Try2_NCAP3_3YO_3R_CPD.MF4.xz</t>
  </si>
  <si>
    <t>CPD_TC205_Try3_NCAP3_3YO_3R_CPD.MF4.xz</t>
  </si>
  <si>
    <t>CPD_TC205_Try4_NCAP3_3YO_3R_CPD.MF4.xz</t>
  </si>
  <si>
    <t>CPD_TC205_Try5_NCAP3_3YO_3R_CPD.MF4.xz</t>
  </si>
  <si>
    <t>CPD_TC206_Try2_NCAP3_6YO_3L_CPD.MF4.xz</t>
  </si>
  <si>
    <t>CPD_TC206_Try3_NCAP3_6YO_3L_CPD.MF4.xz</t>
  </si>
  <si>
    <t>CPD_TC206_Try4_NCAP3_6YO_3L_CPD.MF4.xz</t>
  </si>
  <si>
    <t>CPD_TC206_Try7_NCAP3_6YO_3L_CPD.MF4.xz</t>
  </si>
  <si>
    <t>CPD_TC207_Try1_NCAP3_3YO_2C_CPD.MF4.xz</t>
  </si>
  <si>
    <t>CPD_TC207_Try2_NCAP3_3YO_2C_CPD.MF4.xz</t>
  </si>
  <si>
    <t>CPD_TC207_Try3_NCAP3_3YO_2C_CPD.MF4.xz</t>
  </si>
  <si>
    <t>CPD_TC207_Try4_NCAP3_3YO_2C_CPD.MF4.xz</t>
  </si>
  <si>
    <t>CPD_TC207_Try5_NCAP3_3YO_2C_CPD.MF4.xz</t>
  </si>
  <si>
    <t>CSR_XCP_Signals_Recorder_2025-12-22_16-08-38_TC208_CPD_NCAP3_6YO_3R_CPD.MF4.xz</t>
  </si>
  <si>
    <t>CSR_XCP_Signals_Recorder_2025-12-22_16-10-19_TC208_CPD_NCAP3_6YO_3R_CPD.MF4.xz</t>
  </si>
  <si>
    <t>CSR_XCP_Signals_Recorder_2025-12-22_16-12-00_TC208_CPD_NCAP3_6YO_3R_CPD.MF4.xz</t>
  </si>
  <si>
    <t>TC209_Try_1_NCAP3_6YO_3L_CPD.MF4.xz</t>
  </si>
  <si>
    <t>TC209_Try_2_NCAP3_6YO_3L_CPD.MF4.xz</t>
  </si>
  <si>
    <t>TC209_Try_3_NCAP3_6YO_3L_CPD.MF4.xz</t>
  </si>
  <si>
    <t>TC210_Try_1_NCAP3_6YO_3R_CPD.MF4.xz</t>
  </si>
  <si>
    <t>TC210_Try_2_NCAP3_6YO_3R_CPD.MF4.xz</t>
  </si>
  <si>
    <t>TC210_Try_3_NCAP3_6YO_3R_CPD.MF4.xz</t>
  </si>
  <si>
    <t>TC_211_Try1_NCAP3_6YO_1R_CPD.MF4.xz</t>
  </si>
  <si>
    <t>TC_211_Try2_NCAP3_6YO_1R_CPD.MF4.xz</t>
  </si>
  <si>
    <t>TC_211_Try3_NCAP3_6YO_1R_CPD.MF4.xz</t>
  </si>
  <si>
    <t>TC212_Try_1_NCAP3_6YO_1L_CPD.MF4.xz</t>
  </si>
  <si>
    <t>TC212_Try_2_NCAP3_6YO_1L_CPD.MF4.xz</t>
  </si>
  <si>
    <t>TC212_Try_3_NCAP3_6YO_1L_CPD.MF4.xz</t>
  </si>
  <si>
    <t>TC_213_Try1_NCAP3_6YO_1R_CPD.MF4.xz</t>
  </si>
  <si>
    <t>TC_213_Try2_NCAP3_6YO_1R_CPD.MF4.xz</t>
  </si>
  <si>
    <t>TC_213_Try3_NCAP3_6YO_1R_CPD.MF4.xz</t>
  </si>
  <si>
    <t>CSR_XCP_Signals_Recorder_2025-12-22_16-33-26_TC214_CPD_NCAP3_6YO_1R_CPD.MF4.xz</t>
  </si>
  <si>
    <t>CSR_XCP_Signals_Recorder_2025-12-22_16-35-05_TC214_CPD_NCAP3_6YO_1R_CPD.MF4.xz</t>
  </si>
  <si>
    <t>CSR_XCP_Signals_Recorder_2025-12-22_16-38-22_TC214_CPD_NCAP3_6YO_1R_CPD.MF4.xz</t>
  </si>
  <si>
    <t>CSR_XCP_Signals_Recorder_2025-12-22_16-40-01_TC214_CPD_NCAP3_6YO_1R_CPD.MF4.xz</t>
  </si>
  <si>
    <t>CSR_XCP_Signals_Recorder_2026-01-30_10-37-25_TC215_NCAP3_3YO_1L_CPD.MF4.xz</t>
  </si>
  <si>
    <t>CSR_XCP_Signals_Recorder_2026-01-30_10-39-48_TC215_NCAP3_3YO_1L_CPD.MF4.xz</t>
  </si>
  <si>
    <t>CSR_XCP_Signals_Recorder_2026-01-30_10-43-02_TC215_NCAP3_3YO_1L_CPD.MF4.xz</t>
  </si>
  <si>
    <t>CSR_XCP_Signals_Recorder_2026-01-30_10-45-45_TC215_NCAP3_3YO_1L_CPD.MF4.xz</t>
  </si>
  <si>
    <t>CSR_XCP_Signals_Recorder_2026-01-30_10-47-10_TC215_NCAP3_3YO_1L_CPD.MF4.xz</t>
  </si>
  <si>
    <t>CSR_XCP_Signals_Recorder_2025-12-18_16-13-48_TC216_CPD_NCAP3_6YO_3L_CPD.MF4.xz</t>
  </si>
  <si>
    <t>CSR_XCP_Signals_Recorder_2025-12-18_16-15-31_TC216_CPD_NCAP3_6YO_3L_CPD.MF4.xz</t>
  </si>
  <si>
    <t>CSR_XCP_Signals_Recorder_2025-12-18_16-17-05_TC216_CPD_NCAP3_6YO_3L_CPD.MF4.xz</t>
  </si>
  <si>
    <t>CSR_XCP_Signals_Recorder_2025-12-18_16-18-38_TC216_CPD_NCAP3_6YO_3L_CPD.MF4.xz</t>
  </si>
  <si>
    <t>CSR_XCP_Signals_Recorder_2025-12-18_16-20-14_TC216_CPD_NCAP3_6YO_3L_CPD.MF4.xz</t>
  </si>
  <si>
    <t>CSR_XCP_Signals_Recorder_2026-01-20_16-23-48_CPD_TC216_Try5_NCAP3_6YO_3L_CPD.MF4.xz</t>
  </si>
  <si>
    <t>CSR_XCP_Signals_Recorder_2026-01-20_16-12-57_CPD_TC216_Try_1_NCAP3_6YO_3L_CPD.MF4.xz</t>
  </si>
  <si>
    <t>CSR_XCP_Signals_Recorder_2026-01-20_16-14-45_CPD_TC216_Try2_NCAP3_6YO_3L_CPD.MF4.xz</t>
  </si>
  <si>
    <t>CSR_XCP_Signals_Recorder_2026-01-20_16-17-46_CPD_TC216_Try3_NCAP3_6YO_3L_CPD.MF4.xz</t>
  </si>
  <si>
    <t>CSR_XCP_Signals_Recorder_2026-01-20_16-22-17_CPD_TC216_Try4_NCAP3_6YO_3L_CPD.MF4.xz</t>
  </si>
  <si>
    <t>CSR_XCP_Signals_Recorder_2026-01-23_17-48-47_CPD_TC217_Try1_NCAP3_6YO_3L_CPD.MF4.xz</t>
  </si>
  <si>
    <t>CSR_XCP_Signals_Recorder_2026-01-23_17-50-11_CPD_TC217_Try2_NCAP3_6YO_3L_CPD.MF4.xz</t>
  </si>
  <si>
    <t>CSR_XCP_Signals_Recorder_2026-01-23_17-53-09_CPD_TC217_Try4_NCAP3_6YO_3L_CPD.MF4.xz</t>
  </si>
  <si>
    <t>CSR_XCP_Signals_Recorder_2026-01-23_17-54-42_CPD_TC217_Try5_NCAP3_6YO_3L_CPD.MF4.xz</t>
  </si>
  <si>
    <t>CSR_XCP_Signals_Recorder_2026-01-30_14-28-16_TC217_NCAP3_6YO_3L_CPD.MF4.xz</t>
  </si>
  <si>
    <t>CSR_XCP_Signals_Recorder_2026-01-30_14-30-42_TC217_NCAP3_6YO_3L_CPD.MF4.xz</t>
  </si>
  <si>
    <t>CSR_XCP_Signals_Recorder_2026-01-30_14-33-45_TC217_NCAP3_6YO_3L_CPD.MF4.xz</t>
  </si>
  <si>
    <t>TC218_Try_1_NCAP3_3YO_1L_CPD.MF4.xz</t>
  </si>
  <si>
    <t>TC218_Try_2_NCAP3_3YO_1L_CPD.MF4.xz</t>
  </si>
  <si>
    <t>TC218_Try_3_NCAP3_3YO_1L_CPD.MF4.xz</t>
  </si>
  <si>
    <t>TC_219_Try1_NCAP3_6YO_1R_CPD.MF4.xz</t>
  </si>
  <si>
    <t>TC_219_Try2_NCAP3_6YO_1R_CPD.MF4.xz</t>
  </si>
  <si>
    <t>TC_219_Try3_NCAP3_6YO_1R_CPD.MF4.xz</t>
  </si>
  <si>
    <t>CSR_XCP_Signals_Recorder_2025-12-15_11-18-09_TC221_6YO_1R_CPD_NCAP3_6YO_1R_CPD.MF4.xz</t>
  </si>
  <si>
    <t>CSR_XCP_Signals_Recorder_2025-12-15_11-19-57_TC221_6YO_1R_CPD_NCAP3_6YO_1R_CPD.MF4.xz</t>
  </si>
  <si>
    <t>CSR_XCP_Signals_Recorder_2025-12-15_11-23-12_TC221_6YO_1R_CPD_NCAP3_6YO_1R_CPD.MF4.xz</t>
  </si>
  <si>
    <t>CSR_XCP_Signals_Recorder_2025-12-15_11-25-41_TC221_6YO_1R_CPD_NCAP3_6YO_1R_CPD.MF4.xz</t>
  </si>
  <si>
    <t>CSR_XCP_Signals_Recorder_2025-12-15_11-27-14_TC221_6YO_1R_CPD_NCAP3_6YO_1R_CPD.MF4.xz</t>
  </si>
  <si>
    <t>CSR_XCP_Signals_Recorder_2025-12-18_17-27-53_TC221_CPD_NCAP3_6YO_1R_CPD.MF4.xz</t>
  </si>
  <si>
    <t>CSR_XCP_Signals_Recorder_2025-12-18_17-29-21_TC221_CPD_NCAP3_6YO_1R_CPD.MF4.xz</t>
  </si>
  <si>
    <t>CSR_XCP_Signals_Recorder_2025-12-18_17-30-52_TC221_CPD_NCAP3_6YO_1R_CPD.MF4.xz</t>
  </si>
  <si>
    <t>CSR_XCP_Signals_Recorder_2025-12-18_17-32-23_TC221_CPD_NCAP3_6YO_1R_CPD.MF4.xz</t>
  </si>
  <si>
    <t>CSR_XCP_Signals_Recorder_2025-12-18_17-33-53_TC221_CPD_NCAP3_6YO_1R_CPD.MF4.xz</t>
  </si>
  <si>
    <t>CSR_XCP_Signals_Recorder_2025-12-18_17-40-51_TC221_CPD_NCAP3_6YO_1R_CPD.MF4.xz</t>
  </si>
  <si>
    <t>CSR_XCP_Signals_Recorder_2025-12-18_17-42-20_TC221_CPD_NCAP3_6YO_1R_CPD.MF4.xz</t>
  </si>
  <si>
    <t>CSR_XCP_Signals_Recorder_2025-12-18_17-45-29_TC221_CPD_NCAP3_6YO_1R_CPD.MF4.xz</t>
  </si>
  <si>
    <t>CSR_XCP_Signals_Recorder_2025-12-18_17-47-01_TC221_CPD_NCAP3_6YO_1R_CPD.MF4.xz</t>
  </si>
  <si>
    <t>CSR_XCP_Signals_Recorder_2025-12-15_14-08-28_TC223_6YO2L_CPD_NCAP3_6YO_2L_CPD.MF4.xz</t>
  </si>
  <si>
    <t>CSR_XCP_Signals_Recorder_2025-12-15_14-10-03_TC223_6YO2L_CPD_NCAP3_6YO_2L_CPD.MF4.xz</t>
  </si>
  <si>
    <t>CSR_XCP_Signals_Recorder_2025-12-15_14-11-45_TC223_6YO2L_CPD_NCAP3_6YO_2L_CPD.MF4.xz</t>
  </si>
  <si>
    <t>CSR_XCP_Signals_Recorder_2025-12-15_14-14-05_TC223_6YO2L_CPD_NCAP3_6YO_2L_CPD.MF4.xz</t>
  </si>
  <si>
    <t>CSR_XCP_Signals_Recorder_2025-12-15_14-15-37_TC223_6YO2L_CPD_NCAP3_6YO_2L_CPD.MF4.xz</t>
  </si>
  <si>
    <t>CSR_XCP_Signals_Recorder_2025-12-15_16-19-27_TC225_3R_CPD_NCAP3_6YO_3R_CPD.MF4.xz</t>
  </si>
  <si>
    <t>CSR_XCP_Signals_Recorder_2025-12-15_16-21-04_TC225_3R_CPD_NCAP3_6YO_3R_CPD.MF4.xz</t>
  </si>
  <si>
    <t>CSR_XCP_Signals_Recorder_2025-12-15_16-22-42_TC225_3R_CPD_NCAP3_6YO_3R_CPD.MF4.xz</t>
  </si>
  <si>
    <t>CSR_XCP_Signals_Recorder_2025-12-15_16-24-17_TC225_3R_CPD_NCAP3_6YO_3R_CPD.MF4.xz</t>
  </si>
  <si>
    <t>CSR_XCP_Signals_Recorder_2025-12-15_16-25-53_TC225_3R_CPD_NCAP3_6YO_3R_CPD.MF4.xz</t>
  </si>
  <si>
    <t>CSR_XCP_Signals_Recorder_2026-01-30_10-51-53_TC226_NCAP3_3YO_1R_CPD.MF4.xz</t>
  </si>
  <si>
    <t>CSR_XCP_Signals_Recorder_2026-01-30_10-54-26_TC226_NCAP3_3YO_1R_CPD.MF4.xz</t>
  </si>
  <si>
    <t>CSR_XCP_Signals_Recorder_2026-01-30_10-57-00_TC226_NCAP3_3YO_1R_CPD.MF4.xz</t>
  </si>
  <si>
    <t>CSR_XCP_Signals_Recorder_2026-01-30_11-01-43_TC226_NCAP3_3YO_1R_CPD.MF4.xz</t>
  </si>
  <si>
    <t>CSR_XCP_Signals_Recorder_2025-12-15_11-43-57_TC229_6YO1L_CPD_NCAP3_6YO_1L_CPD.MF4.xz</t>
  </si>
  <si>
    <t>CSR_XCP_Signals_Recorder_2025-12-15_11-45-24_TC229_6YO1L_CPD_NCAP3_6YO_1L_CPD.MF4.xz</t>
  </si>
  <si>
    <t>CSR_XCP_Signals_Recorder_2025-12-15_11-46-57_TC229_6YO1L_CPD_NCAP3_6YO_1L_CPD.MF4.xz</t>
  </si>
  <si>
    <t>CSR_XCP_Signals_Recorder_2025-12-15_11-48-34_TC229_6YO1L_CPD_NCAP3_6YO_1L_CPD.MF4.xz</t>
  </si>
  <si>
    <t>CSR_XCP_Signals_Recorder_2025-12-15_11-50-08_TC229_6YO1L_CPD_NCAP3_6YO_1L_CPD.MF4.xz</t>
  </si>
  <si>
    <t>CSR_XCP_Signals_Recorder_2026-01-30_14-36-58_TC229_NCAP3_6YO_1L_CPD.MF4.xz</t>
  </si>
  <si>
    <t>CSR_XCP_Signals_Recorder_2026-01-30_14-38-50_TC229_NCAP3_6YO_1L_CPD.MF4.xz</t>
  </si>
  <si>
    <t>CSR_XCP_Signals_Recorder_2026-01-30_14-41-26_TC229_NCAP3_6YO_1L_CPD.MF4.xz</t>
  </si>
  <si>
    <t>CSR_XCP_Signals_Recorder_2025-12-11_10-52-08_TC230_6YO_2R_CPD_NCAP3_6YO_2R_CPD.MF4.xz</t>
  </si>
  <si>
    <t>CSR_XCP_Signals_Recorder_2025-12-11_10-54-24_TC230_6YO_2R_CPD_NCAP3_6YO_2R_CPD.MF4.xz</t>
  </si>
  <si>
    <t>CSR_XCP_Signals_Recorder_2025-12-11_10-56-40_TC230_6YO_2R_CPD_NCAP3_6YO_2R_CPD.MF4.xz</t>
  </si>
  <si>
    <t>CSR_XCP_Signals_Recorder_2025-12-11_10-58-30_TC230_6YO_2R_CPD_NCAP3_6YO_2R_CPD.MF4.xz</t>
  </si>
  <si>
    <t>CSR_XCP_Signals_Recorder_2025-12-11_11-00-28_TC230_6YO_2R_CPD_NCAP3_6YO_2R_CPD.MF4.xz</t>
  </si>
  <si>
    <t>CSR_XCP_Signals_Recorder_2025-12-15_16-08-47_TC231_6YO2M_CPD_NCAP3_6YO_2C_CPD.MF4.xzRadarFC_Master_standardized.json</t>
  </si>
  <si>
    <t>CSR_XCP_Signals_Recorder_2025-12-15_16-10-26_TC231_6YO2M_CPD_NCAP3_6YO_2C_CPD.MF4.xzRadarFC_Master_standardized.json</t>
  </si>
  <si>
    <t>CSR_XCP_Signals_Recorder_2025-12-15_16-11-59_TC231_6YO2M_CPD_NCAP3_6YO_2C_CPD.MF4.xzRadarFC_Master_standardized.json</t>
  </si>
  <si>
    <t>CSR_XCP_Signals_Recorder_2025-12-15_16-13-35_TC231_6YO2M_CPD_NCAP3_6YO_2C_CPD.MF4.xzRadarFC_Master_standardized.json</t>
  </si>
  <si>
    <t>CSR_XCP_Signals_Recorder_2025-12-15_16-15-06_TC231_6YO2M_CPD_NCAP3_6YO_2C_CPD.MF4.xzRadarFC_Master_standardized.json</t>
  </si>
  <si>
    <t>CSR_XCP_Signals_Recorder_2025-12-15_16-30-04_TC232_3L_CPD_NCAP3_6YO_3L_CPD.MF4.xzRadarFC_Master_standardized.json</t>
  </si>
  <si>
    <t>CSR_XCP_Signals_Recorder_2025-12-15_16-31-34_TC232_3L_CPD_NCAP3_6YO_3L_CPD.MF4.xzRadarFC_Master_standardized.json</t>
  </si>
  <si>
    <t>CSR_XCP_Signals_Recorder_2025-12-15_16-33-04_TC232_3L_CPD_NCAP3_6YO_3L_CPD.MF4.xzRadarFC_Master_standardized.json</t>
  </si>
  <si>
    <t>CSR_XCP_Signals_Recorder_2025-12-15_16-34-33_TC232_3L_CPD_NCAP3_6YO_3L_CPD.MF4.xzRadarFC_Master_standardized.json</t>
  </si>
  <si>
    <t>CSR_XCP_Signals_Recorder_2025-12-15_16-36-03_TC232_3L_CPD_NCAP3_6YO_3L_CPD.MF4.xzRadarFC_Master_standardized.json</t>
  </si>
  <si>
    <t>CSR_XCP_Signals_Recorder_2025-12-15_14-21-11_TC235_6YO1L_CPD_NCAP3_6YO_1L_CPD.MF4.xz</t>
  </si>
  <si>
    <t>CSR_XCP_Signals_Recorder_2025-12-15_14-22-43_TC235_6YO1L_CPD_NCAP3_6YO_1L_CPD.MF4.xz</t>
  </si>
  <si>
    <t>CSR_XCP_Signals_Recorder_2025-12-15_14-25-12_TC235_6YO1L_CPD_NCAP3_6YO_1L_CPD.MF4.xz</t>
  </si>
  <si>
    <t>CSR_XCP_Signals_Recorder_2025-12-15_14-26-45_TC235_6YO1L_CPD_NCAP3_6YO_1L_CPD.MF4.xz</t>
  </si>
  <si>
    <t>CSR_XCP_Signals_Recorder_2025-12-15_14-28-24_TC235_6YO1L_CPD_NCAP3_6YO_1L_CPD.MF4.xz</t>
  </si>
  <si>
    <t>CSR_XCP_Signals_Recorder_2026-01-30_14-47-44_TC235_NCAP3_6YO_1L_CPD.MF4.xz</t>
  </si>
  <si>
    <t>CSR_XCP_Signals_Recorder_2026-01-30_14-49-11_TC235_NCAP3_6YO_1L_CPD.MF4.xz</t>
  </si>
  <si>
    <t>CSR_XCP_Signals_Recorder_2025-12-15_16-40-55_TC236_3R_CPD_NCAP3_6YO_3R_CPD.MF4.xz</t>
  </si>
  <si>
    <t>CSR_XCP_Signals_Recorder_2025-12-15_16-42-26_TC236_3R_CPD_NCAP3_6YO_3R_CPD.MF4.xz</t>
  </si>
  <si>
    <t>CSR_XCP_Signals_Recorder_2025-12-15_16-44-00_TC236_3R_CPD_NCAP3_6YO_3R_CPD.MF4.xz</t>
  </si>
  <si>
    <t>CSR_XCP_Signals_Recorder_2025-12-15_16-45-28_TC236_3R_CPD_NCAP3_6YO_3R_CPD.MF4.xz</t>
  </si>
  <si>
    <t>CSR_XCP_Signals_Recorder_2025-12-15_16-46-58_TC236_3R_CPD_NCAP3_6YO_3R_CPD.MF4.xz</t>
  </si>
  <si>
    <t>CSR_XCP_Signals_Recorder_2026-01-20_09-18-22_CPD_TC238_Try4_NCAP3_3YO_F2R_CPD.MF4.xz</t>
  </si>
  <si>
    <t>CSR_XCP_Signals_Recorder_2026-01-20_09-20-08_CPD_TC238_Try5_NCAP3_3YO_F2R_CPD.MF4.xz</t>
  </si>
  <si>
    <t>CSR_XCP_Signals_Recorder_2026-01-20_09-13-02_CPD_TC238_Try1_NCAP3_3YO_F2R_CPD.MF4.xz</t>
  </si>
  <si>
    <t>CSR_XCP_Signals_Recorder_2026-01-20_09-15-17_CPD_TC238_Try2_NCAP3_3YO_F2R_CPD.MF4.xz</t>
  </si>
  <si>
    <t>CSR_XCP_Signals_Recorder_2026-01-20_09-16-50_CPD_TC238_Try3_NCAP3_3YO_F2R_CPD.MF4.xz</t>
  </si>
  <si>
    <t>CPD_TC239_Try1_NCAP3_3YO_F3L_CPD.MF4.xz</t>
  </si>
  <si>
    <t>CPD_TC239_Try2_NCAP3_3YO_F3L_CPD.MF4.xz</t>
  </si>
  <si>
    <t>CPD_TC239_Try3_NCAP3_3YO_F3L_CPD.MF4.xz</t>
  </si>
  <si>
    <t>CPD_TC239_Try4_NCAP3_3YO_F3L_CPD.MF4.xz</t>
  </si>
  <si>
    <t>CPD_TC239_Try5_NCAP3_3YO_F3L_CPD.MF4.xz</t>
  </si>
  <si>
    <t>CSR_XCP_Signals_Recorder_2026-01-20_09-31-09__CPD_TC240_Try5_NCAP3_3YO_F2L_CPD.MF4.xz</t>
  </si>
  <si>
    <t>CSR_XCP_Signals_Recorder_2026-01-20_09-24-31_CPD_TC240_Try1_NCAP3_3YO_F2L_CPD.MF4.xz</t>
  </si>
  <si>
    <t>CSR_XCP_Signals_Recorder_2026-01-20_09-26-00_CPD_TC240_Try2_NCAP3_3YO_F2L_CPD.MF4.xz</t>
  </si>
  <si>
    <t>CSR_XCP_Signals_Recorder_2026-01-20_09-27-47_CPD_TC240_Try3_NCAP3_3YO_F2L_CPD.MF4.xz</t>
  </si>
  <si>
    <t>CSR_XCP_Signals_Recorder_2026-01-20_09-29-35_CPD_TC240_Try4_NCAP3_3YO_F2L_CPD.MF4.xz</t>
  </si>
  <si>
    <t>CSR_XCP_Signals_Recorder_2026-01-29_16-44-55_TC240_NCAP3_3YO_F2L_CPD.MF4.xz</t>
  </si>
  <si>
    <t>CSR_XCP_Signals_Recorder_2026-01-29_16-46-23_TC240_NCAP3_3YO_F2L_CPD.MF4.xz</t>
  </si>
  <si>
    <t>CSR_XCP_Signals_Recorder_2026-01-29_16-47-51_TC240_NCAP3_3YO_F2L_CPD.MF4.xz</t>
  </si>
  <si>
    <t>CPD_TC243_Try1_NCAP3_3YO_F2R_CPD.MF4.xz</t>
  </si>
  <si>
    <t>CPD_TC243_Try2_NCAP3_3YO_F2R_CPD.MF4.xz</t>
  </si>
  <si>
    <t>CPD_TC243_Try3_NCAP3_3YO_F2R_CPD.MF4.xz</t>
  </si>
  <si>
    <t>CPD_TC243_Try4_NCAP3_3YO_F2R_CPD.MF4.xz</t>
  </si>
  <si>
    <t>CPD_TC243_Try5_NCAP3_3YO_F2R_CPD.MF4.xz</t>
  </si>
  <si>
    <t>CSR_XCP_Signals_Recorder_2026-01-20_09-43-14_CPD_TC244_Try5_NCAP3_3YO_F3R_CPD.MF4.xz</t>
  </si>
  <si>
    <t>CSR_XCP_Signals_Recorder_2026-01-20_09-37-04_CPD_TC244_Try1_NCAP3_3YO_F3R_CPD.MF4.xz</t>
  </si>
  <si>
    <t>CSR_XCP_Signals_Recorder_2026-01-20_09-40-07_CPD_TC244_Try3_NCAP3_3YO_F3R_CPD.MF4.xz</t>
  </si>
  <si>
    <t>CSR_XCP_Signals_Recorder_2026-01-20_09-41-40_CPD_TC244_Try4_NCAP3_3YO_F3R_CPD.MF4.xz</t>
  </si>
  <si>
    <t>TC247_Try_1_NCAP3_3YO_F1D_CPD.MF4.xz</t>
  </si>
  <si>
    <t>TC247_Try_2_NCAP3_3YO_F1D_CPD.MF4.xz</t>
  </si>
  <si>
    <t>TC247_Try_3_NCAP3_3YO_F1D_CPD.MF4.xz</t>
  </si>
  <si>
    <t>TC248_Try_1_NCAP3_3YO_F1P_CPD.MF4.xz</t>
  </si>
  <si>
    <t>TC248_Try_2_NCAP3_3YO_F1P_CPD.MF4.xz</t>
  </si>
  <si>
    <t>TC248_Try_3_NCAP3_3YO_F1P_CPD.MF4.xz</t>
  </si>
  <si>
    <t>TC249_Try_1_NCAP3_3YO_F1D_CPD.MF4.xz</t>
  </si>
  <si>
    <t>TC249_Try_2_NCAP3_3YO_F1D_CPD.MF4.xz</t>
  </si>
  <si>
    <t>TC249_Try_3_NCAP3_3YO_F1D_CPD.MF4.xz</t>
  </si>
  <si>
    <t>TC251_Try_1_NCAP3_3YO_F1P_CPD.MF4.xz</t>
  </si>
  <si>
    <t>TC251_Try_2_NCAP3_3YO_F1P_CPD.MF4.xz</t>
  </si>
  <si>
    <t>TC251_Try_3_NCAP3_3YO_F1P_CPD.MF4.xz</t>
  </si>
  <si>
    <t>TC252_Try_1_NCAP3_3YO_F1P_CPD.MF4.xz</t>
  </si>
  <si>
    <t>TC252_Try_2_NCAP3_3YO_F1P_CPD.MF4.xz</t>
  </si>
  <si>
    <t>TC252_Try_3_NCAP3_3YO_F1P_CPD.MF4.xz</t>
  </si>
  <si>
    <t>TC253_Try_1_NCAP3_3YO_F1D_CPD.MF4.xz</t>
  </si>
  <si>
    <t>TC253_Try_2_NCAP3_3YO_F1D_CPD.MF4.xz</t>
  </si>
  <si>
    <t>TC253_Try_3_NCAP3_3YO_F1D_CPD.MF4.xz</t>
  </si>
  <si>
    <t>TC257_Try_1_NCAP3_3YO_F2R_CPD.MF4.xz</t>
  </si>
  <si>
    <t>TC257_Try_2_NCAP3_3YO_F2R_CPD.MF4.xz</t>
  </si>
  <si>
    <t>TC257_Try_3_NCAP3_3YO_F2R_CPD.MF4.xz</t>
  </si>
  <si>
    <t>TC258_Try_1_NCAP3_3YO_F3R_CPD.MF4.xz</t>
  </si>
  <si>
    <t>TC258_Try_2_NCAP3_3YO_F3R_CPD.MF4.xz</t>
  </si>
  <si>
    <t>TC258_Try_3_NCAP3_3YO_F3R_CPD.MF4.xz</t>
  </si>
  <si>
    <t>CSR_XCP_Signals_Recorder_2026-01-23_16-45-01_CPD_TC261_Try1_NCAP3_6YO_3L_CPD.MF4.xz</t>
  </si>
  <si>
    <t>CSR_XCP_Signals_Recorder_2026-01-23_16-46-27_CPD_TC261_Try2_NCAP3_6YO_3L_CPD.MF4.xz</t>
  </si>
  <si>
    <t>CSR_XCP_Signals_Recorder_2026-01-23_16-47-51_CPD_TC261_Try3_NCAP3_6YO_3L_CPD.MF4.xz</t>
  </si>
  <si>
    <t>CSR_XCP_Signals_Recorder_2026-01-23_16-49-15_CPD_TC261_Try4_NCAP3_6YO_3L_CPD.MF4.xz</t>
  </si>
  <si>
    <t>CSR_XCP_Signals_Recorder_2026-01-23_16-50-42_CPD_TC261_Try5_NCAP3_6YO_3L_CPD.MF4.xz</t>
  </si>
  <si>
    <t>Empty_car</t>
  </si>
  <si>
    <t>Passenger_Rear_Soft_Empty_car__0_CPD.MF4.xz</t>
  </si>
  <si>
    <t>Driver_Front_Hard_Empty_car__0_CPD.MF4.xz</t>
  </si>
  <si>
    <t>Driver_Front_Soft_Empty_car__0_CPD.MF4.xz</t>
  </si>
  <si>
    <t>Driver_Rear_Hard_Empty_car__0_CPD.MF4.xz</t>
  </si>
  <si>
    <t>Driver_Rear_Soft_Empty_car__0_CPD.MF4.xz</t>
  </si>
  <si>
    <t>Passenger_Front_Hard_Empty_car__0_CPD.MF4.xz</t>
  </si>
  <si>
    <t>Passenger_Front_Soft_Empty_car__0_CPD.MF4.xz</t>
  </si>
  <si>
    <t>Passenger_Rear_Hard_Empty_car__0_CPD.MF4.xz</t>
  </si>
  <si>
    <t>CSR_XCP_Signals_Recorder_2026-01-21_16-05-44_CPD_TC263_Try1_NCAP3_3YO_F1P_CPD.MF4.xz</t>
  </si>
  <si>
    <t>CSR_XCP_Signals_Recorder_2026-01-21_16-07-23_CPD_TC263_Try2_NCAP3_3YO_F1P_CPD.MF4.xz</t>
  </si>
  <si>
    <t>CSR_XCP_Signals_Recorder_2026-01-21_16-09-25_CPD_TC263_Try3_NCAP3_3YO_F1P_CPD.MF4.xz</t>
  </si>
  <si>
    <t>CSR_XCP_Signals_Recorder_2026-01-21_16-10-55_CPD_TC263_Try4_NCAP3_3YO_F1P_CPD.MF4.xz</t>
  </si>
  <si>
    <t>CSR_XCP_Signals_Recorder_2026-01-21_16-12-48_CPD_TC263_Try5_NCAP3_3YO_F1P_CPD.MF4.xz</t>
  </si>
  <si>
    <t>CSR_XCP_Signals_Recorder_2026-01-21_16-22-50_CPD_TC264_Try1_NCAP3_3YO_F1P_CPD.MF4.xz</t>
  </si>
  <si>
    <t>CSR_XCP_Signals_Recorder_2026-01-21_16-24-23_CPD_TC264_Try2_NCAP3_3YO_F1P_CPD.MF4.xz</t>
  </si>
  <si>
    <t>CSR_XCP_Signals_Recorder_2026-01-21_16-26-03_CPD_TC264_Try3_NCAP3_3YO_F1P_CPD.MF4.xz</t>
  </si>
  <si>
    <t>CSR_XCP_Signals_Recorder_2026-01-21_16-27-36_CPD_TC264_Try4_NCAP3_3YO_F1P_CPD.MF4.xz</t>
  </si>
  <si>
    <t>CSR_XCP_Signals_Recorder_2026-01-21_16-29-08_CPD_TC264_Try5_NCAP3_3YO_F1P_CPD.MF4.xz</t>
  </si>
  <si>
    <t>CSR_XCP_Signals_Recorder_2026-01-21_16-38-35_CPD_TC265_Try1_NCAP3_3YO_F1P_CPD.MF4.xz</t>
  </si>
  <si>
    <t>CSR_XCP_Signals_Recorder_2026-01-21_16-40-05_CPD_TC265_Try2_NCAP3_3YO_F1P_CPD.MF4.xz</t>
  </si>
  <si>
    <t>CSR_XCP_Signals_Recorder_2026-01-21_16-41-43_CPD_TC265_Try3_NCAP3_3YO_F1P_CPD.MF4.xz</t>
  </si>
  <si>
    <t>CSR_XCP_Signals_Recorder_2026-01-21_16-43-12_CPD_TC265_Try4_NCAP3_3YO_F1P_CPD.MF4.xz</t>
  </si>
  <si>
    <t>CSR_XCP_Signals_Recorder_2026-01-21_16-44-52_CPD_TC265_Try5_NCAP3_3YO_F1P_CPD.MF4.xz</t>
  </si>
  <si>
    <t>CSR_XCP_Signals_Recorder_2026-01-23_15-45-44_CPD_TC266_Try1_NCAP3_6YO_1R_CPD.MF4.xz</t>
  </si>
  <si>
    <t>CSR_XCP_Signals_Recorder_2026-01-23_15-48-52_CPD_TC266_Try2_NCAP3_6YO_1R_CPD.MF4.xz</t>
  </si>
  <si>
    <t>CSR_XCP_Signals_Recorder_2026-01-23_15-50-57_CPD_TC266_Try3_NCAP3_6YO_1R_CPD.MF4.xz</t>
  </si>
  <si>
    <t>CSR_XCP_Signals_Recorder_2026-01-23_15-52-45_CPD_TC266_Try4_NCAP3_6YO_1R_CPD.MF4.xz</t>
  </si>
  <si>
    <t>CSR_XCP_Signals_Recorder_2026-01-23_15-54-32_CPD_TC266_Try5_NCAP3_6YO_1R_CPD.MF4.xz</t>
  </si>
  <si>
    <t>CSR_XCP_Signals_Recorder_2026-01-23_15-58-26_CPD_TC267_Try1_NCAP3_6YO_1R_CPD.MF4.xz</t>
  </si>
  <si>
    <t>CSR_XCP_Signals_Recorder_2026-01-23_16-00-01_CPD_TC267_Try2_NCAP3_6YO_1R_CPD.MF4.xz</t>
  </si>
  <si>
    <t>CSR_XCP_Signals_Recorder_2026-01-23_16-03-00_CPD_TC267_Try4_NCAP3_6YO_1R_CPD.MF4.xz</t>
  </si>
  <si>
    <t>CSR_XCP_Signals_Recorder_2026-01-23_16-04-26_CPD_TC267_Try5_NCAP3_6YO_1R_CPD.MF4.xz</t>
  </si>
  <si>
    <t>CSR_XCP_Signals_Recorder_2026-01-23_16-56-27_CPD_TC268_Try1_NCAP3_6YO_1R_CPD.MF4.xz</t>
  </si>
  <si>
    <t>CSR_XCP_Signals_Recorder_2026-01-23_16-58-05_CPD_TC268_Try2_NCAP3_6YO_1R_CPD.MF4.xz</t>
  </si>
  <si>
    <t>CSR_XCP_Signals_Recorder_2026-01-23_16-59-34_CPD_TC268_Try3_NCAP3_6YO_1R_CPD.MF4.xz</t>
  </si>
  <si>
    <t>CSR_XCP_Signals_Recorder_2026-01-23_17-01-03_CPD_TC268_Try4_NCAP3_6YO_1R_CPD.MF4.xz</t>
  </si>
  <si>
    <t>CSR_XCP_Signals_Recorder_2026-01-23_17-02-35_CPD_TC268_Try5_NCAP3_6YO_1R_CPD.MF4.xz</t>
  </si>
  <si>
    <t>CSR_XCP_Signals_Recorder_2026-01-29_13-19-58_Right_BacktoFront.mf4.xz</t>
  </si>
  <si>
    <t>CSR_XCP_Signals_Recorder_2026-01-29_13-21-52_Right_FronttoBack.mf4.xz</t>
  </si>
  <si>
    <t>CSR_XCP_Signals_Recorder_2026-01-29_13-23-39_Left_FronttoBack.mf4.xz</t>
  </si>
  <si>
    <t>CSR_XCP_Signals_Recorder_2026-01-29_13-25-39_Left_Backtofront.mf4.xz</t>
  </si>
  <si>
    <t>CSR_XCP_Signals_Recorder_2026-02-02_11-36-22_TC2_NCAP12_NB_1R_CPD.MF4.xz</t>
  </si>
  <si>
    <t>CSR_XCP_Signals_Recorder_2026-02-02_11-39-26_TC190_NCAP12_1YO_2L_CPD.MF4.xz</t>
  </si>
  <si>
    <t>CSR_XCP_Signals_Recorder_2026-02-02_11-42-23_TC12_Added_Sunshield_NCAP12_1YO_2L_CPD.MF4.xz</t>
  </si>
  <si>
    <t>CSR_XCP_Signals_Recorder_2026-02-02_11-44-54_TC10_NCAP12_1YO_2R_CPD.MF4.xz</t>
  </si>
  <si>
    <t>CSR_XCP_Signals_Recorder_2026-02-02_11-47-51_TC187_NCAP12_NB_3L_CPD.MF4.xz</t>
  </si>
  <si>
    <t>CSR_XCP_Signals_Recorder_2026-02-02_11-50-31_TC14_NCAP12_1YO_3R_CPD.MF4.xz</t>
  </si>
  <si>
    <t>CSR_XCP_Signals_Recorder_2026-02-02_13-21-38_TC147_NCAP1_2_Liquid__1R_CPD.MF4.xz</t>
  </si>
  <si>
    <t>CSR_XCP_Signals_Recorder_2026-02-02_13-25-02_TC149_NCAP1_2_Liquid__2L_CPD.MF4.xz</t>
  </si>
  <si>
    <t>CSR_XCP_Signals_Recorder_2026-02-02_13-26-35_TC152_NCAP1_2_Liquid__3L_CPD.MF4.xz</t>
  </si>
  <si>
    <t>CSR_XCP_Signals_Recorder_2026-02-03_13-15-09_TC176_NCAP1_2_Outside__2R_CPD.MF4.xz</t>
  </si>
  <si>
    <t>CSR_XCP_Signals_Recorder_2026-02-03_13-16-13_TC176_NCAP1_2_Outside__2R_CPD.MF4.xz</t>
  </si>
  <si>
    <t>CSR_XCP_Signals_Recorder_2026-02-03_13-17-37_TC176_NCAP1_2_Outside__2R_CPD.MF4.xz</t>
  </si>
  <si>
    <t>CSR_XCP_Signals_Recorder_2026-02-03_13-20-27_TC134_Object__2R+F2L_CPD.MF4.xz</t>
  </si>
  <si>
    <t>CSR_XCP_Signals_Recorder_2026-02-03_13-21-51_TC134_Object__2R+F2L_CPD.MF4.xz</t>
  </si>
  <si>
    <t>CSR_XCP_Signals_Recorder_2026-02-03_13-22-39_TC134_Object__2R+F2L_CPD.MF4.xz</t>
  </si>
  <si>
    <t>CSR_XCP_Signals_Recorder_2026-02-03_13-24-06_TC162_NCAP1_2_Phone__2R_CPD.MF4.xz</t>
  </si>
  <si>
    <t>CSR_XCP_Signals_Recorder_2026-02-03_13-25-09_TC162_NCAP1_2_Phone__2R_CPD.MF4.xz</t>
  </si>
  <si>
    <t>CSR_XCP_Signals_Recorder_2026-02-03_13-26-00_TC162_NCAP1_2_Phone__2R_CPD.MF4.xz</t>
  </si>
  <si>
    <t>CSR_XCP_Signals_Recorder_2026-02-03_15-05-58_TC104_AF95_NCAP1_2_Adult_only__2R_CPD.MF4.xz</t>
  </si>
  <si>
    <t>CSR_XCP_Signals_Recorder_2026-02-03_15-06-57_TC104_AF95_NCAP1_2_Adult_only__2R_CPD.MF4.xz</t>
  </si>
  <si>
    <t>CSR_XCP_Signals_Recorder_2026-02-03_15-07-43_TC104_AF95_NCAP1_2_Adult_only__2R_CPD.MF4.xz</t>
  </si>
  <si>
    <t>CSR_XCP_Signals_Recorder_2026-02-03_15-08-50_AF95_2L_NCAP1_2_Adult_only__not found_CPD.MF4.xz</t>
  </si>
  <si>
    <t>CSR_XCP_Signals_Recorder_2026-02-03_15-09-35_AF95_2L_NCAP1_2_Adult_only__not found_CPD.MF4.xz</t>
  </si>
  <si>
    <t>CSR_XCP_Signals_Recorder_2026-02-03_15-11-10_AF95_2L_NCAP1_2_Adult_only__not found_CPD.MF4.xz</t>
  </si>
  <si>
    <t>CSR_XCP_Signals_Recorder_2026-02-03_15-12-37_AF95_2L_NCAP3_Adult_only__not found_CPD.MF4.xz</t>
  </si>
  <si>
    <t>CSR_XCP_Signals_Recorder_2026-02-03_15-15-00_AF50_2L_NCAP1_2_Adult_only__not found_CPD.MF4.xz</t>
  </si>
  <si>
    <t>CSR_XCP_Signals_Recorder_2026-02-03_15-16-44_AF50_2L_NCAP1_2_Adult_only__not found_CPD.MF4.xz</t>
  </si>
  <si>
    <t>CSR_XCP_Signals_Recorder_2026-01-31_13-33-25_TC200_Reset_NCAP12_1YO_1R_CPD.MF4.xz</t>
  </si>
  <si>
    <t>CSR_XCP_Signals_Recorder_2026-01-31_13-25-44_TC200_No_Reset_NCAP12_1YO_1R_CPD.MF4.xz</t>
  </si>
  <si>
    <t>CSR_XCP_Signals_Recorder_2026-01-31_13-26-47_TC200_No_Reset_NCAP12_1YO_1R_CPD.MF4.xz</t>
  </si>
  <si>
    <t>CSR_XCP_Signals_Recorder_2026-01-31_13-28-02_TC200_No_Reset_NCAP12_1YO_1R_CPD.MF4.xz</t>
  </si>
  <si>
    <t>CSR_XCP_Signals_Recorder_2026-01-31_13-29-23_TC200_Reset_NCAP12_1YO_1R_CPD.MF4.xz</t>
  </si>
  <si>
    <t>CSR_XCP_Signals_Recorder_2026-01-31_13-31-56_TC200_Reset_NCAP12_1YO_1R_CPD.MF4.xz</t>
  </si>
  <si>
    <t>CSR_XCP_Signals_Recorder_2026-02-04_17-07-40_CPD_TC23_with_reset_NCAP12_6YO_1R_CPD.MF4.xz</t>
  </si>
  <si>
    <t>CSR_XCP_Signals_Recorder_2026-02-04_17-08-51_CPD_TC23_with_reset_NCAP12_6YO_1R_CPD.MF4.xz</t>
  </si>
  <si>
    <t>CSR_XCP_Signals_Recorder_2026-02-04_17-10-10_CPD_TC23_with_reset_NCAP12_6YO_1R_CPD.MF4.xz</t>
  </si>
  <si>
    <t>CSR_XCP_Signals_Recorder_2026-02-04_17-13-56_CPD_TC25_with_reset_NCAP12_6YO_2L_CPD.MF4.xz</t>
  </si>
  <si>
    <t>CSR_XCP_Signals_Recorder_2026-02-04_17-15-12_CPD_TC25_with_reset_NCAP12_6YO_2L_CPD.MF4.xz</t>
  </si>
  <si>
    <t>CSR_XCP_Signals_Recorder_2026-02-04_17-16-32_CPD_TC25_with_reset_NCAP12_6YO_2L_CPD.MF4.xz</t>
  </si>
  <si>
    <t>CSR_XCP_Signals_Recorder_2026-02-04_17-20-23_CPD_TC27_with_reset_NCAP12_6YO_3R_CPD.MF4.xz</t>
  </si>
  <si>
    <t>CSR_XCP_Signals_Recorder_2026-02-04_17-21-34_CPD_TC27_with_reset_NCAP12_6YO_3R_CPD.MF4.xz</t>
  </si>
  <si>
    <t>CSR_XCP_Signals_Recorder_2026-02-04_17-22-54_CPD_TC27_with_reset_NCAP12_6YO_3R_CPD.MF4.xz</t>
  </si>
  <si>
    <t>CSR_XCP_Signals_Recorder_2026-02-04_17-27-04_CPD_TC30_with_reset_multiple_children_NB+6YO_2R+3R_CPD.MF4.xz</t>
  </si>
  <si>
    <t>CSR_XCP_Signals_Recorder_2026-02-04_17-28-15_CPD_TC30_with_reset_multiple_children_NB+6YO_2R+3R_CPD.MF4.xz</t>
  </si>
  <si>
    <t>CSR_XCP_Signals_Recorder_2026-02-04_17-29-33_CPD_TC30_with_reset_multiple_children_NB+6YO_2R+3R_CPD.MF4.xz</t>
  </si>
  <si>
    <t>CSR_XCP_Signals_Recorder_2026-02-04_17-33-15_CPD_TC217_with_reset_NCAP3_6YO_3L_CPD.MF4.xz</t>
  </si>
  <si>
    <t>CSR_XCP_Signals_Recorder_2026-02-04_17-35-19_CPD_TC217_with_reset_NCAP3_6YO_3L_CPD.MF4.xz</t>
  </si>
  <si>
    <t>CSR_XCP_Signals_Recorder_2026-02-04_17-37-19_CPD_TC217_with_reset_NCAP3_6YO_3L_CPD.MF4.xz</t>
  </si>
  <si>
    <t>CSR_XCP_Signals_Recorder_2026-02-04_17-41-07_CPD_TC235_with_reset_NCAP3_6YO_1L_CPD.MF4.xz</t>
  </si>
  <si>
    <t>CSR_XCP_Signals_Recorder_2026-02-04_17-43-25_CPD_TC235_with_reset_NCAP3_6YO_1L_CPD.MF4.xz</t>
  </si>
  <si>
    <t>CSR_XCP_Signals_Recorder_2026-02-04_17-45-44_CPD_TC235_with_reset_NCAP3_6YO_1L_CPD.MF4.xz</t>
  </si>
  <si>
    <t>CSR_XCP_Signals_Recorder_2026-02-05_17-25-50_TC151_Liquid3R_CPD_Liquid__3R_CPD.MF4.xz</t>
  </si>
  <si>
    <t>CSR_XCP_Signals_Recorder_2026-02-05_17-35-44_TC151_Liquid3R_CPD_Liquid__3R_CPD.MF4.xz</t>
  </si>
  <si>
    <t>CSR_XCP_Signals_Recorder_2026-02-05_17-37-41_TC151_Liquid3R_CPD_Liquid__3R_CPD.MF4.xz</t>
  </si>
  <si>
    <t>CSR_XCP_Signals_Recorder_2026-02-05_17-41-37_TC151_Liquid3R_CPD_Liquid__3R_CPD.MF4.xz</t>
  </si>
  <si>
    <t>CSR_XCP_Signals_Recorder_2026-02-05_17-43-08_TC151_Liquid3R_CPD_Liquid__3R_CPD.MF4.xz</t>
  </si>
  <si>
    <t>CSR_XCP_Signals_Recorder_2026-02-05_15-19-14_TC132_MovingToy1L_BagF1R_CPD_Object__1L+F1R_CPD.MF4.xz</t>
  </si>
  <si>
    <t>CSR_XCP_Signals_Recorder_2026-02-05_15-20-28_TC132_MovingToy1L_BagF1R_CPD_Object__1L+F1R_CPD.MF4.xz</t>
  </si>
  <si>
    <t>CSR_XCP_Signals_Recorder_2026-02-05_15-21-37_TC132_MovingToy1L_BagF1R_CPD_Object__1L+F1R_CPD.MF4.xz</t>
  </si>
  <si>
    <t>CSR_XCP_Signals_Recorder_2026-02-05_15-23-32_TC132_MovingToy1L_BagF1R_CPD_Object__1L+F1R_CPD.MF4.xz</t>
  </si>
  <si>
    <t>CSR_XCP_Signals_Recorder_2026-02-05_15-25-04_TC132_MovingToy1L_BagF1R_CPD_Object__1L+F1R_CPD.MF4.xz</t>
  </si>
  <si>
    <t>CSR_XCP_Signals_Recorder_2026-02-05_15-42-34_TC133_StaticToy1R_BagF2R_CPD_Object__1R+F2R_CPD.MF4.xz</t>
  </si>
  <si>
    <t>CSR_XCP_Signals_Recorder_2026-02-05_15-43-58_TC133_StaticToy1R_BagF2R_CPD_Object__1R+F2R_CPD.MF4.xz</t>
  </si>
  <si>
    <t>CSR_XCP_Signals_Recorder_2026-02-05_15-45-20_TC133_StaticToy1R_BagF2R_CPD_Object__1R+F2R_CPD.MF4.xz</t>
  </si>
  <si>
    <t>CSR_XCP_Signals_Recorder_2026-02-05_15-46-57_TC133_StaticToy1R_BagF2R_CPD_Object__1R+F2R_CPD.MF4.xz</t>
  </si>
  <si>
    <t>CSR_XCP_Signals_Recorder_2026-02-05_15-48-23_TC133_StaticToy1R_BagF2R_CPD_Object__1R+F2R_CPD.MF4.xz</t>
  </si>
  <si>
    <t>CSR_XCP_Signals_Recorder_2026-02-05_15-53-32_TC135_StaticToy2L_BagF2C_CPD_Object__2L+F2C_CPD.MF4.xz</t>
  </si>
  <si>
    <t>CSR_XCP_Signals_Recorder_2026-02-05_15-55-10_TC135_StaticToy2L_BagF2C_CPD_Object__2L+F2C_CPD.MF4.xz</t>
  </si>
  <si>
    <t>CSR_XCP_Signals_Recorder_2026-02-05_15-56-41_TC135_StaticToy2L_BagF2C_CPD_Object__2L+F2C_CPD.MF4.xz</t>
  </si>
  <si>
    <t>CSR_XCP_Signals_Recorder_2026-02-05_15-58-52_TC135_StaticToy2L_BagF2C_CPD_Object__2L+F2C_CPD.MF4.xz</t>
  </si>
  <si>
    <t>CSR_XCP_Signals_Recorder_2026-02-05_16-01-12_TC135_StaticToy2L_BagF2C_CPD_Object__2L+F2C_CPD.MF4.xz</t>
  </si>
  <si>
    <t>CSR_XCP_Signals_Recorder_2026-02-05_16-07-52_TC136_MovingToy2C_BagF3R_CPD_Object__2C+F3R_CPD.MF4.xz</t>
  </si>
  <si>
    <t>CSR_XCP_Signals_Recorder_2026-02-05_16-10-17_TC136_MovingToy2C_BagF3R_CPD_Object__2C+F3R_CPD.MF4.xz</t>
  </si>
  <si>
    <t>CSR_XCP_Signals_Recorder_2026-02-05_16-12-32_TC136_MovingToy2C_BagF3R_CPD_Object__2C+F3R_CPD.MF4.xz</t>
  </si>
  <si>
    <t>CSR_XCP_Signals_Recorder_2026-02-05_16-14-45_TC136_MovingToy2C_BagF3R_CPD_Object__2C+F3R_CPD.MF4.xz</t>
  </si>
  <si>
    <t>CSR_XCP_Signals_Recorder_2026-02-05_16-16-37_TC136_MovingToy2C_BagF3R_CPD_Object__2C+F3R_CPD.MF4.xz</t>
  </si>
  <si>
    <t>CSR_XCP_Signals_Recorder_2026-02-05_16-23-24_TC137_StaticToy3R_BagF3L_CPD_Object__3R+F3L_CPD.MF4.xz</t>
  </si>
  <si>
    <t>CSR_XCP_Signals_Recorder_2026-02-05_16-25-08_TC137_StaticToy3R_BagF3L_CPD_Object__3R+F3L_CPD.MF4.xz</t>
  </si>
  <si>
    <t>CSR_XCP_Signals_Recorder_2026-02-05_16-27-38_TC137_StaticToy3R_BagF3L_CPD_Object__3R+F3L_CPD.MF4.xz</t>
  </si>
  <si>
    <t>CSR_XCP_Signals_Recorder_2026-02-05_16-38-27_TC137_StaticToy3R_BagF3L_CPD_Object__3R+F3L_CPD.MF4.xz</t>
  </si>
  <si>
    <t>CSR_XCP_Signals_Recorder_2026-02-05_16-42-37_TC140_Bag2R_StaticToyF1R_CPD_Object__2R+F1R_CPD.MF4.xz</t>
  </si>
  <si>
    <t>CSR_XCP_Signals_Recorder_2026-02-05_16-44-16_TC140_Bag2R_StaticToyF1R_CPD_Object__2R+F1R_CPD.MF4.xz</t>
  </si>
  <si>
    <t>CSR_XCP_Signals_Recorder_2026-02-05_16-45-47_TC140_Bag2R_StaticToyF1R_CPD_Object__2R+F1R_CPD.MF4.xz</t>
  </si>
  <si>
    <t>CSR_XCP_Signals_Recorder_2026-02-05_16-47-23_TC140_Bag2R_StaticToyF1R_CPD_Object__2R+F1R_CPD.MF4.xz</t>
  </si>
  <si>
    <t>CSR_XCP_Signals_Recorder_2026-02-05_16-49-15_TC140_Bag2R_StaticToyF1R_CPD_Object__2R+F1R_CPD.MF4.xz</t>
  </si>
  <si>
    <t>CSR_XCP_Signals_Recorder_2026-02-05_16-55-13_TC142_Bag2C_StaticToyF2L_CPD_Object__2C+F2L_CPD.MF4.xz</t>
  </si>
  <si>
    <t>CSR_XCP_Signals_Recorder_2026-02-05_16-57-50_TC142_Bag2C_StaticToyF2L_CPD_Object__2C+F2L_CPD.MF4.xz</t>
  </si>
  <si>
    <t>CSR_XCP_Signals_Recorder_2026-02-05_16-59-41_TC142_Bag2C_StaticToyF2L_CPD_Object__2C+F2L_CPD.MF4.xz</t>
  </si>
  <si>
    <t>CSR_XCP_Signals_Recorder_2026-02-05_17-04-53_TC142_Bag2C_StaticToyF2L_CPD_Object__2C+F2L_CPD.MF4.xz</t>
  </si>
  <si>
    <t>CSR_XCP_Signals_Recorder_2026-02-05_17-06-43_TC142_Bag2C_StaticToyF2L_CPD_Object__2C+F2L_CPD.MF4.xz</t>
  </si>
  <si>
    <t>CSR_XCP_Signals_Recorder_2026-02-05_17-10-14_TC144_Bag3L_StaticToyF3R_CPD_Object__3L+F3R_CPD.MF4.xz</t>
  </si>
  <si>
    <t>CSR_XCP_Signals_Recorder_2026-02-05_17-12-02_TC144_Bag3L_StaticToyF3R_CPD_Object__3L+F3R_CPD.MF4.xz</t>
  </si>
  <si>
    <t>CSR_XCP_Signals_Recorder_2026-02-05_17-14-34_TC144_Bag3L_StaticToyF3R_CPD_Object__3L+F3R_CPD.MF4.xz</t>
  </si>
  <si>
    <t>CSR_XCP_Signals_Recorder_2026-02-05_17-16-24_TC144_Bag3L_StaticToyF3R_CPD_Object__3L+F3R_CPD.MF4.xz</t>
  </si>
  <si>
    <t>CSR_XCP_Signals_Recorder_2026-02-05_17-17-48_TC144_Bag3L_StaticToyF3R_CPD_Object__3L+F3R_CPD.MF4.xz</t>
  </si>
  <si>
    <t>/mnt/measurements\07_CANape\Mitsubishi\5K45\5.3.0_RC6.2\5K457EG11\CSRGIMMC-2250</t>
  </si>
  <si>
    <t>csv-nek</t>
  </si>
  <si>
    <t>/mnt/measurements/07_CANape/Mitsubishi/5K45/MMC4.1.2/Validation/child/Sleep/TC_2.MF4.xz,child,RadarFC_Master,child,CPD,dummy</t>
  </si>
  <si>
    <t>/mnt/measurements/07_CANape/Mitsubishi/5K45/MMC4.1.2/Validation/2025_11_29/child/part1/Sleep/TC_2_Try1.MF4.xz,child,RadarFC_Master,child,CPD,dummy</t>
  </si>
  <si>
    <t>/mnt/measurements/07_CANape/Mitsubishi/5K45/MMC4.1.2/Validation/2025_11_29/child/part1/Sleep/TC_2_Try2.MF4.xz,child,RadarFC_Master,child,CPD,dummy</t>
  </si>
  <si>
    <t>/mnt/measurements/07_CANape/Mitsubishi/5K45/MMC4.1.2/Validation/2025_11_29/child/part1/Sleep/TC_2_Try3.MF4.xz,child,RadarFC_Master,child,CPD,dummy</t>
  </si>
  <si>
    <t>/mnt/measurements/07_CANape/Mitsubishi/5K45/5.3.0_RC6.2/5K457EG11/FP_Test_Cases_Renamed/CSR_XCP_Signals_Recorder_2026-02-03_15-08-50_AF95_2L_NCAP1_2.MF4.xz,adult,RadarFC_Master,adult,CPD,dummy</t>
  </si>
  <si>
    <t>/mnt/measurements/07_CANape/Mitsubishi/5K45/5.3.0_RC6.2/5K457EG11/FP_Test_Cases_Renamed/CSR_XCP_Signals_Recorder_2026-02-03_15-09-35_AF95_2L_NCAP1_2.MF4.xz,adult,RadarFC_Master,adult,CPD,dummy</t>
  </si>
  <si>
    <t>/mnt/measurements/07_CANape/Mitsubishi/5K45/5.3.0_RC6.2/5K457EG11/FP_Test_Cases_Renamed/CSR_XCP_Signals_Recorder_2026-02-03_15-11-10_AF95_2L_NCAP1_2.MF4.xz,adult,RadarFC_Master,adult,CPD,dummy</t>
  </si>
  <si>
    <t>/mnt/measurements/07_CANape/Mitsubishi/5K45/5.3.0_RC6.2/5K457EG11/FP_Test_Cases_Renamed/CSR_XCP_Signals_Recorder_2026-02-03_15-12-37_AF95_2L_NCAP3.MF4.xz,adult,RadarFC_Master,adult,CPD,dummy</t>
  </si>
  <si>
    <t>/mnt/measurements/07_CANape/Mitsubishi/5K45/5.3.0_RC6.2/5K457EG11/FP_Test_Cases_Renamed/CSR_XCP_Signals_Recorder_2026-02-03_15-15-00_AF50_2L_NCAP1_2.MF4.xz,adult,RadarFC_Master,adult,CPD,dummy</t>
  </si>
  <si>
    <t>/mnt/measurements/07_CANape/Mitsubishi/5K45/5.3.0_RC6.2/5K457EG11/FP_Test_Cases_Renamed/CSR_XCP_Signals_Recorder_2026-02-03_15-16-44_AF50_2L_NCAP1_2.MF4.xz,adult,RadarFC_Master,adult,CPD,dummy</t>
  </si>
  <si>
    <t>/mnt/measurements/07_CANape/Mitsubishi/5K45/5.2.0/5K457EG11/SmokeTest/CPD/CSR_XCP_Signals_Recorder_2026-01-12_13-41-04_TC2.MF4.xz,child,RadarFC_Master,child (ncap1,2),CPD,dummy</t>
  </si>
  <si>
    <t>/mnt/measurements/07_CANape/Mitsubishi/5K45/MMC5.0.2/5K457EG11/CPD/CSR_XCP_Signals_Recorder_2026-01-20_19-04-17_CPD_TC2_Try3.MF4.xz,child,RadarFC_Master,child (ncap1,2),CPD,dummy</t>
  </si>
  <si>
    <t>/mnt/measurements/07_CANape/Mitsubishi/5K45/MMC5.0.2/5K457EG11/CPD/CSR_XCP_Signals_Recorder_2026-01-20_18-59-47_CPD_TC2_Try1.MF4.xz,child,RadarFC_Master,child (ncap1,2),CPD,dummy</t>
  </si>
  <si>
    <t>/mnt/measurements/07_CANape/Mitsubishi/5K45/MMC5.0.2/5K457EG11/CPD/CSR_XCP_Signals_Recorder_2026-01-20_19-02-11_CPD_TC2_Try2.MF4.xz,child,RadarFC_Master,child (ncap1,2),CPD,dummy</t>
  </si>
  <si>
    <t>/mnt/measurements/07_CANape/Mitsubishi/5K45/MMC4.1.2/Validation/child/Sleep/TC_5.MF4.xz,child,RadarFC_Master,child (ncap1,2),CPD,dummy</t>
  </si>
  <si>
    <t>/mnt/measurements/07_CANape/Mitsubishi/5K45/5.3.0_RC6.2/5K457EG11/FP_Test_Cases_Renamed/CSR_XCP_Signals_Recorder_2026-02-02_11-36-22_TC2.MF4.xz,child,RadarFC_Master,child (ncap1,2),CPD,dummy</t>
  </si>
  <si>
    <t>/mnt/measurements/07_CANape/Mitsubishi/5K45/MMC4.1.2/Validation/child/Sleep/TC_3.MF4.xz,child,RadarFC_Master,child (ncap1,2),CPD,dummy</t>
  </si>
  <si>
    <t>/mnt/measurements/07_CANape/Mitsubishi/5K45/MMC4.1.2/Validation/2025_11_29/child/part1/Sleep/TC_3_Try1.MF4.xz,child,RadarFC_Master,child (ncap1,2),CPD,dummy</t>
  </si>
  <si>
    <t>/mnt/measurements/07_CANape/Mitsubishi/5K45/MMC4.1.2/Validation/2025_11_29/child/part1/Sleep/TC_3_Try2.MF4.xz,child,RadarFC_Master,child (ncap1,2),CPD,dummy</t>
  </si>
  <si>
    <t>/mnt/measurements/07_CANape/Mitsubishi/5K45/MMC4.1.2/Validation/2025_11_29/child/part1/Sleep/TC_3_Try3.MF4.xz,child,RadarFC_Master,child (ncap1,2),CPD,dummy</t>
  </si>
  <si>
    <t>/mnt/measurements/07_CANape/Mitsubishi/5K45/5.2.0/5K457EG11/SmokeTest/CPD/CSR_XCP_Signals_Recorder_2026-01-12_13-44-04_TC3.MF4.xz,child,RadarFC_Master,child (ncap1,2),CPD,dummy</t>
  </si>
  <si>
    <t>/mnt/measurements/07_CANape/Mitsubishi/5K45/5.2.0/5K457EG11/SmokeTest/CPD/SmokeTest_CPD_TC3.MF4.xz,child,RadarFC_Master,child (ncap1,2),CPD,dummy</t>
  </si>
  <si>
    <t>/mnt/measurements/07_CANape/Mitsubishi/5K45/MMC4.1.2/Validation/2025_11_29/child/part1/Sleep/TC_5_Try1.MF4.xz,child,RadarFC_Master,child (ncap1,2),CPD,dummy</t>
  </si>
  <si>
    <t>/mnt/measurements/07_CANape/Mitsubishi/5K45/MMC4.1.2/Validation/2025_11_29/child/part1/Sleep/TC_5_Try2.MF4.xz,child,RadarFC_Master,child (ncap1,2),CPD,dummy</t>
  </si>
  <si>
    <t>/mnt/measurements/07_CANape/Mitsubishi/5K45/MMC4.1.2/Validation/2025_11_29/child/part1/Sleep/TC_5_Try3.MF4.xz,child,RadarFC_Master,child (ncap1,2),CPD,dummy</t>
  </si>
  <si>
    <t>/mnt/measurements/07_CANape/Mitsubishi/5K45/MMC4.1.2/Validation/child/Sleep/TC_7.MF4.xz,child,RadarFC_Master,child (ncap1,2),CPD,dummy</t>
  </si>
  <si>
    <t>/mnt/measurements/07_CANape/Mitsubishi/5K45/MMC4.1.2/Validation/2025_11_29/child/part1/Sleep/TC_7_Try1.MF4.xz,child,RadarFC_Master,child (ncap1,2),CPD,dummy</t>
  </si>
  <si>
    <t>/mnt/measurements/07_CANape/Mitsubishi/5K45/MMC4.1.2/Validation/2025_11_29/child/part1/Sleep/TC_7_Try2.MF4.xz,child,RadarFC_Master,child (ncap1,2),CPD,dummy</t>
  </si>
  <si>
    <t>/mnt/measurements/07_CANape/Mitsubishi/5K45/MMC4.1.2/Validation/2025_11_29/child/part1/Sleep/TC_7_Try3.MF4.xz,child,RadarFC_Master,child (ncap1,2),CPD,dummy</t>
  </si>
  <si>
    <t>/mnt/measurements/07_CANape/Mitsubishi/5K45/5.2.0/5K457EG11/SmokeTest/CPD/CSR_XCP_Signals_Recorder_2026-01-12_14-03-32_TC7.MF4.xz,child,RadarFC_Master,child (ncap1,2),CPD,dummy</t>
  </si>
  <si>
    <t>/mnt/measurements/07_CANape/Mitsubishi/5K45/5.2.0/5K457EG11/SmokeTest/CPD/SmokeTest_CPD_TC7.MF4.xz,child,RadarFC_Master,child (ncap1,2),CPD,dummy</t>
  </si>
  <si>
    <t>/mnt/measurements/07_CANape/Mitsubishi/5K45/MMC5.0.2/5K457EG11/RealChild/CPD_TC9_Try1.MF4.xz,child,RadarFC_Master,child (ncap1,2),CPD,realchild</t>
  </si>
  <si>
    <t>/mnt/measurements/07_CANape/Mitsubishi/5K45/MMC5.0.2/5K457EG11/RealChild/CPD_TC9_Try2.MF4.xz,child,RadarFC_Master,child (ncap1,2),CPD,realchild</t>
  </si>
  <si>
    <t>/mnt/measurements/07_CANape/Mitsubishi/5K45/MMC5.0.2/5K457EG11/RealChild/CPD_TC9_Try3.MF4.xz,child,RadarFC_Master,child (ncap1,2),CPD,realchild</t>
  </si>
  <si>
    <t>/mnt/measurements/07_CANape/Mitsubishi/5K45/MMC5.0.2/5K457EG11/RealChild/CPD_TC9_Try4.MF4.xz,child,RadarFC_Master,child (ncap1,2),CPD,realchild</t>
  </si>
  <si>
    <t>/mnt/measurements/07_CANape/Mitsubishi/5K45/MMC5.0.2/5K457EG11/RealChild/CPD_TC9_Try5.MF4.xz,child,RadarFC_Master,child (ncap1,2),CPD,realchild</t>
  </si>
  <si>
    <t>/mnt/measurements/07_CANape/Mitsubishi/5K45/MMC4.1.2/Validation/child/Awake/TC_10.MF4.xz,child,RadarFC_Master,child (ncap1,2),CPD,dummy</t>
  </si>
  <si>
    <t>/mnt/measurements/07_CANape/Mitsubishi/5K45/MMC5.0.1/5K457EG-11/Real_Child_Measurements/CSR_XCP_Signals_Recorder_2025-12-15_10-12-14_TC10_2R_CPD.MF4.xz,child,RadarFC_Master,child (ncap1,2),CPD,realchild</t>
  </si>
  <si>
    <t>/mnt/measurements/07_CANape/Mitsubishi/5K45/MMC4.1.2/Validation/child/Awake/TC_10_Try_2.MF4.xz,child,RadarFC_Master,child (ncap1,2),CPD,dummy</t>
  </si>
  <si>
    <t>/mnt/measurements/07_CANape/Mitsubishi/5K45/MMC4.1.2/Validation/child/Awake/TC_10_Try_3.MF4.xz,child,RadarFC_Master,child (ncap1,2),CPD,dummy</t>
  </si>
  <si>
    <t>/mnt/measurements/07_CANape/Mitsubishi/5K45/MMC4.1.2/Validation/2025_11_29/child/part1/Awake/TC_10_Try1.MF4.xz,child,RadarFC_Master,child (ncap1,2),CPD,dummy</t>
  </si>
  <si>
    <t>/mnt/measurements/07_CANape/Mitsubishi/5K45/MMC4.1.2/Validation/2025_11_29/child/part1/Awake/TC_10_Try2.MF4.xz,child,RadarFC_Master,child (ncap1,2),CPD,dummy</t>
  </si>
  <si>
    <t>/mnt/measurements/07_CANape/Mitsubishi/5K45/MMC5.0.1/5K457EG-11/Real_Child_Measurements/2025_12_16/CSR_XCP_Signals_Recorder_2025-12-16_13-53-34_TC11_1YO2L_CPD.MF4.xz,child,RadarFC_Master,child (ncap1,2),CPD,realchild</t>
  </si>
  <si>
    <t>/mnt/measurements/07_CANape/Mitsubishi/5K45/MMC5.0.1/5K457EG-11/Real_Child_Measurements/2025_12_16/CSR_XCP_Signals_Recorder_2025-12-16_13-56-10_TC11_1YO2L_CPD.MF4.xz,child,RadarFC_Master,child (ncap1,2),CPD,realchild</t>
  </si>
  <si>
    <t>/mnt/measurements/07_CANape/Mitsubishi/5K45/MMC4.1.2/Validation/2025_11_29/child/part1/Awake/TC_10_Try3.MF4.xz,child,RadarFC_Master,child (ncap1,2),CPD,dummy</t>
  </si>
  <si>
    <t>/mnt/measurements/07_CANape/Mitsubishi/5K45/MMC5.0.1/5K457EG-11/Real_Child_Measurements/CSR_XCP_Signals_Recorder_2025-12-15_10-07-29_TC10_2R_CPD.MF4.xz,child,RadarFC_Master,child (ncap1,2),CPD,realchild</t>
  </si>
  <si>
    <t>/mnt/measurements/07_CANape/Mitsubishi/5K45/MMC5.0.1/5K457EG-11/Real_Child_Measurements/CSR_XCP_Signals_Recorder_2025-12-15_10-09-13_TC10_2R_CPD.MF4.xz,child,RadarFC_Master,child (ncap1,2),CPD,realchild</t>
  </si>
  <si>
    <t>/mnt/measurements/07_CANape/Mitsubishi/5K45/MMC5.0.1/5K457EG-11/Real_Child_Measurements/CSR_XCP_Signals_Recorder_2025-12-15_10-15-09_TC10_2R_CPD.MF4.xz,child,RadarFC_Master,child (ncap1,2),CPD,realchild</t>
  </si>
  <si>
    <t>/mnt/measurements/07_CANape/Mitsubishi/5K45/MMC5.0.1/5K457EG-11/Real_Child_Measurements/CSR_XCP_Signals_Recorder_2025-12-15_10-18-01_TC10_2R_CPD.MF4.xz,child,RadarFC_Master,child (ncap1,2),CPD,realchild</t>
  </si>
  <si>
    <t>/mnt/measurements/07_CANape/Mitsubishi/5K45/5.2.0/5K457EG11/SmokeTest/CPD/CSR_XCP_Signals_Recorder_2026-01-12_13-45-43_TC10.MF4.xz,child,RadarFC_Master,child (ncap1,2),CPD,dummy</t>
  </si>
  <si>
    <t>/mnt/measurements/07_CANape/Mitsubishi/5K45/5.3.0_RC6.2/5K457EG11/FP_Test_Cases_Renamed/CSR_XCP_Signals_Recorder_2026-02-02_11-44-54_TC10.MF4.xz,child,RadarFC_Master,child (ncap1,2),CPD,dummy</t>
  </si>
  <si>
    <t>/mnt/measurements/07_CANape/Mitsubishi/5K45/MMC5.0.1/5K457EG-11/Real_Child_Measurements/2025_12_16/CSR_XCP_Signals_Recorder_2025-12-16_13-50-57_TC11_1YO2L_CPD.MF4.xz,child,RadarFC_Master,child (ncap1,2),CPD,realchild</t>
  </si>
  <si>
    <t>/mnt/measurements/07_CANape/Mitsubishi/5K45/MMC5.0.1/5K457EG-11/Real_Child_Measurements/2025_12_16/CSR_XCP_Signals_Recorder_2025-12-16_13-58-47_TC11_1YO2L_CPD.MF4.xz,child,RadarFC_Master,child (ncap1,2),CPD,realchild</t>
  </si>
  <si>
    <t>/mnt/measurements/07_CANape/Mitsubishi/5K45/5.2.0/5K457EG11/SmokeTest/CPD/CSR_XCP_Signals_Recorder_2026-01-12_13-56-22_TC11.MF4.xz,child,RadarFC_Master,child (ncap1,2),CPD,dummy</t>
  </si>
  <si>
    <t>/mnt/measurements/07_CANape/Mitsubishi/5K45/MMC5.0.2/5K457MG57/SmokeTest/SmokeTest_CPD_TC11.MF4.xz,child,RadarFC_Master,child (ncap1,2),CPD,dummy</t>
  </si>
  <si>
    <t>/mnt/measurements/07_CANape/Mitsubishi/5K45/MMC5.1.1/5K457EG11/Smoke Tests/CSR_XCP_Signals_Recorder_2025-12-22_14-54-54_TC11_CPD.MF4.xz,child,RadarFC_Master,child (ncap1,2),CPD,dummy</t>
  </si>
  <si>
    <t>/mnt/measurements/07_CANape/Mitsubishi/5K45/MMC5.0.1/5K457EG-11/Real_Child_Measurements/CSR_XCP_Signals_Recorder_2025-12-15_10-32-16_TC12_2L_CPD.MF4.xz,child,RadarFC_Master,child (ncap1,2),CPD,realchild</t>
  </si>
  <si>
    <t>/mnt/measurements/07_CANape/Mitsubishi/5K45/MMC5.1.0/5K457MG47/SmokeTest/CPD_SmokeTest_TS11.MF4.xz,child,RadarFC_Master,child (ncap1,2),CPD,realchild</t>
  </si>
  <si>
    <t>/mnt/measurements/07_CANape/Mitsubishi/5K45/MMC4.1.2/Validation/child/Awake/TC_12.MF4.xz,child,RadarFC_Master,child (ncap1,2),CPD,dummy</t>
  </si>
  <si>
    <t>/mnt/measurements/07_CANape/Mitsubishi/5K45/MMC4.1.2/Validation/2025_11_29/child/part1/Awake/TC_12_Try1.MF4.xz,child,RadarFC_Master,child (ncap1,2),CPD,dummy</t>
  </si>
  <si>
    <t>/mnt/measurements/07_CANape/Mitsubishi/5K45/MMC4.1.2/Validation/2025_11_29/child/part1/Awake/TC_12_Try2.MF4.xz,child,RadarFC_Master,child (ncap1,2),CPD,dummy</t>
  </si>
  <si>
    <t>/mnt/measurements/07_CANape/Mitsubishi/5K45/MMC4.1.2/Validation/2025_11_29/child/part1/Awake/TC_12_Try3.MF4.xz,child,RadarFC_Master,child (ncap1,2),CPD,dummy</t>
  </si>
  <si>
    <t>/mnt/measurements/07_CANape/Mitsubishi/5K45/MMC5.0.1/5K457EG-11/Real_Child_Measurements/CSR_XCP_Signals_Recorder_2025-12-15_10-23-34_TC12_2L_CPD.MF4.xz,child,RadarFC_Master,child (ncap1,2),CPD,realchild</t>
  </si>
  <si>
    <t>/mnt/measurements/07_CANape/Mitsubishi/5K45/MMC5.0.1/5K457EG-11/Real_Child_Measurements/CSR_XCP_Signals_Recorder_2025-12-15_10-26-15_TC12_2L_CPD.MF4.xz,child,RadarFC_Master,child (ncap1,2),CPD,realchild</t>
  </si>
  <si>
    <t>/mnt/measurements/07_CANape/Mitsubishi/5K45/MMC5.0.1/5K457EG-11/Real_Child_Measurements/CSR_XCP_Signals_Recorder_2025-12-15_10-29-29_TC12_2L_CPD.MF4.xz,child,RadarFC_Master,child (ncap1,2),CPD,realchild</t>
  </si>
  <si>
    <t>/mnt/measurements/07_CANape/Mitsubishi/5K45/MMC5.0.1/5K457EG-11/Real_Child_Measurements/2025_12_16/CSR_XCP_Signals_Recorder_2025-12-16_13-42-41_TC13_1YO2M_CPD.MF4.xz,child,RadarFC_Master,child (ncap1,2),CPD,realchild</t>
  </si>
  <si>
    <t>/mnt/measurements/07_CANape/Mitsubishi/5K45/MMC5.0.1/5K457EG-11/Real_Child_Measurements/CSR_XCP_Signals_Recorder_2025-12-15_10-34-55_TC12_2L_CPD.MF4.xz,child,RadarFC_Master,child (ncap1,2),CPD,realchild</t>
  </si>
  <si>
    <t>/mnt/measurements/07_CANape/Mitsubishi/5K45/5.2.0/5K457EG11/SmokeTest/CPD/CSR_XCP_Signals_Recorder_2026-01-12_13-57-44_TC12.MF4.xz,child,RadarFC_Master,child (ncap1,2),CPD,dummy</t>
  </si>
  <si>
    <t>/mnt/measurements/07_CANape/Mitsubishi/5K45/MMC5.0.2/5K457MG57/SmokeTest/SmokeTest_CPD_TC12.MF4.xz,child,RadarFC_Master,child (ncap1,2),CPD,dummy</t>
  </si>
  <si>
    <t>/mnt/measurements/07_CANape/Mitsubishi/5K45/MMC5.1.1/5K457EG11/Smoke Tests/CSR_XCP_Signals_Recorder_2025-12-22_14-57-30_TC12_CPD.MF4.xz,child,RadarFC_Master,child (ncap1,2),CPD,dummy</t>
  </si>
  <si>
    <t>/mnt/measurements/07_CANape/Mitsubishi/5K45/MMC5.1.1/5K457EG11/Smoke Tests/CSR_XCP_Signals_Recorder_2025-12-22_15-01-04_TC12_CPD.MF4.xz,child,RadarFC_Master,child (ncap1,2),CPD,dummy</t>
  </si>
  <si>
    <t>/mnt/measurements/07_CANape/Mitsubishi/5K45/MMC5.1.0/5K457MG47/SmokeTest/CPD_SmokeTest_TS12.MF4.xz,child,RadarFC_Master,child (ncap1,2),CPD,dummy</t>
  </si>
  <si>
    <t>/mnt/measurements/07_CANape/Mitsubishi/5K45/5.3.0_RC6.2/5K457EG11/FP_Test_Cases_Renamed/CSR_XCP_Signals_Recorder_2026-02-02_11-42-23_TC12_Added_Sunshield.MF4.xz,child,RadarFC_Master,child (ncap1,2),CPD,dummy</t>
  </si>
  <si>
    <t>/mnt/measurements/07_CANape/Mitsubishi/5K45/MMC5.0.1/5K457EG-11/Real_Child_Measurements/2025_12_16/CSR_XCP_Signals_Recorder_2025-12-16_13-37-27_TC13_1YO2M_CPD.MF4.xz,child,RadarFC_Master,child (ncap1,2),CPD,realchild</t>
  </si>
  <si>
    <t>/mnt/measurements/07_CANape/Mitsubishi/5K45/MMC5.0.1/5K457EG-11/Real_Child_Measurements/2025_12_16/CSR_XCP_Signals_Recorder_2025-12-16_13-40-05_TC13_1YO2M_CPD.MF4.xz,child,RadarFC_Master,child (ncap1,2),CPD,realchild</t>
  </si>
  <si>
    <t>/mnt/measurements/07_CANape/Mitsubishi/5K45/MMC5.0.1/5K457EG-11/Real_Child_Measurements/2025_12_16/CSR_XCP_Signals_Recorder_2025-12-16_13-45-09_TC13_1YO2M_CPD.MF4.xz,child,RadarFC_Master,child (ncap1,2),CPD,realchild</t>
  </si>
  <si>
    <t>/mnt/measurements/07_CANape/Mitsubishi/5K45/MMC5.0.1/5K457EG-11/Real_Child_Measurements/2025_12_16/CSR_XCP_Signals_Recorder_2025-12-16_13-48-04_TC13_1YO2M_CPD.MF4.xz,child,RadarFC_Master,child (ncap1,2),CPD,realchild</t>
  </si>
  <si>
    <t>/mnt/measurements/07_CANape/Mitsubishi/5K45/MMC4.1.2/Validation/child/Awake/TC_14.MF4.xz,child,RadarFC_Master,child (ncap1,2),CPD,dummy</t>
  </si>
  <si>
    <t>/mnt/measurements/07_CANape/Mitsubishi/5K45/MMC4.1.2/Validation/2025_11_29/child/part1/Awake/TC_14_Try1.MF4.xz,child,RadarFC_Master,child (ncap1,2),CPD,dummy</t>
  </si>
  <si>
    <t>/mnt/measurements/07_CANape/Mitsubishi/5K45/MMC4.1.2/Validation/2025_11_29/child/part1/Awake/TC_14_Try2.MF4.xz,child,RadarFC_Master,child (ncap1,2),CPD,dummy</t>
  </si>
  <si>
    <t>/mnt/measurements/07_CANape/Mitsubishi/5K45/MMC4.1.2/Validation/2025_11_29/child/part1/Awake/TC_14_Try3.MF4.xz,child,RadarFC_Master,child (ncap1,2),CPD,dummy</t>
  </si>
  <si>
    <t>/mnt/measurements/07_CANape/Mitsubishi/5K45/MMC5.0.1/5K457EG-11/Real_Child_Measurements/2025_12_16/CSR_XCP_Signals_Recorder_2025-12-16_14-19-18_TC14_1YO3R_CPD.MF4.xz,child,RadarFC_Master,child (ncap1,2),CPD,realchild</t>
  </si>
  <si>
    <t>/mnt/measurements/07_CANape/Mitsubishi/5K45/MMC5.0.1/5K457EG-11/Real_Child_Measurements/2025_12_16/CSR_XCP_Signals_Recorder_2025-12-16_14-26-59_TC14_1YO3R_CPD.MF4.xz,child,RadarFC_Master,child (ncap1,2),CPD,realchild</t>
  </si>
  <si>
    <t>/mnt/measurements/07_CANape/Mitsubishi/5K45/MMC5.0.1/5K457EG-11/Real_Child_Measurements/2025_12_16/CSR_XCP_Signals_Recorder_2025-12-16_14-32-38_TC14_1YO3R_CPD.MF4.xz,child,RadarFC_Master,child (ncap1,2),CPD,realchild</t>
  </si>
  <si>
    <t>/mnt/measurements/07_CANape/Mitsubishi/5K45/MMC5.0.1/5K457EG-11/Real_Child_Measurements/2025_12_16/CSR_XCP_Signals_Recorder_2025-12-16_14-37-07_TC14_1YO3R_CPD.MF4.xz,child,RadarFC_Master,child (ncap1,2),CPD,realchild</t>
  </si>
  <si>
    <t>/mnt/measurements/07_CANape/Mitsubishi/5K45/MMC5.0.1/5K457EG-11/Real_Child_Measurements/2025_12_16/CSR_XCP_Signals_Recorder_2025-12-16_14-41-03_TC14_1YO3R_CPD.MF4.xz,child,RadarFC_Master,child (ncap1,2),CPD,realchild</t>
  </si>
  <si>
    <t>/mnt/measurements/07_CANape/Mitsubishi/5K45/5.3.0_RC6.2/5K457EG11/FP_Test_Cases_Renamed/CSR_XCP_Signals_Recorder_2026-02-02_11-50-31_TC14.MF4.xz,child,RadarFC_Master,child (ncap1,2),CPD,dummy</t>
  </si>
  <si>
    <t>/mnt/measurements/07_CANape/Mitsubishi/5K45/MMC5.0.1/5K457EG-11/Real_Child_Measurements/2025_12_16/CSR_XCP_Signals_Recorder_2025-12-16_13-22-54_TC15_1YO3R_CPD.MF4.xz,child,RadarFC_Master,child (ncap1,2),CPD,realchild</t>
  </si>
  <si>
    <t>/mnt/measurements/07_CANape/Mitsubishi/5K45/MMC5.0.1/5K457EG-11/Real_Child_Measurements/2025_12_16/CSR_XCP_Signals_Recorder_2025-12-16_13-25-33_TC15_1YO3R_CPD.MF4.xz,child,RadarFC_Master,child (ncap1,2),CPD,realchild</t>
  </si>
  <si>
    <t>/mnt/measurements/07_CANape/Mitsubishi/5K45/5.2.0/5K457EG11/Real_Childs/CPD_TC16_Try1.MF4.xz,child,RadarFC_Master,child (ncap1,2),CPD,realchild</t>
  </si>
  <si>
    <t>/mnt/measurements/07_CANape/Mitsubishi/5K45/5.2.0/5K457EG11/Real_Childs/CPD_TC16_Try2.MF4.xz,child,RadarFC_Master,child (ncap1,2),CPD,realchild</t>
  </si>
  <si>
    <t>/mnt/measurements/07_CANape/Mitsubishi/5K45/MMC5.0.1/5K457EG-11/Real_Child_Measurements/2025_12_16/CSR_XCP_Signals_Recorder_2025-12-16_13-28-12_TC15_1YO3R_CPD.MF4.xz,child,RadarFC_Master,child (ncap1,2),CPD,realchild</t>
  </si>
  <si>
    <t>/mnt/measurements/07_CANape/Mitsubishi/5K45/5.2.0/5K457EG11/Real_Childs/CPD_TC16_Try4.MF4.xz,child,RadarFC_Master,child (ncap1,2),CPD,realchild</t>
  </si>
  <si>
    <t>/mnt/measurements/07_CANape/Mitsubishi/5K45/MMC5.0.1/5K457EG-11/Real_Child_Measurements/2025_12_16/CSR_XCP_Signals_Recorder_2025-12-16_13-30-53_TC15_1YO3R_CPD.MF4.xz,child,RadarFC_Master,child (ncap1,2),CPD,realchild</t>
  </si>
  <si>
    <t>/mnt/measurements/07_CANape/Mitsubishi/5K45/MMC5.0.1/5K457EG-11/Real_Child_Measurements/2025_12_16/CSR_XCP_Signals_Recorder_2025-12-16_13-33-33_TC15_1YO3R_CPD.MF4.xz,child,RadarFC_Master,child (ncap1,2),CPD,realchild</t>
  </si>
  <si>
    <t>/mnt/measurements/07_CANape/Mitsubishi/5K45/MMC4.1.2/Validation/2025_11_29/child/part1/Awake/TC_16_Try2.MF4.xz,child,RadarFC_Master,child (ncap1,2),CPD,dummy</t>
  </si>
  <si>
    <t>/mnt/measurements/07_CANape/Mitsubishi/5K45/MMC4.1.2/Validation/2025_11_29/child/part1/Awake/TC_16_Try3.MF4.xz,child,RadarFC_Master,child (ncap1,2),CPD,dummy</t>
  </si>
  <si>
    <t>/mnt/measurements/07_CANape/Mitsubishi/5K45/MMC4.1.2/Validation/child/Awake/TC_16.MF4.xz,child,RadarFC_Master,child (ncap1,2),CPD,dummy</t>
  </si>
  <si>
    <t>/mnt/measurements/07_CANape/Mitsubishi/5K45/MMC4.1.2/Validation/child/Awake/TC_16_Try2.MF4.xz,child,RadarFC_Master,child (ncap1,2),CPD,dummy</t>
  </si>
  <si>
    <t>/mnt/measurements/07_CANape/Mitsubishi/5K45/MMC4.1.2/Validation/child/Awake/TC_16_Try3.MF4.xz,child,RadarFC_Master,child (ncap1,2),CPD,dummy</t>
  </si>
  <si>
    <t>/mnt/measurements/07_CANape/Mitsubishi/5K45/5.2.0/5K457EG11/SmokeTest/CPD/CSR_XCP_Signals_Recorder_2026-01-12_14-05-41_TC16.MF4.xz,child,RadarFC_Master,child (ncap1,2),CPD,dummy</t>
  </si>
  <si>
    <t>/mnt/measurements/07_CANape/Mitsubishi/5K45/MMC4.1.2/Validation/2025_11_29/child/part1/Awake/TC_16_Try1.MF4.xz,child,RadarFC_Master,child (ncap1,2),CPD,dummy</t>
  </si>
  <si>
    <t>/mnt/measurements/07_CANape/Mitsubishi/5K45/5.2.0/5K457EG11/Real_Childs/CPD_TC16_Try3.MF4.xz,child,RadarFC_Master,child (ncap1,2),CPD,realchild</t>
  </si>
  <si>
    <t>/mnt/measurements/07_CANape/Mitsubishi/5K45/5.2.0/5K457EG11/Real_Childs/CPD_TC16_Try5.MF4.xz,child,RadarFC_Master,child (ncap1,2),CPD,realchild</t>
  </si>
  <si>
    <t>/mnt/measurements/07_CANape/Mitsubishi/5K45/MMC5.0.2/5K457EG11/RealChild/CPD_TC17_Try1.MF4.xz,child,RadarFC_Master,child (ncap1,2),CPD,realchild</t>
  </si>
  <si>
    <t>/mnt/measurements/07_CANape/Mitsubishi/5K45/MMC5.0.2/5K457EG11/RealChild/CPD_TC17_Try2.MF4.xz,child,RadarFC_Master,child (ncap1,2),CPD,realchild</t>
  </si>
  <si>
    <t>/mnt/measurements/07_CANape/Mitsubishi/5K45/MMC5.0.2/5K457EG11/RealChild/CPD_TC17_Try3.MF4.xz,child,RadarFC_Master,child (ncap1,2),CPD,realchild</t>
  </si>
  <si>
    <t>/mnt/measurements/07_CANape/Mitsubishi/5K45/MMC5.0.2/5K457EG11/RealChild/CPD_TC17_Try4.MF4.xz,child,RadarFC_Master,child (ncap1,2),CPD,realchild</t>
  </si>
  <si>
    <t>/mnt/measurements/07_CANape/Mitsubishi/5K45/MMC5.0.2/5K457EG11/RealChild/CPD_TC17_Try5.MF4.xz,child,RadarFC_Master,child (ncap1,2),CPD,realchild</t>
  </si>
  <si>
    <t>/mnt/measurements/07_CANape/Mitsubishi/5K45/MMC5.1.0/5K457EG11/CSR_XCP_Signals_Recorder_2025-12-18_15-59-42_TC17_CPD.MF4.xz,child,RadarFC_Master,child (ncap1,2),CPD,realchild</t>
  </si>
  <si>
    <t>/mnt/measurements/07_CANape/Mitsubishi/5K45/MMC5.1.0/5K457EG11/CSR_XCP_Signals_Recorder_2025-12-18_16-02-16_TC17_CPD.MF4.xz,child,RadarFC_Master,child (ncap1,2),CPD,realchild</t>
  </si>
  <si>
    <t>/mnt/measurements/07_CANape/Mitsubishi/5K45/5.3.0_RC6/Customer_Testing/Real_Child_Measurements/CSR_XCP_Signals_Recorder_2026-01-29_16-06-49_TC17.MF4.xz,error,RadarFC_Master,error,CPD,realchild</t>
  </si>
  <si>
    <t>/mnt/measurements/07_CANape/Mitsubishi/5K45/MMC5.1.0/5K457EG11/CSR_XCP_Signals_Recorder_2025-12-18_16-04-43_TC17_CPD.MF4.xz,child,RadarFC_Master,child (ncap1,2),CPD,realchild</t>
  </si>
  <si>
    <t>/mnt/measurements/07_CANape/Mitsubishi/5K45/MMC5.1.0/5K457EG11/CSR_XCP_Signals_Recorder_2025-12-18_16-06-30_TC17_CPD.MF4.xz,child,RadarFC_Master,child (ncap1,2),CPD,realchild</t>
  </si>
  <si>
    <t>/mnt/measurements/07_CANape/Mitsubishi/5K45/MMC5.1.0/5K457EG11/CSR_XCP_Signals_Recorder_2025-12-18_16-08-07_TC17_CPD.MF4.xz,child,RadarFC_Master,child (ncap1,2),CPD,realchild</t>
  </si>
  <si>
    <t>/mnt/measurements/07_CANape/Mitsubishi/5K45/MMC5.1.0/5K457EG11/CSR_XCP_Signals_Recorder_2025-12-23_11-49-41_TC17_CPD.MF4.xz,child,RadarFC_Master,child (ncap1,2),CPD,realchild</t>
  </si>
  <si>
    <t>/mnt/measurements/07_CANape/Mitsubishi/5K45/MMC5.1.0/5K457EG11/CSR_XCP_Signals_Recorder_2025-12-23_11-51-13_TC17_CPD.MF4.xz,child,RadarFC_Master,child (ncap1,2),CPD,realchild</t>
  </si>
  <si>
    <t>/mnt/measurements/07_CANape/Mitsubishi/5K45/MMC5.1.0/5K457EG11/CSR_XCP_Signals_Recorder_2025-12-23_11-52-43_TC17_CPD.MF4.xz,child,RadarFC_Master,child (ncap1,2),CPD,realchild</t>
  </si>
  <si>
    <t>/mnt/measurements/07_CANape/Mitsubishi/5K45/MMC5.1.0/5K457EG11/CSR_XCP_Signals_Recorder_2025-12-23_11-54-15_TC17_CPD.MF4.xz,child,RadarFC_Master,child (ncap1,2),CPD,realchild</t>
  </si>
  <si>
    <t>/mnt/measurements/07_CANape/Mitsubishi/5K45/MMC5.1.0/5K457EG11/CSR_XCP_Signals_Recorder_2025-12-23_11-56-52_TC17_CPD.MF4.xz,child,RadarFC_Master,child (ncap1,2),CPD,realchild</t>
  </si>
  <si>
    <t>/mnt/measurements/07_CANape/Mitsubishi/5K45/5.3.0_RC6/Customer_Testing/Real_Child_Measurements/CSR_XCP_Signals_Recorder_2026-01-29_16-04-22_TC17.MF4.xz,child,RadarFC_Master,child (ncap1,2),CPD,realchild</t>
  </si>
  <si>
    <t>/mnt/measurements/07_CANape/Mitsubishi/5K45/5.3.0_RC6/Customer_Testing/Real_Child_Measurements/CSR_XCP_Signals_Recorder_2026-01-29_16-05-49_TC17.MF4.xz,child,RadarFC_Master,child (ncap1,2),CPD,realchild</t>
  </si>
  <si>
    <t>/mnt/measurements/07_CANape/Mitsubishi/5K45/MMC5.0.0_RC3/Real_Child_Tests/CSR_XCP_Signals_Recorder_2025-12-11_11-28-54_TC20_3YO_2M_CPD.MF4.xz,child,RadarFC_Master,child (ncap1,2),CPD,realchild</t>
  </si>
  <si>
    <t>/mnt/measurements/07_CANape/Mitsubishi/5K45/MMC5.0.0_RC3/Real_Child_Tests/CSR_XCP_Signals_Recorder_2025-12-11_11-11-53_TC18_3YO_2R_CPD.MF4.xz,child,RadarFC_Master,child (ncap1,2),CPD,realchild</t>
  </si>
  <si>
    <t>/mnt/measurements/07_CANape/Mitsubishi/5K45/MMC5.0.0_RC3/Real_Child_Tests/CSR_XCP_Signals_Recorder_2025-12-11_11-13-35_TC18_3YO_2R_CPD.MF4.xz,child,RadarFC_Master,child (ncap1,2),CPD,realchild</t>
  </si>
  <si>
    <t>/mnt/measurements/07_CANape/Mitsubishi/5K45/MMC5.0.2/5K457MG57/SmokeTest/SmokeTest_CPD_TC20.MF4.xz,remove, real child mea available,RadarFC_Master,remove, real child mea available (ncap1,2),CPD,dummy</t>
  </si>
  <si>
    <t>/mnt/measurements/07_CANape/Mitsubishi/5K45/5.2.0/5K457EG11/SmokeTest/CPD/CSR_XCP_Signals_Recorder_2026-01-12_15-25-03_TC20.MF4.xz,remove, real child mea available,RadarFC_Master,remove, real child mea available (ncap1,2),CPD,dummy</t>
  </si>
  <si>
    <t>/mnt/measurements/07_CANape/Mitsubishi/5K45/MMC5.1.0/5K457MG47/SmokeTest/CPD_SmokeTest_TS20.MF4.xz,remove, real child mea available,RadarFC_Master,remove, real child mea available (ncap1,2),CPD,dummy</t>
  </si>
  <si>
    <t>/mnt/measurements/07_CANape/Mitsubishi/5K45/MMC5.0.0_RC3/Real_Child_Tests/CSR_XCP_Signals_Recorder_2025-12-11_11-16-51_TC18_3YO_2R_CPD.MF4.xz,child,RadarFC_Master,child (ncap1,2),CPD,realchild</t>
  </si>
  <si>
    <t>/mnt/measurements/07_CANape/Mitsubishi/5K45/MMC5.0.0_RC3/Real_Child_Tests/CSR_XCP_Signals_Recorder_2025-12-11_11-18-13_TC18_3YO_2R_CPD.MF4.xz,child,RadarFC_Master,child (ncap1,2),CPD,realchild</t>
  </si>
  <si>
    <t>/mnt/measurements/07_CANape/Mitsubishi/5K45/MMC5.0.0_RC3/Real_Child_Tests/CSR_XCP_Signals_Recorder_2025-12-11_11-19-38_TC18_3YO_2R_CPD.MF4.xz,child,RadarFC_Master,child (ncap1,2),CPD,realchild</t>
  </si>
  <si>
    <t>/mnt/measurements/07_CANape/Mitsubishi/5K45/MMC4.1.2/Validation/2025_11_29/child/part1/Awake/TC_19_Try3.MF4.xz/TC_19_Try1.MF4.xz,child,RadarFC_Master,child (ncap1,2),CPD,dummy</t>
  </si>
  <si>
    <t>/mnt/measurements/07_CANape/Mitsubishi/5K45/MMC4.1.2/Validation/2025_11_29/child/part1/Awake/TC_19_Try3.MF4.xz/TC_19_Try2.MF4.xz,child,RadarFC_Master,child (ncap1,2),CPD,dummy</t>
  </si>
  <si>
    <t>/mnt/measurements/07_CANape/Mitsubishi/5K45/MMC4.1.2/Validation/2025_11_29/child/part1/Awake/TC_19_Try3.MF4.xz/TC_19_Try3.MF4.xz,child,RadarFC_Master,child (ncap1,2),CPD,dummy</t>
  </si>
  <si>
    <t>/mnt/measurements/07_CANape/Mitsubishi/5K45/MMC5.0.0_RC3/Real_Child_Tests/CSR_XCP_Signals_Recorder_2025-12-11_11-27-04_TC20_3YO_2M_CPD.MF4.xz,child,RadarFC_Master,child (ncap1,2),CPD,realchild</t>
  </si>
  <si>
    <t>/mnt/measurements/07_CANape/Mitsubishi/5K45/MMC5.0.0_RC3/Real_Child_Tests/CSR_XCP_Signals_Recorder_2025-12-11_11-28-02_TC20_3YO_2M_CPD.MF4.xz,child,RadarFC_Master,child (ncap1,2),CPD,realchild</t>
  </si>
  <si>
    <t>/mnt/measurements/07_CANape/Mitsubishi/5K45/MMC5.0.0_RC3/Real_Child_Tests/CSR_XCP_Signals_Recorder_2025-12-11_11-29-44_TC20_3YO_2M_CPD.MF4.xz,child,RadarFC_Master,child (ncap1,2),CPD,realchild</t>
  </si>
  <si>
    <t>/mnt/measurements/07_CANape/Mitsubishi/5K45/MMC5.0.0_RC3/Real_Child_Tests/CSR_XCP_Signals_Recorder_2025-12-11_11-30-35_TC20_3YO_2M_CPD.MF4.xz,child,RadarFC_Master,child (ncap1,2),CPD,realchild</t>
  </si>
  <si>
    <t>/mnt/measurements/07_CANape/Mitsubishi/5K45/MMC4.1.2/Validation/2025_11_29/child/part2/Awake/TC_21_Try1.MF4.xz,child,RadarFC_Master,child (ncap1,2),CPD,dummy</t>
  </si>
  <si>
    <t>/mnt/measurements/07_CANape/Mitsubishi/5K45/MMC4.1.2/Validation/2025_11_29/child/part2/Awake/TC_21_Try2.MF4.xz,child,RadarFC_Master,child (ncap1,2),CPD,dummy</t>
  </si>
  <si>
    <t>/mnt/measurements/07_CANape/Mitsubishi/5K45/MMC4.1.2/Validation/2025_11_29/child/part2/Awake/TC_21_Try3.MF4.xz,child,RadarFC_Master,child (ncap1,2),CPD,dummy</t>
  </si>
  <si>
    <t>/mnt/measurements/07_CANape/Mitsubishi/5K45/MMC5.0.0_RC3/Real_Child_Tests/CSR_XCP_Signals_Recorder_2025-12-11_11-38-48_TC22_3YO_3L_CPD.MF4.xz,child,RadarFC_Master,child (ncap1,2),CPD,realchild</t>
  </si>
  <si>
    <t>/mnt/measurements/07_CANape/Mitsubishi/5K45/MMC5.0.0_RC3/Real_Child_Tests/CSR_XCP_Signals_Recorder_2025-12-10_10-26-20_TC23_6YOPS_CPD.MF4.xz,file error,RadarFC_Master,file error (ncap1,2),CPD,realchild</t>
  </si>
  <si>
    <t>/mnt/measurements/07_CANape/Mitsubishi/5K45/MMC5.1.0/5K457EG11/CSR_XCP_Signals_Recorder_2025-12-19_10-49-48_TC23_CPD.MF4.xz,remove, real child mea available,RadarFC_Master,remove, real child mea available (ncap1,2),CPD,dummy</t>
  </si>
  <si>
    <t>/mnt/measurements/07_CANape/Mitsubishi/5K45/MMC5.1.0/5K457EG11/CSR_XCP_Signals_Recorder_2025-12-19_10-50-56_TC23_CPD.MF4.xz,remove, real child mea available,RadarFC_Master,remove, real child mea available (ncap1,2),CPD,dummy</t>
  </si>
  <si>
    <t>/mnt/measurements/07_CANape/Mitsubishi/5K45/MMC5.1.0/5K457EG11/CSR_XCP_Signals_Recorder_2025-12-19_10-52-04_TC23_CPD.MF4.xz,remove, real child mea available,RadarFC_Master,remove, real child mea available (ncap1,2),CPD,dummy</t>
  </si>
  <si>
    <t>/mnt/measurements/07_CANape/Mitsubishi/5K45/MMC5.0.0_RC3/Real_Child_Tests/CSR_XCP_Signals_Recorder_2025-12-11_11-39-36_TC22_3YO_3L_CPD.MF4.xz,child,RadarFC_Master,child (ncap1,2),CPD,realchild</t>
  </si>
  <si>
    <t>/mnt/measurements/07_CANape/Mitsubishi/5K45/MMC5.0.0_RC3/Real_Child_Tests/CSR_XCP_Signals_Recorder_2025-12-11_11-40-24_TC22_3YO_3L_CPD.MF4.xz,child,RadarFC_Master,child (ncap1,2),CPD,realchild</t>
  </si>
  <si>
    <t>/mnt/measurements/07_CANape/Mitsubishi/5K45/MMC5.0.0_RC3/Real_Child_Tests/CSR_XCP_Signals_Recorder_2025-12-11_11-41-12_TC22_3YO_3L_CPD.MF4.xz,child,RadarFC_Master,child (ncap1,2),CPD,realchild</t>
  </si>
  <si>
    <t>/mnt/measurements/07_CANape/Mitsubishi/5K45/MMC5.0.0_RC3/Real_Child_Tests/CSR_XCP_Signals_Recorder_2025-12-11_11-42-00_TC22_3YO_3L_CPD.MF4.xz,child,RadarFC_Master,child (ncap1,2),CPD,realchild</t>
  </si>
  <si>
    <t>/mnt/measurements/07_CANape/Mitsubishi/5K45/MMC5.0.0_RC3/Real_Child_Tests/CSR_XCP_Signals_Recorder_2025-12-10_10-07-16_TC23_6YOPS_CPD.MF4.xz,child,RadarFC_Master,child (ncap1,2),CPD,realchild</t>
  </si>
  <si>
    <t>/mnt/measurements/07_CANape/Mitsubishi/5K45/MMC5.0.0_RC3/Real_Child_Tests/CSR_XCP_Signals_Recorder_2025-12-10_10-08-48_TC23_6YOPS_CPD.MF4.xz,child,RadarFC_Master,child (ncap1,2),CPD,realchild</t>
  </si>
  <si>
    <t>/mnt/measurements/07_CANape/Mitsubishi/5K45/MMC4.1.2/Validation/2025_11_29/child/part2/Sleep/TC_24_Try1.MF4.xz,remove, real child mea available,RadarFC_Master,remove, real child mea available (ncap1,2),CPD,dummy</t>
  </si>
  <si>
    <t>/mnt/measurements/07_CANape/Mitsubishi/5K45/MMC4.1.2/Validation/2025_11_29/child/part2/Sleep/TC_24_Try2.MF4.xz,remove, real child mea available,RadarFC_Master,remove, real child mea available (ncap1,2),CPD,dummy</t>
  </si>
  <si>
    <t>/mnt/measurements/07_CANape/Mitsubishi/5K45/MMC4.1.2/Validation/2025_11_29/child/part2/Sleep/TC_24_Try3.MF4.xz,remove, real child mea available,RadarFC_Master,remove, real child mea available (ncap1,2),CPD,dummy</t>
  </si>
  <si>
    <t>/mnt/measurements/07_CANape/Mitsubishi/5K45/5.2.0/5K457EG11/SmokeTest/CPD/CSR_XCP_Signals_Recorder_2026-01-12_14-43-04_TC24.MF4.xz,remove, real child mea available,RadarFC_Master,remove, real child mea available (ncap1,2),CPD,dummy</t>
  </si>
  <si>
    <t>/mnt/measurements/07_CANape/Mitsubishi/5K45/MMC5.0.0_RC3/Real_Child_Tests/CSR_XCP_Signals_Recorder_2025-12-10_10-11-52_TC23_6YOPS_CPD.MF4.xz,child,RadarFC_Master,child (ncap1,2),CPD,realchild</t>
  </si>
  <si>
    <t>/mnt/measurements/07_CANape/Mitsubishi/5K45/MMC5.0.0_RC3/Real_Child_Tests/CSR_XCP_Signals_Recorder_2025-12-10_10-15-38_TC23_6YOPS_CPD.MF4.xz,child,RadarFC_Master,child (ncap1,2),CPD,realchild</t>
  </si>
  <si>
    <t>/mnt/measurements/07_CANape/Mitsubishi/5K45/MMC5.0.0_RC3/Real_Child_Tests/CSR_XCP_Signals_Recorder_2025-12-10_10-19-04_TC23_6YOPS_CPD.MF4.xz,child,RadarFC_Master,child (ncap1,2),CPD,realchild</t>
  </si>
  <si>
    <t>/mnt/measurements/07_CANape/Mitsubishi/5K45/MMC5.0.0_RC3/Real_Child_Tests/CSR_XCP_Signals_Recorder_2025-12-10_10-22-02_TC23_6YOPS_CPD.MF4.xz,child,RadarFC_Master,child (ncap1,2),CPD,realchild</t>
  </si>
  <si>
    <t>/mnt/measurements/07_CANape/Mitsubishi/5K45/5.3.0_RC6/Customer_Testing/Real_Child_Measurements/CSR_XCP_Signals_Recorder_2026-01-30_16-30-52_TC23.MF4.xz,child,RadarFC_Master,child (ncap1,2),CPD,realchild</t>
  </si>
  <si>
    <t>/mnt/measurements/07_CANape/Mitsubishi/5K45/MMC5.0.2/5K457MG57/SmokeTest/SmokeTest_CPD_TC24.MF4.xz,remove, real child mea available,RadarFC_Master,remove, real child mea available (ncap1,2),CPD,dummy</t>
  </si>
  <si>
    <t>/mnt/measurements/07_CANape/Mitsubishi/5K45/5.3.0_RC6/Customer_Testing/Real_Child_Measurements/CSR_XCP_Signals_Recorder_2026-01-30_16-31-33_TC23.MF4.xz,child,RadarFC_Master,child (ncap1,2),CPD,realchild</t>
  </si>
  <si>
    <t>/mnt/measurements/07_CANape/Mitsubishi/5K45/5.3.0_RC6/Customer_Testing/Real_Child_Measurements/6YO/CSR_XCP_Signals_Recorder_2026-01-30_14-03-06_TC23.MF4.xz,child,RadarFC_Master,child (ncap1,2),CPD,realchild</t>
  </si>
  <si>
    <t>/mnt/measurements/07_CANape/Mitsubishi/5K45/5.3.0_RC6/Customer_Testing/Real_Child_Measurements/6YO/CSR_XCP_Signals_Recorder_2026-01-30_14-03-57_TC23.MF4.xz,child,RadarFC_Master,child (ncap1,2),CPD,realchild</t>
  </si>
  <si>
    <t>/mnt/measurements/07_CANape/Mitsubishi/5K45/5.3.0_RC6/Customer_Testing/Real_Child_Measurements/6YO/CSR_XCP_Signals_Recorder_2026-01-30_14-04-44_TC23.MF4.xz,child,RadarFC_Master,child (ncap1,2),CPD,realchild</t>
  </si>
  <si>
    <t>/mnt/measurements/07_CANape/Mitsubishi/5K45/5.3.0_RC6/Customer_Testing/Real_Child_Measurements/6YO/CSR_XCP_Signals_Recorder_2026-01-30_14-05-25_TC23.MF4.xz,child,RadarFC_Master,child (ncap1,2),CPD,realchild</t>
  </si>
  <si>
    <t>/mnt/measurements/07_CANape/Mitsubishi/5K45/5.3.0_RC7/5K457EG11/RealChild/CSR_XCP_Signals_Recorder_2026-02-04_17-07-40_CPD_TC23_with_reset.MF4.xz,child,RadarFC_Master,child (ncap1,2),CPD,realchild</t>
  </si>
  <si>
    <t>/mnt/measurements/07_CANape/Mitsubishi/5K45/5.3.0_RC7/5K457EG11/RealChild/CSR_XCP_Signals_Recorder_2026-02-04_17-08-51_CPD_TC23_with_reset.MF4.xz,child,RadarFC_Master,child (ncap1,2),CPD,realchild</t>
  </si>
  <si>
    <t>/mnt/measurements/07_CANape/Mitsubishi/5K45/5.3.0_RC7/5K457EG11/RealChild/CSR_XCP_Signals_Recorder_2026-02-04_17-10-10_CPD_TC23_with_reset.MF4.xz,child,RadarFC_Master,child (ncap1,2),CPD,realchild</t>
  </si>
  <si>
    <t>/mnt/measurements/07_CANape/Mitsubishi/5K45/MMC5.1.0/5K457EG11/CSR_XCP_Signals_Recorder_2025-12-19_10-39-58_TC25_CPD.MF4.xz,remove, real child mea available,RadarFC_Master,remove, real child mea available (ncap1,2),CPD,dummy</t>
  </si>
  <si>
    <t>/mnt/measurements/07_CANape/Mitsubishi/5K45/MMC5.1.0/5K457EG11/CSR_XCP_Signals_Recorder_2025-12-19_10-41-06_TC25_CPD.MF4.xz,remove, real child mea available,RadarFC_Master,remove, real child mea available (ncap1,2),CPD,dummy</t>
  </si>
  <si>
    <t>/mnt/measurements/07_CANape/Mitsubishi/5K45/MMC5.1.0/5K457EG11/CSR_XCP_Signals_Recorder_2025-12-19_10-42-12_TC25_CPD.MF4.xz,remove, real child mea available,RadarFC_Master,remove, real child mea available (ncap1,2),CPD,dummy</t>
  </si>
  <si>
    <t>/mnt/measurements/07_CANape/Mitsubishi/5K45/MMC5.0.2/5K457EG11/RealChild/CPD_TC24_Try1.MF4.xz,child,RadarFC_Master,child (ncap1,2),CPD,realchild</t>
  </si>
  <si>
    <t>/mnt/measurements/07_CANape/Mitsubishi/5K45/MMC5.0.2/5K457EG11/RealChild/CPD_TC24_Try2.MF4.xz,child,RadarFC_Master,child (ncap1,2),CPD,realchild</t>
  </si>
  <si>
    <t>/mnt/measurements/07_CANape/Mitsubishi/5K45/MMC5.0.2/5K457EG11/RealChild/CPD_TC24_Try3.MF4.xz,child,RadarFC_Master,child (ncap1,2),CPD,realchild</t>
  </si>
  <si>
    <t>/mnt/measurements/07_CANape/Mitsubishi/5K45/MMC5.0.2/5K457EG11/RealChild/CPD_TC24_Try4.MF4.xz,child,RadarFC_Master,child (ncap1,2),CPD,realchild</t>
  </si>
  <si>
    <t>/mnt/measurements/07_CANape/Mitsubishi/5K45/5.3.0_RC6/Customer_Testing/Real_Child_Measurements/6YO/CSR_XCP_Signals_Recorder_2026-01-30_14-09-40_TC25.MF4.xz,error,RadarFC_Master,error (ncap1,2),CPD,realchild</t>
  </si>
  <si>
    <t>/mnt/measurements/07_CANape/Mitsubishi/5K45/MMC5.0.2/5K457EG11/RealChild/CPD_TC24_Try5.MF4.xz,child,RadarFC_Master,child (ncap1,2),CPD,realchild</t>
  </si>
  <si>
    <t>/mnt/measurements/07_CANape/Mitsubishi/5K45/MMC4.1.2/Validation/2025_11_29/child/part2/Sleep/TC_26_Try1.MF4.xz,remove, real child mea available,RadarFC_Master,remove, real child mea available (ncap1,2),CPD,dummy</t>
  </si>
  <si>
    <t>/mnt/measurements/07_CANape/Mitsubishi/5K45/MMC4.1.2/Validation/2025_11_29/child/part2/Sleep/TC_26_Try2.MF4.xz,remove, real child mea available,RadarFC_Master,remove, real child mea available (ncap1,2),CPD,dummy</t>
  </si>
  <si>
    <t>/mnt/measurements/07_CANape/Mitsubishi/5K45/MMC4.1.2/Validation/2025_11_29/child/part2/Sleep/TC_26_Try3.MF4.xz,remove, real child mea available,RadarFC_Master,remove, real child mea available (ncap1,2),CPD,dummy</t>
  </si>
  <si>
    <t>/mnt/measurements/07_CANape/Mitsubishi/5K45/5.3.0_RC6/Customer_Testing/Real_Child_Measurements/CSR_XCP_Signals_Recorder_2026-01-30_16-08-33_TC26.MF4.xz,Doors are not locked,RadarFC_Master,Doors are not locked (ncap1,2),CPD,realchild</t>
  </si>
  <si>
    <t>/mnt/measurements/07_CANape/Mitsubishi/5K45/5.3.0_RC6/Customer_Testing/Real_Child_Measurements/CSR_XCP_Signals_Recorder_2026-01-30_16-01-23_TC24.MF4.xz,child,RadarFC_Master,child (ncap1,2),CPD,realchild</t>
  </si>
  <si>
    <t>/mnt/measurements/07_CANape/Mitsubishi/5K45/5.3.0_RC6/Customer_Testing/Real_Child_Measurements/CSR_XCP_Signals_Recorder_2026-01-30_16-02-33_TC24.MF4.xz,child,RadarFC_Master,child (ncap1,2),CPD,realchild</t>
  </si>
  <si>
    <t>/mnt/measurements/07_CANape/Mitsubishi/5K45/5.3.0_RC6/Customer_Testing/Real_Child_Measurements/CSR_XCP_Signals_Recorder_2026-01-30_16-03-40_TC24.MF4.xz,child,RadarFC_Master,child (ncap1,2),CPD,realchild</t>
  </si>
  <si>
    <t>/mnt/measurements/07_CANape/Mitsubishi/5K45/MMC5.0.0_RC3/Real_Child_Tests/CSR_XCP_Signals_Recorder_2025-12-10_10-28-27_TC25_6YO2RL_CPD.MF4.xz,child,RadarFC_Master,child (ncap1,2),CPD,realchild</t>
  </si>
  <si>
    <t>/mnt/measurements/07_CANape/Mitsubishi/5K45/MMC5.0.0_RC3/Real_Child_Tests/CSR_XCP_Signals_Recorder_2025-12-10_10-31-22_TC25_6YO2RL_CPD.MF4.xz,child,RadarFC_Master,child (ncap1,2),CPD,realchild</t>
  </si>
  <si>
    <t>/mnt/measurements/07_CANape/Mitsubishi/5K45/MMC5.0.0_RC3/Real_Child_Tests/CSR_XCP_Signals_Recorder_2025-12-10_10-33-22_TC25_6YO2RL_CPD.MF4.xz,child,RadarFC_Master,child (ncap1,2),CPD,realchild</t>
  </si>
  <si>
    <t>/mnt/measurements/07_CANape/Mitsubishi/5K45/MMC5.0.0_RC3/Real_Child_Tests/CSR_XCP_Signals_Recorder_2025-12-10_10-35-23_TC25_6YO2RL_CPD.MF4.xz,child,RadarFC_Master,child (ncap1,2),CPD,realchild</t>
  </si>
  <si>
    <t>/mnt/measurements/07_CANape/Mitsubishi/5K45/MMC5.0.0_RC3/Real_Child_Tests/CSR_XCP_Signals_Recorder_2025-12-10_10-37-11_TC25_6YO2RL_CPD.MF4.xz,child,RadarFC_Master,child (ncap1,2),CPD,realchild</t>
  </si>
  <si>
    <t>/mnt/measurements/07_CANape/Mitsubishi/5K45/5.3.0_RC6/Customer_Testing/Real_Child_Measurements/CSR_XCP_Signals_Recorder_2026-01-30_16-26-12_TC25.MF4.xz,child,RadarFC_Master,child (ncap1,2),CPD,realchild</t>
  </si>
  <si>
    <t>/mnt/measurements/07_CANape/Mitsubishi/5K45/MMC5.1.0/5K457EG11/CSR_XCP_Signals_Recorder_2025-12-19_09-54-59_TC27_CPD.MF4.xz,remove, real child mea available,RadarFC_Master,remove, real child mea available (ncap1,2),CPD,dummy</t>
  </si>
  <si>
    <t>/mnt/measurements/07_CANape/Mitsubishi/5K45/MMC5.1.0/5K457EG11/CSR_XCP_Signals_Recorder_2025-12-19_09-56-34_TC27_CPD.MF4.xz,remove, real child mea available,RadarFC_Master,remove, real child mea available (ncap1,2),CPD,dummy</t>
  </si>
  <si>
    <t>/mnt/measurements/07_CANape/Mitsubishi/5K45/MMC5.1.0/5K457EG11/CSR_XCP_Signals_Recorder_2025-12-19_10-04-27_TC27_CPD.MF4.xz,remove, real child mea available,RadarFC_Master,remove, real child mea available (ncap1,2),CPD,dummy</t>
  </si>
  <si>
    <t>/mnt/measurements/07_CANape/Mitsubishi/5K45/5.3.0_RC6/Customer_Testing/Real_Child_Measurements/CSR_XCP_Signals_Recorder_2026-01-30_16-27-01_TC25.MF4.xz,child,RadarFC_Master,child (ncap1,2),CPD,realchild</t>
  </si>
  <si>
    <t>/mnt/measurements/07_CANape/Mitsubishi/5K45/5.3.0_RC6/Customer_Testing/Real_Child_Measurements/CSR_XCP_Signals_Recorder_2026-01-30_16-27-48_TC25.MF4.xz,child,RadarFC_Master,child (ncap1,2),CPD,realchild</t>
  </si>
  <si>
    <t>/mnt/measurements/07_CANape/Mitsubishi/5K45/5.3.0_RC6/Customer_Testing/Real_Child_Measurements/6YO/CSR_XCP_Signals_Recorder_2026-01-30_14-08-58_TC25.MF4.xz,child,RadarFC_Master,child (ncap1,2),CPD,realchild</t>
  </si>
  <si>
    <t>/mnt/measurements/07_CANape/Mitsubishi/5K45/5.3.0_RC6/Customer_Testing/Real_Child_Measurements/6YO/CSR_XCP_Signals_Recorder_2026-01-30_14-10-22_TC25.MF4.xz,child,RadarFC_Master,child (ncap1,2),CPD,realchild</t>
  </si>
  <si>
    <t>/mnt/measurements/07_CANape/Mitsubishi/5K45/5.3.0_RC7/5K457EG11/RealChild/CSR_XCP_Signals_Recorder_2026-02-04_17-13-56_CPD_TC25_with_reset.MF4.xz,child,RadarFC_Master,child (ncap1,2),CPD,realchild</t>
  </si>
  <si>
    <t>/mnt/measurements/07_CANape/Mitsubishi/5K45/5.3.0_RC7/5K457EG11/RealChild/CSR_XCP_Signals_Recorder_2026-02-04_17-15-12_CPD_TC25_with_reset.MF4.xz,child,RadarFC_Master,child (ncap1,2),CPD,realchild</t>
  </si>
  <si>
    <t>/mnt/measurements/07_CANape/Mitsubishi/5K45/MMC4.1.2/Validation/2025_11_29/child/part2/Sleep/TC_28_Try1.MF4.xz,remove, real child mea available,RadarFC_Master,remove, real child mea available (ncap1,2),CPD,dummy</t>
  </si>
  <si>
    <t>/mnt/measurements/07_CANape/Mitsubishi/5K45/5.3.0_RC7/5K457EG11/RealChild/CSR_XCP_Signals_Recorder_2026-02-04_17-16-32_CPD_TC25_with_reset.MF4.xz,child,RadarFC_Master,child (ncap1,2),CPD,realchild</t>
  </si>
  <si>
    <t>/mnt/measurements/07_CANape/Mitsubishi/5K45/5.3.0_RC6/Customer_Testing/Real_Child_Measurements/CSR_XCP_Signals_Recorder_2026-01-30_16-09-35_TC26.MF4.xz,child,RadarFC_Master,child (ncap1,2),CPD,realchild</t>
  </si>
  <si>
    <t>/mnt/measurements/07_CANape/Mitsubishi/5K45/5.3.0_RC6/Customer_Testing/Real_Child_Measurements/CSR_XCP_Signals_Recorder_2026-01-30_16-10-22_TC26.MF4.xz,child,RadarFC_Master,child (ncap1,2),CPD,realchild</t>
  </si>
  <si>
    <t>/mnt/measurements/07_CANape/Mitsubishi/5K45/5.3.0_RC6/Customer_Testing/Real_Child_Measurements/CSR_XCP_Signals_Recorder_2026-01-30_16-11-11_TC26.MF4.xz,child,RadarFC_Master,child (ncap1,2),CPD,realchild</t>
  </si>
  <si>
    <t>/mnt/measurements/07_CANape/Mitsubishi/5K45/5.3.0_RC6/Customer_Testing/Real_Child_Measurements/CSR_XCP_Signals_Recorder_2026-01-30_16-13-49_TC26.MF4.xz,child,RadarFC_Master,child (ncap1,2),CPD,realchild</t>
  </si>
  <si>
    <t>/mnt/measurements/07_CANape/Mitsubishi/5K45/MMC5.0.0_RC3/Real_Child_Tests/CSR_XCP_Signals_Recorder_2025-12-10_10-40-19_TC27_6YO3RR_CPD.MF4.xz,child,RadarFC_Master,child (ncap1,2),CPD,realchild</t>
  </si>
  <si>
    <t>/mnt/measurements/07_CANape/Mitsubishi/5K45/MMC5.0.0_RC3/Real_Child_Tests/CSR_XCP_Signals_Recorder_2025-12-10_10-42-14_TC27_6YO3RR_CPD.MF4.xz,child,RadarFC_Master,child (ncap1,2),CPD,realchild</t>
  </si>
  <si>
    <t>/mnt/measurements/07_CANape/Mitsubishi/5K45/MMC5.0.0_RC3/Real_Child_Tests/CSR_XCP_Signals_Recorder_2025-12-10_10-43-45_TC27_6YO3RR_CPD.MF4.xz,child,RadarFC_Master,child (ncap1,2),CPD,realchild</t>
  </si>
  <si>
    <t>/mnt/measurements/07_CANape/Mitsubishi/5K45/MMC5.0.0_RC3/Real_Child_Tests/CSR_XCP_Signals_Recorder_2025-12-10_10-45-23_TC27_6YO3RR_CPD.MF4.xz,child,RadarFC_Master,child (ncap1,2),CPD,realchild</t>
  </si>
  <si>
    <t>/mnt/measurements/07_CANape/Mitsubishi/5K45/MMC5.0.0_RC3/Real_Child_Tests/CSR_XCP_Signals_Recorder_2025-12-10_10-46-57_TC27_6YO3RR_CPD.MF4.xz,child,RadarFC_Master,child (ncap1,2),CPD,realchild</t>
  </si>
  <si>
    <t>/mnt/measurements/07_CANape/Mitsubishi/5K45/5.3.0_RC6/Customer_Testing/Real_Child_Measurements/CSR_XCP_Signals_Recorder_2026-01-30_16-21-49_TC27.MF4.xz,child,RadarFC_Master,child (ncap1,2),CPD,realchild</t>
  </si>
  <si>
    <t>/mnt/measurements/07_CANape/Mitsubishi/5K45/5.3.0_RC6/Customer_Testing/Real_Child_Measurements/CSR_XCP_Signals_Recorder_2026-01-30_16-22-29_TC27.MF4.xz,child,RadarFC_Master,child (ncap1,2),CPD,realchild</t>
  </si>
  <si>
    <t>/mnt/measurements/07_CANape/Mitsubishi/5K45/5.3.0_RC6/Customer_Testing/Real_Child_Measurements/CSR_XCP_Signals_Recorder_2026-01-30_16-23-12_TC27.MF4.xz,child,RadarFC_Master,child (ncap1,2),CPD,realchild</t>
  </si>
  <si>
    <t>/mnt/measurements/07_CANape/Mitsubishi/5K45/5.3.0_RC6/Customer_Testing/Real_Child_Measurements/6YO/CSR_XCP_Signals_Recorder_2026-01-30_14-14-17_TC27.MF4.xz,child,RadarFC_Master,child (ncap1,2),CPD,realchild</t>
  </si>
  <si>
    <t>/mnt/measurements/07_CANape/Mitsubishi/5K45/5.3.0_RC6/Customer_Testing/Real_Child_Measurements/6YO/CSR_XCP_Signals_Recorder_2026-01-30_14-14-55_TC27.MF4.xz,child,RadarFC_Master,child (ncap1,2),CPD,realchild</t>
  </si>
  <si>
    <t>/mnt/measurements/07_CANape/Mitsubishi/5K45/5.3.0_RC6/Customer_Testing/Real_Child_Measurements/6YO/CSR_XCP_Signals_Recorder_2026-01-30_14-15-41_TC27.MF4.xz,child,RadarFC_Master,child (ncap1,2),CPD,realchild</t>
  </si>
  <si>
    <t>/mnt/measurements/07_CANape/Mitsubishi/5K45/5.3.0_RC7/5K457EG11/RealChild/CSR_XCP_Signals_Recorder_2026-02-04_17-20-23_CPD_TC27_with_reset.MF4.xz,child,RadarFC_Master,child (ncap1,2),CPD,realchild</t>
  </si>
  <si>
    <t>/mnt/measurements/07_CANape/Mitsubishi/5K45/5.3.0_RC7/5K457EG11/RealChild/CSR_XCP_Signals_Recorder_2026-02-04_17-21-34_CPD_TC27_with_reset.MF4.xz,child,RadarFC_Master,child (ncap1,2),CPD,realchild</t>
  </si>
  <si>
    <t>/mnt/measurements/07_CANape/Mitsubishi/5K45/5.3.0_RC7/5K457EG11/RealChild/CSR_XCP_Signals_Recorder_2026-02-04_17-22-54_CPD_TC27_with_reset.MF4.xz,child,RadarFC_Master,child (ncap1,2),CPD,realchild</t>
  </si>
  <si>
    <t>/mnt/measurements/07_CANape/Mitsubishi/5K45/5.3.0_RC6/Customer_Testing/Real_Child_Measurements/CSR_XCP_Signals_Recorder_2026-01-30_16-17-14_TC28.MF4.xz,child,RadarFC_Master,child (ncap1,2),CPD,realchild</t>
  </si>
  <si>
    <t>/mnt/measurements/07_CANape/Mitsubishi/5K45/5.3.0_RC6/Customer_Testing/Real_Child_Measurements/CSR_XCP_Signals_Recorder_2026-01-30_16-17-59_TC28.MF4.xz,child,RadarFC_Master,child (ncap1,2),CPD,realchild</t>
  </si>
  <si>
    <t>/mnt/measurements/07_CANape/Mitsubishi/5K45/5.3.0_RC6/Customer_Testing/Real_Child_Measurements/CSR_XCP_Signals_Recorder_2026-01-30_16-18-46_TC28.MF4.xz,child,RadarFC_Master,child (ncap1,2),CPD,realchild</t>
  </si>
  <si>
    <t>/mnt/measurements/07_CANape/Mitsubishi/5K45/5.3.0_RC6/Customer_Testing/CSR_XCP_Signals_Recorder_2026-01-30_16-36-33_TC30.MF4.xz,child,RadarFC_Master,child (ncap1,2),CPD,dummy</t>
  </si>
  <si>
    <t>/mnt/measurements/07_CANape/Mitsubishi/5K45/5.3.0_RC6/Customer_Testing/CSR_XCP_Signals_Recorder_2026-01-30_16-37-12_TC30.MF4.xz,child,RadarFC_Master,child (ncap1,2),CPD,dummy</t>
  </si>
  <si>
    <t>/mnt/measurements/07_CANape/Mitsubishi/5K45/5.3.0_RC6/Customer_Testing/CSR_XCP_Signals_Recorder_2026-01-30_16-37-59_TC30.MF4.xz,child,RadarFC_Master,child (ncap1,2),CPD,dummy</t>
  </si>
  <si>
    <t>/mnt/measurements/07_CANape/Mitsubishi/5K45/5.3.0_RC6/Customer_Testing/CSR_XCP_Signals_Recorder_2026-01-30_16-38-48_TC30.MF4.xz,child,RadarFC_Master,child (ncap1,2),CPD,dummy</t>
  </si>
  <si>
    <t>/mnt/measurements/07_CANape/Mitsubishi/5K45/5.3.0_RC6/Customer_Testing/CSR_XCP_Signals_Recorder_2026-01-30_16-39-34_TC30.MF4.xz,child,RadarFC_Master,child (ncap1,2),CPD,dummy</t>
  </si>
  <si>
    <t>/mnt/measurements/07_CANape/Mitsubishi/5K45/5.3.0_RC7/5K457EG11/RealChild/CSR_XCP_Signals_Recorder_2026-02-04_17-27-04_CPD_TC30_with_reset.MF4.xz,child,RadarFC_Master,child (ncap1,2),CPD,realchild</t>
  </si>
  <si>
    <t>/mnt/measurements/07_CANape/Mitsubishi/5K45/5.3.0_RC6/Customer_Testing/Real_Child_Measurements/3YO/CSR_XCP_Signals_Recorder_2026-01-30_10-23-52_TC37.MF4.xz,error,RadarFC_Master,error,CPD,realchild</t>
  </si>
  <si>
    <t>/mnt/measurements/07_CANape/Mitsubishi/5K45/5.3.0_RC7/5K457EG11/RealChild/CSR_XCP_Signals_Recorder_2026-02-04_17-28-15_CPD_TC30_with_reset.MF4.xz,child,RadarFC_Master,child (ncap1,2),CPD,realchild</t>
  </si>
  <si>
    <t>/mnt/measurements/07_CANape/Mitsubishi/5K45/5.3.0_RC6/Customer_Testing/Real_Child_Measurements/3YO/CSR_XCP_Signals_Recorder_2026-01-30_10-26-43_TC37.MF4.xz,error,RadarFC_Master,error,CPD,realchild</t>
  </si>
  <si>
    <t>/mnt/measurements/07_CANape/Mitsubishi/5K45/5.3.0_RC7/5K457EG11/RealChild/CSR_XCP_Signals_Recorder_2026-02-04_17-29-33_CPD_TC30_with_reset.MF4.xz,child,RadarFC_Master,child (ncap1,2),CPD,realchild</t>
  </si>
  <si>
    <t>/mnt/measurements/07_CANape/Mitsubishi/5K45/MMC5.0.0_RC3/Real_Child_Tests/CSR_XCP_Signals_Recorder_2025-12-11_11-49-25_TC31_3YO_1L_CPD.MF4.xz,child,RadarFC_Master,child (ncap3),CPD,realchild</t>
  </si>
  <si>
    <t>/mnt/measurements/07_CANape/Mitsubishi/5K45/MMC5.0.0_RC3/Real_Child_Tests/CSR_XCP_Signals_Recorder_2025-12-11_11-50-58_TC31_3YO_1L_CPD.MF4.xz,child,RadarFC_Master,child (ncap3),CPD,realchild</t>
  </si>
  <si>
    <t>/mnt/measurements/07_CANape/Mitsubishi/5K45/MMC5.0.0_RC3/Real_Child_Tests/CSR_XCP_Signals_Recorder_2025-12-11_11-52-57_TC31_3YO_1L_CPD.MF4.xz,child,RadarFC_Master,child (ncap3),CPD,realchild</t>
  </si>
  <si>
    <t>/mnt/measurements/07_CANape/Mitsubishi/5K45/MMC5.0.0_RC3/Real_Child_Tests/CSR_XCP_Signals_Recorder_2025-12-11_11-56-10_TC31_3YO_1L_CPD.MF4.xz,child,RadarFC_Master,child (ncap3),CPD,realchild</t>
  </si>
  <si>
    <t>/mnt/measurements/07_CANape/Mitsubishi/5K45/MMC5.0.0_RC3/Real_Child_Tests/CSR_XCP_Signals_Recorder_2025-12-11_11-58-19_TC31_3YO_1L_CPD.MF4.xz,child,RadarFC_Master,child (ncap3),CPD,realchild</t>
  </si>
  <si>
    <t>/mnt/measurements/07_CANape/Mitsubishi/5K45/MMC4.1.2/Validation/2025_12_02/ChildAwake/TC_32_Try1.MF4.xz,child,RadarFC_Master,child (ncap3),CPD,dummy</t>
  </si>
  <si>
    <t>/mnt/measurements/07_CANape/Mitsubishi/5K45/MMC4.1.2/Validation/2025_12_02/ChildAwake/TC_32_Try2.MF4.xz,child,RadarFC_Master,child (ncap3),CPD,dummy</t>
  </si>
  <si>
    <t>/mnt/measurements/07_CANape/Mitsubishi/5K45/MMC4.1.2/Validation/2025_12_02/ChildAwake/TC_32_Try3.MF4.xz,child,RadarFC_Master,child (ncap3),CPD,dummy</t>
  </si>
  <si>
    <t>/mnt/measurements/07_CANape/Mitsubishi/5K45/MMC4.1.2/Validation/2025_11_28/orderedByTargetType/child/Awake"/TC_40_Try_2.MF4.xz,child,RadarFC_Master,child (ncap3),CPD,dummy</t>
  </si>
  <si>
    <t>/mnt/measurements/07_CANape/Mitsubishi/5K45/MMC4.1.2/Validation/2025_11_28/orderedByTargetType/child/Awake"/TC_40_Try1.MF4.xz,child,RadarFC_Master,child (ncap3),CPD,dummy</t>
  </si>
  <si>
    <t>/mnt/measurements/07_CANape/Mitsubishi/5K45/MMC4.1.2/Validation/2025_11_28/orderedByTargetType/child/Awake"/TC_40_Try3.MF4.xz,child,RadarFC_Master,child (ncap3),CPD,dummy</t>
  </si>
  <si>
    <t>/mnt/measurements/07_CANape/Mitsubishi/5K45/MMC4.1.2/Validation/2025_12_02/ChildAwake/TC_33_Try1.MF4.xz,child,RadarFC_Master,child (ncap3),CPD,dummy</t>
  </si>
  <si>
    <t>/mnt/measurements/07_CANape/Mitsubishi/5K45/MMC4.1.2/Validation/2025_12_02/ChildAwake/TC_33_Try2.MF4.xz,child,RadarFC_Master,child (ncap3),CPD,dummy</t>
  </si>
  <si>
    <t>/mnt/measurements/07_CANape/Mitsubishi/5K45/MMC4.1.2/Validation/2025_12_02/ChildAwake/TC_33_Try3.MF4.xz,child,RadarFC_Master,child (ncap3),CPD,dummy</t>
  </si>
  <si>
    <t>/mnt/measurements/07_CANape/Mitsubishi/5K45/MMC4.1.2/Validation/2025_12_02/ChildSleep/TC_34_Try1.MF4.xz,child,RadarFC_Master,child (ncap3),CPD,dummy</t>
  </si>
  <si>
    <t>/mnt/measurements/07_CANape/Mitsubishi/5K45/MMC4.1.2/Validation/2025_12_02/ChildSleep/TC_34_Try2.MF4.xz,child,RadarFC_Master,child (ncap3),CPD,dummy</t>
  </si>
  <si>
    <t>/mnt/measurements/07_CANape/Mitsubishi/5K45/MMC4.1.2/Validation/2025_12_02/ChildSleep/TC_34_Try3.MF4.xz,child,RadarFC_Master,child (ncap3),CPD,dummy</t>
  </si>
  <si>
    <t>/mnt/measurements/07_CANape/Mitsubishi/5K45/MMC4.1.2/Validation/2025_12_02/ChildAwake/TC_35_Try1.MF4.xz,child,RadarFC_Master,child (ncap3),CPD,dummy</t>
  </si>
  <si>
    <t>/mnt/measurements/07_CANape/Mitsubishi/5K45/MMC4.1.2/Validation/2025_12_02/ChildAwake/TC_35_Try2.MF4.xz,child,RadarFC_Master,child (ncap3),CPD,dummy</t>
  </si>
  <si>
    <t>/mnt/measurements/07_CANape/Mitsubishi/5K45/MMC4.1.2/Validation/2025_12_02/ChildAwake/TC_35_Try3.MF4.xz,child,RadarFC_Master,child (ncap3),CPD,dummy</t>
  </si>
  <si>
    <t>/mnt/measurements/07_CANape/Mitsubishi/5K45/MMC4.1.2/Validation/2025_12_02/ChildAwake/TC_36_Try1.MF4.xz,child,RadarFC_Master,child (ncap3),CPD,dummy</t>
  </si>
  <si>
    <t>/mnt/measurements/07_CANape/Mitsubishi/5K45/MMC4.1.2/Validation/2025_12_02/ChildAwake/TC_36_Try2.MF4.xz,child,RadarFC_Master,child (ncap3),CPD,dummy</t>
  </si>
  <si>
    <t>/mnt/measurements/07_CANape/Mitsubishi/5K45/MMC4.1.2/Validation/2025_12_02/ChildAwake/TC_36_Try3.MF4.xz,child,RadarFC_Master,child (ncap3),CPD,dummy</t>
  </si>
  <si>
    <t>/mnt/measurements/07_CANape/Mitsubishi/5K45/5.3.0_RC6/Customer_Testing/Real_Child_Measurements/3YO/CSR_XCP_Signals_Recorder_2026-01-30_10-25-19_TC37.MF4.xz,child,RadarFC_Master,child (ncap3),CPD,realchild</t>
  </si>
  <si>
    <t>/mnt/measurements/07_CANape/Mitsubishi/5K45/5.3.0_RC6/Customer_Testing/Real_Child_Measurements/3YO/CSR_XCP_Signals_Recorder_2026-01-30_10-28-06_TC37.MF4.xz,child,RadarFC_Master,child (ncap3),CPD,realchild</t>
  </si>
  <si>
    <t>/mnt/measurements/07_CANape/Mitsubishi/5K45/5.3.0_RC6/Customer_Testing/Real_Child_Measurements/3YO/CSR_XCP_Signals_Recorder_2026-01-30_10-29-32_TC37.MF4.xz,child,RadarFC_Master,child (ncap3),CPD,realchild</t>
  </si>
  <si>
    <t>/mnt/measurements/07_CANape/Mitsubishi/5K45/5.3.0_RC6/Customer_Testing/Real_Child_Measurements/3YO/CSR_XCP_Signals_Recorder_2026-01-30_10-31-17_TC37.MF4.xz,child,RadarFC_Master,child (ncap3),CPD,realchild</t>
  </si>
  <si>
    <t>/mnt/measurements/07_CANape/Mitsubishi/5K45/MMC4.1.2/Validation/2025_12_02/ChildSleep/TC_38_Try1.MF4.xz,child,RadarFC_Master,child (ncap3),CPD,dummy</t>
  </si>
  <si>
    <t>/mnt/measurements/07_CANape/Mitsubishi/5K45/MMC4.1.2/Validation/2025_12_02/ChildSleep/TC_38_Try2.MF4.xz,child,RadarFC_Master,child (ncap3),CPD,dummy</t>
  </si>
  <si>
    <t>/mnt/measurements/07_CANape/Mitsubishi/5K45/MMC4.1.2/Validation/2025_12_02/ChildSleep/TC_38_Try3.MF4.xz,child,RadarFC_Master,child (ncap3),CPD,dummy</t>
  </si>
  <si>
    <t>/mnt/measurements/07_CANape/Mitsubishi/5K45/MMC4.1.2/Validation/2025_12_02/ChildSleep/TC_39_Try1.MF4.xz,child,RadarFC_Master,child (ncap3),CPD,dummy</t>
  </si>
  <si>
    <t>/mnt/measurements/07_CANape/Mitsubishi/5K45/MMC4.1.2/Validation/2025_12_02/ChildSleep/TC_39_Try2.MF4.xz,child,RadarFC_Master,child (ncap3),CPD,dummy</t>
  </si>
  <si>
    <t>/mnt/measurements/07_CANape/Mitsubishi/5K45/MMC4.1.2/Validation/2025_12_02/ChildSleep/TC_39_Try3.MF4.xz,child,RadarFC_Master,child (ncap3),CPD,dummy</t>
  </si>
  <si>
    <t>/mnt/measurements/07_CANape/Mitsubishi/5K45/MMC5.0.2/5K457EG11/RealChild/CPD_TC40_Try1.MF4.xz,child,RadarFC_Master,child (ncap3),CPD,realchild</t>
  </si>
  <si>
    <t>/mnt/measurements/07_CANape/Mitsubishi/5K45/MMC5.0.2/5K457EG11/RealChild/CPD_TC40_Try2.MF4.xz,child,RadarFC_Master,child (ncap3),CPD,realchild</t>
  </si>
  <si>
    <t>/mnt/measurements/07_CANape/Mitsubishi/5K45/MMC5.0.2/5K457EG11/RealChild/CPD_TC40_Try3.MF4.xz,child,RadarFC_Master,child (ncap3),CPD,realchild</t>
  </si>
  <si>
    <t>/mnt/measurements/07_CANape/Mitsubishi/5K45/MMC5.0.2/5K457EG11/RealChild/CPD_TC40_Try4.MF4.xz,child,RadarFC_Master,child (ncap3),CPD,realchild</t>
  </si>
  <si>
    <t>/mnt/measurements/07_CANape/Mitsubishi/5K45/MMC5.0.2/5K457EG11/RealChild/CPD_TC40_Try5.MF4.xz,child,RadarFC_Master,child (ncap3),CPD,realchild</t>
  </si>
  <si>
    <t>/mnt/measurements/07_CANape/Mitsubishi/5K45/MMC4.1.2/Validation/2025_12_02/ChildSleep/TC_46_Try2.MF4.xz,Door is opened early so HMI goes back from detection to monitoring; not good measurement to resim,RadarFC_Master,Door is opened early so HMI goes back from detection to monitoring; not good measurement to resim (ncap3),CPD,dummy</t>
  </si>
  <si>
    <t>/mnt/measurements/07_CANape/Mitsubishi/5K45/5.2.0/5K457EG11/Real_Childs/CPD_TC41_Try1.MF4.xz,child,RadarFC_Master,child (ncap3),CPD,realchild</t>
  </si>
  <si>
    <t>/mnt/measurements/07_CANape/Mitsubishi/5K45/5.2.0/5K457EG11/Real_Childs/CPD_TC41_Try2.MF4.xz,child,RadarFC_Master,child (ncap3),CPD,realchild</t>
  </si>
  <si>
    <t>/mnt/measurements/07_CANape/Mitsubishi/5K45/5.2.0/5K457EG11/Real_Childs/CPD_TC41_Try3.MF4.xz,child,RadarFC_Master,child (ncap3),CPD,realchild</t>
  </si>
  <si>
    <t>/mnt/measurements/07_CANape/Mitsubishi/5K45/5.2.0/5K457EG11/Real_Childs/CPD_TC41_Try4.MF4.xz,child,RadarFC_Master,child (ncap3),CPD,realchild</t>
  </si>
  <si>
    <t>/mnt/measurements/07_CANape/Mitsubishi/5K45/5.2.0/5K457EG11/Real_Childs/CPD_TC41_Try5.MF4.xz,child,RadarFC_Master,child (ncap3),CPD,realchild</t>
  </si>
  <si>
    <t>/mnt/measurements/07_CANape/Mitsubishi/5K45/MMC5.0.1/5K457EG-11/Real_Child_Measurements/CSR_XCP_Signals_Recorder_2025-12-15_11-06-59_TC42_3YO1R_CPD.MF4.xz,child,RadarFC_Master,child (ncap3),CPD,realchild</t>
  </si>
  <si>
    <t>/mnt/measurements/07_CANape/Mitsubishi/5K45/MMC5.0.1/5K457EG-11/Real_Child_Measurements/CSR_XCP_Signals_Recorder_2025-12-15_11-08-40_TC42_3YO1R_CPD.MF4.xz,child,RadarFC_Master,child (ncap3),CPD,realchild</t>
  </si>
  <si>
    <t>/mnt/measurements/07_CANape/Mitsubishi/5K45/MMC5.0.1/5K457EG-11/Real_Child_Measurements/CSR_XCP_Signals_Recorder_2025-12-15_11-10-23_TC42_3YO1R_CPD.MF4.xz,child,RadarFC_Master,child (ncap3),CPD,realchild</t>
  </si>
  <si>
    <t>/mnt/measurements/07_CANape/Mitsubishi/5K45/MMC5.0.1/5K457EG-11/Real_Child_Measurements/CSR_XCP_Signals_Recorder_2025-12-15_11-12-15_TC42_3YO1R_CPD.MF4.xz,child,RadarFC_Master,child (ncap3),CPD,realchild</t>
  </si>
  <si>
    <t>/mnt/measurements/07_CANape/Mitsubishi/5K45/MMC4.1.2/Validation/2025_11_28/orderedByTargetType/child/Sleep/TC_49_Try1.MF4.xz,detection is deatcivated in mea (CpdFuncActive =5),RadarFC_Master,detection is deatcivated in mea (CpdFuncActive =5) (ncap3),CPD,dummy</t>
  </si>
  <si>
    <t>/mnt/measurements/07_CANape/Mitsubishi/5K45/MMC4.1.2/Validation/2025_11_28/orderedByTargetType/child/Sleep/TC_49_Try2.MF4.xz,detection is deatcivated in mea (CpdFuncActive =5),RadarFC_Master,detection is deatcivated in mea (CpdFuncActive =5) (ncap3),CPD,dummy</t>
  </si>
  <si>
    <t>/mnt/measurements/07_CANape/Mitsubishi/5K45/MMC4.1.2/Validation/2025_11_28/orderedByTargetType/child/Sleep/TC_49_Try3.MF4.xz,detection is deatcivated in mea (CpdFuncActive =5),RadarFC_Master,detection is deatcivated in mea (CpdFuncActive =5) (ncap3),CPD,dummy</t>
  </si>
  <si>
    <t>/mnt/measurements/07_CANape/Mitsubishi/5K45/MMC5.0.1/5K457EG-11/Real_Child_Measurements/CSR_XCP_Signals_Recorder_2025-12-15_11-13-56_TC42_3YO1R_CPD.MF4.xz,child,RadarFC_Master,child (ncap3),CPD,realchild</t>
  </si>
  <si>
    <t>/mnt/measurements/07_CANape/Mitsubishi/5K45/5.2.0/5K457EG11/Real_Childs/CPD_TC43_Try1.MF4.xz,child,RadarFC_Master,child (ncap3),CPD,realchild</t>
  </si>
  <si>
    <t>/mnt/measurements/07_CANape/Mitsubishi/5K45/5.2.0/5K457EG11/Real_Childs/CPD_TC43_Try2.MF4.xz,child,RadarFC_Master,child (ncap3),CPD,realchild</t>
  </si>
  <si>
    <t>/mnt/measurements/07_CANape/Mitsubishi/5K45/5.2.0/5K457EG11/Real_Childs/CPD_TC43_Try3.MF4.xz,child,RadarFC_Master,child (ncap3),CPD,realchild</t>
  </si>
  <si>
    <t>/mnt/measurements/07_CANape/Mitsubishi/5K45/5.2.0/5K457EG11/Real_Childs/CPD_TC43_Try4.MF4.xz,child,RadarFC_Master,child (ncap3),CPD,realchild</t>
  </si>
  <si>
    <t>/mnt/measurements/07_CANape/Mitsubishi/5K45/5.2.0/5K457EG11/Real_Childs/CPD_TC43_Try5.MF4.xz,child,RadarFC_Master,child (ncap3),CPD,realchild</t>
  </si>
  <si>
    <t>/mnt/measurements/07_CANape/Mitsubishi/5K45/MMC4.1.2/Validation/2025_12_02/ChildSleep/TC_44_Try1.MF4.xz,child,RadarFC_Master,child (ncap3),CPD,dummy</t>
  </si>
  <si>
    <t>/mnt/measurements/07_CANape/Mitsubishi/5K45/MMC4.1.2/Validation/2025_12_02/ChildSleep/TC_44_Try2.MF4.xz,child,RadarFC_Master,child (ncap3),CPD,dummy</t>
  </si>
  <si>
    <t>/mnt/measurements/07_CANape/Mitsubishi/5K45/MMC4.1.2/Validation/2025_12_02/ChildSleep/TC_44_Try3.MF4.xz,child,RadarFC_Master,child (ncap3),CPD,dummy</t>
  </si>
  <si>
    <t>/mnt/measurements/07_CANape/Mitsubishi/5K45/MMC4.1.2/Validation/2025_12_02/ChildSleep/TC_45_Try1.MF4.xz,child,RadarFC_Master,child (ncap3),CPD,dummy</t>
  </si>
  <si>
    <t>/mnt/measurements/07_CANape/Mitsubishi/5K45/MMC4.1.2/Validation/2025_12_02/ChildSleep/TC_45_Try2.MF4.xz,child,RadarFC_Master,child (ncap3),CPD,dummy</t>
  </si>
  <si>
    <t>/mnt/measurements/07_CANape/Mitsubishi/5K45/MMC4.1.2/Validation/2025_12_02/ChildSleep/TC_45_Try3.MF4.xz,child,RadarFC_Master,child (ncap3),CPD,dummy</t>
  </si>
  <si>
    <t>/mnt/measurements/07_CANape/Mitsubishi/5K45/5.2.0/5K457EG11/SmokeTest/CPD/CSR_XCP_Signals_Recorder_2026-01-12_15-14-46_TC51.MF4.xz,remove, real child mea available,RadarFC_Master,remove, real child mea available (ncap3),CPD,dummy</t>
  </si>
  <si>
    <t>/mnt/measurements/07_CANape/Mitsubishi/5K45/MMC5.0.2/5K457MG57/SmokeTest/TC49_Try_2.MF4.xz,remove, real child mea available,RadarFC_Master,remove, real child mea available (ncap3),CPD,dummy</t>
  </si>
  <si>
    <t>/mnt/measurements/07_CANape/Mitsubishi/5K45/MMC4.1.2/Validation/2025_12_02/ChildSleep/TC_46_Try1.MF4.xz,child,RadarFC_Master,child (ncap3),CPD,dummy</t>
  </si>
  <si>
    <t>/mnt/measurements/07_CANape/Mitsubishi/5K45/MMC4.1.2/Validation/2025_12_02/ChildSleep/TC_46_Try3.MF4.xz,child,RadarFC_Master,child (ncap3),CPD,dummy</t>
  </si>
  <si>
    <t>/mnr/measurements/07_CANape/Mitsubishi/5K45/MMC5.1.0/5K457EG11/CSR_XCP_Signals_Recorder_2025-12-18_16-30-23_TC47_CPD.MF4.xz,child,RadarFC_Master,child (ncap3),CPD,realchild</t>
  </si>
  <si>
    <t>/mnr/measurements/07_CANape/Mitsubishi/5K45/MMC5.1.0/5K457EG11/CSR_XCP_Signals_Recorder_2025-12-18_16-32-06_TC47_CPD.MF4.xz,child,RadarFC_Master,child (ncap3),CPD,realchild</t>
  </si>
  <si>
    <t>/mnr/measurements/07_CANape/Mitsubishi/5K45/MMC5.1.0/5K457EG11/CSR_XCP_Signals_Recorder_2025-12-18_16-34-14_TC47_CPD.MF4.xz,child,RadarFC_Master,child (ncap3),CPD,realchild</t>
  </si>
  <si>
    <t>/mnt/measurements/07_CANape/Mitsubishi/5K45/MMC4.1.2/Validation/2025_12_02/ChildAwake/TC_52_Try3.MF4.xz,Door is opened early so HMI goes back from detection to monitoring; not good measurement to resim,RadarFC_Master,Door is opened early so HMI goes back from detection to monitoring; not good measurement to resim (ncap3),CPD,dummy</t>
  </si>
  <si>
    <t>/mnr/measurements/07_CANape/Mitsubishi/5K45/MMC5.1.0/5K457EG11/CSR_XCP_Signals_Recorder_2025-12-18_16-35-56_TC47_CPD.MF4.xz,child,RadarFC_Master,child (ncap3),CPD,realchild</t>
  </si>
  <si>
    <t>/mnr/measurements/07_CANape/Mitsubishi/5K45/MMC5.1.0/5K457EG11/CSR_XCP_Signals_Recorder_2025-12-18_16-38-46_TC47_CPD.MF4.xz,child,RadarFC_Master,child (ncap3),CPD,realchild</t>
  </si>
  <si>
    <t>/mnt/measurements/07_CANape/Mitsubishi/5K45/MMC5.0.0_RC3_with_resetfix/CPD/TC48_Try_1.MF4.xz,child,RadarFC_Master,child (ncap3),CPD,dummy</t>
  </si>
  <si>
    <t>/mnt/measurements/07_CANape/Mitsubishi/5K45/MMC5.0.0_RC3_with_resetfix/CPD/TC48_Try_2.MF4.xz,child,RadarFC_Master,child (ncap3),CPD,dummy</t>
  </si>
  <si>
    <t>/mnt/measurements/07_CANape/Mitsubishi/5K45/MMC5.0.0_RC3_with_resetfix/CPD/TC48_Try_3.MF4.xz,child,RadarFC_Master,child (ncap3),CPD,dummy</t>
  </si>
  <si>
    <t>/mnt/measurements/07_CANape/Mitsubishi/5K45/MMC5.0.0_RC3_with_resetfix/CPD/TC49_Try_1.MF4.xz,child,RadarFC_Master,child (ncap3),CPD,dummy</t>
  </si>
  <si>
    <t>/mnt/measurements/07_CANape/Mitsubishi/5K45/MMC5.0.0_RC3_with_resetfix/CPD/TC49_Try_2.MF4.xz,child,RadarFC_Master,child (ncap3),CPD,dummy</t>
  </si>
  <si>
    <t>/mnt/measurements/07_CANape/Mitsubishi/5K45/MMC5.0.0_RC3_with_resetfix/CPD/TC49_Try_3.MF4.xz,child,RadarFC_Master,child (ncap3),CPD,dummy</t>
  </si>
  <si>
    <t>/mnt/measurements/07_CANape/Mitsubishi/5K45/MMC4.1.2/Validation/2025_12_02/ChildSleep/MMC4.1.2/Validation/2025_12_02/ChildSleep/ncap3/TC_50_Try1.MF4.xz,child,RadarFC_Master,child (ncap3),CPD,dummy</t>
  </si>
  <si>
    <t>/mnt/measurements/07_CANape/Mitsubishi/5K45/MMC4.1.2/Validation/2025_12_02/ChildSleep/MMC4.1.2/Validation/2025_12_02/ChildSleep/ncap3/TC_50_Try2.MF4.xz,child,RadarFC_Master,child (ncap3),CPD,dummy</t>
  </si>
  <si>
    <t>/mnt/measurements/07_CANape/Mitsubishi/5K45/MMC4.1.2/Validation/2025_12_02/ChildSleep/MMC4.1.2/Validation/2025_12_02/ChildSleep/ncap3/TC_50_Try3.MF4.xz,child,RadarFC_Master,child (ncap3),CPD,dummy</t>
  </si>
  <si>
    <t>/mnt/measurements/07_CANape/Mitsubishi/5K45/MMC4.1.2/Validation/2025_12_02/ChildSleep/MMC5.0.2/5K457MG57/SmokeTest/ncap3/SmokeTest_CPD_TC50.MF4.xz,child,RadarFC_Master,child (ncap3),CPD,dummy</t>
  </si>
  <si>
    <t>/mnt/measurements/07_CANape/Mitsubishi/5K45/MMC5.0.1/5K457EG-11/Real_Child_Measurements/CSR_XCP_Signals_Recorder_2025-12-15_11-32-44_TC51_3YO2C_CPD.MF4.xz,child,RadarFC_Master,child (ncap3),CPD,realchild</t>
  </si>
  <si>
    <t>/mnt/measurements/07_CANape/Mitsubishi/5K45/MMC5.0.0_RC3_with_resetfix/CPD/TC56_Try_1.MF4.xz,remove, real child mea available,RadarFC_Master,remove, real child mea available (ncap3),CPD,dummy</t>
  </si>
  <si>
    <t>/mnt/measurements/07_CANape/Mitsubishi/5K45/MMC5.0.0_RC3_with_resetfix/CPD/TC56_Try_2.MF4.xz,remove, real child mea available,RadarFC_Master,remove, real child mea available (ncap3),CPD,dummy</t>
  </si>
  <si>
    <t>/mnt/measurements/07_CANape/Mitsubishi/5K45/MMC5.0.0_RC3_with_resetfix/CPD/TC56_Try_3.MF4.xz,remove, real child mea available,RadarFC_Master,remove, real child mea available (ncap3),CPD,dummy</t>
  </si>
  <si>
    <t>/mnt/measurements/07_CANape/Mitsubishi/5K45/MMC5.1.0/5K457EG11/CSR_XCP_Signals_Recorder_2025-12-18_13-52-08_TC56_CPD.MF4.xz,remove, real child mea available,RadarFC_Master,remove, real child mea available (ncap3),CPD,dummy</t>
  </si>
  <si>
    <t>/mnt/measurements/07_CANape/Mitsubishi/5K45/MMC5.1.0/5K457EG11/CSR_XCP_Signals_Recorder_2025-12-18_13-53-50_TC56_CPD.MF4.xz,remove, real child mea available,RadarFC_Master,remove, real child mea available (ncap3),CPD,dummy</t>
  </si>
  <si>
    <t>/mnt/measurements/07_CANape/Mitsubishi/5K45/MMC5.1.0/5K457EG11/CSR_XCP_Signals_Recorder_2025-12-18_14-05-21_TC56_CPD.MF4.xz,remove, real child mea available,RadarFC_Master,remove, real child mea available (ncap3),CPD,dummy</t>
  </si>
  <si>
    <t>/mnt/measurements/07_CANape/Mitsubishi/5K45/MMC5.0.1/5K457EG-11/Real_Child_Measurements/CSR_XCP_Signals_Recorder_2025-12-15_11-34-50_TC51_3YO2C_CPD.MF4.xz,child,RadarFC_Master,child (ncap3),CPD,realchild</t>
  </si>
  <si>
    <t>/mnt/measurements/07_CANape/Mitsubishi/5K45/MMC5.0.1/5K457EG-11/Real_Child_Measurements/CSR_XCP_Signals_Recorder_2025-12-15_11-36-29_TC51_3YO2C_CPD.MF4.xz,child,RadarFC_Master,child (ncap3),CPD,realchild</t>
  </si>
  <si>
    <t>/mnt/measurements/07_CANape/Mitsubishi/5K45/MMC5.0.1/5K457EG-11/Real_Child_Measurements/CSR_XCP_Signals_Recorder_2025-12-15_11-38-04_TC51_3YO2C_CPD.MF4.xz,child,RadarFC_Master,child (ncap3),CPD,realchild</t>
  </si>
  <si>
    <t>/mnt/measurements/07_CANape/Mitsubishi/5K45/MMC5.0.1/5K457EG-11/Real_Child_Measurements/CSR_XCP_Signals_Recorder_2025-12-15_11-39-49_TC51_3YO2C_CPD.MF4.xz,child,RadarFC_Master,child (ncap3),CPD,realchild</t>
  </si>
  <si>
    <t>/mnt/measurements/07_CANape/Mitsubishi/5K45/5.3.0_RC6/Customer_Testing/Real_Child_Measurements/CSR_XCP_Signals_Recorder_2026-01-29_16-10-35_TC51.MF4.xz,child,RadarFC_Master,child (ncap3),CPD,realchild</t>
  </si>
  <si>
    <t>/mnt/measurements/07_CANape/Mitsubishi/5K45/5.3.0_RC6/Customer_Testing/Real_Child_Measurements/CSR_XCP_Signals_Recorder_2026-01-29_16-12-21_TC51.MF4.xz,child,RadarFC_Master,child (ncap3),CPD,realchild</t>
  </si>
  <si>
    <t>/mnt/measurements/07_CANape/Mitsubishi/5K45/MMC5.0.2/5K457EG11/RealChild/CSR_XCP_Signals_Recorder_2026-01-20_09-46-39_CPD_TC56_Try1.MF4.xz,Remove from list - Failing breathing rate,RadarFC_Master,Remove from list - Failing breathing rate (ncap3),CPD,realchild</t>
  </si>
  <si>
    <t>/mnt/measurements/07_CANape/Mitsubishi/5K45/5.3.0_RC6/Customer_Testing/Real_Child_Measurements/CSR_XCP_Signals_Recorder_2026-01-29_16-13-52_TC51.MF4.xz,child,RadarFC_Master,child (ncap3),CPD,realchild</t>
  </si>
  <si>
    <t>/mnt/measurements/07_CANape/Mitsubishi/5K45/MMC4.1.2/Validation/2025_12_02/ChildAwake/TC_52_Try1.MF4.xz,child,RadarFC_Master,child (ncap3),CPD,dummy</t>
  </si>
  <si>
    <t>/mnt/measurements/07_CANape/Mitsubishi/5K45/MMC4.1.2/Validation/2025_12_02/ChildAwake/TC_52_Try2.MF4.xz,child,RadarFC_Master,child (ncap3),CPD,dummy</t>
  </si>
  <si>
    <t>/mnt/measurements/07_CANape/Mitsubishi/5K45/MMC5.0.0_RC3_with_resetfix/CPD/TC57_Try_1.MF4.xz,remove, real child mea available,RadarFC_Master,remove, real child mea available (ncap3),CPD,dummy</t>
  </si>
  <si>
    <t>/mnt/measurements/07_CANape/Mitsubishi/5K45/MMC5.0.0_RC3_with_resetfix/CPD/TC57_Try_2.MF4.xz,remove, real child mea available,RadarFC_Master,remove, real child mea available (ncap3),CPD,dummy</t>
  </si>
  <si>
    <t>/mnt/measurements/07_CANape/Mitsubishi/5K45/MMC5.0.0_RC3_with_resetfix/CPD/TC57_Try_3.MF4.xz,remove, real child mea available,RadarFC_Master,remove, real child mea available (ncap3),CPD,dummy</t>
  </si>
  <si>
    <t>/mnt/measurements/07_CANape/Mitsubishi/5K45/MMC5.0.0_RC3_with_resetfix/CPD/TC53_Try_1.MF4.xz,child,RadarFC_Master,child (ncap3),CPD,dummy</t>
  </si>
  <si>
    <t>/mnt/measurements/07_CANape/Mitsubishi/5K45/MMC5.0.0_RC3_with_resetfix/CPD/TC53_Try_2.MF4.xz,child,RadarFC_Master,child (ncap3),CPD,dummy</t>
  </si>
  <si>
    <t>/mnt/measurements/07_CANape/Mitsubishi/5K45/MMC5.0.0_RC3_with_resetfix/CPD/TC53_Try_3.MF4.xz,child,RadarFC_Master,child (ncap3),CPD,dummy</t>
  </si>
  <si>
    <t>/mnt/measurements/07_CANape/Mitsubishi/5K45/MMC5.1.0/5K457EG11/CSR_XCP_Signals_Recorder_2025-12-18_17-02-49_TC54_CPD.MF4.xz,child,RadarFC_Master,child (ncap3),CPD,realchild</t>
  </si>
  <si>
    <t>/mnt/measurements/07_CANape/Mitsubishi/5K45/MMC5.1.0/5K457EG11/CSR_XCP_Signals_Recorder_2025-12-18_17-04-21_TC54_CPD.MF4.xz,child,RadarFC_Master,child (ncap3),CPD,realchild</t>
  </si>
  <si>
    <t>/mnt/measurements/07_CANape/Mitsubishi/5K45/MMC5.1.0/5K457EG11/CSR_XCP_Signals_Recorder_2025-12-23_11-31-20_TC57_CPD.MF4.xz,Incorrect length,RadarFC_Master,Incorrect length (ncap3),CPD,realchild</t>
  </si>
  <si>
    <t>/mnt/measurements/07_CANape/Mitsubishi/5K45/MMC5.1.0/5K457EG11/CSR_XCP_Signals_Recorder_2025-12-23_11-32-54_TC57_CPD.MF4.xz,Incorrect length,RadarFC_Master,Incorrect length (ncap3),CPD,realchild</t>
  </si>
  <si>
    <t>/mnt/measurements/07_CANape/Mitsubishi/5K45/MMC5.1.0/5K457EG11/CSR_XCP_Signals_Recorder_2025-12-23_11-34-09_TC57_CPD.MF4.xz,Incorrect length,RadarFC_Master,Incorrect length (ncap3),CPD,realchild</t>
  </si>
  <si>
    <t>/mnt/measurements/07_CANape/Mitsubishi/5K45/MMC5.1.0/5K457EG11/CSR_XCP_Signals_Recorder_2025-12-23_11-36-44_TC57_CPD.MF4.xz,Incorrect length,RadarFC_Master,Incorrect length (ncap3),CPD,realchild</t>
  </si>
  <si>
    <t>/mnt/measurements/07_CANape/Mitsubishi/5K45/MMC5.1.0/5K457EG11/CSR_XCP_Signals_Recorder_2025-12-23_11-39-21_TC57_CPD.MF4.xz,Incorrect length,RadarFC_Master,Incorrect length (ncap3),CPD,realchild</t>
  </si>
  <si>
    <t>/mnt/measurements/07_CANape/Mitsubishi/5K45/MMC5.1.0/5K457EG11/CSR_XCP_Signals_Recorder_2025-12-18_17-05-54_TC54_CPD.MF4.xz,child,RadarFC_Master,child (ncap3),CPD,realchild</t>
  </si>
  <si>
    <t>/mnt/measurements/07_CANape/Mitsubishi/5K45/MMC5.1.0/5K457EG11/CSR_XCP_Signals_Recorder_2025-12-18_17-15-22_TC54_CPD.MF4.xz,child,RadarFC_Master,child (ncap3),CPD,realchild</t>
  </si>
  <si>
    <t>/mnt/measurements/07_CANape/Mitsubishi/5K45/MMC5.1.0/5K457EG11/CSR_XCP_Signals_Recorder_2025-12-18_17-16-57_TC54_CPD.MF4.xz,child,RadarFC_Master,child (ncap3),CPD,realchild</t>
  </si>
  <si>
    <t>/mnt/measurements/07_CANape/Mitsubishi/5K45/MMC5.0.0_RC3_with_resetfix/CPD/TC58_Try_1.MF4.xz,remove, real child mea available,RadarFC_Master,remove, real child mea available (ncap3),CPD,dummy</t>
  </si>
  <si>
    <t>/mnt/measurements/07_CANape/Mitsubishi/5K45/MMC5.0.0_RC3_with_resetfix/CPD/TC58_Try_2.MF4.xz,remove, real child mea available,RadarFC_Master,remove, real child mea available (ncap3),CPD,dummy</t>
  </si>
  <si>
    <t>/mnt/measurements/07_CANape/Mitsubishi/5K45/MMC5.0.0_RC3_with_resetfix/CPD/TC58_Try_3.MF4.xz,remove, real child mea available,RadarFC_Master,remove, real child mea available (ncap3),CPD,dummy</t>
  </si>
  <si>
    <t>/mnt/measurements/07_CANape/Mitsubishi/5K45/MMC5.0.1/5K457EG-11/Real_Child_Measurements/CSR_XCP_Signals_Recorder_2025-12-17_14-13-57_TC55_3YO3L_CPD.MF4.xz,child,RadarFC_Master,child (ncap3),CPD,realchild</t>
  </si>
  <si>
    <t>/mnt/measurements/07_CANape/Mitsubishi/5K45/MMC5.0.1/5K457EG-11/Real_Child_Measurements/CSR_XCP_Signals_Recorder_2025-12-17_14-15-22_TC55_3YO3L_CPD.MF4.xz,child,RadarFC_Master,child (ncap3),CPD,realchild</t>
  </si>
  <si>
    <t>/mnt/measurements/07_CANape/Mitsubishi/5K45/MMC5.0.1/5K457EG-11/Real_Child_Measurements/CSR_XCP_Signals_Recorder_2025-12-17_14-17-27_TC55_3YO3L_CPD.MF4.xz,child,RadarFC_Master,child (ncap3),CPD,realchild</t>
  </si>
  <si>
    <t>/mnt/measurements/07_CANape/Mitsubishi/5K45/MMC5.0.1/5K457EG-11/Real_Child_Measurements/CSR_XCP_Signals_Recorder_2025-12-17_14-18-54_TC55_3YO3L_CPD.MF4.xz,child,RadarFC_Master,child (ncap3),CPD,realchild</t>
  </si>
  <si>
    <t>/mnt/measurements/07_CANape/Mitsubishi/5K45/MMC5.0.1/5K457EG-11/Real_Child_Measurements/CSR_XCP_Signals_Recorder_2025-12-17_14-20-27_TC55_3YO3L_CPD.MF4.xz,child,RadarFC_Master,child (ncap3),CPD,realchild</t>
  </si>
  <si>
    <t>/mnt/measurements/07_CANape/Mitsubishi/5K45/MMC5.0.2/5K457EG11/RealChild/CPD_TC56_Try1.MF4.xz,child,RadarFC_Master,child (ncap3),CPD,realchild</t>
  </si>
  <si>
    <t>/mnt/measurements/07_CANape/Mitsubishi/5K45/MMC5.0.2/5K457EG11/RealChild/CPD_TC56_Try2.MF4.xz,child,RadarFC_Master,child (ncap3),CPD,realchild</t>
  </si>
  <si>
    <t>/mnt/measurements/07_CANape/Mitsubishi/5K45/MMC5.0.2/5K457EG11/RealChild/CPD_TC56_Try3.MF4.xz,child,RadarFC_Master,child (ncap3),CPD,realchild</t>
  </si>
  <si>
    <t>/mnt/measurements/07_CANape/Mitsubishi/5K45/MMC5.0.2/5K457EG11/RealChild/CPD_TC56_Try4.MF4.xz,child,RadarFC_Master,child (ncap3),CPD,realchild</t>
  </si>
  <si>
    <t>/mnt/measurements/07_CANape/Mitsubishi/5K45/MMC5.0.2/5K457EG11/RealChild/CPD_TC56_Try5.MF4.xz,child,RadarFC_Master,child (ncap3),CPD,realchild</t>
  </si>
  <si>
    <t>/mnt/measurements/07_CANape/Mitsubishi/5K45/MMC5.0.2/5K457EG11/RealChild/CSR_XCP_Signals_Recorder_2026-01-20_09-53-27_CPD_TC56_Try5.MF4.xz,child,RadarFC_Master,child (ncap3),CPD,realchild</t>
  </si>
  <si>
    <t>/mnt/measurements/07_CANape/Mitsubishi/5K45/MMC4.1.2/Validation/MMC4.1.2/Validation/2025_11_28/orderedByTargetType/ncap3/TC_61_Try1.MF4.xz,detection is deatcivated in mea (CpdFuncActive =5),RadarFC_Master,detection is deatcivated in mea (CpdFuncActive =5) (ncap3),CPD,dummy</t>
  </si>
  <si>
    <t>/mnt/measurements/07_CANape/Mitsubishi/5K45/MMC4.1.2/Validation/MMC4.1.2/Validation/2025_11_28/orderedByTargetType/ncap3/TC_61_Try2.MF4.xz,detection is deatcivated in mea (CpdFuncActive =5),RadarFC_Master,detection is deatcivated in mea (CpdFuncActive =5) (ncap3),CPD,dummy</t>
  </si>
  <si>
    <t>/mnt/measurements/07_CANape/Mitsubishi/5K45/MMC4.1.2/Validation/MMC4.1.2/Validation/2025_11_28/orderedByTargetType/ncap3/TC_61_Try3.MF4.xz,detection is deatcivated in mea (CpdFuncActive =5),RadarFC_Master,detection is deatcivated in mea (CpdFuncActive =5) (ncap3),CPD,dummy</t>
  </si>
  <si>
    <t>/mnt/measurements/07_CANape/Mitsubishi/5K45/MMC5.0.2/5K457EG11/RealChild/CSR_XCP_Signals_Recorder_2026-01-20_09-48-47_CPD_TC56_Try2.MF4.xz,child,RadarFC_Master,child (ncap3),CPD,realchild</t>
  </si>
  <si>
    <t>/mnt/measurements/07_CANape/Mitsubishi/5K45/MMC5.0.2/5K457EG11/RealChild/CSR_XCP_Signals_Recorder_2026-01-20_09-50-16_CPD_TC56_Try3.MF4.xz,child,RadarFC_Master,child (ncap3),CPD,realchild</t>
  </si>
  <si>
    <t>/mnt/measurements/07_CANape/Mitsubishi/5K45/MMC5.0.2/5K457EG11/RealChild/CSR_XCP_Signals_Recorder_2026-01-20_09-51-41_CPD_TC56_Try4.MF4.xz,child,RadarFC_Master,child (ncap3),CPD,realchild</t>
  </si>
  <si>
    <t>/mnt/measurements/07_CANape/Mitsubishi/5K45/MMC5.0.2/5K457EG11/RealChild/CPD_TC57_Try1.MF4.xz,child,RadarFC_Master,child (ncap3),CPD,realchild</t>
  </si>
  <si>
    <t>/mnt/measurements/07_CANape/Mitsubishi/5K45/MMC5.0.2/5K457EG11/RealChild/CPD_TC57_Try2.MF4.xz,child,RadarFC_Master,child (ncap3),CPD,realchild</t>
  </si>
  <si>
    <t>/mnt/measurements/07_CANape/Mitsubishi/5K45/MMC5.0.2/5K457EG11/RealChild/CPD_TC57_Try3.MF4.xz,child,RadarFC_Master,child (ncap3),CPD,realchild</t>
  </si>
  <si>
    <t>/mnt/measurements/07_CANape/Mitsubishi/5K45/5.3.0_RC6/Customer_Testing/Real_Child_Measurements/3YO/CSR_XCP_Signals_Recorder_2026-01-30_10-12-17_TC62.MF4.xz,error,RadarFC_Master,error,CPD,realchild</t>
  </si>
  <si>
    <t>/mnt/measurements/07_CANape/Mitsubishi/5K45/5.3.0_RC6/Customer_Testing/Real_Child_Measurements/3YO/CSR_XCP_Signals_Recorder_2026-01-30_10-14-10_TC62.MF4.xz,error,RadarFC_Master,error,CPD,realchild</t>
  </si>
  <si>
    <t>/mnt/measurements/07_CANape/Mitsubishi/5K45/MMC5.0.2/5K457EG11/RealChild/CPD_TC57_Try4.MF4.xz,child,RadarFC_Master,child (ncap3),CPD,realchild</t>
  </si>
  <si>
    <t>/mnt/measurements/07_CANape/Mitsubishi/5K45/5.3.0_RC6/Customer_Testing/Real_Child_Measurements/3YO/CSR_XCP_Signals_Recorder_2026-01-30_10-18-55_TC62.MF4.xz,error,RadarFC_Master,error,CPD,realchild</t>
  </si>
  <si>
    <t>/mnt/measurements/07_CANape/Mitsubishi/5K45/MMC5.0.2/5K457EG11/RealChild/CPD_TC57_Try5.MF4.xz,child,RadarFC_Master,child (ncap3),CPD,realchild</t>
  </si>
  <si>
    <t>/mnt/measurements/07_CANape/Mitsubishi/5K45/5.3.0_RC6/Customer_Testing/Real_Child_Measurements/CSR_XCP_Signals_Recorder_2026-01-29_16-22-22_TC57.MF4.xz,child,RadarFC_Master,child (ncap3),CPD,realchild</t>
  </si>
  <si>
    <t>/mnt/measurements/07_CANape/Mitsubishi/5K45/5.3.0_RC6/Customer_Testing/Real_Child_Measurements/CSR_XCP_Signals_Recorder_2026-01-29_16-24-52_TC57.MF4.xz,child,RadarFC_Master,child (ncap3),CPD,realchild</t>
  </si>
  <si>
    <t>/mnt/measurements/07_CANape/Mitsubishi/5K45/5.3.0_RC6/Customer_Testing/Real_Child_Measurements/CSR_XCP_Signals_Recorder_2026-01-29_16-26-15_TC57.MF4.xz,child,RadarFC_Master,child (ncap3),CPD,realchild</t>
  </si>
  <si>
    <t>/mnt/measurements/07_CANape/Mitsubishi/5K45/MMC5.0.2/5K457EG11/RealChild/CPD_TC58_Try1.MF4.xz,child,RadarFC_Master,child (ncap3),CPD,realchild</t>
  </si>
  <si>
    <t>/mnt/measurements/07_CANape/Mitsubishi/5K45/MMC5.0.2/5K457EG11/RealChild/CPD_TC58_Try2.MF4.xz,child,RadarFC_Master,child (ncap3),CPD,realchild</t>
  </si>
  <si>
    <t>/mnt/measurements/07_CANape/Mitsubishi/5K45/MMC5.0.2/5K457EG11/RealChild/CPD_TC58_Try3.MF4.xz,child,RadarFC_Master,child (ncap3),CPD,realchild</t>
  </si>
  <si>
    <t>/mnt/measurements/07_CANape/Mitsubishi/5K45/MMC5.0.2/5K457EG11/RealChild/CPD_TC58_Try4.MF4.xz,child,RadarFC_Master,child (ncap3),CPD,realchild</t>
  </si>
  <si>
    <t>/mnt/measurements/07_CANape/Mitsubishi/5K45/MMC5.0.2/5K457EG11/RealChild/CPD_TC58_Try5.MF4.xz,child,RadarFC_Master,child (ncap3),CPD,realchild</t>
  </si>
  <si>
    <t>/mnt/measurements/07_CANape/Mitsubishi/5K45/MMC5.0.0_RC3_with_resetfix/CPD/TC59_Try_1.MF4.xz,child,RadarFC_Master,child (ncap3),CPD,dummy</t>
  </si>
  <si>
    <t>/mnt/measurements/07_CANape/Mitsubishi/5K45/MMC4.1.2/Validation/2025_12_02/ChildAwake/TC_65_Try1.MF4.xz,remove, real child mea available,RadarFC_Master,remove, real child mea available (ncap3),CPD,dummy</t>
  </si>
  <si>
    <t>/mnt/measurements/07_CANape/Mitsubishi/5K45/MMC4.1.2/Validation/2025_12_02/ChildAwake/TC_65_Try2.MF4.xz,remove, real child mea available,RadarFC_Master,remove, real child mea available (ncap3),CPD,dummy</t>
  </si>
  <si>
    <t>/mnt/measurements/07_CANape/Mitsubishi/5K45/MMC4.1.2/Validation/2025_12_02/ChildAwake/TC_65_Try3.MF4.xz,remove, real child mea available,RadarFC_Master,remove, real child mea available (ncap3),CPD,dummy</t>
  </si>
  <si>
    <t>/mnt/measurements/07_CANape/Mitsubishi/5K45/MMC5.0.0_RC3_with_resetfix/CPD/TC59_Try_2.MF4.xz,child,RadarFC_Master,child (ncap3),CPD,dummy</t>
  </si>
  <si>
    <t>/mnt/measurements/07_CANape/Mitsubishi/5K45/MMC5.0.0_RC3_with_resetfix/CPD/TC59_Try_3.MF4.xz,child,RadarFC_Master,child (ncap3),CPD,dummy</t>
  </si>
  <si>
    <t>/mnt/measurements/07_CANape/Mitsubishi/5K45/MMC5.0.0_RC3_with_resetfix/CPD/TC60_Try_1.MF4.xz,child,RadarFC_Master,child (ncap3),CPD,dummy</t>
  </si>
  <si>
    <t>/mnt/measurements/07_CANape/Mitsubishi/5K45/MMC5.0.0_RC3_with_resetfix/CPD/TC60_Try_2.MF4.xz,child,RadarFC_Master,child (ncap3),CPD,dummy</t>
  </si>
  <si>
    <t>/mnt/measurements/07_CANape/Mitsubishi/5K45/MMC5.0.0_RC3_with_resetfix/CPD/TC60_Try_3.MF4.xz,child,RadarFC_Master,child (ncap3),CPD,dummy</t>
  </si>
  <si>
    <t>/mnt/measurements/07_CANape/Mitsubishi/5K45/MMC4.1.2/Validation/2025_12_02/ChildSleep/TC_61_Try1.MF4.xz,child,RadarFC_Master,child (ncap3),CPD,dummy</t>
  </si>
  <si>
    <t>/mnt/measurements/07_CANape/Mitsubishi/5K45/MMC4.1.2/Validation/2025_12_02/ChildSleep/TC_61_Try2.MF4.xz,child,RadarFC_Master,child (ncap3),CPD,dummy</t>
  </si>
  <si>
    <t>/mnt/measurements/07_CANape/Mitsubishi/5K45/MMC4.1.2/Validation/2025_12_02/ChildSleep/TC_61_Try3.MF4.xz,child,RadarFC_Master,child (ncap3),CPD,dummy</t>
  </si>
  <si>
    <t>/mnt/measurements/07_CANape/Mitsubishi/5K45/MMC5.0.0_RC3_with_resetfix/CPD/TC62_Try_1.MF4.xz,child,RadarFC_Master,child (ncap3),CPD,dummy</t>
  </si>
  <si>
    <t>/mnt/measurements/07_CANape/Mitsubishi/5K45/MMC5.0.0_RC3_with_resetfix/CPD/TC62_Try_2.MF4.xz,child,RadarFC_Master,child (ncap3),CPD,dummy</t>
  </si>
  <si>
    <t>/mnt/measurements/07_CANape/Mitsubishi/5K45/MMC4.1.2/Validation/2025_12_02/ChildAwake/TC_67_Try1.MF4.xz,remove, real child mea available,RadarFC_Master,remove, real child mea available (ncap3),CPD,dummy</t>
  </si>
  <si>
    <t>/mnt/measurements/07_CANape/Mitsubishi/5K45/MMC4.1.2/Validation/2025_12_02/ChildAwake/TC_67_Try2.MF4.xz,remove, real child mea available,RadarFC_Master,remove, real child mea available (ncap3),CPD,dummy</t>
  </si>
  <si>
    <t>/mnt/measurements/07_CANape/Mitsubishi/5K45/MMC4.1.2/Validation/2025_12_02/ChildAwake/TC_67_Try3.MF4.xz,remove, real child mea available,RadarFC_Master,remove, real child mea available (ncap3),CPD,dummy</t>
  </si>
  <si>
    <t>/mnt/measurements/07_CANape/Mitsubishi/5K45/MMC5.1.0/5K457MG47/SmokeTest/CPD_SmokeTest_TS68-Try1.MF4.xz,Incorrect length,RadarFC_Master,Incorrect length (ncap3),CPD,dummy</t>
  </si>
  <si>
    <t>/mnt/measurements/07_CANape/Mitsubishi/5K45/MMC5.1.0/5K457MG47/SmokeTest/CPD_SmokeTest_TS68_Try2.MF4.xz,Incorrect length,RadarFC_Master,Incorrect length (ncap3),CPD,dummy</t>
  </si>
  <si>
    <t>/mnt/measurements/07_CANape/Mitsubishi/5K45/MMC5.1.0/5K457MG47/SmokeTest/CPD_SmokeTest_TS68_Try3.MF4.xz,Incorrect length,RadarFC_Master,Incorrect length (ncap3),CPD,dummy</t>
  </si>
  <si>
    <t>/mnt/measurements/07_CANape/Mitsubishi/5K45/MMC5.0.0_RC3_with_resetfix/CPD/TC62_Try_3.MF4.xz,child,RadarFC_Master,child (ncap3),CPD,dummy</t>
  </si>
  <si>
    <t>/mnt/measurements/07_CANape/Mitsubishi/5K45/5.3.0_RC6/Customer_Testing/Real_Child_Measurements/3YO/CSR_XCP_Signals_Recorder_2026-01-30_10-16-49_TC62.MF4.xz,child,RadarFC_Master,child (ncap3),CPD,realchild</t>
  </si>
  <si>
    <t>/mnt/measurements/07_CANape/Mitsubishi/5K45/MMC4.1.2/Validation/2025_12_02/ChildSleep/TC_63_Try1.MF4.xz,child,RadarFC_Master,child (ncap3),CPD,dummy</t>
  </si>
  <si>
    <t>/mnt/measurements/07_CANape/Mitsubishi/5K45/MMC4.1.2/Validation/2025_12_02/ChildSleep/TC_63_Try2.MF4.xz,child,RadarFC_Master,child (ncap3),CPD,dummy</t>
  </si>
  <si>
    <t>/mnt/measurements/07_CANape/Mitsubishi/5K45/MMC4.1.2/Validation/2025_12_02/ChildSleep/TC_63_Try3.MF4.xz,child,RadarFC_Master,child (ncap3),CPD,dummy</t>
  </si>
  <si>
    <t>/mnt/measurements/07_CANape/Mitsubishi/5K45/MMC5.0.0_RC3_with_resetfix/CPD/TC64_Try_1.MF4.xz,child,RadarFC_Master,child (ncap3),CPD,dummy</t>
  </si>
  <si>
    <t>/mnt/measurements/07_CANape/Mitsubishi/5K45/MMC5.0.0_RC3_with_resetfix/CPD/TC64_Try_2.MF4.xz,child,RadarFC_Master,child (ncap3),CPD,dummy</t>
  </si>
  <si>
    <t>/mnt/measurements/07_CANape/Mitsubishi/5K45/MMC5.0.0_RC3_with_resetfix/CPD/TC64_Try_3.MF4.xz,child,RadarFC_Master,child (ncap3),CPD,dummy</t>
  </si>
  <si>
    <t>/mnt/measurements/07_CANape/Mitsubishi/5K45/MMC5.0.0_RC3/Real_Child_Tests/CSR_XCP_Signals_Recorder_2025-12-11_10-11-15_TC65_6YO_1R_CPD.MF4.xz,child,RadarFC_Master,child (ncap3),CPD,realchild</t>
  </si>
  <si>
    <t>/mnt/measurements/07_CANape/Mitsubishi/5K45/MMC5.0.0_RC3/Real_Child_Tests/CSR_XCP_Signals_Recorder_2025-12-11_10-20-02_TC65_6YO_1R_CPD.MF4.xz,child,RadarFC_Master,child (ncap3),CPD,realchild</t>
  </si>
  <si>
    <t>/mnt/measurements/07_CANape/Mitsubishi/5K45/MMC4.1.2/Validation/2025_12_02/ChildAwake/TC_69_Try1.MF4.xz,m_CpdFuncActive = 8, CPD is in INIT,RadarFC_Master,m_CpdFuncActive = 8, CPD is in INIT (ncap3),CPD,realchild</t>
  </si>
  <si>
    <t>/mnt/measurements/07_CANape/Mitsubishi/5K45/MMC4.1.2/Validation/2025_12_02/ChildAwake/TC_69_Try2.MF4.xz,remove, real child mea available,RadarFC_Master,remove, real child mea available (ncap3),CPD,realchild</t>
  </si>
  <si>
    <t>/mnt/measurements/07_CANape/Mitsubishi/5K45/MMC4.1.2/Validation/2025_12_02/ChildAwake/TC_69_Try3.MF4.xz,remove, real child mea available,RadarFC_Master,remove, real child mea available (ncap3),CPD,realchild</t>
  </si>
  <si>
    <t>/mnt/measurements/07_CANape/Mitsubishi/5K45/MMC5.0.0_RC3/Real_Child_Tests/CSR_XCP_Signals_Recorder_2025-12-10_10-50-49_TC70_6YO2RC_CPD.MF4.xz,m_CpdFuncActive = 7, CPD degraded,RadarFC_Master,m_CpdFuncActive = 7, CPD degraded (ncap3),CPD,realchild</t>
  </si>
  <si>
    <t>/mnt/measurements/07_CANape/Mitsubishi/5K45/MMC5.0.0_RC3/Real_Child_Tests/CSR_XCP_Signals_Recorder_2025-12-10_10-52-35_TC70_6YO2RC_CPD.MF4.xz,Short seqquence,RadarFC_Master,Short seqquence (ncap3),CPD,realchild</t>
  </si>
  <si>
    <t>/mnt/measurements/07_CANape/Mitsubishi/5K45/MMC5.0.0_RC3/Real_Child_Tests/CSR_XCP_Signals_Recorder_2025-12-10_10-54-48_TC70_6YO2RC_CPD.MF4.xz,Short seqquence,RadarFC_Master,Short seqquence (ncap3),CPD,realchild</t>
  </si>
  <si>
    <t>/mnt/measurements/07_CANape/Mitsubishi/5K45/MMC5.0.0_RC3/Real_Child_Tests/CSR_XCP_Signals_Recorder_2025-12-10_11-00-30_TC70_6YO2RC_CPD.MF4.xz,m_CpdFuncActive = 7, CPD degraded,RadarFC_Master,m_CpdFuncActive = 7, CPD degraded (ncap3),CPD,realchild</t>
  </si>
  <si>
    <t>/mnt/measurements/07_CANape/Mitsubishi/5K45/MMC5.0.0_RC3/Real_Child_Tests/CSR_XCP_Signals_Recorder_2025-12-10_11-02-28_TC70_6YO2RC_CPD.MF4.xz,m_CpdFuncActive = 7, CPD degraded,RadarFC_Master,m_CpdFuncActive = 7, CPD degraded (ncap3),CPD,realchild</t>
  </si>
  <si>
    <t>/mnt/measurements/07_CANape/Mitsubishi/5K45/MMC5.0.0_RC3/Real_Child_Tests/CSR_XCP_Signals_Recorder_2025-12-11_10-23-00_TC65_6YO_1R_CPD.MF4.xz,child,RadarFC_Master,child (ncap3),CPD,realchild</t>
  </si>
  <si>
    <t>/mnt/measurements/07_CANape/Mitsubishi/5K45/MMC5.0.0_RC3/Real_Child_Tests/CSR_XCP_Signals_Recorder_2025-12-11_10-25-45_TC65_6YO_1R_CPD.MF4.xz,child,RadarFC_Master,child (ncap3),CPD,realchild</t>
  </si>
  <si>
    <t>/mnt/measurements/07_CANape/Mitsubishi/5K45/MMC5.0.0_RC3/Real_Child_Tests/CSR_XCP_Signals_Recorder_2025-12-10_17-19-17_TC66_6YO2RR_CPD.MF4.xz,child,RadarFC_Master,child (ncap3),CPD,realchild</t>
  </si>
  <si>
    <t>/mnt/measurements/07_CANape/Mitsubishi/5K45/MMC5.0.0_RC3/Real_Child_Tests/CSR_XCP_Signals_Recorder_2025-12-10_17-24-11_TC66__6YO2RR_CPD.MF4.xz,child,RadarFC_Master,child (ncap3),CPD,realchild</t>
  </si>
  <si>
    <t>/mnt/measurements/07_CANape/Mitsubishi/5K45/MMC5.0.0_RC3/Real_Child_Tests/CSR_XCP_Signals_Recorder_2025-12-10_17-25-54_TC66__6YO2RR_CPD.MF4.xz,child,RadarFC_Master,child (ncap3),CPD,realchild</t>
  </si>
  <si>
    <t>/mnt/measurements/07_CANape/Mitsubishi/5K45/MMC5.0.0_RC3/Real_Child_Tests/CSR_XCP_Signals_Recorder_2025-12-10_17-27-22_TC66__6YO2RR_CPD.MF4.xz,child,RadarFC_Master,child (ncap3),CPD,realchild</t>
  </si>
  <si>
    <t>/mnt/measurements/07_CANape/Mitsubishi/5K45/MMC5.0.0_RC3/Real_Child_Tests/CSR_XCP_Signals_Recorder_2025-12-10_17-30-40_TC66__6YO2RR_CPD.MF4.xz,child,RadarFC_Master,child (ncap3),CPD,realchild</t>
  </si>
  <si>
    <t>/mnt/measurements/07_CANape/Mitsubishi/5K45/MMC5.0.0_RC3/Real_Child_Tests/CSR_XCP_Signals_Recorder_2025-12-11_10-32-41_TC67_6YO_2R_CPD.MF4.xz,child,RadarFC_Master,child (ncap3),CPD,realchild</t>
  </si>
  <si>
    <t>/mnt/measurements/07_CANape/Mitsubishi/5K45/MMC5.0.0_RC3/Real_Child_Tests/CSR_XCP_Signals_Recorder_2025-12-11_10-34-11_TC67_6YO_2R_CPD.MF4.xz,child,RadarFC_Master,child (ncap3),CPD,realchild</t>
  </si>
  <si>
    <t>/mnt/measurements/07_CANape/Mitsubishi/5K45/MMC5.0.0_RC3/Real_Child_Tests/CSR_XCP_Signals_Recorder_2025-12-11_10-35-52_TC67_6YO_2R_CPD.MF4.xz,child,RadarFC_Master,child (ncap3),CPD,realchild</t>
  </si>
  <si>
    <t>/mnt/measurements/07_CANape/Mitsubishi/5K45/MMC5.0.0_RC3/Real_Child_Tests/CSR_XCP_Signals_Recorder_2025-12-11_10-38-31_TC67_6YO_2R_CPD.MF4.xz,child,RadarFC_Master,child (ncap3),CPD,realchild</t>
  </si>
  <si>
    <t>/mnt/measurements/07_CANape/Mitsubishi/5K45/MMC5.0.0_RC3/Real_Child_Tests/CSR_XCP_Signals_Recorder_2025-12-11_10-30-51_TC67_6YO_2R_CPD.MF4.xz,child,RadarFC_Master,child (ncap3),CPD,realchild</t>
  </si>
  <si>
    <t>/mnt/measurements/07_CANape/Mitsubishi/5K45/MMC5.0.0_RC3_with_resetfix/CPD/TC68_Try_1.MF4.xz,child,RadarFC_Master,child (ncap3),CPD,dummy</t>
  </si>
  <si>
    <t>/mnt/measurements/07_CANape/Mitsubishi/5K45/MMC4.1.2/Validation/2025_11_28/orderedByTargetType/child/Sleep/TC_71_Try1.MF4.xz,detection is deatcivated in mea (CpdFuncActive =5),RadarFC_Master,detection is deatcivated in mea (CpdFuncActive =5) (ncap3),CPD,dummy</t>
  </si>
  <si>
    <t>/mnt/measurements/07_CANape/Mitsubishi/5K45/MMC4.1.2/Validation/2025_11_28/orderedByTargetType/child/Sleep/TC_71_Try2.MF4.xz,detection is deatcivated in mea (CpdFuncActive =5),RadarFC_Master,detection is deatcivated in mea (CpdFuncActive =5) (ncap3),CPD,dummy</t>
  </si>
  <si>
    <t>/mnt/measurements/07_CANape/Mitsubishi/5K45/MMC4.1.2/Validation/2025_11_28/orderedByTargetType/child/Sleep/TC_71_Try3.MF4.xz,detection is deatcivated in mea (CpdFuncActive =5),RadarFC_Master,detection is deatcivated in mea (CpdFuncActive =5) (ncap3),CPD,dummy</t>
  </si>
  <si>
    <t>/mnt/measurements/07_CANape/Mitsubishi/5K45/MMC5.0.0_RC3_with_resetfix/CPD/TC68_Try_2.MF4.xz,child,RadarFC_Master,child (ncap3),CPD,dummy</t>
  </si>
  <si>
    <t>/mnt/measurements/07_CANape/Mitsubishi/5K45/MMC5.0.0_RC3_with_resetfix/CPD/TC68_Try_3.MF4.xz,child,RadarFC_Master,child (ncap3),CPD,dummy</t>
  </si>
  <si>
    <t>/mnt/measurements/07_CANape/Mitsubishi/5K45/MMC5.0.2/5K457MG57/SmokeTest/SmokeTest_CPD_TC68.MF4.xz,child,RadarFC_Master,child (ncap3),CPD,dummy</t>
  </si>
  <si>
    <t>/mnt/measurements/07_CANape/Mitsubishi/5K45/MMC4.1.2/Validation/2025_11_28/orderedByTargetType/child/Sleep/TC_72_Try1.MF4.xz,detection is deatcivated in mea (CpdFuncActive =5),RadarFC_Master,detection is deatcivated in mea (CpdFuncActive =5) (ncap3),CPD,dummy</t>
  </si>
  <si>
    <t>/mnt/measurements/07_CANape/Mitsubishi/5K45/MMC4.1.2/Validation/2025_11_28/orderedByTargetType/child/Sleep/TC_72_Try2.MF4.xz,detection is deatcivated in mea (CpdFuncActive =5),RadarFC_Master,detection is deatcivated in mea (CpdFuncActive =5) (ncap3),CPD,dummy</t>
  </si>
  <si>
    <t>/mnt/measurements/07_CANape/Mitsubishi/5K45/MMC4.1.2/Validation/2025_11_28/orderedByTargetType/child/Sleep/TC_72_Try3.MF4.xz,detection is deatcivated in mea (CpdFuncActive =5),RadarFC_Master,detection is deatcivated in mea (CpdFuncActive =5) (ncap3),CPD,dummy</t>
  </si>
  <si>
    <t>/mnt/measurements/07_CANape/Mitsubishi/5K45/MMC5.1.1/5K457EG11/Smoke Tests/CSR_XCP_Signals_Recorder_2025-12-22_14-49-08_TC68_CPD.MF4.xz,child,RadarFC_Master,child (ncap3),CPD,dummy</t>
  </si>
  <si>
    <t>/mnt/measurements/07_CANape/Mitsubishi/5K45/MMC5.0.0_RC3/Real_Child_Tests/CSR_XCP_Signals_Recorder_2025-12-11_10-43-38_TC69_6YO_2L_CPD.MF4.xz,child,RadarFC_Master,child (ncap3),CPD,realchild</t>
  </si>
  <si>
    <t>/mnt/measurements/07_CANape/Mitsubishi/5K45/MMC5.0.0_RC3/Real_Child_Tests/CSR_XCP_Signals_Recorder_2025-12-11_10-46-04_TC69_6YO_2L_CPD.MF4.xz,child,RadarFC_Master,child (ncap3),CPD,realchild</t>
  </si>
  <si>
    <t>/mnt/measurements/07_CANape/Mitsubishi/5K45/MMC5.0.0_RC3/Real_Child_Tests/CSR_XCP_Signals_Recorder_2025-12-11_10-47-30_TC69_6YO_2L_CPD.MF4.xz,child,RadarFC_Master,child (ncap3),CPD,realchild</t>
  </si>
  <si>
    <t>/mnt/measurements/07_CANape/Mitsubishi/5K45/MMC5.0.0_RC3/Real_Child_Tests/CSR_XCP_Signals_Recorder_2025-12-11_10-49-08_TC69_6YO_2L_CPD.MF4.xz,child,RadarFC_Master,child (ncap3),CPD,realchild</t>
  </si>
  <si>
    <t>/mnt/measurements/07_CANape/Mitsubishi/5K45/MMC5.0.0_RC3/Real_Child_Tests/CSR_XCP_Signals_Recorder_2025-12-11_10-41-39_TC69_6YO_2L_CPD.MF4.xz,child,RadarFC_Master,child (ncap3),CPD,realchild</t>
  </si>
  <si>
    <t>/mnt/measurements/07_CANape/Mitsubishi/5K45/MMC5.1.0/5K457EG11/CSR_XCP_Signals_Recorder_2025-12-18_16-42-47_TC70_CPD.MF4.xz,child,RadarFC_Master,child (ncap3),CPD,realchild</t>
  </si>
  <si>
    <t>/mnt/measurements/07_CANape/Mitsubishi/5K45/MMC5.1.0/5K457EG11/CSR_XCP_Signals_Recorder_2025-12-18_16-44-24_TC70_CPD.MF4.xz,child,RadarFC_Master,child (ncap3),CPD,realchild</t>
  </si>
  <si>
    <t>/mnt/measurements/07_CANape/Mitsubishi/5K45/MMC5.1.0/5K457EG11/CSR_XCP_Signals_Recorder_2025-12-18_16-45-59_TC70_CPD.MF4.xz,child,RadarFC_Master,child (ncap3),CPD,realchild</t>
  </si>
  <si>
    <t>/mnt/measurements/07_CANape/Mitsubishi/5K45/MMC5.1.0/5K457EG11/CSR_XCP_Signals_Recorder_2025-12-18_16-47-35_TC70_CPD.MF4.xz,child,RadarFC_Master,child (ncap3),CPD,realchild</t>
  </si>
  <si>
    <t>/mnt/measurements/07_CANape/Mitsubishi/5K45/MMC5.1.0/5K457EG11/CSR_XCP_Signals_Recorder_2025-12-18_16-49-09_TC70_CPD.MF4.xz,child,RadarFC_Master,child (ncap3),CPD,realchild</t>
  </si>
  <si>
    <t>/mnt/measurements/07_CANape/Mitsubishi/5K45/MMC5.0.2/5K457EG11/RealChild/CSR_XCP_Signals_Recorder_2026-01-20_16-07-49_CPD_TC70_Try5.MF4.xz,child,RadarFC_Master,child (ncap3),CPD,realchild</t>
  </si>
  <si>
    <t>/mnt/measurements/07_CANape/Mitsubishi/5K45/MMC5.0.2/5K457EG11/RealChild/CSR_XCP_Signals_Recorder_2026-01-20_16-01-58_CPD_TC70_Try1.MF4.xz,child,RadarFC_Master,child (ncap3),CPD,realchild</t>
  </si>
  <si>
    <t>/mnt/measurements/07_CANape/Mitsubishi/5K45/MMC5.0.2/5K457EG11/RealChild/CSR_XCP_Signals_Recorder_2026-01-20_16-03-21_CPD_TC70_Try2.MF4.xz,child,RadarFC_Master,child (ncap3),CPD,realchild</t>
  </si>
  <si>
    <t>/mnt/measurements/07_CANape/Mitsubishi/5K45/MMC5.0.2/5K457EG11/RealChild/CSR_XCP_Signals_Recorder_2026-01-20_16-04-50_CPD_TC70_Try3.MF4.xz,child,RadarFC_Master,child (ncap3),CPD,realchild</t>
  </si>
  <si>
    <t>/mnt/measurements/07_CANape/Mitsubishi/5K45/MMC5.0.2/5K457EG11/RealChild/CSR_XCP_Signals_Recorder_2026-01-20_16-06-19_CPD_TC70_Try4.MF4.xz,child,RadarFC_Master,child (ncap3),CPD,realchild</t>
  </si>
  <si>
    <t>/mnt/measurements/07_CANape/Mitsubishi/5K45/5.3.0_RC6/Customer_Testing/Real_Child_Measurements/6YO/CSR_XCP_Signals_Recorder_2026-01-30_14-20-11_TC70.MF4.xz,child,RadarFC_Master,child (ncap3),CPD,realchild</t>
  </si>
  <si>
    <t>/mnt/measurements/07_CANape/Mitsubishi/5K45/5.3.0_RC6/Customer_Testing/Real_Child_Measurements/6YO/CSR_XCP_Signals_Recorder_2026-01-30_14-21-46_TC70.MF4.xz,child,RadarFC_Master,child (ncap3),CPD,realchild</t>
  </si>
  <si>
    <t>/mnt/measurements/07_CANape/Mitsubishi/5K45/5.3.0_RC6/Customer_Testing/Real_Child_Measurements/6YO/CSR_XCP_Signals_Recorder_2026-01-30_14-23-14_TC70.MF4.xz,child,RadarFC_Master,child (ncap3),CPD,realchild</t>
  </si>
  <si>
    <t>/mnt/measurements/07_CANape/Mitsubishi/5K45/MMC5.0.0_RC3_with_resetfix/CPD/TC71_Try_1.MF4.xz,child,RadarFC_Master,child (ncap3),CPD,dummy</t>
  </si>
  <si>
    <t>/mnt/measurements/07_CANape/Mitsubishi/5K45/MMC5.0.0_RC3_with_resetfix/CPD/TC71_Try_2.MF4.xz,child,RadarFC_Master,child (ncap3),CPD,dummy</t>
  </si>
  <si>
    <t>/mnt/measurements/07_CANape/Mitsubishi/5K45/MMC5.0.0_RC3_with_resetfix/CPD/TC71_Try_3.MF4.xz,child,RadarFC_Master,child (ncap3),CPD,dummy</t>
  </si>
  <si>
    <t>/mnt/measurements/07_CANape/Mitsubishi/5K45/MMC5.0.0_RC3_with_resetfix/CPD/TC72_Try_1.MF4.xz,child,RadarFC_Master,child (ncap3),CPD,dummy</t>
  </si>
  <si>
    <t>/mnt/measurements/07_CANape/Mitsubishi/5K45/MMC5.0.0_RC3_with_resetfix/CPD/TC72_Try_2.MF4.xz,child,RadarFC_Master,child (ncap3),CPD,dummy</t>
  </si>
  <si>
    <t>/mnt/measurements/07_CANape/Mitsubishi/5K45/MMC5.0.0_RC3_with_resetfix/CPD/TC72_Try_3.MF4.xz,child,RadarFC_Master,child (ncap3),CPD,dummy</t>
  </si>
  <si>
    <t>/mnt/measurements/07_CANape/Mitsubishi/5K45/MMC5.0.0_RC3/Real_Child_Tests/CSR_XCP_Signals_Recorder_2025-12-10_17-36-32_TC73_6YO3RR_CPD.MF4.xz,child,RadarFC_Master,child (ncap3),CPD,realchild</t>
  </si>
  <si>
    <t>/mnt/measurements/07_CANape/Mitsubishi/5K45/MMC5.0.0_RC3/Real_Child_Tests/CSR_XCP_Signals_Recorder_2025-12-10_17-47-06_TC73_6YO3RR_CPD.MF4.xz,child,RadarFC_Master,child (ncap3),CPD,realchild</t>
  </si>
  <si>
    <t>/mnt/measurements/07_CANape/Mitsubishi/5K45/MMC5.0.0_RC3/Real_Child_Tests/CSR_XCP_Signals_Recorder_2025-12-10_17-50-41_TC73_6YO3RR_CPD.MF4.xz,child,RadarFC_Master,child (ncap3),CPD,realchild</t>
  </si>
  <si>
    <t>/mnt/measurements/07_CANape/Mitsubishi/5K45/MMC5.0.0_RC3/Real_Child_Tests/CSR_XCP_Signals_Recorder_2025-12-10_17-54-19_TC73_6YO3RR_CPD.MF4.xz,child,RadarFC_Master,child (ncap3),CPD,realchild</t>
  </si>
  <si>
    <t>/mnt/measurements/07_CANape/Mitsubishi/5K45/MMC5.0.0_RC3/Real_Child_Tests/CSR_XCP_Signals_Recorder_2025-12-10_17-57-35_TC73_6YO3RR_CPD.MF4.xz,child,RadarFC_Master,child (ncap3),CPD,realchild</t>
  </si>
  <si>
    <t>/mnt/measurements/07_CANape/Mitsubishi/5K45/MMC5.0.0_RC3_with_resetfix/CPD/TC74_Try_1.MF4.xz,child,RadarFC_Master,child (ncap3),CPD,dummy</t>
  </si>
  <si>
    <t>/mnt/measurements/07_CANape/Mitsubishi/5K45/MMC5.0.0_RC3_with_resetfix/CPD/TC74_Try_2.MF4.xz,child,RadarFC_Master,child (ncap3),CPD,dummy</t>
  </si>
  <si>
    <t>/mnt/measurements/07_CANape/Mitsubishi/5K45/MMC5.0.0_RC3_with_resetfix/CPD/TC74_Try_3.MF4.xz,child,RadarFC_Master,child (ncap3),CPD,dummy</t>
  </si>
  <si>
    <t>/mnt/measurements/07_CANape/Mitsubishi/5K45/MMC5.0.0_RC3/Real_Child_Tests/CSR_XCP_Signals_Recorder_2025-12-10_16-42-25_TC84_AF05D_3YORL2_CPD.MF4.xz,adult,RadarFC_Master,adult,CPD,realchild</t>
  </si>
  <si>
    <t>/mnt/measurements/07_CANape/Mitsubishi/5K45/MMC5.0.0_RC3/Real_Child_Tests/CSR_XCP_Signals_Recorder_2025-12-10_16-44-09_TC84_AF05D_3YORL2_CPD.MF4.xz,adult,RadarFC_Master,adult,CPD,realchild</t>
  </si>
  <si>
    <t>/mnt/measurements/07_CANape/Mitsubishi/5K45/MMC5.0.0_RC3/Real_Child_Tests/CSR_XCP_Signals_Recorder_2025-12-10_16-45-46_TC84_AF05D_3YORL2_CPD.MF4.xz,adult,RadarFC_Master,adult,CPD,realchild</t>
  </si>
  <si>
    <t>/mnt/measurements/07_CANape/Mitsubishi/5K45/MMC5.0.0_RC3/Real_Child_Tests/CSR_XCP_Signals_Recorder_2025-12-10_16-47-21_TC84_AF05D_3YORL2_CPD.MF4.xz,adult,RadarFC_Master,adult,CPD,realchild</t>
  </si>
  <si>
    <t>/mnt/measurements/07_CANape/Mitsubishi/5K45/MMC5.0.0_RC3/Real_Child_Tests/CSR_XCP_Signals_Recorder_2025-12-10_16-48-54_TC84_AF05D_3YORL2_CPD.MF4.xz,adult,RadarFC_Master,adult,CPD,realchild</t>
  </si>
  <si>
    <t>/mnt/measurements/07_CANape/Mitsubishi/5K45/MMC4.1.2/Validation/2025_11_28/orderedByTargetType/adult/TC_85_Try1.MF4.xz,adult,RadarFC_Master,adult,CPD,dummy</t>
  </si>
  <si>
    <t>/mnt/measurements/07_CANape/Mitsubishi/5K45/MMC4.1.2/Validation/2025_11_28/orderedByTargetType/adult/TC_85_Try2.MF4.xz,adult,RadarFC_Master,adult,CPD,dummy</t>
  </si>
  <si>
    <t>/mnt/measurements/07_CANape/Mitsubishi/5K45/MMC4.1.2/Validation/2025_11_28/orderedByTargetType/adult/TC_85_Try3.MF4.xz,adult,RadarFC_Master,adult,CPD,dummy</t>
  </si>
  <si>
    <t>/mnt/measurements/07_CANape/Mitsubishi/5K45/MMC4.1.2/Validation/2025_11_28/orderedByTargetType/adult/TC_86_Try1.MF4.xz,adult,RadarFC_Master,adult,CPD,dummy</t>
  </si>
  <si>
    <t>/mnt/measurements/07_CANape/Mitsubishi/5K45/MMC4.1.2/Validation/2025_11_28/orderedByTargetType/adult/TC_86_Try2.MF4.xz,adult,RadarFC_Master,adult,CPD,dummy</t>
  </si>
  <si>
    <t>/mnt/measurements/07_CANape/Mitsubishi/5K45/MMC4.1.2/Validation/2025_11_28/orderedByTargetType/adult/TC_86_Try3.MF4.xz,adult,RadarFC_Master,adult,CPD,dummy</t>
  </si>
  <si>
    <t>/mnt/measurements/07_CANape/Mitsubishi/5K45/MMC4.1.2/Validation/2025_11_29/adult/TC_90_Try1.MF4.xz,adult,RadarFC_Master,adult,CPD,dummy</t>
  </si>
  <si>
    <t>/mnt/measurements/07_CANape/Mitsubishi/5K45/MMC5.0.1/5K457EG-11/Real_Child_Measurements/CSR_XCP_Signals_Recorder_2025-12-15_16-50-58_TC97_6YO1R_AM502L_CPD.MF4.xz,NCAP3 long,RadarFC_Master,NCAP3 long,CPD,realchild</t>
  </si>
  <si>
    <t>/mnt/measurements/07_CANape/Mitsubishi/5K45/MMC5.0.1/5K457EG-11/Real_Child_Measurements/CSR_XCP_Signals_Recorder_2025-12-15_16-54-07_TC97_6YO1R_AM502L_CPD.MF4.xz,NCAP3 long,RadarFC_Master,NCAP3 long,CPD,realchild</t>
  </si>
  <si>
    <t>/mnt/measurements/07_CANape/Mitsubishi/5K45/MMC5.0.1/5K457EG-11/Real_Child_Measurements/CSR_XCP_Signals_Recorder_2025-12-15_16-55-41_TC97_6YO1R_AM502L_CPD.MF4.xz,NCAP3 long,RadarFC_Master,NCAP3 long,CPD,realchild</t>
  </si>
  <si>
    <t>/mnt/measurements/07_CANape/Mitsubishi/5K45/MMC5.0.1/5K457EG-11/Real_Child_Measurements/CSR_XCP_Signals_Recorder_2025-12-15_16-57-16_TC97_6YO1R_AM502L_CPD.MF4.xz,NCAP3 long,RadarFC_Master,NCAP3 long,CPD,realchild</t>
  </si>
  <si>
    <t>/mnt/measurements/07_CANape/Mitsubishi/5K45/MMC5.1.0/5K457EG11/CSR_XCP_Signals_Recorder_2025-12-19_10-06-58_TC98_CPD.MF4.xz,NCAP3 long,RadarFC_Master,NCAP3 long,CPD,dummy</t>
  </si>
  <si>
    <t>/mnt/measurements/07_CANape/Mitsubishi/5K45/MMC5.1.0/5K457EG11/CSR_XCP_Signals_Recorder_2025-12-19_10-08-51_TC98_CPD.MF4.xz,NCAP3 long,RadarFC_Master,NCAP3 long,CPD,dummy</t>
  </si>
  <si>
    <t>/mnt/measurements/07_CANape/Mitsubishi/5K45/MMC5.1.0/5K457EG11/CSR_XCP_Signals_Recorder_2025-12-19_10-11-20_TC98_CPD.MF4.xz,NCAP3 long,RadarFC_Master,NCAP3 long,CPD,dummy</t>
  </si>
  <si>
    <t>/mnt/measurements/07_CANape/Mitsubishi/5K45/MMC4.1.2/Validation/2025_11_29/adult/TC_90_Try2.MF4.xz,adult,RadarFC_Master,adult,CPD,dummy</t>
  </si>
  <si>
    <t>/mnt/measurements/07_CANape/Mitsubishi/5K45/MMC4.1.2/Validation/2025_11_29/adult/TC_90_Try3.MF4.xz,adult,RadarFC_Master,adult,CPD,dummy</t>
  </si>
  <si>
    <t>/mnt/measurements/07_CANape/Mitsubishi/5K45/MMC4.1.2/Validation/2025_11_29/adult/TC_91_Try1.MF4.xz,adult,RadarFC_Master,adult,CPD,dummy</t>
  </si>
  <si>
    <t>/mnt/measurements/07_CANape/Mitsubishi/5K45/MMC4.1.2/Validation/2025_11_29/adult/TC_91_Try2.MF4.xz,adult,RadarFC_Master,adult,CPD,dummy</t>
  </si>
  <si>
    <t>/mnt/measurements/07_CANape/Mitsubishi/5K45/MMC4.1.2/Validation/2025_11_29/adult/TC_91_Try3.MF4.xz,adult,RadarFC_Master,adult,CPD,dummy</t>
  </si>
  <si>
    <t>/mnt/measurements/07_CANape/Mitsubishi/5K45/MMC4.1.2/Validation/2025_11_28/orderedByTargetType/adult/TC_92_Try1.MF4.xz,adult,RadarFC_Master,adult,CPD,dummy</t>
  </si>
  <si>
    <t>/mnt/measurements/07_CANape/Mitsubishi/5K45/MMC4.1.2/Validation/2025_11_28/orderedByTargetType/adult/TC_92_Try2.MF4.xz,adult,RadarFC_Master,adult,CPD,dummy</t>
  </si>
  <si>
    <t>/mnt/measurements/07_CANape/Mitsubishi/5K45/MMC5.0.2/5K457MG57/SmokeTest/SmokeTest_CPD_TC102.MF4.xz,adult,RadarFC_Master,adult,CPD,dummy</t>
  </si>
  <si>
    <t>/mnt/measurements/07_CANape/Mitsubishi/5K45/MMC5.1.0/5K457MG47/SmokeTest/CPD_SmokeTest_TS102.MF4.xz,adult,RadarFC_Master,adult,CPD,dummy</t>
  </si>
  <si>
    <t>/mnt/measurements/07_CANape/Mitsubishi/5K45/MMC4.1.2/Validation/2025_11_28/orderedByTargetType/adult/TC_92_Try3.MF4.xz,adult,RadarFC_Master,adult,CPD,dummy</t>
  </si>
  <si>
    <t>/mnt/measurements/07_CANape/Mitsubishi/5K45/MMC4.1.2/Validation/2025_11_28/orderedByTargetType/adult/TC_93_Try1.MF4.xz,adult,RadarFC_Master,adult,CPD,dummy</t>
  </si>
  <si>
    <t>/mnt/measurements/07_CANape/Mitsubishi/5K45/MMC4.1.2/Validation/2025_11_28/orderedByTargetType/adult/TC_93_Try2.MF4.xz,adult,RadarFC_Master,adult,CPD,dummy</t>
  </si>
  <si>
    <t>/mnt/measurements/07_CANape/Mitsubishi/5K45/MMC4.1.2/Validation/2025_11_28/orderedByTargetType/adult/TC_93_Try3.MF4.xz,adult,RadarFC_Master,adult,CPD,dummy</t>
  </si>
  <si>
    <t>/mnt/measurements/07_CANape/Mitsubishi/5K45/5.3.0_RC6/Customer_Testing/CSR_XCP_Signals_Recorder_2026-01-29_15-48-12_TC103_NCAP_3.MF4.xz,NCAP3 long,RadarFC_Master,NCAP3 long,CPD,dummy</t>
  </si>
  <si>
    <t>/mnt/measurements/07_CANape/Mitsubishi/5K45/5.3.0_RC6/Customer_Testing/CSR_XCP_Signals_Recorder_2026-01-29_15-49-51_TC103_NCAP_3.MF4.xz,NCAP3 long,RadarFC_Master,NCAP3 long,CPD,dummy</t>
  </si>
  <si>
    <t>/mnt/measurements/07_CANape/Mitsubishi/5K45/5.3.0_RC6/Customer_Testing/CSR_XCP_Signals_Recorder_2026-01-29_15-51-35_TC103_NCAP_3.MF4.xz,NCAP3 long,RadarFC_Master,NCAP3 long,CPD,dummy</t>
  </si>
  <si>
    <t>/mnt/measurements/07_CANape/Mitsubishi/5K45/5.3.0_RC6/Customer_Testing/CSR_XCP_Signals_Recorder_2026-01-29_15-53-18_TC103_NCAP_1_2.MF4.xz,error,RadarFC_Master,error,CPD,dummy</t>
  </si>
  <si>
    <t>/mnt/measurements/07_CANape/Mitsubishi/5K45/MMC4.1.2/Validation/2025_11_28/orderedByTargetType/adult/TC_94_Try1.MF4.xz,adult,RadarFC_Master,adult,CPD,dummy</t>
  </si>
  <si>
    <t>/mnt/measurements/07_CANape/Mitsubishi/5K45/5.3.0_RC6/Customer_Testing/CSR_XCP_Signals_Recorder_2026-01-29_15-58-36_TC103_NCAP_1_2.MF4.xz,error,RadarFC_Master,error,CPD,dummy</t>
  </si>
  <si>
    <t>/mnt/measurements/07_CANape/Mitsubishi/5K45/MMC4.1.2/Validation/2025_11_28/orderedByTargetType/adult/TC_94_Try2.MF4.xz,adult,RadarFC_Master,adult,CPD,dummy</t>
  </si>
  <si>
    <t>/mnt/measurements/07_CANape/Mitsubishi/5K45/MMC4.1.2/Validation/2025_11_28/orderedByTargetType/adult/TC_94_Try3.MF4.xz,adult,RadarFC_Master,adult,CPD,dummy</t>
  </si>
  <si>
    <t>/mnt/measurements/07_CANape/Mitsubishi/5K45/MMC5.0.0_RC3/Real_Child_Tests/CSR_XCP_Signals_Recorder_2025-12-10_16-53-14_TC95_AF05D_3YORR2_CPD.MF4.xz,adult,RadarFC_Master,adult,CPD,realchild</t>
  </si>
  <si>
    <t>/mnt/measurements/07_CANape/Mitsubishi/5K45/MMC5.0.0_RC3/Real_Child_Tests/CSR_XCP_Signals_Recorder_2025-12-10_16-54-43_TC95_AF05D_3YORR2_CPD.MF4.xz,adult,RadarFC_Master,adult,CPD,realchild</t>
  </si>
  <si>
    <t>/mnt/measurements/07_CANape/Mitsubishi/5K45/MMC5.0.0_RC3/Real_Child_Tests/CSR_XCP_Signals_Recorder_2025-12-10_16-56-11_TC95_AF05D_3YORR2_CPD.MF4.xz,adult,RadarFC_Master,adult,CPD,realchild</t>
  </si>
  <si>
    <t>/mnt/measurements/07_CANape/Mitsubishi/5K45/MMC5.0.0_RC3/Real_Child_Tests/CSR_XCP_Signals_Recorder_2025-12-10_16-57-41_TC95_AF05D_3YORR2_CPD.MF4.xz,adult,RadarFC_Master,adult,CPD,realchild</t>
  </si>
  <si>
    <t>/mnt/measurements/07_CANape/Mitsubishi/5K45/MMC5.0.0_RC3/Real_Child_Tests/CSR_XCP_Signals_Recorder_2025-12-10_16-59-10_TC95_AF05D_3YORR2_CPD.MF4.xz,adult,RadarFC_Master,adult,CPD,realchild</t>
  </si>
  <si>
    <t>/mnt/measurements/07_CANape/Mitsubishi/5K45/MMC4.1.2/Validation/2025_11_28/orderedByTargetType/adult/TC_96_Try_1.MF4.xz,adult,RadarFC_Master,adult,CPD,dummy</t>
  </si>
  <si>
    <t>/mnt/measurements/07_CANape/Mitsubishi/5K45/MMC4.1.2/Validation/2025_11_28/orderedByTargetType/adult/TC_96_Try2.MF4.xz,adult,RadarFC_Master,adult,CPD,dummy</t>
  </si>
  <si>
    <t>/mnt/measurements/07_CANape/Mitsubishi/5K45/MMC4.1.2/Validation/2025_11_28/orderedByTargetType/adult/TC_96_Try3.MF4.xz,adult,RadarFC_Master,adult,CPD,dummy</t>
  </si>
  <si>
    <t>/mnt/measurements/07_CANape/Mitsubishi/5K45/MMC4.1.2/Validation/2025_11_28/orderedByTargetType/adult/TC_99_Try1.MF4.xz,adult,RadarFC_Master,adult,CPD,dummy</t>
  </si>
  <si>
    <t>/mnt/measurements/07_CANape/Mitsubishi/5K45/MMC4.1.2/Validation/2025_11_28/orderedByTargetType/adult/TC_99_Try2.MF4.xz,adult,RadarFC_Master,adult,CPD,dummy</t>
  </si>
  <si>
    <t>/mnt/measurements/07_CANape/Mitsubishi/5K45/MMC4.1.2/Validation/2025_11_28/orderedByTargetType/adult/TC_108_Try1.MF4.xz,Input signal CpdFuncActive is always 4,RadarFC_Master,Input signal CpdFuncActive is always 4,CPD,dummy</t>
  </si>
  <si>
    <t>/mnt/measurements/07_CANape/Mitsubishi/5K45/MMC4.1.2/Validation/2025_11_28/orderedByTargetType/adult/TC_99_Try3.MF4.xz,adult,RadarFC_Master,adult,CPD,dummy</t>
  </si>
  <si>
    <t>/mnt/measurements/07_CANape/Mitsubishi/5K45/MMC4.1.2/Validation/2025_11_28/orderedByTargetType/adult/TC_102_Try1.MF4.xz,adult,RadarFC_Master,adult,CPD,dummy</t>
  </si>
  <si>
    <t>/mnt/measurements/07_CANape/Mitsubishi/5K45/MMC4.1.2/Validation/2025_11_28/orderedByTargetType/adult/TC_102_Try2.MF4.xz,adult,RadarFC_Master,adult,CPD,dummy</t>
  </si>
  <si>
    <t>/mnt/measurements/07_CANape/Mitsubishi/5K45/MMC4.1.2/Validation/2025_11_28/orderedByTargetType/adult/TC_102_Try3.MF4.xz,adult,RadarFC_Master,adult,CPD,dummy</t>
  </si>
  <si>
    <t>/mnt/measurements/07_CANape/Mitsubishi/5K45/MMC5.1.1/5K457EG11/Smoke Tests/CSR_XCP_Signals_Recorder_2025-12-22_15-21-33_TC102_CPD.MF4.xz,adult,RadarFC_Master,adult,CPD,dummy</t>
  </si>
  <si>
    <t>/mnt/measurements/07_CANape/Mitsubishi/5K45/MMC4.1.2/Validation/2025_11_28/TC_103_Try1.MF4.xz/TC_103_Try1.MF4.xz,adult,RadarFC_Master,adult,CPD,dummy</t>
  </si>
  <si>
    <t>/mnt/measurements/07_CANape/Mitsubishi/5K45/MMC4.1.2/Validation/2025_11_28/TC_103_Try2.MF4.xz/TC_103_Try2.MF4.xz,adult,RadarFC_Master,adult,CPD,dummy</t>
  </si>
  <si>
    <t>/mnt/measurements/07_CANape/Mitsubishi/5K45/MMC4.1.2/Validation/2025_11_28/TC_103_Try3.MF4.xz/TC_103_Try3.MF4.xz,adult,RadarFC_Master,adult,CPD,dummy</t>
  </si>
  <si>
    <t>/mnt/measurements/07_CANape/Mitsubishi/5K45/MMC4.1.2/Validation/2025_11_28/TC_103_Try3_Retry.MF4.xz/TC_103_Try3_Retry.MF4.xz,adult,RadarFC_Master,adult,CPD,dummy</t>
  </si>
  <si>
    <t>/mnt/measurements/07_CANape/Mitsubishi/5K45/5.3.0_RC6/Customer_Testing/CSR_XCP_Signals_Recorder_2026-01-29_15-55-58_TC103_NCAP_1_2.MF4.xz,adult,RadarFC_Master,adult,CPD,dummy</t>
  </si>
  <si>
    <t>/mnt/measurements/07_CANape/Mitsubishi/5K45/MMC4.1.2/Validation/2025_11_28/orderedByTargetType/adult/TC_104_Try1.MF4.xz,adult,RadarFC_Master,adult,CPD,dummy</t>
  </si>
  <si>
    <t>/mnt/measurements/07_CANape/Mitsubishi/5K45/MMC4.1.2/Validation/2025_11_28/orderedByTargetType/adult/TC_104_Try2.MF4.xz,adult,RadarFC_Master,adult,CPD,dummy</t>
  </si>
  <si>
    <t>/mnt/measurements/07_CANape/Mitsubishi/5K45/MMC4.1.2/Validation/2025_11_28/orderedByTargetType/adult/TC_104_Try3.MF4.xz,adult,RadarFC_Master,adult,CPD,dummy</t>
  </si>
  <si>
    <t>/mnt/measurements/07_CANape/Mitsubishi/5K45/5.3.0_RC6.2/5K457EG11/FP_Test_Cases_Renamed/CSR_XCP_Signals_Recorder_2026-02-03_15-05-58_TC104_AF95_NCAP1_2.MF4.xz,adult,RadarFC_Master,adult,CPD,dummy</t>
  </si>
  <si>
    <t>/mnt/measurements/07_CANape/Mitsubishi/5K45/5.3.0_RC6.2/5K457EG11/FP_Test_Cases_Renamed/CSR_XCP_Signals_Recorder_2026-02-03_15-06-57_TC104_AF95_NCAP1_2.MF4.xz,adult,RadarFC_Master,adult,CPD,dummy</t>
  </si>
  <si>
    <t>/mnt/measurements/07_CANape/Mitsubishi/5K45/5.3.0_RC6.2/5K457EG11/FP_Test_Cases_Renamed/CSR_XCP_Signals_Recorder_2026-02-03_15-07-43_TC104_AF95_NCAP1_2.MF4.xz,adult,RadarFC_Master,adult,CPD,dummy</t>
  </si>
  <si>
    <t>/mnt/measurements/07_CANape/Mitsubishi/5K45/MMC4.1.2/Validation/2025_11_28/orderedByTargetType/adult/TC_105_Try1.MF4.xz,adult,RadarFC_Master,adult,CPD,dummy</t>
  </si>
  <si>
    <t>/mnt/measurements/07_CANape/Mitsubishi/5K45/MMC4.1.2/Validation/2025_11_28/orderedByTargetType/adult/TC_105_Try2.MF4.xz,adult,RadarFC_Master,adult,CPD,dummy</t>
  </si>
  <si>
    <t>/mnt/measurements/07_CANape/Mitsubishi/5K45/MMC4.1.2/Validation/2025_11_28/orderedByTargetType/adult/TC_105_Try3.MF4.xz,adult,RadarFC_Master,adult,CPD,dummy</t>
  </si>
  <si>
    <t>/mnt/measurements/07_CANape/Mitsubishi/5K45/MMC4.1.2/Validation/2025_11_29/adult/TC_106_Try1.MF4.xz,adult,RadarFC_Master,adult,CPD,dummy</t>
  </si>
  <si>
    <t>/mnt/measurements/07_CANape/Mitsubishi/5K45/MMC4.1.2/Validation/2025_11_29/adult/TC_106_Try2.MF4.xz,adult,RadarFC_Master,adult,CPD,dummy</t>
  </si>
  <si>
    <t>/mnt/measurements/07_CANape/Mitsubishi/5K45/MMC4.1.2/Validation/2025_11_29/adult/TC_106_Try3.MF4.xz,adult,RadarFC_Master,adult,CPD,dummy</t>
  </si>
  <si>
    <t>/mnt/measurements/07_CANape/Mitsubishi/5K45/MMC4.1.2/Validation/2025_11_28/orderedByTargetType/adult/TC_107_Try1.MF4.xz,adult,RadarFC_Master,adult,CPD,dummy</t>
  </si>
  <si>
    <t>/mnt/measurements/07_CANape/Mitsubishi/5K45/MMC4.1.2/Validation/2025_11_28/orderedByTargetType/adult/TC_107_Try2.MF4.xz,adult,RadarFC_Master,adult,CPD,dummy</t>
  </si>
  <si>
    <t>/mnt/measurements/07_CANape/Mitsubishi/5K45/MMC4.1.2/Validation/2025_11_28/orderedByTargetType/adult/TC_107_Try3.MF4.xz,adult,RadarFC_Master,adult,CPD,dummy</t>
  </si>
  <si>
    <t>/mnt/measurements/07_CANape/Mitsubishi/5K45/MMC4.1.2/Validation/2025_11_28/orderedByTargetType/adult/TC_108_Try2.MF4.xz,adult,RadarFC_Master,adult,CPD,dummy</t>
  </si>
  <si>
    <t>/mnt/measurements/07_CANape/Mitsubishi/5K45/MMC4.1.2/Validation/2025_11_28/orderedByTargetType/adult/TC_108_Try3.MF4.xz,adult,RadarFC_Master,adult,CPD,dummy</t>
  </si>
  <si>
    <t>/mnt/measurements/07_CANape/Mitsubishi/5K45/MMC5.0.0_RC3_with_resetfix/CPD/TC132_Try_1.MF4.xz,NCAP3 long,RadarFC_Master,NCAP3 long,CPD,dummy</t>
  </si>
  <si>
    <t>/mnt/measurements/07_CANape/Mitsubishi/5K45/MMC5.0.0_RC3_with_resetfix/CPD/TC132_Try_2.MF4.xz,NCAP3 long,RadarFC_Master,NCAP3 long,CPD,dummy</t>
  </si>
  <si>
    <t>/mnt/measurements/07_CANape/Mitsubishi/5K45/MMC5.0.0_RC3_with_resetfix/CPD/TC132_Try_3.MF4.xz,NCAP3 long,RadarFC_Master,NCAP3 long,CPD,dummy</t>
  </si>
  <si>
    <t>/mnt/measurements/07_CANape/Mitsubishi/5K45/MMC5.0.0_RC3_with_resetfix/CPD/TC133_Try_1.MF4.xz,NCAP3 long,RadarFC_Master,NCAP3 long,CPD,dummy</t>
  </si>
  <si>
    <t>/mnt/measurements/07_CANape/Mitsubishi/5K45/MMC5.0.0_RC3_with_resetfix/CPD/TC133_Try_3.MF4.xz,NCAP3 long,RadarFC_Master,NCAP3 long,CPD,dummy</t>
  </si>
  <si>
    <t>/mnt/measurements/07_CANape/Mitsubishi/5K45/MMC5.0.2/5K457EG11/CPD/CSR_XCP_Signals_Recorder_2026-01-27_13-57-58_CPD_TC108_Try5.MF4.xz,adult,RadarFC_Master,adult,CPD,dummy</t>
  </si>
  <si>
    <t>/mnt/measurements/07_CANape/Mitsubishi/5K45/MMC5.0.2/5K457EG11/CPD/CSR_XCP_Signals_Recorder_2026-01-27_13-52-01_CPD_TC108_Try1.MF4.xz,adult,RadarFC_Master,adult,CPD,dummy</t>
  </si>
  <si>
    <t>/mnt/measurements/07_CANape/Mitsubishi/5K45/MMC5.0.2/5K457EG11/CPD/CSR_XCP_Signals_Recorder_2026-01-27_13-53-34_CPD_TC108_Try2.MF4.xz,adult,RadarFC_Master,adult,CPD,dummy</t>
  </si>
  <si>
    <t>/mnt/measurements/07_CANape/Mitsubishi/5K45/MMC5.0.0_RC3_with_resetfix/CPD/TC134_Try_1.MF4.xz,NCAP3 long,RadarFC_Master,NCAP3 long,CPD,dummy</t>
  </si>
  <si>
    <t>/mnt/measurements/07_CANape/Mitsubishi/5K45/MMC5.0.0_RC3_with_resetfix/CPD/TC134_Try_2.MF4.xz,NCAP3 long,RadarFC_Master,NCAP3 long,CPD,dummy</t>
  </si>
  <si>
    <t>/mnt/measurements/07_CANape/Mitsubishi/5K45/MMC5.0.0_RC3_with_resetfix/CPD/TC134_Try_3.MF4.xz,NCAP3 long,RadarFC_Master,NCAP3 long,CPD,dummy</t>
  </si>
  <si>
    <t>/mnt/measurements/07_CANape/Mitsubishi/5K45/MMC5.0.0_RC3_with_resetfix/CPD/TC135_Try_1.MF4.xz,NCAP3 long,RadarFC_Master,NCAP3 long,CPD,dummy</t>
  </si>
  <si>
    <t>/mnt/measurements/07_CANape/Mitsubishi/5K45/MMC5.0.0_RC3_with_resetfix/CPD/TC135_Try_2.MF4.xz,NCAP3 long,RadarFC_Master,NCAP3 long,CPD,dummy</t>
  </si>
  <si>
    <t>/mnt/measurements/07_CANape/Mitsubishi/5K45/MMC5.0.0_RC3_with_resetfix/CPD/TC135_Try_3.MF4.xz,NCAP3 long,RadarFC_Master,NCAP3 long,CPD,dummy</t>
  </si>
  <si>
    <t>/mnt/measurements/07_CANape/Mitsubishi/5K45/MMC5.0.0_RC3_with_resetfix/CPD/TC136_Try_1.MF4.xz,NCAP3 long,RadarFC_Master,NCAP3 long,CPD,dummy</t>
  </si>
  <si>
    <t>/mnt/measurements/07_CANape/Mitsubishi/5K45/MMC5.0.0_RC3_with_resetfix/CPD/TC136_Try_2.MF4.xz,NCAP3 long,RadarFC_Master,NCAP3 long,CPD,dummy</t>
  </si>
  <si>
    <t>/mnt/measurements/07_CANape/Mitsubishi/5K45/MMC5.0.0_RC3_with_resetfix/CPD/TC136_Try_3.MF4.xz,NCAP3 long,RadarFC_Master,NCAP3 long,CPD,dummy</t>
  </si>
  <si>
    <t>/mnt/measurements/07_CANape/Mitsubishi/5K45/MMC5.0.0_RC3_with_resetfix/CPD/TC137_Try_1.MF4.xz,NCAP3 long,RadarFC_Master,NCAP3 long,CPD,dummy</t>
  </si>
  <si>
    <t>/mnt/measurements/07_CANape/Mitsubishi/5K45/MMC5.0.0_RC3_with_resetfix/CPD/TC137_Try_2.MF4.xz,NCAP3 long,RadarFC_Master,NCAP3 long,CPD,dummy</t>
  </si>
  <si>
    <t>/mnt/measurements/07_CANape/Mitsubishi/5K45/MMC5.0.0_RC3_with_resetfix/CPD/TC137_Try_3.MF4.xz,NCAP3 long,RadarFC_Master,NCAP3 long,CPD,dummy</t>
  </si>
  <si>
    <t>/mnt/measurements/07_CANape/Mitsubishi/5K45/MMC5.0.0_RC3_with_resetfix/CPD/TC138_Try_1.MF4.xz,NCAP3 long,RadarFC_Master,NCAP3 long,CPD,dummy</t>
  </si>
  <si>
    <t>/mnt/measurements/07_CANape/Mitsubishi/5K45/MMC5.0.0_RC3_with_resetfix/CPD/TC138_Try_2.MF4.xz,NCAP3 long,RadarFC_Master,NCAP3 long,CPD,dummy</t>
  </si>
  <si>
    <t>/mnt/measurements/07_CANape/Mitsubishi/5K45/MMC5.0.0_RC3_with_resetfix/CPD/TC138_Try_3.MF4.xz,NCAP3 long,RadarFC_Master,NCAP3 long,CPD,dummy</t>
  </si>
  <si>
    <t>/mnt/measurements/07_CANape/Mitsubishi/5K45/MMC5.0.1/5K457MG-47/CPD/TC139_Try_1.MF4.xz,NCAP3 long,RadarFC_Master,NCAP3 long,CPD,dummy</t>
  </si>
  <si>
    <t>/mnt/measurements/07_CANape/Mitsubishi/5K45/MMC5.0.1/5K457MG-47/CPD/TC139_Try_2.MF4.xz,NCAP3 long,RadarFC_Master,NCAP3 long,CPD,dummy</t>
  </si>
  <si>
    <t>/mnt/measurements/07_CANape/Mitsubishi/5K45/MMC5.0.1/5K457MG-47/CPD/TC139_Try_3.MF4.xz,NCAP3 long,RadarFC_Master,NCAP3 long,CPD,dummy</t>
  </si>
  <si>
    <t>/mnt/measurements/07_CANape/Mitsubishi/5K45/MMC5.0.1/5K457MG-47/CPD/TC140_Try_1.MF4.xz,NCAP3 long,RadarFC_Master,NCAP3 long,CPD,dummy</t>
  </si>
  <si>
    <t>/mnt/measurements/07_CANape/Mitsubishi/5K45/MMC5.0.1/5K457MG-47/CPD/TC140_Try_2.MF4.xz,NCAP3 long,RadarFC_Master,NCAP3 long,CPD,dummy</t>
  </si>
  <si>
    <t>/mnt/measurements/07_CANape/Mitsubishi/5K45/MMC5.0.1/5K457MG-47/CPD/TC140_Try_3.MF4.xz,NCAP3 long,RadarFC_Master,NCAP3 long,CPD,dummy</t>
  </si>
  <si>
    <t>/mnt/measurements/07_CANape/Mitsubishi/5K45/MMC5.0.1/5K457MG-47/CPD/TC141_Try_1.MF4.xz,NCAP3 long,RadarFC_Master,NCAP3 long,CPD,dummy</t>
  </si>
  <si>
    <t>/mnt/measurements/07_CANape/Mitsubishi/5K45/MMC5.0.1/5K457MG-47/CPD/TC141_Try_2.MF4.xz,NCAP3 long,RadarFC_Master,NCAP3 long,CPD,dummy</t>
  </si>
  <si>
    <t>/mnt/measurements/07_CANape/Mitsubishi/5K45/MMC5.0.1/5K457MG-47/CPD/TC141_Try_3.MF4.xz,NCAP3 long,RadarFC_Master,NCAP3 long,CPD,dummy</t>
  </si>
  <si>
    <t>/mnt/measurements/07_CANape/Mitsubishi/5K45/MMC5.0.1/5K457MG-47/CPD/TC142_Try_1.MF4.xz,NCAP3 long,RadarFC_Master,NCAP3 long,CPD,dummy</t>
  </si>
  <si>
    <t>/mnt/measurements/07_CANape/Mitsubishi/5K45/MMC5.0.1/5K457MG-47/CPD/TC142_Try_2.MF4.xz,NCAP3 long,RadarFC_Master,NCAP3 long,CPD,dummy</t>
  </si>
  <si>
    <t>/mnt/measurements/07_CANape/Mitsubishi/5K45/MMC5.0.1/5K457MG-47/CPD/TC142_Try_3.MF4.xz,NCAP3 long,RadarFC_Master,NCAP3 long,CPD,dummy</t>
  </si>
  <si>
    <t>/mnt/measurements/07_CANape/Mitsubishi/5K45/MMC5.0.1/5K457MG-47/CPD/TC143_Try_1.MF4.xz,NCAP3 long,RadarFC_Master,NCAP3 long,CPD,dummy</t>
  </si>
  <si>
    <t>/mnt/measurements/07_CANape/Mitsubishi/5K45/MMC5.0.1/5K457MG-47/CPD/TC143_Try_2.MF4.xz,NCAP3 long,RadarFC_Master,NCAP3 long,CPD,dummy</t>
  </si>
  <si>
    <t>/mnt/measurements/07_CANape/Mitsubishi/5K45/MMC5.0.1/5K457MG-47/CPD/TC143_Try_3.MF4.xz,NCAP3 long,RadarFC_Master,NCAP3 long,CPD,dummy</t>
  </si>
  <si>
    <t>/mnt/measurements/07_CANape/Mitsubishi/5K45/MMC5.0.1/5K457MG-47/CPD/TC144_Try_1.MF4.xz,NCAP3 long,RadarFC_Master,NCAP3 long,CPD,dummy</t>
  </si>
  <si>
    <t>/mnt/measurements/07_CANape/Mitsubishi/5K45/MMC5.0.1/5K457MG-47/CPD/TC144_Try_2.MF4.xz,NCAP3 long,RadarFC_Master,NCAP3 long,CPD,dummy</t>
  </si>
  <si>
    <t>/mnt/measurements/07_CANape/Mitsubishi/5K45/MMC5.0.1/5K457MG-47/CPD/TC144_Try_3.MF4.xz,NCAP3 long,RadarFC_Master,NCAP3 long,CPD,dummy</t>
  </si>
  <si>
    <t>/mnt/measurements/07_CANape/Mitsubishi/5K45/MMC5.0.1/5K457MG-47/CPD/TC145_Try_1.MF4.xz,NCAP3 long,RadarFC_Master,NCAP3 long,CPD,dummy</t>
  </si>
  <si>
    <t>/mnt/measurements/07_CANape/Mitsubishi/5K45/MMC5.0.1/5K457MG-47/CPD/TC145_Try_2.MF4.xz,NCAP3 long,RadarFC_Master,NCAP3 long,CPD,dummy</t>
  </si>
  <si>
    <t>/mnt/measurements/07_CANape/Mitsubishi/5K45/MMC5.0.1/5K457MG-47/CPD/TC145_Try_3.MF4.xz,NCAP3 long,RadarFC_Master,NCAP3 long,CPD,dummy</t>
  </si>
  <si>
    <t>/mnt/measurements/07_CANape/Mitsubishi/5K45/MMC5.0.2/5K457EG11/CPD/CSR_XCP_Signals_Recorder_2026-01-27_13-55-02_CPD_TC108_Try3.MF4.xz,adult,RadarFC_Master,adult,CPD,dummy</t>
  </si>
  <si>
    <t>/mnt/measurements/07_CANape/Mitsubishi/5K45/MMC5.0.2/5K457EG11/CPD/CSR_XCP_Signals_Recorder_2026-01-27_13-56-28_CPD_TC108_Try4.MF4.xz,adult,RadarFC_Master,adult,CPD,dummy</t>
  </si>
  <si>
    <t>/mnt/measurements/07_CANape/Mitsubishi/5K45/MMC4.1.2/Validation/2025_11_28/orderedByTargetType/adult/TC_109_Try1.MF4.xz,adult,RadarFC_Master,adult,CPD,dummy</t>
  </si>
  <si>
    <t>/mnt/measurements/07_CANape/Mitsubishi/5K45/MMC4.1.2/Validation/2025_11_28/orderedByTargetType/adult/TC_109_Try2.MF4.xz,adult,RadarFC_Master,adult,CPD,dummy</t>
  </si>
  <si>
    <t>/mnt/measurements/07_CANape/Mitsubishi/5K45/MMC4.1.2/Validation/2025_11_28/orderedByTargetType/adult/TC_109_Try3.MF4.xz,adult,RadarFC_Master,adult,CPD,dummy</t>
  </si>
  <si>
    <t>/mnt/measurements/07_CANape/Mitsubishi/5K45/MMC4.1.2/Validation/2025_11_28/orderedByTargetType/adult/TC_110_Try1.MF4.xz,adult,RadarFC_Master,adult,CPD,dummy</t>
  </si>
  <si>
    <t>/mnt/measurements/07_CANape/Mitsubishi/5K45/MMC4.1.2/Validation/2025_11_28/orderedByTargetType/adult/TC_110_Try2.MF4.xz,adult,RadarFC_Master,adult,CPD,dummy</t>
  </si>
  <si>
    <t>/mnt/measurements/07_CANape/Mitsubishi/5K45/MMC4.1.2/Validation/2025_11_28/orderedByTargetType/adult/TC_110_Try3.MF4.xz,adult,RadarFC_Master,adult,CPD,dummy</t>
  </si>
  <si>
    <t>/mnt/measurements/07_CANape/Mitsubishi/5K45/MMC5.0.2/5K457MG57/CPD/TC126_Try1.MF4.xz,child,RadarFC_Master,child (ncap1,2),CPD,dummy</t>
  </si>
  <si>
    <t>/mnt/measurements/07_CANape/Mitsubishi/5K45/MMC5.0.2/5K457MG57/CPD/TC126_Try2.MF4.xz,child,RadarFC_Master,child (ncap1,2),CPD,dummy</t>
  </si>
  <si>
    <t>/mnt/measurements/07_CANape/Mitsubishi/5K45/MMC5.0.2/5K457MG57/CPD/TC126_Try3.MF4.xz,child,RadarFC_Master,child (ncap1,2),CPD,dummy</t>
  </si>
  <si>
    <t>/mnt/measurements/07_CANape/Mitsubishi/5K45/MMC5.0.0_RC3/Real_Child_Tests/CSR_XCP_Signals_Recorder_2025-12-10_16-15-07_TC129_3yoPS_6YORR_CPD.MF4.xz,child,RadarFC_Master,child (ncap1,2),CPD,realchild</t>
  </si>
  <si>
    <t>/mnt/measurements/07_CANape/Mitsubishi/5K45/MMC5.0.0_RC3/Real_Child_Tests/CSR_XCP_Signals_Recorder_2025-12-10_16-20-17_TC129_3yoPS_6YORR_CPD.MF4.xz,child,RadarFC_Master,child (ncap1,2),CPD,realchild</t>
  </si>
  <si>
    <t>/mnt/measurements/07_CANape/Mitsubishi/5K45/MMC5.0.0_RC3/Real_Child_Tests/CSR_XCP_Signals_Recorder_2025-12-10_16-24-33_TC129_3yoPS_6YORR_CPD.MF4.xz,child,RadarFC_Master,child (ncap1,2),CPD,realchild</t>
  </si>
  <si>
    <t>/mnt/measurements/07_CANape/Mitsubishi/5K45/MMC5.0.0_RC3/Real_Child_Tests/CSR_XCP_Signals_Recorder_2025-12-10_16-32-14_TC129_3yoPS_6YORR_CPD.MF4.xz,child,RadarFC_Master,child (ncap1,2),CPD,realchild</t>
  </si>
  <si>
    <t>/mnt/measurements/07_CANape/Mitsubishi/5K45/5.3.0_RC6/Customer_Testing/CSR_XCP_Signals_Recorder_2026-01-29_15-42-19_TC150_NCAP_3.MF4.xz,NCAP3 long,RadarFC_Master,NCAP3 long,CPD,dummy</t>
  </si>
  <si>
    <t>/mnt/measurements/07_CANape/Mitsubishi/5K45/5.3.0_RC6/Customer_Testing/CSR_XCP_Signals_Recorder_2026-01-29_15-44-29_TC150_NCAP_3.MF4.xz,NCAP3 long,RadarFC_Master,NCAP3 long,CPD,dummy</t>
  </si>
  <si>
    <t>/mnt/measurements/07_CANape/Mitsubishi/5K45/5.3.0_RC6/Customer_Testing/CSR_XCP_Signals_Recorder_2026-01-29_15-46-04_TC150_NCAP_3.MF4.xz,NCAP3 long,RadarFC_Master,NCAP3 long,CPD,dummy</t>
  </si>
  <si>
    <t>/mnt/measurements/07_CANape/Mitsubishi/5K45/MMC5.0.0_RC3/CPD_Test_Cases/CSR_XCP_Signals_Recorder_2025-12-11_15-02-06_TC151_Liquid3R_CPD.MF4.xz,NCAP3 long,RadarFC_Master,NCAP3 long,CPD,dummy</t>
  </si>
  <si>
    <t>/mnt/measurements/07_CANape/Mitsubishi/5K45/MMC5.0.0_RC3/CPD_Test_Cases/CSR_XCP_Signals_Recorder_2025-12-11_15-03-44_TC151_Liquid3R_CPD.MF4.xz,NCAP3 long,RadarFC_Master,NCAP3 long,CPD,dummy</t>
  </si>
  <si>
    <t>/mnt/measurements/07_CANape/Mitsubishi/5K45/MMC5.0.0_RC3/CPD_Test_Cases/CSR_XCP_Signals_Recorder_2025-12-11_15-05-26_TC151_Liquid3R_CPD.MF4.xz,NCAP3 long,RadarFC_Master,NCAP3 long,CPD,dummy</t>
  </si>
  <si>
    <t>/mnt/measurements/07_CANape/Mitsubishi/5K45/MMC5.0.0_RC3/CPD_Test_Cases/CSR_XCP_Signals_Recorder_2025-12-11_15-08-35_TC152_Liquid3L_CPD.MF4.xz,NCAP3 long,RadarFC_Master,NCAP3 long,CPD,dummy</t>
  </si>
  <si>
    <t>/mnt/measurements/07_CANape/Mitsubishi/5K45/MMC5.0.0_RC3/CPD_Test_Cases/CSR_XCP_Signals_Recorder_2025-12-11_15-10-38_TC152_Liquid3L_CPD.MF4.xz,NCAP3 long,RadarFC_Master,NCAP3 long,CPD,dummy</t>
  </si>
  <si>
    <t>/mnt/measurements/07_CANape/Mitsubishi/5K45/MMC5.0.0_RC3/CPD_Test_Cases/CSR_XCP_Signals_Recorder_2025-12-11_15-12-46_TC152_Liquid3L_CPD.MF4.xz,NCAP3 long,RadarFC_Master,NCAP3 long,CPD,dummy</t>
  </si>
  <si>
    <t>/mnt/measurements/07_CANape/Mitsubishi/5K45/MMC5.0.0_RC3/Real_Child_Tests/CSR_XCP_Signals_Recorder_2025-12-10_16-35-59_TC129_3yoPS_6YORR_CPD.MF4.xz,child,RadarFC_Master,child (ncap1,2),CPD,realchild</t>
  </si>
  <si>
    <t>/mnt/measurements/07_CANape/Mitsubishi/5K45/MMC5.1.0/5K457EG11/CSR_XCP_Signals_Recorder_2025-12-19_10-23-25_TC130_CPD.MF4.xz,child,RadarFC_Master,child (ncap1,2),CPD,dummy</t>
  </si>
  <si>
    <t>/mnt/measurements/07_CANape/Mitsubishi/5K45/MMC5.1.0/5K457EG11/CSR_XCP_Signals_Recorder_2025-12-19_10-26-04_TC130_CPD.MF4.xz,child,RadarFC_Master,child (ncap1,2),CPD,dummy</t>
  </si>
  <si>
    <t>/mnt/measurements/07_CANape/Mitsubishi/5K45/MMC5.1.0/5K457EG11/CSR_XCP_Signals_Recorder_2025-12-19_10-28-39_TC130_CPD.MF4.xz,child,RadarFC_Master,child (ncap1,2),CPD,dummy</t>
  </si>
  <si>
    <t>/mnt/measurements/07_CANape/Mitsubishi/5K45/MMC5.1.0/5K457EG11/CSR_XCP_Signals_Recorder_2025-12-19_10-56-35_TC131_CPD.MF4.xz,child,RadarFC_Master,child (ncap1,2),CPD,dummy</t>
  </si>
  <si>
    <t>/mnt/measurements/07_CANape/Mitsubishi/5K45/MMC5.1.0/5K457EG11/CSR_XCP_Signals_Recorder_2025-12-19_10-57-43_TC131_CPD.MF4.xz,child,RadarFC_Master,child (ncap1,2),CPD,dummy</t>
  </si>
  <si>
    <t>/mnt/measurements/07_CANape/Mitsubishi/5K45/MMC5.1.0/5K457EG11/CSR_XCP_Signals_Recorder_2025-12-19_11-00-14_TC131_CPD.MF4.xz,child,RadarFC_Master,child (ncap1,2),CPD,dummy</t>
  </si>
  <si>
    <t>/mnt/measurements/07_CANape/Mitsubishi/5K45/5.3.0_RC6.2/5K457EG11/CSRGIMMC-2250/CSR_XCP_Signals_Recorder_2026-02-05_15-19-14_TC132_MovingToy1L_BagF1R_CPD.MF4.xz,empty,RadarFC_Master,empty,CPD,dummy</t>
  </si>
  <si>
    <t>/mnt/measurements/07_CANape/Mitsubishi/5K45/5.3.0_RC6.2/5K457EG11/CSRGIMMC-2250/CSR_XCP_Signals_Recorder_2026-02-05_15-20-28_TC132_MovingToy1L_BagF1R_CPD.MF4.xz,empty,RadarFC_Master,empty,CPD,dummy</t>
  </si>
  <si>
    <t>/mnt/measurements/07_CANape/Mitsubishi/5K45/5.3.0_RC6.2/5K457EG11/CSRGIMMC-2250/CSR_XCP_Signals_Recorder_2026-02-05_15-21-37_TC132_MovingToy1L_BagF1R_CPD.MF4.xz,empty,RadarFC_Master,empty,CPD,dummy</t>
  </si>
  <si>
    <t>/mnt/measurements/07_CANape/Mitsubishi/5K45/5.3.0_RC6.2/5K457EG11/CSRGIMMC-2250/CSR_XCP_Signals_Recorder_2026-02-05_15-23-32_TC132_MovingToy1L_BagF1R_CPD.MF4.xz,empty,RadarFC_Master,empty,CPD,dummy</t>
  </si>
  <si>
    <t>/mnt/measurements/07_CANape/Mitsubishi/5K45/5.3.0_RC6.2/5K457EG11/CSRGIMMC-2250/CSR_XCP_Signals_Recorder_2026-02-05_15-25-04_TC132_MovingToy1L_BagF1R_CPD.MF4.xz,empty,RadarFC_Master,empty,CPD,dummy</t>
  </si>
  <si>
    <t>/mnt/measurements/07_CANape/Mitsubishi/5K45/5.3.0_RC6.2/5K457EG11/CSRGIMMC-2250/CSR_XCP_Signals_Recorder_2026-02-05_15-42-34_TC133_StaticToy1R_BagF2R_CPD.MF4.xz,empty,RadarFC_Master,empty,CPD,dummy</t>
  </si>
  <si>
    <t>/mnt/measurements/07_CANape/Mitsubishi/5K45/5.3.0_RC6.2/5K457EG11/CSRGIMMC-2250/CSR_XCP_Signals_Recorder_2026-02-05_15-43-58_TC133_StaticToy1R_BagF2R_CPD.MF4.xz,empty,RadarFC_Master,empty,CPD,dummy</t>
  </si>
  <si>
    <t>/mnt/measurements/07_CANape/Mitsubishi/5K45/5.3.0_RC6.2/5K457EG11/CSRGIMMC-2250/CSR_XCP_Signals_Recorder_2026-02-05_15-45-20_TC133_StaticToy1R_BagF2R_CPD.MF4.xz,empty,RadarFC_Master,empty,CPD,dummy</t>
  </si>
  <si>
    <t>/mnt/measurements/07_CANape/Mitsubishi/5K45/5.3.0_RC6.2/5K457EG11/CSRGIMMC-2250/CSR_XCP_Signals_Recorder_2026-02-05_15-46-57_TC133_StaticToy1R_BagF2R_CPD.MF4.xz,empty,RadarFC_Master,empty,CPD,dummy</t>
  </si>
  <si>
    <t>/mnt/measurements/07_CANape/Mitsubishi/5K45/5.3.0_RC6.2/5K457EG11/CSRGIMMC-2250/CSR_XCP_Signals_Recorder_2026-02-05_15-48-23_TC133_StaticToy1R_BagF2R_CPD.MF4.xz,empty,RadarFC_Master,empty,CPD,dummy</t>
  </si>
  <si>
    <t>/mnt/measurements/07_CANape/Mitsubishi/5K45/5.3.0_RC6/Customer_Testing/CSR_XCP_Signals_Recorder_2026-01-29_17-32-08_TC134_NCAP_1_2.MF4.xz,empty,RadarFC_Master,empty,CPD,dummy</t>
  </si>
  <si>
    <t>/mnt/measurements/07_CANape/Mitsubishi/5K45/5.3.0_RC6/Customer_Testing/CSR_XCP_Signals_Recorder_2026-01-29_17-33-06_TC134_NCAP_1_2.MF4.xz,empty,RadarFC_Master,empty,CPD,dummy</t>
  </si>
  <si>
    <t>/mnt/measurements/07_CANape/Mitsubishi/5K45/5.3.0_RC6/Customer_Testing/CSR_XCP_Signals_Recorder_2026-01-29_17-33-50_TC134_NCAP_1_2.MF4.xz,empty,RadarFC_Master,empty,CPD,dummy</t>
  </si>
  <si>
    <t>/mnt/measurements/07_CANape/Mitsubishi/5K45/5.3.0_RC6.2/5K457EG11/FP_Test_Cases_Renamed/CSR_XCP_Signals_Recorder_2026-02-03_13-20-27_TC134.MF4.xz,empty,RadarFC_Master,empty,CPD,dummy</t>
  </si>
  <si>
    <t>/mnt/measurements/07_CANape/Mitsubishi/5K45/MMC5.0.1/5K457MG-47/CPD/TC160_Try_1.MF4.xz,NCAP3 long,RadarFC_Master,NCAP3 long,CPD,dummy</t>
  </si>
  <si>
    <t>/mnt/measurements/07_CANape/Mitsubishi/5K45/MMC5.0.1/5K457MG-47/CPD/TC160_Try_2.MF4.xz,NCAP3 long,RadarFC_Master,NCAP3 long,CPD,dummy</t>
  </si>
  <si>
    <t>/mnt/measurements/07_CANape/Mitsubishi/5K45/MMC5.0.1/5K457MG-47/CPD/TC160_Try_3.MF4.xz,NCAP3 long,RadarFC_Master,NCAP3 long,CPD,dummy</t>
  </si>
  <si>
    <t>/mnt/measurements/07_CANape/Mitsubishi/5K45/MMC5.0.1/5K457MG-47/CPD/TC161_Try_1.MF4.xz,NCAP3 long,RadarFC_Master,NCAP3 long,CPD,dummy</t>
  </si>
  <si>
    <t>/mnt/measurements/07_CANape/Mitsubishi/5K45/MMC5.0.1/5K457MG-47/CPD/TC161_Try_2.MF4.xz,NCAP3 long,RadarFC_Master,NCAP3 long,CPD,dummy</t>
  </si>
  <si>
    <t>/mnt/measurements/07_CANape/Mitsubishi/5K45/MMC5.0.1/5K457MG-47/CPD/TC161_Try_3.MF4.xz,NCAP3 long,RadarFC_Master,NCAP3 long,CPD,dummy</t>
  </si>
  <si>
    <t>/mnt/measurements/07_CANape/Mitsubishi/5K45/5.3.0_RC6.2/5K457EG11/FP_Test_Cases_Renamed/CSR_XCP_Signals_Recorder_2026-02-03_13-21-51_TC134.MF4.xz,empty,RadarFC_Master,empty,CPD,dummy</t>
  </si>
  <si>
    <t>/mnt/measurements/07_CANape/Mitsubishi/5K45/5.3.0_RC6.2/5K457EG11/FP_Test_Cases_Renamed/CSR_XCP_Signals_Recorder_2026-02-03_13-22-39_TC134.MF4.xz,empty,RadarFC_Master,empty,CPD,dummy</t>
  </si>
  <si>
    <t>/mnt/measurements/07_CANape/Mitsubishi/5K45/5.3.0_RC6/Customer_Testing/CSR_XCP_Signals_Recorder_2026-01-29_17-24-33_TC162_NCAP_1_2.MF4.xz,NCAP3 long,RadarFC_Master,NCAP3 long,CPD,dummy</t>
  </si>
  <si>
    <t>/mnt/measurements/07_CANape/Mitsubishi/5K45/5.3.0_RC6/Customer_Testing/CSR_XCP_Signals_Recorder_2026-01-29_17-26-03_TC162_NCAP_3.MF4.xz,NCAP3 long,RadarFC_Master,NCAP3 long,CPD,dummy</t>
  </si>
  <si>
    <t>/mnt/measurements/07_CANape/Mitsubishi/5K45/5.3.0_RC6/Customer_Testing/CSR_XCP_Signals_Recorder_2026-01-29_17-28-27_TC162_NCAP_3.MF4.xz,NCAP3 long,RadarFC_Master,NCAP3 long,CPD,dummy</t>
  </si>
  <si>
    <t>/mnt/measurements/07_CANape/Mitsubishi/5K45/MMC5.0.1/5K457MG-47/CPD/TC162_Try_1.MF4.xz,NCAP3 long,RadarFC_Master,NCAP3 long,CPD,dummy</t>
  </si>
  <si>
    <t>/mnt/measurements/07_CANape/Mitsubishi/5K45/MMC5.0.1/5K457MG-47/CPD/TC162_Try_2.MF4.xz,NCAP3 long,RadarFC_Master,NCAP3 long,CPD,dummy</t>
  </si>
  <si>
    <t>/mnt/measurements/07_CANape/Mitsubishi/5K45/MMC5.0.1/5K457MG-47/CPD/TC162_Try_3.MF4.xz,NCAP3 long,RadarFC_Master,NCAP3 long,CPD,dummy</t>
  </si>
  <si>
    <t>/mnt/measurements/07_CANape/Mitsubishi/5K45/MMC5.0.1/5K457MG-47/CPD/TC163_Try_1.MF4.xz,NCAP3 long,RadarFC_Master,NCAP3 long,CPD,dummy</t>
  </si>
  <si>
    <t>/mnt/measurements/07_CANape/Mitsubishi/5K45/MMC5.0.1/5K457MG-47/CPD/TC163_Try_2.MF4.xz,NCAP3 long,RadarFC_Master,NCAP3 long,CPD,dummy</t>
  </si>
  <si>
    <t>/mnt/measurements/07_CANape/Mitsubishi/5K45/MMC5.0.1/5K457MG-47/CPD/TC163_Try_3.MF4.xz,NCAP3 long,RadarFC_Master,NCAP3 long,CPD,dummy</t>
  </si>
  <si>
    <t>/mnt/measurements/07_CANape/Mitsubishi/5K45/MMC5.0.1/5K457MG-47/CPD/TC164_Try_1.MF4.xz,NCAP3 long,RadarFC_Master,NCAP3 long,CPD,dummy</t>
  </si>
  <si>
    <t>/mnt/measurements/07_CANape/Mitsubishi/5K45/MMC5.0.1/5K457MG-47/CPD/TC164_Try_2.MF4.xz,NCAP3 long,RadarFC_Master,NCAP3 long,CPD,dummy</t>
  </si>
  <si>
    <t>/mnt/measurements/07_CANape/Mitsubishi/5K45/MMC5.0.1/5K457MG-47/CPD/TC164_Try_3.MF4.xz,NCAP3 long,RadarFC_Master,NCAP3 long,CPD,dummy</t>
  </si>
  <si>
    <t>/mnt/measurements/07_CANape/Mitsubishi/5K45/MMC5.0.1/5K457MG-47/CPD/TC165_Try_1.MF4.xz,NCAP3 long,RadarFC_Master,NCAP3 long,CPD,dummy</t>
  </si>
  <si>
    <t>/mnt/measurements/07_CANape/Mitsubishi/5K45/MMC5.0.1/5K457MG-47/CPD/TC165_Try_2.MF4.xz,NCAP3 long,RadarFC_Master,NCAP3 long,CPD,dummy</t>
  </si>
  <si>
    <t>/mnt/measurements/07_CANape/Mitsubishi/5K45/MMC5.0.1/5K457MG-47/CPD/TC165_Try_3.MF4.xz,NCAP3 long,RadarFC_Master,NCAP3 long,CPD,dummy</t>
  </si>
  <si>
    <t>/mnt/measurements/07_CANape/Mitsubishi/5K45/MMC5.0.1/5K457MG-47/CPD/TC166_Try_1.MF4.xz,NCAP3 long,RadarFC_Master,NCAP3 long,CPD,dummy</t>
  </si>
  <si>
    <t>/mnt/measurements/07_CANape/Mitsubishi/5K45/MMC5.0.1/5K457MG-47/CPD/TC166_Try_2.MF4.xz,NCAP3 long,RadarFC_Master,NCAP3 long,CPD,dummy</t>
  </si>
  <si>
    <t>/mnt/measurements/07_CANape/Mitsubishi/5K45/5.3.0_RC6.2/5K457EG11/CSRGIMMC-2250/CSR_XCP_Signals_Recorder_2026-02-05_15-53-32_TC135_StaticToy2L_BagF2C_CPD.MF4.xz,empty,RadarFC_Master,empty,CPD,dummy</t>
  </si>
  <si>
    <t>/mnt/measurements/07_CANape/Mitsubishi/5K45/5.3.0_RC6.2/5K457EG11/CSRGIMMC-2250/CSR_XCP_Signals_Recorder_2026-02-05_15-55-10_TC135_StaticToy2L_BagF2C_CPD.MF4.xz,empty,RadarFC_Master,empty,CPD,dummy</t>
  </si>
  <si>
    <t>/mnt/measurements/07_CANape/Mitsubishi/5K45/5.3.0_RC6.2/5K457EG11/CSRGIMMC-2250/CSR_XCP_Signals_Recorder_2026-02-05_15-56-41_TC135_StaticToy2L_BagF2C_CPD.MF4.xz,empty,RadarFC_Master,empty,CPD,dummy</t>
  </si>
  <si>
    <t>/mnt/measurements/07_CANape/Mitsubishi/5K45/5.3.0_RC6.2/5K457EG11/CSRGIMMC-2250/CSR_XCP_Signals_Recorder_2026-02-05_15-58-52_TC135_StaticToy2L_BagF2C_CPD.MF4.xz,empty,RadarFC_Master,empty,CPD,dummy</t>
  </si>
  <si>
    <t>/mnt/measurements/07_CANape/Mitsubishi/5K45/5.3.0_RC6.2/5K457EG11/CSRGIMMC-2250/CSR_XCP_Signals_Recorder_2026-02-05_16-01-12_TC135_StaticToy2L_BagF2C_CPD.MF4.xz,empty,RadarFC_Master,empty,CPD,dummy</t>
  </si>
  <si>
    <t>/mnt/measurements/07_CANape/Mitsubishi/5K45/5.3.0_RC6.2/5K457EG11/CSRGIMMC-2250/CSR_XCP_Signals_Recorder_2026-02-05_16-07-52_TC136_MovingToy2C_BagF3R_CPD.MF4.xz,empty,RadarFC_Master,empty,CPD,dummy</t>
  </si>
  <si>
    <t>/mnt/measurements/07_CANape/Mitsubishi/5K45/5.3.0_RC6.2/5K457EG11/CSRGIMMC-2250/CSR_XCP_Signals_Recorder_2026-02-05_16-10-17_TC136_MovingToy2C_BagF3R_CPD.MF4.xz,empty,RadarFC_Master,empty,CPD,dummy</t>
  </si>
  <si>
    <t>/mnt/measurements/07_CANape/Mitsubishi/5K45/5.3.0_RC6.2/5K457EG11/CSRGIMMC-2250/CSR_XCP_Signals_Recorder_2026-02-05_16-12-32_TC136_MovingToy2C_BagF3R_CPD.MF4.xz,empty,RadarFC_Master,empty,CPD,dummy</t>
  </si>
  <si>
    <t>/mnt/measurements/07_CANape/Mitsubishi/5K45/5.3.0_RC6.2/5K457EG11/CSRGIMMC-2250/CSR_XCP_Signals_Recorder_2026-02-05_16-14-45_TC136_MovingToy2C_BagF3R_CPD.MF4.xz,empty,RadarFC_Master,empty,CPD,dummy</t>
  </si>
  <si>
    <t>/mnt/measurements/07_CANape/Mitsubishi/5K45/5.3.0_RC6.2/5K457EG11/CSRGIMMC-2250/CSR_XCP_Signals_Recorder_2026-02-05_16-16-37_TC136_MovingToy2C_BagF3R_CPD.MF4.xz,empty,RadarFC_Master,empty,CPD,dummy</t>
  </si>
  <si>
    <t>/mnt/measurements/07_CANape/Mitsubishi/5K45/5.3.0_RC6.2/5K457EG11/CSRGIMMC-2250/CSR_XCP_Signals_Recorder_2026-02-05_16-23-24_TC137_StaticToy3R_BagF3L_CPD.MF4.xz,empty,RadarFC_Master,empty,CPD,dummy</t>
  </si>
  <si>
    <t>/mnt/measurements/07_CANape/Mitsubishi/5K45/5.3.0_RC6.2/5K457EG11/CSRGIMMC-2250/CSR_XCP_Signals_Recorder_2026-02-05_16-25-08_TC137_StaticToy3R_BagF3L_CPD.MF4.xz,empty,RadarFC_Master,empty,CPD,dummy</t>
  </si>
  <si>
    <t>/mnt/measurements/07_CANape/Mitsubishi/5K45/5.3.0_RC6.2/5K457EG11/CSRGIMMC-2250/CSR_XCP_Signals_Recorder_2026-02-05_16-27-38_TC137_StaticToy3R_BagF3L_CPD.MF4.xz,empty,RadarFC_Master,empty,CPD,dummy</t>
  </si>
  <si>
    <t>/mnt/measurements/07_CANape/Mitsubishi/5K45/5.3.0_RC6.2/5K457EG11/CSRGIMMC-2250/CSR_XCP_Signals_Recorder_2026-02-05_16-38-27_TC137_StaticToy3R_BagF3L_CPD.MF4.xz,empty,RadarFC_Master,empty,CPD,dummy</t>
  </si>
  <si>
    <t>/mnt/measurements/07_CANape/Mitsubishi/5K45/5.3.0_RC6.2/5K457EG11/CSRGIMMC-2250/CSR_XCP_Signals_Recorder_2026-02-05_16-42-37_TC140_Bag2R_StaticToyF1R_CPD.MF4.xz,empty,RadarFC_Master,empty,CPD,dummy</t>
  </si>
  <si>
    <t>/mnt/measurements/07_CANape/Mitsubishi/5K45/5.3.0_RC6.2/5K457EG11/CSRGIMMC-2250/CSR_XCP_Signals_Recorder_2026-02-05_16-44-16_TC140_Bag2R_StaticToyF1R_CPD.MF4.xz,empty,RadarFC_Master,empty,CPD,dummy</t>
  </si>
  <si>
    <t>/mnt/measurements/07_CANape/Mitsubishi/5K45/5.3.0_RC6.2/5K457EG11/CSRGIMMC-2250/CSR_XCP_Signals_Recorder_2026-02-05_16-45-47_TC140_Bag2R_StaticToyF1R_CPD.MF4.xz,empty,RadarFC_Master,empty,CPD,dummy</t>
  </si>
  <si>
    <t>/mnt/measurements/07_CANape/Mitsubishi/5K45/5.3.0_RC6.2/5K457EG11/CSRGIMMC-2250/CSR_XCP_Signals_Recorder_2026-02-05_16-47-23_TC140_Bag2R_StaticToyF1R_CPD.MF4.xz,empty,RadarFC_Master,empty,CPD,dummy</t>
  </si>
  <si>
    <t>/mnt/measurements/07_CANape/Mitsubishi/5K45/5.3.0_RC6.2/5K457EG11/CSRGIMMC-2250/CSR_XCP_Signals_Recorder_2026-02-05_16-49-15_TC140_Bag2R_StaticToyF1R_CPD.MF4.xz,empty,RadarFC_Master,empty,CPD,dummy</t>
  </si>
  <si>
    <t>/mnt/measurements/07_CANape/Mitsubishi/5K45/5.3.0_RC6.2/5K457EG11/CSRGIMMC-2250/CSR_XCP_Signals_Recorder_2026-02-05_16-55-13_TC142_Bag2C_StaticToyF2L_CPD.MF4.xz,empty,RadarFC_Master,empty,CPD,dummy</t>
  </si>
  <si>
    <t>/mnt/measurements/07_CANape/Mitsubishi/5K45/5.3.0_RC6.2/5K457EG11/CSRGIMMC-2250/CSR_XCP_Signals_Recorder_2026-02-05_16-57-50_TC142_Bag2C_StaticToyF2L_CPD.MF4.xz,empty,RadarFC_Master,empty,CPD,dummy</t>
  </si>
  <si>
    <t>/mnt/measurements/07_CANape/Mitsubishi/5K45/5.3.0_RC6.2/5K457EG11/CSRGIMMC-2250/CSR_XCP_Signals_Recorder_2026-02-05_16-59-41_TC142_Bag2C_StaticToyF2L_CPD.MF4.xz,empty,RadarFC_Master,empty,CPD,dummy</t>
  </si>
  <si>
    <t>/mnt/measurements/07_CANape/Mitsubishi/5K45/5.3.0_RC6.2/5K457EG11/CSRGIMMC-2250/CSR_XCP_Signals_Recorder_2026-02-05_17-04-53_TC142_Bag2C_StaticToyF2L_CPD.MF4.xz,empty,RadarFC_Master,empty,CPD,dummy</t>
  </si>
  <si>
    <t>/mnt/measurements/07_CANape/Mitsubishi/5K45/5.3.0_RC6.2/5K457EG11/CSRGIMMC-2250/CSR_XCP_Signals_Recorder_2026-02-05_17-06-43_TC142_Bag2C_StaticToyF2L_CPD.MF4.xz,empty,RadarFC_Master,empty,CPD,dummy</t>
  </si>
  <si>
    <t>/mnt/measurements/07_CANape/Mitsubishi/5K45/5.3.0_RC6.2/5K457EG11/CSRGIMMC-2250/CSR_XCP_Signals_Recorder_2026-02-05_17-10-14_TC144_Bag3L_StaticToyF3R_CPD.MF4.xz,empty,RadarFC_Master,empty,CPD,dummy</t>
  </si>
  <si>
    <t>/mnt/measurements/07_CANape/Mitsubishi/5K45/5.3.0_RC6.2/5K457EG11/CSRGIMMC-2250/CSR_XCP_Signals_Recorder_2026-02-05_17-12-02_TC144_Bag3L_StaticToyF3R_CPD.MF4.xz,empty,RadarFC_Master,empty,CPD,dummy</t>
  </si>
  <si>
    <t>/mnt/measurements/07_CANape/Mitsubishi/5K45/5.3.0_RC6.2/5K457EG11/CSRGIMMC-2250/CSR_XCP_Signals_Recorder_2026-02-05_17-14-34_TC144_Bag3L_StaticToyF3R_CPD.MF4.xz,empty,RadarFC_Master,empty,CPD,dummy</t>
  </si>
  <si>
    <t>/mnt/measurements/07_CANape/Mitsubishi/5K45/5.3.0_RC6.2/5K457EG11/CSRGIMMC-2250/CSR_XCP_Signals_Recorder_2026-02-05_17-16-24_TC144_Bag3L_StaticToyF3R_CPD.MF4.xz,empty,RadarFC_Master,empty,CPD,dummy</t>
  </si>
  <si>
    <t>/mnt/measurements/07_CANape/Mitsubishi/5K45/5.3.0_RC6.2/5K457EG11/CSRGIMMC-2250/CSR_XCP_Signals_Recorder_2026-02-05_17-17-48_TC144_Bag3L_StaticToyF3R_CPD.MF4.xz,empty,RadarFC_Master,empty,CPD,dummy</t>
  </si>
  <si>
    <t>/mnt/measurements/07_CANape/Mitsubishi/5K45/5.3.0_RC6/Customer_Testing/CSR_XCP_Signals_Recorder_2026-01-29_17-40-56_TC176_NCAP_3.MF4.xz,NCAP3 long,RadarFC_Master,NCAP3 long,CPD,dummy</t>
  </si>
  <si>
    <t>/mnt/measurements/07_CANape/Mitsubishi/5K45/5.3.0_RC6/Customer_Testing/CSR_XCP_Signals_Recorder_2026-01-29_17-42-35_TC176_NCAP_3.MF4.xz,NCAP3 long,RadarFC_Master,NCAP3 long,CPD,dummy</t>
  </si>
  <si>
    <t>/mnt/measurements/07_CANape/Mitsubishi/5K45/5.3.0_RC6/Customer_Testing/CSR_XCP_Signals_Recorder_2026-01-29_17-44-02_TC176_NCAP_3.MF4.xz,NCAP3 long,RadarFC_Master,NCAP3 long,CPD,dummy</t>
  </si>
  <si>
    <t>/mnt/measurements/07_CANape/Mitsubishi/5K45/5.3.0_RC6/5K457EG11/FP_Outside/CSR_XCP_Signals_Recorder_2026-01-29_12-16-30_TS177.mf4.xz,NCAP3 long,RadarFC_Master,NCAP3 long,CPD,dummy</t>
  </si>
  <si>
    <t>/mnt/measurements/07_CANape/Mitsubishi/5K45/5.3.0_RC6/5K457EG11/FP_Outside/CSR_XCP_Signals_Recorder_2026-01-29_12-18-01_TS177.mf4.xz,NCAP3 long,RadarFC_Master,NCAP3 long,CPD,dummy</t>
  </si>
  <si>
    <t>/mnt/measurements/07_CANape/Mitsubishi/5K45/5.3.0_RC6/5K457EG11/FP_Outside/CSR_XCP_Signals_Recorder_2026-01-29_12-19-32_TS177.mf4.xz,NCAP3 long,RadarFC_Master,NCAP3 long,CPD,dummy</t>
  </si>
  <si>
    <t>/mnt/measurements/07_CANape/Mitsubishi/5K45/5.3.0_RC6/5K457EG11/FP_Outside/CSR_XCP_Signals_Recorder_2026-01-29_12-21-06_TS177.mf4.xz,NCAP3 long,RadarFC_Master,NCAP3 long,CPD,dummy</t>
  </si>
  <si>
    <t>/mnt/measurements/07_CANape/Mitsubishi/5K45/5.3.0_RC6/5K457EG11/FP_Outside/CSR_XCP_Signals_Recorder_2026-01-29_12-07-46_TS180.mf4.xz,NCAP3 long,RadarFC_Master,NCAP3 long,CPD,dummy</t>
  </si>
  <si>
    <t>/mnt/measurements/07_CANape/Mitsubishi/5K45/5.3.0_RC6/5K457EG11/FP_Outside/CSR_XCP_Signals_Recorder_2026-01-29_12-09-09_TS180.mf4.xz,NCAP3 long,RadarFC_Master,NCAP3 long,CPD,dummy</t>
  </si>
  <si>
    <t>/mnt/measurements/07_CANape/Mitsubishi/5K45/5.3.0_RC6/5K457EG11/FP_Outside/CSR_XCP_Signals_Recorder_2026-01-29_12-11-39_TS180.mf4.xz,NCAP3 long,RadarFC_Master,NCAP3 long,CPD,dummy</t>
  </si>
  <si>
    <t>/mnt/measurements/07_CANape/Mitsubishi/5K45/5.3.0_RC6/5K457EG11/FP_Outside/CSR_XCP_Signals_Recorder_2026-01-29_12-13-06_TS180.mf4.xz,NCAP3 long,RadarFC_Master,NCAP3 long,CPD,dummy</t>
  </si>
  <si>
    <t>/mnt/measurements/07_CANape/Mitsubishi/5K45/5.3.0_RC6/5K457EG11/FP_Outside/CSR_XCP_Signals_Recorder_2026-01-29_12-24-22_TS181.mf4.xz,NCAP3 long,RadarFC_Master,NCAP3 long,CPD,dummy</t>
  </si>
  <si>
    <t>/mnt/measurements/07_CANape/Mitsubishi/5K45/5.3.0_RC6/5K457EG11/FP_Outside/CSR_XCP_Signals_Recorder_2026-01-29_12-25-46_TS181.mf4.xz,NCAP3 long,RadarFC_Master,NCAP3 long,CPD,dummy</t>
  </si>
  <si>
    <t>/mnt/measurements/07_CANape/Mitsubishi/5K45/5.3.0_RC6/5K457EG11/FP_Outside/CSR_XCP_Signals_Recorder_2026-01-29_12-27-11_TS181.mf4.xz,NCAP3 long,RadarFC_Master,NCAP3 long,CPD,dummy</t>
  </si>
  <si>
    <t>/mnt/measurements/07_CANape/Mitsubishi/5K45/5.3.0_RC6/5K457EG11/FP_Outside/CSR_XCP_Signals_Recorder_2026-01-29_12-28-34_TS181.mf4.xz,NCAP3 long,RadarFC_Master,NCAP3 long,CPD,dummy</t>
  </si>
  <si>
    <t>/mnt/measurements/07_CANape/Mitsubishi/5K45/MMC4.1.2/Validation/child/Sleep/TC_182.MF4.xz,child,RadarFC_Master,child (ncap1,2),CPD,dummy</t>
  </si>
  <si>
    <t>/mnt/measurements/07_CANape/Mitsubishi/5K45/MMC4.1.2/Validation/2025_11_29/child/part2/Sleep/TC_182_Try1.MF4.xz,child,RadarFC_Master,child (ncap1,2),CPD,dummy</t>
  </si>
  <si>
    <t>/mnt/measurements/07_CANape/Mitsubishi/5K45/MMC4.1.2/Validation/2025_11_29/child/part2/Sleep/TC_182_Try2.MF4.xz,child,RadarFC_Master,child (ncap1,2),CPD,dummy</t>
  </si>
  <si>
    <t>/mnt/measurements/07_CANape/Mitsubishi/5K45/MMC4.1.2/Validation/2025_11_29/child/part2/Sleep/TC_182_Try3.MF4.xz,child,RadarFC_Master,child (ncap1,2),CPD,dummy</t>
  </si>
  <si>
    <t>/mnt/measurements/07_CANape/Mitsubishi/5K45/5.2.0/5K457EG11/SmokeTest/CPD/CSR_XCP_Signals_Recorder_2026-01-12_13-37-49_TC182.MF4.xz,child,RadarFC_Master,child (ncap1,2),CPD,dummy</t>
  </si>
  <si>
    <t>/mnt/measurements/07_CANape/Mitsubishi/5K45/MMC5.0.2/5K457EG11/CPD/CSR_XCP_Signals_Recorder_2026-01-26_11-23-32_CPD_TC182_Try5.MF4.xz,child,RadarFC_Master,child,CPD,dummy</t>
  </si>
  <si>
    <t>/mnt/measurements/07_CANape/Mitsubishi/5K45/MMC5.0.2/5K457EG11/CPD/CSR_XCP_Signals_Recorder_2026-01-26_11-12-00_CPD_TC182_Try1.MF4.xz,child,RadarFC_Master,child (ncap1,2),CPD,dummy</t>
  </si>
  <si>
    <t>/mnt/measurements/07_CANape/Mitsubishi/5K45/MMC5.0.2/5K457EG11/CPD/CSR_XCP_Signals_Recorder_2026-01-26_11-13-36_CPD_TC182_Try2.MF4.xz,child,RadarFC_Master,child (ncap1,2),CPD,dummy</t>
  </si>
  <si>
    <t>/mnt/measurements/07_CANape/Mitsubishi/5K45/MMC5.0.2/5K457EG11/CPD/CSR_XCP_Signals_Recorder_2026-01-26_11-16-46_CPD_TC182_Try3.MF4.xz,child,RadarFC_Master,child (ncap1,2),CPD,dummy</t>
  </si>
  <si>
    <t>/mnt/measurements/07_CANape/Mitsubishi/5K45/MMC5.0.2/5K457EG11/CPD/CSR_XCP_Signals_Recorder_2026-01-26_11-20-06_CPD_TC182_Try4.MF4.xz,child,RadarFC_Master,child (ncap1,2),CPD,dummy</t>
  </si>
  <si>
    <t>/mnt/measurements/07_CANape/Mitsubishi/5K45/MMC4.1.2/Validation/2025_11_29/empty/TC_146_Try1.MF4.xz,empty,RadarFC_Master,empty,CPD,dummy</t>
  </si>
  <si>
    <t>/mnt/measurements/07_CANape/Mitsubishi/5K45/MMC4.1.2/Validation/2025_11_29/empty/TC_146_Try2.MF4.xz,empty,RadarFC_Master,empty,CPD,dummy</t>
  </si>
  <si>
    <t>/mnt/measurements/07_CANape/Mitsubishi/5K45/MMC4.1.2/Validation/2025_11_29/empty/TC_146_Try3.MF4.xz,empty,RadarFC_Master,empty,CPD,dummy</t>
  </si>
  <si>
    <t>/mnt/measurements/07_CANape/Mitsubishi/5K45/MMC4.1.2/Validation/2025_11_29/empty/TC_147_Try1.MF4.xz,empty,RadarFC_Master,empty,CPD,dummy</t>
  </si>
  <si>
    <t>5K45/5.3.0_RC5/5K457EG11/CPD/CSR_XCP_Signals_Recorder_2026-01-26_CPD_TC182_Try1.MF4.xz,child,RadarFC_Master,child (ncap1,2),CPD,dummy</t>
  </si>
  <si>
    <t>5K45/5.3.0_RC5/5K457EG11/CPD/CSR_XCP_Signals_Recorder_2026-01-26_CPD_TC182_Try2.MF4.xz,child,RadarFC_Master,child (ncap1,2),CPD,dummy</t>
  </si>
  <si>
    <t>5K45/5.3.0_RC5/5K457EG11/CPD/CSR_XCP_Signals_Recorder_2026-01-26_CPD_TC182_Try3.MF4.xz,child,RadarFC_Master,child (ncap1,2),CPD,dummy</t>
  </si>
  <si>
    <t>5K45/5.3.0_RC5/5K457EG11/CPD/CSR_XCP_Signals_Recorder_2026-01-26_CPD_TC182_Try4.MF4.xz,child,RadarFC_Master,child (ncap1,2),CPD,dummy</t>
  </si>
  <si>
    <t>5K45/5.3.0_RC5/5K457EG11/CPD/CSR_XCP_Signals_Recorder_2026-01-26_CPD_TC182_Try4.MF4.xz,error: Requested byte range is out of bounds of dl_data,RadarFC_Master,error: Requested byte range is out of bounds of dl_data (ncap1,2),CPD,dummy</t>
  </si>
  <si>
    <t>/mnt/measurements/07_CANape/Mitsubishi/5K45/MMC4.1.2/Validation/2025_11_29/empty/TC_147_Try2.MF4.xz,empty,RadarFC_Master,empty,CPD,dummy</t>
  </si>
  <si>
    <t>/mnt/measurements/07_CANape/Mitsubishi/5K45/MMC4.1.2/Validation/2025_11_29/empty/TC_147_Try3.MF4.xz,empty,RadarFC_Master,empty,CPD,dummy</t>
  </si>
  <si>
    <t>/mnt/measurements/07_CANape/Mitsubishi/5K45/5.3.0_RC6.2/5K457EG11/FP_Test_Cases_Renamed/CSR_XCP_Signals_Recorder_2026-02-02_13-21-38_TC147_NCAP1_2.MF4.xz,empty,RadarFC_Master,empty,CPD,dummy</t>
  </si>
  <si>
    <t>/mnt/measurements/07_CANape/Mitsubishi/5K45/MMC4.1.2/Validation/2025_11_29/empty/TC_148_Try1.MF4.xz,empty,RadarFC_Master,empty,CPD,dummy</t>
  </si>
  <si>
    <t>/mnt/measurements/07_CANape/Mitsubishi/5K45/MMC4.1.2/Validation/2025_11_29/empty/TC_148_Try2.MF4.xz,empty,RadarFC_Master,empty,CPD,dummy</t>
  </si>
  <si>
    <t>/mnt/measurements/07_CANape/Mitsubishi/5K45/MMC4.1.2/Validation/2025_11_29/empty/TC_148_Try3.MF4.xz,empty,RadarFC_Master,empty,CPD,dummy</t>
  </si>
  <si>
    <t>/mnt/measurements/07_CANape/Mitsubishi/5K45/MMC4.1.2/Validation/2025_11_29/empty/TC_149_Try1.MF4.xz,empty,RadarFC_Master,empty,CPD,dummy</t>
  </si>
  <si>
    <t>/mnt/measurements/07_CANape/Mitsubishi/5K45/MMC4.1.2/Validation/2025_11_29/empty/TC_149_Try2.MF4.xz,empty,RadarFC_Master,empty,CPD,dummy</t>
  </si>
  <si>
    <t>/mnt/measurements/07_CANape/Mitsubishi/5K45/MMC4.1.2/Validation/2025_11_29/empty/TC_149_Try3.MF4.xz,empty,RadarFC_Master,empty,CPD,dummy</t>
  </si>
  <si>
    <t>/mnt/measurements/07_CANape/Mitsubishi/5K45/5.3.0_RC6.2/5K457EG11/FP_Test_Cases_Renamed/CSR_XCP_Signals_Recorder_2026-02-02_13-25-02_TC149_NCAP1_2.MF4.xz,empty,RadarFC_Master,empty,CPD,dummy</t>
  </si>
  <si>
    <t>/mnt/measurements/07_CANape/Mitsubishi/5K45/5.3.0_RC6/Customer_Testing/CSR_XCP_Signals_Recorder_2026-01-29_15-38-54_TC150_NCAP_1_2.MF4.xz,empty,RadarFC_Master,empty,CPD,dummy</t>
  </si>
  <si>
    <t>/mnt/measurements/07_CANape/Mitsubishi/5K45/5.3.0_RC6/Customer_Testing/CSR_XCP_Signals_Recorder_2026-01-29_15-40-14_TC150_NCAP_1_2.MF4.xz,empty,RadarFC_Master,empty,CPD,dummy</t>
  </si>
  <si>
    <t>/mnt/measurements/07_CANape/Mitsubishi/5K45/5.3.0_RC6/Customer_Testing/CSR_XCP_Signals_Recorder_2026-01-29_15-41-21_TC150_NCAP_1_2.MF4.xz,empty,RadarFC_Master,empty,CPD,dummy</t>
  </si>
  <si>
    <t>/mnt/measurements/07_CANape/Mitsubishi/5K45/5.3.0_RC6.2/5K457EG11/CSRGIMMC-2250/CSR_XCP_Signals_Recorder_2026-02-05_17-25-50_TC151_Liquid3R_CPD.MF4.xz,empty,RadarFC_Master,empty,CPD,dummy</t>
  </si>
  <si>
    <t>/mnt/measurements/07_CANape/Mitsubishi/5K45/5.3.0_RC6.2/5K457EG11/CSRGIMMC-2250/CSR_XCP_Signals_Recorder_2026-02-05_17-35-44_TC151_Liquid3R_CPD.MF4.xz,empty,RadarFC_Master,empty,CPD,dummy</t>
  </si>
  <si>
    <t>/mnt/measurements/07_CANape/Mitsubishi/5K45/5.3.0_RC6.2/5K457EG11/CSRGIMMC-2250/CSR_XCP_Signals_Recorder_2026-02-05_17-37-41_TC151_Liquid3R_CPD.MF4.xz,empty,RadarFC_Master,empty,CPD,dummy</t>
  </si>
  <si>
    <t>/mnt/measurements/07_CANape/Mitsubishi/5K45/5.3.0_RC6.2/5K457EG11/CSRGIMMC-2250/CSR_XCP_Signals_Recorder_2026-02-05_17-41-37_TC151_Liquid3R_CPD.MF4.xz,empty,RadarFC_Master,empty,CPD,dummy</t>
  </si>
  <si>
    <t>/mnt/measurements/07_CANape/Mitsubishi/5K45/5.3.0_RC6.2/5K457EG11/CSRGIMMC-2250/CSR_XCP_Signals_Recorder_2026-02-05_17-43-08_TC151_Liquid3R_CPD.MF4.xz,empty,RadarFC_Master,empty,CPD,dummy</t>
  </si>
  <si>
    <t>/mnt/measurements/07_CANape/Mitsubishi/5K45/5.3.0_RC6.2/5K457EG11/FP_Test_Cases_Renamed/CSR_XCP_Signals_Recorder_2026-02-02_13-26-35_TC152_NCAP1_2.MF4.xz,empty,RadarFC_Master,empty,CPD,dummy</t>
  </si>
  <si>
    <t>/mnt/measurements/07_CANape/Mitsubishi/5K45/MMC5.0.0_RC3/CPD_Test_Cases/CSR_XCP_Signals_Recorder_2025-12-11_15-17-04_TC153_Liquid1LFW_CPD.MF4.xz,empty,RadarFC_Master,empty,CPD,dummy</t>
  </si>
  <si>
    <t>/mnt/measurements/07_CANape/Mitsubishi/5K45/MMC5.0.0_RC3/CPD_Test_Cases/CSR_XCP_Signals_Recorder_2025-12-11_15-18-56_TC153_Liquid1LFW_CPD.MF4.xz,empty,RadarFC_Master,empty,CPD,dummy</t>
  </si>
  <si>
    <t>/mnt/measurements/07_CANape/Mitsubishi/5K45/MMC5.0.0_RC3/CPD_Test_Cases/CSR_XCP_Signals_Recorder_2025-12-11_15-20-36_TC153_Liquid1LFW_CPD.MF4.xz,empty,RadarFC_Master,empty,CPD,dummy</t>
  </si>
  <si>
    <t>/mnt/measurements/07_CANape/Mitsubishi/5K45/MMC5.0.0_RC3/CPD_Test_Cases/CSR_XCP_Signals_Recorder_2025-12-11_15-24-02_TC154_Liquid1RFW_CPD.MF4.xz,empty,RadarFC_Master,empty,CPD,dummy</t>
  </si>
  <si>
    <t>/mnt/measurements/07_CANape/Mitsubishi/5K45/MMC5.0.0_RC3/CPD_Test_Cases/CSR_XCP_Signals_Recorder_2025-12-11_15-25-48_TC154_Liquid1RFW_CPD.MF4.xz,empty,RadarFC_Master,empty,CPD,dummy</t>
  </si>
  <si>
    <t>/mnt/measurements/07_CANape/Mitsubishi/5K45/MMC4.1.2/Validation/2025_11_29/child/part3/Awake/TC_188_Try3.MF4.xz,wrong measurement,RadarFC_Master,wrong measurement (ncap1,2),CPD,dummy</t>
  </si>
  <si>
    <t>/mnt/measurements/07_CANape/Mitsubishi/5K45/MMC4.1.2/Validation/2025_12_02/ChildSleep/TC_189_Try1.MF4.xz,wrong measurement,RadarFC_Master,wrong measurement (ncap1,2),CPD,dummy</t>
  </si>
  <si>
    <t>/mnt/measurements/07_CANape/Mitsubishi/5K45/MMC4.1.2/Validation/2025_12_02/ChildSleep/TC_189_Try2.MF4.xz,wrong measurement,RadarFC_Master,wrong measurement (ncap1,2),CPD,dummy</t>
  </si>
  <si>
    <t>/mnt/measurements/07_CANape/Mitsubishi/5K45/MMC4.1.2/Validation/2025_12_02/ChildSleep/TC_189_Try3.MF4.xz,wrong measurement,RadarFC_Master,wrong measurement (ncap1,2),CPD,dummy</t>
  </si>
  <si>
    <t>/mnt/measurements/07_CANape/Mitsubishi/5K45/MMC5.0.0_RC3/CPD_Test_Cases/CSR_XCP_Signals_Recorder_2025-12-11_15-28-53_TC154_Liquid1RFW_CPD.MF4.xz,empty,RadarFC_Master,empty,CPD,dummy</t>
  </si>
  <si>
    <t>/mnt/measurements/07_CANape/Mitsubishi/5K45/MMC5.0.0_RC3/CPD_Test_Cases/CSR_XCP_Signals_Recorder_2025-12-11_15-36-26_TC155_Liquid2RFW_CPD.MF4.xz,empty,RadarFC_Master,empty,CPD,dummy</t>
  </si>
  <si>
    <t>/mnt/measurements/07_CANape/Mitsubishi/5K45/MMC5.0.0_RC3/CPD_Test_Cases/CSR_XCP_Signals_Recorder_2025-12-11_15-38-09_TC155_Liquid2RFW_CPD.MF4.xz,empty,RadarFC_Master,empty,CPD,dummy</t>
  </si>
  <si>
    <t>/mnt/measurements/07_CANape/Mitsubishi/5K45/MMC5.0.0_RC3/CPD_Test_Cases/CSR_XCP_Signals_Recorder_2025-12-11_15-39-51_TC155_Liquid2RFW_CPD.MF4.xz,empty,RadarFC_Master,empty,CPD,dummy</t>
  </si>
  <si>
    <t>/mnt/measurements/07_CANape/Mitsubishi/5K45/MMC5.0.0_RC3/CPD_Test_Cases/CSR_XCP_Signals_Recorder_2025-12-11_15-42-36_TC156_Liquid2LFW_CPD.MF4.xz,empty,RadarFC_Master,empty,CPD,dummy</t>
  </si>
  <si>
    <t>/mnt/measurements/07_CANape/Mitsubishi/5K45/MMC5.0.0_RC3/CPD_Test_Cases/CSR_XCP_Signals_Recorder_2025-12-11_15-44-21_TC156_Liquid2LFW_CPD.MF4.xz,empty,RadarFC_Master,empty,CPD,dummy</t>
  </si>
  <si>
    <t>/mnt/measurements/07_CANape/Mitsubishi/5K45/MMC5.0.0_RC3/CPD_Test_Cases/CSR_XCP_Signals_Recorder_2025-12-11_15-46-14_TC156_Liquid2LFW_CPD.MF4.xz,empty,RadarFC_Master,empty,CPD,dummy</t>
  </si>
  <si>
    <t>/mnt/measurements/07_CANape/Mitsubishi/5K45/MMC5.0.0_RC3/CPD_Test_Cases/CSR_XCP_Signals_Recorder_2025-12-11_15-49-03_TC157_Liquid2CFW_CPD.MF4.xz,empty,RadarFC_Master,empty,CPD,dummy</t>
  </si>
  <si>
    <t>/mnt/measurements/07_CANape/Mitsubishi/5K45/MMC5.0.0_RC3/CPD_Test_Cases/CSR_XCP_Signals_Recorder_2025-12-11_15-50-49_TC157_Liquid2CFW_CPD.MF4.xz,empty,RadarFC_Master,empty,CPD,dummy</t>
  </si>
  <si>
    <t>/mnt/measurements/07_CANape/Mitsubishi/5K45/MMC5.0.0_RC3/CPD_Test_Cases/CSR_XCP_Signals_Recorder_2025-12-11_15-52-39_TC157_Liquid2CFW_CPD.MF4.xz,empty,RadarFC_Master,empty,CPD,dummy</t>
  </si>
  <si>
    <t>/mnt/measurements/07_CANape/Mitsubishi/5K45/MMC5.0.0_RC3/CPD_Test_Cases/CSR_XCP_Signals_Recorder_2025-12-11_15-56-08_TC158_Liquid3RFW_CPD.MF4.xz,empty,RadarFC_Master,empty,CPD,dummy</t>
  </si>
  <si>
    <t>/mnt/measurements/07_CANape/Mitsubishi/5K45/MMC5.0.0_RC3/CPD_Test_Cases/CSR_XCP_Signals_Recorder_2025-12-11_15-57-45_TC158_Liquid3RFW_CPD.MF4.xz,empty,RadarFC_Master,empty,CPD,dummy</t>
  </si>
  <si>
    <t>/mnt/measurements/07_CANape/Mitsubishi/5K45/MMC5.0.0_RC3/CPD_Test_Cases/CSR_XCP_Signals_Recorder_2025-12-11_15-59-30_TC158_Liquid3RFW_CPD.MF4.xz,empty,RadarFC_Master,empty,CPD,dummy</t>
  </si>
  <si>
    <t>/mnt/measurements/07_CANape/Mitsubishi/5K45/MMC5.0.0_RC3/CPD_Test_Cases/CSR_XCP_Signals_Recorder_2025-12-11_16-03-18_TC159_Liquid3LFW_CPD.MF4.xz,empty,RadarFC_Master,empty,CPD,dummy</t>
  </si>
  <si>
    <t>/mnt/measurements/07_CANape/Mitsubishi/5K45/MMC5.0.0_RC3/CPD_Test_Cases/CSR_XCP_Signals_Recorder_2025-12-11_16-05-02_TC159_Liquid3LFW_CPD.MF4.xz,empty,RadarFC_Master,empty,CPD,dummy</t>
  </si>
  <si>
    <t>/mnt/measurements/07_CANape/Mitsubishi/5K45/MMC5.0.0_RC3/CPD_Test_Cases/CSR_XCP_Signals_Recorder_2025-12-11_16-07-00_TC159_Liquid3LFW_CPD.MF4.xz,empty,RadarFC_Master,empty,CPD,dummy</t>
  </si>
  <si>
    <t>/mnt/measurements/07_CANape/Mitsubishi/5K45/5.3.0_RC6/Customer_Testing/CSR_XCP_Signals_Recorder_2026-01-29_17-22-58_TC162_NCAP_1_2.MF4.xz,empty,RadarFC_Master,empty,CPD,dummy</t>
  </si>
  <si>
    <t>/mnt/measurements/07_CANape/Mitsubishi/5K45/5.3.0_RC6/Customer_Testing/CSR_XCP_Signals_Recorder_2026-01-29_17-23-45_TC162_NCAP_1_2.MF4.xz,empty,RadarFC_Master,empty,CPD,dummy</t>
  </si>
  <si>
    <t>/mnt/measurements/07_CANape/Mitsubishi/5K45/5.3.0_RC6.2/5K457EG11/FP_Test_Cases_Renamed/CSR_XCP_Signals_Recorder_2026-02-03_13-24-06_TC162_NCAP1_2.MF4.xz,empty,RadarFC_Master,empty,CPD,dummy</t>
  </si>
  <si>
    <t>/mnt/measurements/07_CANape/Mitsubishi/5K45/5.3.0_RC6.2/5K457EG11/FP_Test_Cases_Renamed/CSR_XCP_Signals_Recorder_2026-02-03_13-25-09_TC162_NCAP1_2.MF4.xz,empty,RadarFC_Master,empty,CPD,dummy</t>
  </si>
  <si>
    <t>/mnt/measurements/07_CANape/Mitsubishi/5K45/5.3.0_RC6.2/5K457EG11/FP_Test_Cases_Renamed/CSR_XCP_Signals_Recorder_2026-02-03_13-26-00_TC162_NCAP1_2.MF4.xz,empty,RadarFC_Master,empty,CPD,dummy</t>
  </si>
  <si>
    <t>/mnt/measurements/07_CANape/Mitsubishi/5K45/MMC5.0.1/5K457MG-47/CPD/TC166_Try_3.MF4.xz,empty,RadarFC_Master,empty,CPD,dummy</t>
  </si>
  <si>
    <t>/mnt/measurements/07_CANape/Mitsubishi/5K45/MMC5.0.1/5K457MG-47/CPD/TC167_Try_1.MF4.xz,empty,RadarFC_Master,empty,CPD,dummy</t>
  </si>
  <si>
    <t>/mnt/measurements/07_CANape/Mitsubishi/5K45/MMC5.0.1/5K457MG-47/CPD/TC167_Try_2.MF4.xz,empty,RadarFC_Master,empty,CPD,dummy</t>
  </si>
  <si>
    <t>/mnt/measurements/07_CANape/Mitsubishi/5K45/MMC5.0.1/5K457MG-47/CPD/TC167_Try_3.MF4.xz,empty,RadarFC_Master,empty,CPD,dummy</t>
  </si>
  <si>
    <t>/mnt/measurements/07_CANape/Mitsubishi/5K45/MMC5.0.1/5K457MG-47/CPD/TC168_Try_1.MF4.xz,empty,RadarFC_Master,empty,CPD,dummy</t>
  </si>
  <si>
    <t>/mnt/measurements/07_CANape/Mitsubishi/5K45/MMC5.0.1/5K457MG-47/CPD/TC168_Try_2.MF4.xz,empty,RadarFC_Master,empty,CPD,dummy</t>
  </si>
  <si>
    <t>/mnt/measurements/07_CANape/Mitsubishi/5K45/MMC5.0.1/5K457MG-47/CPD/TC168_Try_3.MF4.xz,empty,RadarFC_Master,empty,CPD,dummy</t>
  </si>
  <si>
    <t>/mnt/measurements/07_CANape/Mitsubishi/5K45/MMC5.0.1/5K457MG-47/CPD/TC169_Try_1.MF4.xz,empty,RadarFC_Master,empty,CPD,dummy</t>
  </si>
  <si>
    <t>/mnt/measurements/07_CANape/Mitsubishi/5K45/MMC5.0.1/5K457MG-47/CPD/TC169_Try_2.MF4.xz,empty,RadarFC_Master,empty,CPD,dummy</t>
  </si>
  <si>
    <t>/mnt/measurements/07_CANape/Mitsubishi/5K45/MMC5.0.1/5K457MG-47/CPD/TC169_Try_3.MF4.xz,empty,RadarFC_Master,empty,CPD,dummy</t>
  </si>
  <si>
    <t>/mnt/measurements/07_CANape/Mitsubishi/5K45/MMC5.0.1/5K457MG-47/CPD/TC170_Try_1.MF4.xz,empty,RadarFC_Master,empty,CPD,dummy</t>
  </si>
  <si>
    <t>/mnt/measurements/07_CANape/Mitsubishi/5K45/MMC5.0.1/5K457MG-47/CPD/TC170_Try_2.MF4.xz,empty,RadarFC_Master,empty,CPD,dummy</t>
  </si>
  <si>
    <t>/mnt/measurements/07_CANape/Mitsubishi/5K45/MMC5.0.1/5K457MG-47/CPD/TC170_Try_3.MF4.xz,empty,RadarFC_Master,empty,CPD,dummy</t>
  </si>
  <si>
    <t>/mnt/measurements/07_CANape/Mitsubishi/5K45/MMC5.0.1/5K457MG-47/CPD/TC171_Try_1.MF4.xz,empty,RadarFC_Master,empty,CPD,dummy</t>
  </si>
  <si>
    <t>/mnt/measurements/07_CANape/Mitsubishi/5K45/MMC5.0.1/5K457MG-47/CPD/TC171_Try_2.MF4.xz,empty,RadarFC_Master,empty,CPD,dummy</t>
  </si>
  <si>
    <t>/mnt/measurements/07_CANape/Mitsubishi/5K45/MMC5.0.1/5K457MG-47/CPD/TC171_Try_3.MF4.xz,empty,RadarFC_Master,empty,CPD,dummy</t>
  </si>
  <si>
    <t>/mnt/measurements/07_CANape/Mitsubishi/5K45/MMC5.0.1/5K457MG-47/CPD/TC172_Try_1.MF4.xz,empty,RadarFC_Master,empty,CPD,dummy</t>
  </si>
  <si>
    <t>/mnt/measurements/07_CANape/Mitsubishi/5K45/MMC5.0.1/5K457MG-47/CPD/TC172_Try_2.MF4.xz,empty,RadarFC_Master,empty,CPD,dummy</t>
  </si>
  <si>
    <t>/mnt/measurements/07_CANape/Mitsubishi/5K45/MMC5.0.1/5K457MG-47/CPD/TC172_Try_3.MF4.xz,empty,RadarFC_Master,empty,CPD,dummy</t>
  </si>
  <si>
    <t>/mnt/measurements/07_CANape/Mitsubishi/5K45/MMC5.0.1/5K457MG-47/CPD/TC173_Try_1blf.MF4.xz,empty,RadarFC_Master,empty,CPD,dummy</t>
  </si>
  <si>
    <t>/mnt/measurements/07_CANape/Mitsubishi/5K45/MMC5.0.1/5K457MG-47/CPD/TC173_Try_2.MF4.xz,empty,RadarFC_Master,empty,CPD,dummy</t>
  </si>
  <si>
    <t>/mnt/measurements/07_CANape/Mitsubishi/5K45/MMC5.0.1/5K457MG-47/CPD/TC173_Try_3.MF4.xz,empty,RadarFC_Master,empty,CPD,dummy</t>
  </si>
  <si>
    <t>/mnt/measurements/07_CANape/Mitsubishi/5K45/5.3.0_RC6/5K457EG11/FP_Outside/CSR_XCP_Signals_Recorder_2026-01-29_11-59-03_TS176.mf4.xz,empty,RadarFC_Master,empty,CPD,dummy</t>
  </si>
  <si>
    <t>/mnt/measurements/07_CANape/Mitsubishi/5K45/5.3.0_RC6/5K457EG11/FP_Outside/CSR_XCP_Signals_Recorder_2026-01-29_12-01-45_TS176.mf4.xz,empty,RadarFC_Master,empty,CPD,dummy</t>
  </si>
  <si>
    <t>/mnt/measurements/07_CANape/Mitsubishi/5K45/5.3.0_RC6/5K457EG11/FP_Outside/CSR_XCP_Signals_Recorder_2026-01-29_12-03-19_TS176.mf4.xz,empty,RadarFC_Master,empty,CPD,dummy</t>
  </si>
  <si>
    <t>/mnt/measurements/07_CANape/Mitsubishi/5K45/5.3.0_RC6/5K457EG11/FP_Outside/CSR_XCP_Signals_Recorder_2026-01-29_12-04-51_TS176.mf4.xz,empty,RadarFC_Master,empty,CPD,dummy</t>
  </si>
  <si>
    <t>/mnt/measurements/07_CANape/Mitsubishi/5K45/5.3.0_RC6/Customer_Testing/CSR_XCP_Signals_Recorder_2026-01-29_17-38-42_TC176_NCAP_1_2.MF4.xz,empty,RadarFC_Master,empty,CPD,dummy</t>
  </si>
  <si>
    <t>/mnt/measurements/07_CANape/Mitsubishi/5K45/5.3.0_RC6/Customer_Testing/CSR_XCP_Signals_Recorder_2026-01-29_17-39-32_TC176_NCAP_1_2.MF4.xz,empty,RadarFC_Master,empty,CPD,dummy</t>
  </si>
  <si>
    <t>/mnt/measurements/07_CANape/Mitsubishi/5K45/MMC4.1.2/Validation/2025_12_02/ChildSleep/TC_201_Try1.MF4.xz,Wrong measurement,RadarFC_Master,Wrong measurement (ncap1,2),CPD,dummy</t>
  </si>
  <si>
    <t>/mnt/measurements/07_CANape/Mitsubishi/5K45/MMC4.1.2/Validation/2025_12_02/ChildSleep/TC_201_Try2.MF4.xz,Wrong measurement,RadarFC_Master,Wrong measurement (ncap1,2),CPD,dummy</t>
  </si>
  <si>
    <t>/mnt/measurements/07_CANape/Mitsubishi/5K45/MMC4.1.2/Validation/2025_12_02/ChildSleep/TC_201_Try3.MF4.xz,Wrong measurement,RadarFC_Master,Wrong measurement (ncap1,2),CPD,dummy</t>
  </si>
  <si>
    <t>/mnt/measurements/07_CANape/Mitsubishi/5K45/5.3.0_RC6/Customer_Testing/CSR_XCP_Signals_Recorder_2026-01-29_17-40-17_TC176_NCAP_1_2.MF4.xz,empty,RadarFC_Master,empty,CPD,dummy</t>
  </si>
  <si>
    <t>/mnt/measurements/07_CANape/Mitsubishi/5K45/5.3.0_RC6.2/5K457EG11/FP_Test_Cases_Renamed/CSR_XCP_Signals_Recorder_2026-02-03_13-15-09_TC176_NCAP1_2.MF4.xz,empty,RadarFC_Master,empty,CPD,dummy</t>
  </si>
  <si>
    <t>/mnt/measurements/07_CANape/Mitsubishi/5K45/5.3.0_RC6.2/5K457EG11/FP_Test_Cases_Renamed/CSR_XCP_Signals_Recorder_2026-02-03_13-16-13_TC176_NCAP1_2.MF4.xz,empty,RadarFC_Master,empty,CPD,dummy</t>
  </si>
  <si>
    <t>/mnt/measurements/07_CANape/Mitsubishi/5K45/5.3.0_RC6.2/5K457EG11/FP_Test_Cases_Renamed/CSR_XCP_Signals_Recorder_2026-02-03_13-17-37_TC176_NCAP1_2.MF4.xz,empty,RadarFC_Master,empty,CPD,dummy</t>
  </si>
  <si>
    <t>/mnt/measurements/07_CANape/Mitsubishi/5K45/5.3.0_RC6/Customer_Testing/Real_Child_Measurements/CSR_XCP_Signals_Recorder_2026-01-29_16-59-51_TC182.MF4.xz,child,RadarFC_Master,child (ncap1,2),CPD,dummy</t>
  </si>
  <si>
    <t>/mnt/measurements/07_CANape/Mitsubishi/5K45/5.3.0_RC6/Customer_Testing/Real_Child_Measurements/CSR_XCP_Signals_Recorder_2026-01-29_17-00-54_TC182.MF4.xz,child,RadarFC_Master,child (ncap1,2),CPD,dummy</t>
  </si>
  <si>
    <t>/mnt/measurements/07_CANape/Mitsubishi/5K45/5.3.0_RC6/Customer_Testing/Real_Child_Measurements/CSR_XCP_Signals_Recorder_2026-01-29_17-01-46_TC182.MF4.xz,child,RadarFC_Master,child (ncap1,2),CPD,dummy</t>
  </si>
  <si>
    <t>/mnt/measurements/07_CANape/Mitsubishi/5K45/5.3.0_RC6/Customer_Testing/Real_Child_Measurements/CSR_XCP_Signals_Recorder_2026-01-29_17-03-34_TC182.MF4.xz,child,RadarFC_Master,child (ncap1,2),CPD,dummy</t>
  </si>
  <si>
    <t>/mnt/measurements/07_CANape/Mitsubishi/5K45/MMC4.1.2/Validation/child/Sleep/TC_183.MF4.xz,child,RadarFC_Master,child (ncap1,2),CPD,dummy</t>
  </si>
  <si>
    <t>/mnt/measurements/07_CANape/Mitsubishi/5K45/MMC4.1.2/Validation/2025_11_29/child/part2/Sleep/TC_183_Try1.MF4.xz,child,RadarFC_Master,child (ncap1,2),CPD,dummy</t>
  </si>
  <si>
    <t>/mnt/measurements/07_CANape/Mitsubishi/5K45/MMC4.1.2/Validation/2025_11_29/child/part2/Sleep/TC_183_Try2.MF4.xz,child,RadarFC_Master,child (ncap1,2),CPD,dummy</t>
  </si>
  <si>
    <t>/mnt/measurements/07_CANape/Mitsubishi/5K45/MMC4.1.2/Validation/2025_11_29/child/part2/Sleep/TC_183_Try3.MF4.xz,child,RadarFC_Master,child (ncap1,2),CPD,dummy</t>
  </si>
  <si>
    <t>/mnt/measurements/07_CANape/Mitsubishi/5K45/MMC4.1.2/Validation/child/Sleep/TC_184.MF4.xz,child,RadarFC_Master,child (ncap1,2),CPD,dummy</t>
  </si>
  <si>
    <t>/mnt/measurements/07_CANape/Mitsubishi/5K45/MMC4.1.2/Validation/2025_11_29/child/part2/Sleep/TC_184_Try1.MF4.xz,child,RadarFC_Master,child (ncap1,2),CPD,dummy</t>
  </si>
  <si>
    <t>/mnt/measurements/07_CANape/Mitsubishi/5K45/MMC4.1.2/Validation/2025_11_29/child/part2/Sleep/TC_184_Try2.MF4.xz,child,RadarFC_Master,child (ncap1,2),CPD,dummy</t>
  </si>
  <si>
    <t>/mnt/measurements/07_CANape/Mitsubishi/5K45/MMC4.1.2/Validation/2025_11_29/child/part2/Sleep/TC_184_Try3.MF4.xz,child,RadarFC_Master,child (ncap1,2),CPD,dummy</t>
  </si>
  <si>
    <t>/mnt/measurements/07_CANape/Mitsubishi/5K45/5.2.0/5K457EG11/SmokeTest/CPD/CSR_XCP_Signals_Recorder_2026-01-12_13-59-22_TC184.MF4.xz,child,RadarFC_Master,child (ncap1,2),CPD,dummy</t>
  </si>
  <si>
    <t>/mnt/measurements/07_CANape/Mitsubishi/5K45/MMC4.1.2/Validation/child/Sleep/TC_185.MF4.xz,child,RadarFC_Master,child (ncap1,2),CPD,dummy</t>
  </si>
  <si>
    <t>/mnt/measurements/07_CANape/Mitsubishi/5K45/MMC4.1.2/Validation/2025_11_29/child/part2/Sleep/TC_185_Try1.MF4.xz,child,RadarFC_Master,child (ncap1,2),CPD,dummy</t>
  </si>
  <si>
    <t>/mnt/measurements/07_CANape/Mitsubishi/5K45/MMC4.1.2/Validation/2025_11_29/child/part2/Sleep/TC_185_Try2.MF4.xz,child,RadarFC_Master,child (ncap1,2),CPD,dummy</t>
  </si>
  <si>
    <t>/mnt/measurements/07_CANape/Mitsubishi/5K45/MMC4.1.2/Validation/2025_11_29/child/part2/Sleep/TC_185_Try3.MF4.xz,child,RadarFC_Master,child (ncap1,2),CPD,dummy</t>
  </si>
  <si>
    <t>/mnt/measurements/07_CANape/Mitsubishi/5K45/MMC4.1.2/Validation/child/Sleep/TC_186.MF4.xz,child,RadarFC_Master,child (ncap1,2),CPD,dummy</t>
  </si>
  <si>
    <t>/mnt/measurements/07_CANape/Mitsubishi/5K45/MMC4.1.2/Validation/2025_11_29/child/part2/Sleep/TC_186_Try1.MF4.xz,child,RadarFC_Master,child (ncap1,2),CPD,dummy</t>
  </si>
  <si>
    <t>/mnt/measurements/07_CANape/Mitsubishi/5K45/MMC5.0.0_RC3_with_resetfix/CPD/TC205_Try_1.MF4.xz,remove, real child mea available,RadarFC_Master,remove, real child mea available (ncap3),CPD,dummy</t>
  </si>
  <si>
    <t>/mnt/measurements/07_CANape/Mitsubishi/5K45/MMC5.0.0_RC3_with_resetfix/CPD/TC205_Try_2.MF4.xz,remove, real child mea available,RadarFC_Master,remove, real child mea available (ncap3),CPD,dummy</t>
  </si>
  <si>
    <t>/mnt/measurements/07_CANape/Mitsubishi/5K45/MMC5.0.0_RC3_with_resetfix/CPD/TC205_Try_3.MF4.xz,remove, real child mea available,RadarFC_Master,remove, real child mea available (ncap3),CPD,dummy</t>
  </si>
  <si>
    <t>/mnt/measurements/07_CANape/Mitsubishi/5K45/MMC4.1.2/Validation/2025_11_29/child/part2/Sleep/TC_186_Try2.MF4.xz,child,RadarFC_Master,child (ncap1,2),CPD,dummy</t>
  </si>
  <si>
    <t>/mnt/measurements/07_CANape/Mitsubishi/5K45/MMC4.1.2/Validation/2025_11_29/child/part2/Sleep/TC_186_Try3.MF4.xz,child,RadarFC_Master,child (ncap1,2),CPD,dummy</t>
  </si>
  <si>
    <t>/mnt/measurements/07_CANape/Mitsubishi/5K45/MMC4.1.2/Validation/child/Sleep/TC_187.MF4.xz,child,RadarFC_Master,child (ncap1,2),CPD,dummy</t>
  </si>
  <si>
    <t>/mnt/measurements/07_CANape/Mitsubishi/5K45/MMC4.1.2/Validation/2025_11_29/child/part3/Sleep/TC_187_Try1.MF4.xz,child,RadarFC_Master,child (ncap1,2),CPD,dummy</t>
  </si>
  <si>
    <t>/mnt/measurements/07_CANape/Mitsubishi/5K45/MMC4.1.2/Validation/2025_11_29/child/part3/Sleep/TC_187_Try2.MF4.xz,child,RadarFC_Master,child (ncap1,2),CPD,dummy</t>
  </si>
  <si>
    <t>/mnt/measurements/07_CANape/Mitsubishi/5K45/MMC5.0.0_RC3_with_resetfix/CPD/TC206_Try_1.MF4.xz,remove, real child mea available,RadarFC_Master,remove, real child mea available (ncap3),CPD,dummy</t>
  </si>
  <si>
    <t>/mnt/measurements/07_CANape/Mitsubishi/5K45/MMC5.0.0_RC3_with_resetfix/CPD/TC206_Try_2.MF4.xz,remove, real child mea available,RadarFC_Master,remove, real child mea available (ncap3),CPD,dummy</t>
  </si>
  <si>
    <t>/mnt/measurements/07_CANape/Mitsubishi/5K45/MMC5.0.0_RC3_with_resetfix/CPD/TC206_Try_3.MF4.xz,remove, real child mea available,RadarFC_Master,remove, real child mea available (ncap3),CPD,dummy</t>
  </si>
  <si>
    <t>/mnt/measurements/07_CANape/Mitsubishi/5K45/MMC4.1.2/Validation/2025_11_29/child/part3/Sleep/TC_187_Try3.MF4.xz,child,RadarFC_Master,child (ncap1,2),CPD,dummy</t>
  </si>
  <si>
    <t>/mnt/measurements/07_CANape/Mitsubishi/5K45/5.3.0_RC6.2/5K457EG11/FP_Test_Cases_Renamed/CSR_XCP_Signals_Recorder_2026-02-02_11-47-51_TC187.MF4.xz,child,RadarFC_Master,child (ncap1,2),CPD,dummy</t>
  </si>
  <si>
    <t>/mnt/measurements/07_CANape/Mitsubishi/5K45/MMC4.1.2/Validation/child/Awake/TC_188.MF4.xz,child,RadarFC_Master,child (ncap1,2),CPD,dummy</t>
  </si>
  <si>
    <t>/mnt/measurements/07_CANape/Mitsubishi/5K45/MMC4.1.2/Validation/2025_11_29/child/part3/Awake/TC_188_Try1.MF4.xz,child,RadarFC_Master,child (ncap1,2),CPD,dummy</t>
  </si>
  <si>
    <t>/mnt/measurements/07_CANape/Mitsubishi/5K45/MMC5.0.0_RC3_with_resetfix/CPD/TC207_Try_1.MF4.xz,remove, real child mea available,RadarFC_Master,remove, real child mea available (ncap3),CPD,dummy</t>
  </si>
  <si>
    <t>/mnt/measurements/07_CANape/Mitsubishi/5K45/MMC5.0.0_RC3_with_resetfix/CPD/TC207_Try_2.MF4.xz,remove, real child mea available,RadarFC_Master,remove, real child mea available (ncap3),CPD,dummy</t>
  </si>
  <si>
    <t>/mnt/measurements/07_CANape/Mitsubishi/5K45/MMC5.0.0_RC3_with_resetfix/CPD/TC207_Try_3.MF4.xz,remove, real child mea available,RadarFC_Master,remove, real child mea available (ncap3),CPD,dummy</t>
  </si>
  <si>
    <t>/mnt/measurements/07_CANape/Mitsubishi/5K45/MMC4.1.2/Validation/2025_11_29/child/part3/Awake/TC_188_Try2.MF4.xz,child,RadarFC_Master,child (ncap1,2),CPD,dummy</t>
  </si>
  <si>
    <t>/mnt/measurements/07_CANape/Mitsubishi/5K45/MMC5.0.0_RC3_with_resetfix/CPD/TC189_Try_1.MF4.xz,child,RadarFC_Master,child (ncap1,2),CPD,dummy</t>
  </si>
  <si>
    <t>/mnt/measurements/07_CANape/Mitsubishi/5K45/MMC5.0.0_RC3_with_resetfix/CPD/TC189_Try_2.MF4.xz,child,RadarFC_Master,child (ncap1,2),CPD,dummy</t>
  </si>
  <si>
    <t>/mnt/measurements/07_CANape/Mitsubishi/5K45/MMC5.0.0_RC3_with_resetfix/CPD/TC189_Try_3.MF4.xz,child,RadarFC_Master,child (ncap1,2),CPD,dummy</t>
  </si>
  <si>
    <t>/mnt/measurements/07_CANape/Mitsubishi/5K45/MMC4.1.2/Validation/child/Awake/TC_190.MF4.xz,child,RadarFC_Master,child (ncap1,2),CPD,dummy</t>
  </si>
  <si>
    <t>/mnt/measurements/07_CANape/Mitsubishi/5K45/MMC4.1.2/Validation/2025_11_29/child/part3/Awake/TC_190_Try1.MF4.xz,child,RadarFC_Master,child (ncap1,2),CPD,dummy</t>
  </si>
  <si>
    <t>/mnt/measurements/07_CANape/Mitsubishi/5K45/MMC4.1.2/Validation/2025_11_29/child/part3/Awake/TC_190_Try2.MF4.xz,child,RadarFC_Master,child (ncap1,2),CPD,dummy</t>
  </si>
  <si>
    <t>/mnt/measurements/07_CANape/Mitsubishi/5K45/MMC4.1.2/Validation/2025_11_29/child/part3/Awake/TC_190_Try3.MF4.xz,child,RadarFC_Master,child (ncap1,2),CPD,dummy</t>
  </si>
  <si>
    <t>/mnt/measurements/07_CANape/Mitsubishi/5K45/MMC5.1.0/5K457EG11/CSR_XCP_Signals_Recorder_2025-12-22_16-13-42_TC208_CPD.MF4.xz,Radar stays in INIT, "m_CpdFuncActive": 8;,RadarFC_Master,Radar stays in INIT, "m_CpdFuncActive": 8; (ncap3),CPD,realchild</t>
  </si>
  <si>
    <t>/mnt/measurements/07_CANape/Mitsubishi/5K45/MMC5.1.0/5K457EG11/CSR_XCP_Signals_Recorder_2025-12-22_16-15-26_TC208_CPD.MF4.xz,Radar stays in INIT, "m_CpdFuncActive": 8;,RadarFC_Master,Radar stays in INIT, "m_CpdFuncActive": 8; (ncap3),CPD,realchild</t>
  </si>
  <si>
    <t>/mnt/measurements/07_CANape/Mitsubishi/5K45/5.3.0_RC6.2/5K457EG11/FP_Test_Cases_Renamed/CSR_XCP_Signals_Recorder_2026-02-02_11-39-26_TC190.MF4.xz,child,RadarFC_Master,child (ncap1,2),CPD,dummy</t>
  </si>
  <si>
    <t>/mnt/measurements/07_CANape/Mitsubishi/5K45/MMC5.0.0_RC3_with_resetfix/CPD/TC191_Try_1.MF4.xz,child,RadarFC_Master,child (ncap1,2),CPD,dummy</t>
  </si>
  <si>
    <t>/mnt/measurements/07_CANape/Mitsubishi/5K45/MMC5.0.0_RC3_with_resetfix/CPD/TC191_Try_2.MF4.xz,child,RadarFC_Master,child (ncap1,2),CPD,dummy</t>
  </si>
  <si>
    <t>/mnt/measurements/07_CANape/Mitsubishi/5K45/MMC5.0.0_RC3_with_resetfix/CPD/TC191_Try_3.MF4.xz,child,RadarFC_Master,child (ncap1,2),CPD,dummy</t>
  </si>
  <si>
    <t>/mnt/measurements/07_CANape/Mitsubishi/5K45/MMC4.1.2/Validation/child/Awake/TC_192.MF4.xz,child,RadarFC_Master,child (ncap1,2),CPD,dummy</t>
  </si>
  <si>
    <t>/mnt/measurements/07_CANape/Mitsubishi/5K45/MMC4.1.2/Validation/2025_11_29/child/part3/Awake/TC_192_Try1.MF4.xz,child,RadarFC_Master,child (ncap1,2),CPD,dummy</t>
  </si>
  <si>
    <t>/mnt/measurements/07_CANape/Mitsubishi/5K45/MMC4.1.2/Validation/2025_11_29/child/part3/Awake/TC_192_Try2.MF4.xz,child,RadarFC_Master,child (ncap1,2),CPD,dummy</t>
  </si>
  <si>
    <t>/mnt/measurements/07_CANape/Mitsubishi/5K45/MMC4.1.2/Validation/2025_11_29/child/part3/Awake/TC_192_Try3.MF4.xz,child,RadarFC_Master,child (ncap1,2),CPD,dummy</t>
  </si>
  <si>
    <t>/mnt/measurements/07_CANape/Mitsubishi/5K45/5.2.0/5K457EG11/Real_Childs/CPD_TC192_Try1.MF4.xz,child,RadarFC_Master,child (ncap1,2),CPD,realchild</t>
  </si>
  <si>
    <t>/mnt/measurements/07_CANape/Mitsubishi/5K45/5.2.0/5K457EG11/Real_Childs/CPD_TC192_Try2.MF4.xz,child,RadarFC_Master,child (ncap1,2),CPD,realchild</t>
  </si>
  <si>
    <t>/mnt/measurements/07_CANape/Mitsubishi/5K45/5.2.0/5K457EG11/Real_Childs/CPD_TC192_Try3.MF4.xz,child,RadarFC_Master,child (ncap1,2),CPD,realchild</t>
  </si>
  <si>
    <t>/mnt/measurements/07_CANape/Mitsubishi/5K45/5.2.0/5K457EG11/Real_Childs/CPD_TC192_Try4.MF4.xz,child,RadarFC_Master,child (ncap1,2),CPD,realchild</t>
  </si>
  <si>
    <t>/mnt/measurements/07_CANape/Mitsubishi/5K45/5.2.0/5K457EG11/Real_Childs/CPD_TC192_Try5.MF4.xz,child,RadarFC_Master,child (ncap1,2),CPD,realchild</t>
  </si>
  <si>
    <t>/mnt/measurements/07_CANape/Mitsubishi/5K45/MMC5.0.0_RC3_with_resetfix/CPD/TC193_Try_1.MF4.xz,child,RadarFC_Master,child (ncap1,2),CPD,dummy</t>
  </si>
  <si>
    <t>/mnt/measurements/07_CANape/Mitsubishi/5K45/MMC5.0.0_RC3_with_resetfix/CPD/TC193_Try_2.MF4.xz,child,RadarFC_Master,child (ncap1,2),CPD,dummy</t>
  </si>
  <si>
    <t>/mnt/measurements/07_CANape/Mitsubishi/5K45/MMC5.0.0_RC3_with_resetfix/CPD/TC193_Try_3.MF4.xz,child,RadarFC_Master,child (ncap1,2),CPD,dummy</t>
  </si>
  <si>
    <t>/mnt/measurements/07_CANape/Mitsubishi/5K45/MMC4.1.2/Validation/child/Awake/TC_194.MF4.xz,child,RadarFC_Master,child (ncap1,2),CPD,dummy</t>
  </si>
  <si>
    <t>/mnt/measurements/07_CANape/Mitsubishi/5K45/MMC5.1.0/5K457EG11/CSR_XCP_Signals_Recorder_2025-12-22_16-36-43_TC214_CPD.MF4.xz,Radar stays in INIT, "m_CpdFuncActive": 8,RadarFC_Master,Radar stays in INIT, "m_CpdFuncActive": 8 (ncap3),CPD,realchild</t>
  </si>
  <si>
    <t>/mnt/measurements/07_CANape/Mitsubishi/5K45/MMC4.1.2/Validation/2025_11_29/child/part3/Awake/TC_194_Try1.MF4.xz,child,RadarFC_Master,child (ncap1,2),CPD,dummy</t>
  </si>
  <si>
    <t>/mnt/measurements/07_CANape/Mitsubishi/5K45/MMC4.1.2/Validation/2025_11_29/child/part3/Awake/TC_194_Try2.MF4.xz,child,RadarFC_Master,child (ncap1,2),CPD,dummy</t>
  </si>
  <si>
    <t>/mnt/measurements/07_CANape/Mitsubishi/5K45/MMC4.1.2/Validation/2025_11_29/child/part3/Awake/TC_194_Try3.MF4.xz,child,RadarFC_Master,child (ncap1,2),CPD,dummy</t>
  </si>
  <si>
    <t>/mnt/measurements/07_CANape/Mitsubishi/5K45/MMC5.0.0_RC3_with_resetfix/CPD/TC195_Try_1.MF4.xz,child,RadarFC_Master,child (ncap1,2),CPD,dummy</t>
  </si>
  <si>
    <t>/mnt/measurements/07_CANape/Mitsubishi/5K45/MMC5.0.0_RC3_with_resetfix/CPD/TC195_Try_2.MF4.xz,child,RadarFC_Master,child (ncap1,2),CPD,dummy</t>
  </si>
  <si>
    <t>/mnt/measurements/07_CANape/Mitsubishi/5K45/MMC5.0.0_RC3_with_resetfix/CPD/TC195_Try_3.MF4.xz,child,RadarFC_Master,child (ncap1,2),CPD,dummy</t>
  </si>
  <si>
    <t>/mnt/measurements/07_CANape/Mitsubishi/5K45/5.2.0/5K457EG11/SmokeTest/CPD/CSR_XCP_Signals_Recorder_2026-01-12_13-53-44_TC195.MF4.xz,child,RadarFC_Master,child (ncap1,2),CPD,dummy</t>
  </si>
  <si>
    <t>/mnt/measurements/07_CANape/Mitsubishi/5K45/MMC4.1.2/Validation/child/Awake/TC_196.MF4.xz,child,RadarFC_Master,child (ncap1,2),CPD,dummy</t>
  </si>
  <si>
    <t>/mnt/measurements/07_CANape/Mitsubishi/5K45/MMC4.1.2/Validation/2025_11_29/child/part3/Awake/TC_196_Try1.MF4.xz,child,RadarFC_Master,child (ncap1,2),CPD,dummy</t>
  </si>
  <si>
    <t>/mnt/measurements/07_CANape/Mitsubishi/5K45/MMC4.1.2/Validation/2025_11_29/child/part3/Awake/TC_196_Try2.MF4.xz,child,RadarFC_Master,child (ncap1,2),CPD,dummy</t>
  </si>
  <si>
    <t>/mnt/measurements/07_CANape/Mitsubishi/5K45/MMC4.1.2/Validation/2025_11_29/child/part3/Awake/TC_196_Try3.MF4.xz,child,RadarFC_Master,child (ncap1,2),CPD,dummy</t>
  </si>
  <si>
    <t>/mnt/measurements/07_CANape/Mitsubishi/5K45/MMC4.1.2/Validation/2025_11_29/child/part3/Awake/TC_197_Try1.MF4.xz,child,RadarFC_Master,child (ncap1,2),CPD,dummy</t>
  </si>
  <si>
    <t>/mnt/measurements/07_CANape/Mitsubishi/5K45/MMC4.1.2/Validation/2025_11_29/child/part3/Awake/TC_197_Try2.MF4.xz,child,RadarFC_Master,child (ncap1,2),CPD,dummy</t>
  </si>
  <si>
    <t>/mnt/measurements/07_CANape/Mitsubishi/5K45/MMC4.1.2/Validation/2025_11_29/child/part3/Awake/TC_197_Try3.MF4.xz,child,RadarFC_Master,child (ncap1,2),CPD,dummy</t>
  </si>
  <si>
    <t>/mnt/measurements/07_CANape/Mitsubishi/5K45/MMC4.1.2/Validation/child/Awake/TC_198.MF4.xz,child,RadarFC_Master,child (ncap1,2),CPD,dummy</t>
  </si>
  <si>
    <t>/mnt/measurements/07_CANape/Mitsubishi/5K45/MMC4.1.2/Validation/2025_11_29/child/part3/Awake/TC_198_Try1.MF4.xz,child,RadarFC_Master,child (ncap1,2),CPD,dummy</t>
  </si>
  <si>
    <t>/mnt/measurements/07_CANape/Mitsubishi/5K45/MMC4.1.2/Validation/2025_11_29/child/part3/Awake/TC_198_Try2.MF4.xz,child,RadarFC_Master,child (ncap1,2),CPD,dummy</t>
  </si>
  <si>
    <t>/mnt/measurements/07_CANape/Mitsubishi/5K45/MMC4.1.2/Validation/2025_11_29/child/part3/Awake/TC_198_Try3.MF4.xz,child,RadarFC_Master,child (ncap1,2),CPD,dummy</t>
  </si>
  <si>
    <t>/mnt/measurements/07_CANape/Mitsubishi/5K45/MMC4.1.2/Validation/child/Awake/TC_200.MF4.xz,child,RadarFC_Master,child (ncap1,2),CPD,dummy</t>
  </si>
  <si>
    <t>/mnt/measurements/07_CANape/Mitsubishi/5K45/MMC4.1.2/Validation/2025_11_29/child/part3/Awake/TC_200_Try1.MF4.xz,child,RadarFC_Master,child (ncap1,2),CPD,dummy</t>
  </si>
  <si>
    <t>/mnt/measurements/07_CANape/Mitsubishi/5K45/MMC4.1.2/Validation/2025_11_29/child/part3/Awake/TC_200_Try2.MF4.xz,child,RadarFC_Master,child (ncap1,2),CPD,dummy</t>
  </si>
  <si>
    <t>5.2.0/5K457EG11/Real_Childs/CPD_TC216_Try1.MF4.xz,degraded measurement,RadarFC_Master,degraded measurement (ncap3),CPD,realchild</t>
  </si>
  <si>
    <t>5.2.0/5K457EG11/Real_Childs/CPD_TC216_Try2.MF4.xz,degraded measurement,RadarFC_Master,degraded measurement (ncap3),CPD,realchild</t>
  </si>
  <si>
    <t>5.2.0/5K457EG11/Real_Childs/CPD_TC216_Try3.MF4.xz,degraded measurement,RadarFC_Master,degraded measurement (ncap3),CPD,realchild</t>
  </si>
  <si>
    <t>5.2.0/5K457EG11/Real_Childs/CPD_TC216_Try4.MF4.xz,degraded measurement,RadarFC_Master,degraded measurement (ncap3),CPD,realchild</t>
  </si>
  <si>
    <t>/mnt/measurements/07_CANape/Mitsubishi/5K45/MMC5.0.0_RC3_with_resetfix/CPD/TC217_Try_1.MF4.xz,remove, real child mea available,RadarFC_Master,remove, real child mea available,CPD,dummy</t>
  </si>
  <si>
    <t>/mnt/measurements/07_CANape/Mitsubishi/5K45/MMC5.0.0_RC3_with_resetfix/CPD/TC217_Try_2.MF4.xz,remove, real child mea available,RadarFC_Master,remove, real child mea available,CPD,dummy</t>
  </si>
  <si>
    <t>/mnt/measurements/07_CANape/Mitsubishi/5K45/MMC5.0.0_RC3_with_resetfix/CPD/TC217_Try_3.MF4.xz,remove, real child mea available,RadarFC_Master,remove, real child mea available,CPD,dummy</t>
  </si>
  <si>
    <t>/mnt/measurements/07_CANape/Mitsubishi/5K45/MMC4.1.2/Validation/2025_11_29/child/part3/Awake/TC_200_Try3.MF4.xz,child,RadarFC_Master,child (ncap1,2),CPD,dummy</t>
  </si>
  <si>
    <t>/mnt/measurements/07_CANape/Mitsubishi/5K45/5.3.0_RC6/Customer_Testing/CSR_XCP_Signals_Recorder_2026-01-30_16-42-31_TC200.MF4.xz,child,RadarFC_Master,child (ncap1,2),CPD,dummy</t>
  </si>
  <si>
    <t>/mnt/measurements/07_CANape/Mitsubishi/5K45/5.3.0_RC6/Customer_Testing/CSR_XCP_Signals_Recorder_2026-01-30_16-43-08_TC200.MF4.xz,child,RadarFC_Master,child (ncap1,2),CPD,dummy</t>
  </si>
  <si>
    <t>/mnt/measurements/07_CANape/Mitsubishi/5K45/5.3.0_RC6/Customer_Testing/CSR_XCP_Signals_Recorder_2026-01-30_16-43-43_TC200.MF4.xz,child,RadarFC_Master,child (ncap1,2),CPD,dummy</t>
  </si>
  <si>
    <t>/mnt/measurements/07_CANape/Mitsubishi/5K45/5.3.0_RC6.2/5K457EG11/NB_Awake_with_Blanket/CSR_XCP_Signals_Recorder_2026-01-31_13-33-25_TC200_Reset.MF4.xz,child,RadarFC_Master,child (ncap1,2),CPD,dummy</t>
  </si>
  <si>
    <t>/mnt/measurements/07_CANape/Mitsubishi/5K45/5.3.0_RC6.2/5K457EG11/NB_Awake_with_Blanket/CSR_XCP_Signals_Recorder_2026-01-31_13-25-44_TC200_No_Reset.MF4.xz,child,RadarFC_Master,child (ncap1,2),CPD,dummy</t>
  </si>
  <si>
    <t>/mnt/measurements/07_CANape/Mitsubishi/5K45/5.3.0_RC6.2/5K457EG11/NB_Awake_with_Blanket/CSR_XCP_Signals_Recorder_2026-01-31_13-26-47_TC200_No_Reset.MF4.xz,child,RadarFC_Master,child (ncap1,2),CPD,dummy</t>
  </si>
  <si>
    <t>/mnt/measurements/07_CANape/Mitsubishi/5K45/5.3.0_RC6.2/5K457EG11/NB_Awake_with_Blanket/CSR_XCP_Signals_Recorder_2026-01-31_13-28-02_TC200_No_Reset.MF4.xz,child,RadarFC_Master,child (ncap1,2),CPD,dummy</t>
  </si>
  <si>
    <t>/mnt/measurements/07_CANape/Mitsubishi/5K45/5.3.0_RC6.2/5K457EG11/NB_Awake_with_Blanket/CSR_XCP_Signals_Recorder_2026-01-31_13-29-23_TC200_Reset.MF4.xz,child,RadarFC_Master,child (ncap1,2),CPD,dummy</t>
  </si>
  <si>
    <t>/mnt/measurements/07_CANape/Mitsubishi/5K45/5.3.0_RC6.2/5K457EG11/NB_Awake_with_Blanket/CSR_XCP_Signals_Recorder_2026-01-31_13-31-56_TC200_Reset.MF4.xz,child,RadarFC_Master,child (ncap1,2),CPD,dummy</t>
  </si>
  <si>
    <t>/mnt/measurements/07_CANape/Mitsubishi/5K45/MMC5.0.0_RC3_with_resetfix/CPD/TC201_Try_1.MF4.xz,child,RadarFC_Master,child (ncap1,2),CPD,dummy</t>
  </si>
  <si>
    <t>/mnt/measurements/07_CANape/Mitsubishi/5K45/MMC5.0.0_RC3_with_resetfix/CPD/TC201_Try_2.MF4.xz,child,RadarFC_Master,child (ncap1,2),CPD,dummy</t>
  </si>
  <si>
    <t>/mnt/measurements/07_CANape/Mitsubishi/5K45/MMC5.0.0_RC3_with_resetfix/CPD/TC201_Try_3.MF4.xz,child,RadarFC_Master,child (ncap1,2),CPD,dummy</t>
  </si>
  <si>
    <t>/mnt/measurements/07_CANape/Mitsubishi/5K45/MMC5.0.2/5K457EG11/RealChild/CPD_TC201_Try1.MF4.xz,child,RadarFC_Master,child (ncap1,2),CPD,realchild</t>
  </si>
  <si>
    <t>/mnt/measurements/07_CANape/Mitsubishi/5K45/MMC5.0.2/5K457EG11/RealChild/CPD_TC201_Try2.MF4.xz,child,RadarFC_Master,child (ncap1,2),CPD,realchild</t>
  </si>
  <si>
    <t>/mnt/measurements/07_CANape/Mitsubishi/5K45/MMC5.0.1/5K457EG-11/Real_Child_Measurements/CSR_XCP_Signals_Recorder_2025-12-15_11-21-43_TC221_6YO_1R_CPD.MF4.xz,Wrong measurement,RadarFC_Master,Wrong measurement (ncap3),CPD,realchild</t>
  </si>
  <si>
    <t>/mnt/measurements/07_CANape/Mitsubishi/5K45/MMC5.0.2/5K457EG11/RealChild/CPD_TC201_Try3.MF4.xz,child,RadarFC_Master,child (ncap1,2),CPD,realchild</t>
  </si>
  <si>
    <t>/mnt/measurements/07_CANape/Mitsubishi/5K45/MMC5.0.2/5K457EG11/RealChild/CPD_TC201_Try4.MF4.xz,child,RadarFC_Master,child (ncap1,2),CPD,realchild</t>
  </si>
  <si>
    <t>/mnt/measurements/07_CANape/Mitsubishi/5K45/MMC5.0.2/5K457EG11/RealChild/CPD_TC201_Try5.MF4.xz,child,RadarFC_Master,child (ncap1,2),CPD,realchild</t>
  </si>
  <si>
    <t>/mnt/measurements/07_CANape/Mitsubishi/5K45/MMC4.1.2/Validation/child/Awake/TC_202.MF4.xz,child,RadarFC_Master,child (ncap1,2),CPD,dummy</t>
  </si>
  <si>
    <t>/mnt/measurements/07_CANape/Mitsubishi/5K45/MMC4.1.2/Validation/2025_11_29/child/part3/Awake/TC_202_Try1.MF4.xz,child,RadarFC_Master,child (ncap1,2),CPD,dummy</t>
  </si>
  <si>
    <t>/mnt/measurements/07_CANape/Mitsubishi/5K45/MMC4.1.2/Validation/2025_11_29/child/part3/Awake/TC_202_Try2.MF4.xz,child,RadarFC_Master,child (ncap1,2),CPD,dummy</t>
  </si>
  <si>
    <t>/mnt/measurements/07_CANape/Mitsubishi/5K45/MMC4.1.2/Validation/2025_11_29/child/part3/Awake/TC_202_Try3.MF4.xz,child,RadarFC_Master,child (ncap1,2),CPD,dummy</t>
  </si>
  <si>
    <t>/mnt/measurements/07_CANape/Mitsubishi/5K45/MMC5.0.0_RC3_with_resetfix/CPD/TC203_Try_1.MF4.xz,child,RadarFC_Master,child (ncap1,2),CPD,dummy</t>
  </si>
  <si>
    <t>/mnt/measurements/07_CANape/Mitsubishi/5K45/MMC5.0.0_RC3_with_resetfix/CPD/TC203_Try_2.MF4.xz,child,RadarFC_Master,child (ncap1,2),CPD,dummy</t>
  </si>
  <si>
    <t>/mnt/measurements/07_CANape/Mitsubishi/5K45/MMC5.0.0_RC3_with_resetfix/CPD/TC203_Try_3.MF4.xz,child,RadarFC_Master,child (ncap1,2),CPD,dummy</t>
  </si>
  <si>
    <t>/mnt/measurements/07_CANape/Mitsubishi/5K45/MMC5.0.2/5K457EG11/RealChild/CPD_TC204_Try1.MF4.xz,child,RadarFC_Master,child (ncap3),CPD,realchild</t>
  </si>
  <si>
    <t>/mnt/measurements/07_CANape/Mitsubishi/5K45/MMC5.0.2/5K457EG11/RealChild/CPD_TC204_Try2.MF4.xz,child,RadarFC_Master,child (ncap3),CPD,realchild</t>
  </si>
  <si>
    <t>/mnt/measurements/07_CANape/Mitsubishi/5K45/MMC5.0.2/5K457EG11/RealChild/CPD_TC204_Try3.MF4.xz,child,RadarFC_Master,child (ncap3),CPD,realchild</t>
  </si>
  <si>
    <t>/mnt/measurements/07_CANape/Mitsubishi/5K45/MMC5.0.2/5K457EG11/RealChild/CPD_TC204_Try4.MF4.xz,child,RadarFC_Master,child (ncap3),CPD,realchild</t>
  </si>
  <si>
    <t>/mnt/measurements/07_CANape/Mitsubishi/5K45/MMC5.0.2/5K457EG11/RealChild/CPD_TC204_Try5.MF4.xz,child,RadarFC_Master,child (ncap3),CPD,realchild</t>
  </si>
  <si>
    <t>/mnt/measurements/07_CANape/Mitsubishi/5K45/5.3.0_RC6/Customer_Testing/Real_Child_Measurements/CSR_XCP_Signals_Recorder_2026-01-29_16-32-52_TC204.MF4.xz,child,RadarFC_Master,child (ncap3),CPD,realchild</t>
  </si>
  <si>
    <t>/mnt/measurements/07_CANape/Mitsubishi/5K45/5.3.0_RC6/Customer_Testing/Real_Child_Measurements/CSR_XCP_Signals_Recorder_2026-01-29_16-34-37_TC204.MF4.xz,child,RadarFC_Master,child (ncap3),CPD,realchild</t>
  </si>
  <si>
    <t>/mnt/measurements/07_CANape/Mitsubishi/5K45/5.3.0_RC6/Customer_Testing/Real_Child_Measurements/CSR_XCP_Signals_Recorder_2026-01-29_16-36-18_TC204.MF4.xz,child,RadarFC_Master,child (ncap3),CPD,realchild</t>
  </si>
  <si>
    <t>/mnt/measurements/07_CANape/Mitsubishi/5K45/MMC5.0.2/5K457EG11/RealChild/CPD_TC205_Try1.MF4.xz,child,RadarFC_Master,child (ncap3),CPD,realchild</t>
  </si>
  <si>
    <t>/mnt/measurements/07_CANape/Mitsubishi/5K45/MMC5.0.2/5K457EG11/RealChild/CPD_TC205_Try2.MF4.xz,child,RadarFC_Master,child (ncap3),CPD,realchild</t>
  </si>
  <si>
    <t>/mnt/measurements/07_CANape/Mitsubishi/5K45/MMC5.0.2/5K457EG11/RealChild/CPD_TC205_Try3.MF4.xz,child,RadarFC_Master,child (ncap3),CPD,realchild</t>
  </si>
  <si>
    <t>/mnt/measurements/07_CANape/Mitsubishi/5K45/MMC5.0.2/5K457EG11/RealChild/CPD_TC205_Try4.MF4.xz,child,RadarFC_Master,child (ncap3),CPD,realchild</t>
  </si>
  <si>
    <t>/mnt/measurements/07_CANape/Mitsubishi/5K45/MMC5.0.2/5K457EG11/RealChild/CPD_TC205_Try5.MF4.xz,child,RadarFC_Master,child (ncap3),CPD,realchild</t>
  </si>
  <si>
    <t>/mnt/measurements/07_CANape/Mitsubishi/5K45/MMC5.0.2/5K457EG11/RealChild/CPD_TC206_Try2.MF4.xz,child,RadarFC_Master,child (ncap3),CPD,realchild</t>
  </si>
  <si>
    <t>/mnt/measurements/07_CANape/Mitsubishi/5K45/MMC5.0.2/5K457EG11/RealChild/CPD_TC206_Try3.MF4.xz,child,RadarFC_Master,child (ncap3),CPD,realchild</t>
  </si>
  <si>
    <t>/mnt/measurements/07_CANape/Mitsubishi/5K45/5.3.0_RC6/Customer_Testing/Real_Child_Measurements/3YO/CSR_XCP_Signals_Recorder_2026-01-30_10-59-13_TC226.MF4.xz,error,RadarFC_Master,error,CPD,realchild</t>
  </si>
  <si>
    <t>/mnt/measurements/07_CANape/Mitsubishi/5K45/MMC5.0.2/5K457EG11/RealChild/CPD_TC206_Try4.MF4.xz,child,RadarFC_Master,child (ncap3),CPD,realchild</t>
  </si>
  <si>
    <t>/mnt/measurements/07_CANape/Mitsubishi/5K45/MMC5.0.2/5K457EG11/RealChild/CPD_TC206_Try7.MF4.xz,child,RadarFC_Master,child (ncap3),CPD,realchild</t>
  </si>
  <si>
    <t>/mnt/measurements/07_CANape/Mitsubishi/5K45/MMC5.0.2/5K457EG11/RealChild/CPD_TC207_Try1.MF4.xz,child,RadarFC_Master,child (ncap3),CPD,realchild</t>
  </si>
  <si>
    <t>/mnt/measurements/07_CANape/Mitsubishi/5K45/MMC5.0.2/5K457EG11/RealChild/CPD_TC207_Try2.MF4.xz,child,RadarFC_Master,child (ncap3),CPD,realchild</t>
  </si>
  <si>
    <t>/mnt/measurements/07_CANape/Mitsubishi/5K45/MMC5.0.2/5K457EG11/RealChild/CPD_TC207_Try3.MF4.xz,child,RadarFC_Master,child (ncap3),CPD,realchild</t>
  </si>
  <si>
    <t>/mnt/measurements/07_CANape/Mitsubishi/5K45/MMC5.0.2/5K457EG11/RealChild/CPD_TC207_Try4.MF4.xz,child,RadarFC_Master,child (ncap3),CPD,realchild</t>
  </si>
  <si>
    <t>/mnt/measurements/07_CANape/Mitsubishi/5K45/MMC5.0.2/5K457EG11/RealChild/CPD_TC207_Try5.MF4.xz,child,RadarFC_Master,child (ncap3),CPD,realchild</t>
  </si>
  <si>
    <t>/mnt/measurements/07_CANape/Mitsubishi/5K45/MMC5.1.0/5K457EG11/CSR_XCP_Signals_Recorder_2025-12-22_16-08-38_TC208_CPD.MF4.xz,child,RadarFC_Master,child (ncap3),CPD,realchild</t>
  </si>
  <si>
    <t>/mnt/measurements/07_CANape/Mitsubishi/5K45/MMC5.1.0/5K457EG11/CSR_XCP_Signals_Recorder_2025-12-22_16-10-19_TC208_CPD.MF4.xz,child,RadarFC_Master,child (ncap3),CPD,realchild</t>
  </si>
  <si>
    <t>/mnt/measurements/07_CANape/Mitsubishi/5K45/MMC5.1.0/5K457EG11/CSR_XCP_Signals_Recorder_2025-12-22_16-12-00_TC208_CPD.MF4.xz,child,RadarFC_Master,child (ncap3),CPD,realchild</t>
  </si>
  <si>
    <t>/mnt/measurements/07_CANape/Mitsubishi/5K45/MMC5.0.0_RC3_with_resetfix/CPD/TC209_Try_1.MF4.xz,child,RadarFC_Master,child (ncap3),CPD,dummy</t>
  </si>
  <si>
    <t>/mnt/measurements/07_CANape/Mitsubishi/5K45/MMC5.0.0_RC3_with_resetfix/CPD/TC209_Try_2.MF4.xz,child,RadarFC_Master,child (ncap3),CPD,dummy</t>
  </si>
  <si>
    <t>/mnt/measurements/07_CANape/Mitsubishi/5K45/MMC5.0.0_RC3_with_resetfix/CPD/TC209_Try_3.MF4.xz,child,RadarFC_Master,child (ncap3),CPD,dummy</t>
  </si>
  <si>
    <t>/mnt/measurements/07_CANape/Mitsubishi/5K45/MMC5.0.0_RC3_with_resetfix/CPD/TC210_Try_1.MF4.xz,child,RadarFC_Master,child (ncap3),CPD,dummy</t>
  </si>
  <si>
    <t>/mnt/measurements/07_CANape/Mitsubishi/5K45/MMC5.0.0_RC3_with_resetfix/CPD/TC210_Try_2.MF4.xz,child,RadarFC_Master,child (ncap3),CPD,dummy</t>
  </si>
  <si>
    <t>/mnt/measurements/07_CANape/Mitsubishi/5K45/MMC5.0.0_RC3_with_resetfix/CPD/TC210_Try_3.MF4.xz,child,RadarFC_Master,child (ncap3),CPD,dummy</t>
  </si>
  <si>
    <t>/mnt/measurements/07_CANape/Mitsubishi/5K45/MMC4.1.2/Validation/2025_12_02/ChildAwake/TC_211_Try1.MF4.xz,child,RadarFC_Master,child (ncap3),CPD,dummy</t>
  </si>
  <si>
    <t>/mnt/measurements/07_CANape/Mitsubishi/5K45/MMC4.1.2/Validation/2025_12_02/ChildAwake/TC_211_Try2.MF4.xz,child,RadarFC_Master,child (ncap3),CPD,dummy</t>
  </si>
  <si>
    <t>/mnt/measurements/07_CANape/Mitsubishi/5K45/MMC4.1.2/Validation/2025_12_02/ChildAwake/TC_211_Try3.MF4.xz,child,RadarFC_Master,child (ncap3),CPD,dummy</t>
  </si>
  <si>
    <t>/mnt/measurements/07_CANape/Mitsubishi/5K45/MMC5.0.0_RC3_with_resetfix/CPD/TC212_Try_1.MF4.xz,child,RadarFC_Master,child (ncap3),CPD,dummy</t>
  </si>
  <si>
    <t>/mnt/measurements/07_CANape/Mitsubishi/5K45/MMC5.0.0_RC3_with_resetfix/CPD/TC212_Try_2.MF4.xz,child,RadarFC_Master,child (ncap3),CPD,dummy</t>
  </si>
  <si>
    <t>/mnt/measurements/07_CANape/Mitsubishi/5K45/MMC5.0.0_RC3_with_resetfix/CPD/TC212_Try_3.MF4.xz,child,RadarFC_Master,child (ncap3),CPD,dummy</t>
  </si>
  <si>
    <t>/mnt/measurements/07_CANape/Mitsubishi/5K45/MMC4.1.2/Validation/2025_12_02/ChildSleep/TC_213_Try1.MF4.xz,child,RadarFC_Master,child (ncap3),CPD,dummy</t>
  </si>
  <si>
    <t>/mnt/measurements/07_CANape/Mitsubishi/5K45/MMC4.1.2/Validation/2025_12_02/ChildSleep/TC_213_Try2.MF4.xz,child,RadarFC_Master,child (ncap3),CPD,dummy</t>
  </si>
  <si>
    <t>/mnt/measurements/07_CANape/Mitsubishi/5K45/MMC4.1.2/Validation/2025_12_02/ChildSleep/TC_213_Try3.MF4.xz,child,RadarFC_Master,child (ncap3),CPD,dummy</t>
  </si>
  <si>
    <t>/mnt/measurements/07_CANape/Mitsubishi/5K45/MMC5.1.0/5K457EG11/CSR_XCP_Signals_Recorder_2025-12-22_16-33-26_TC214_CPD.MF4.xz,child,RadarFC_Master,child (ncap3),CPD,realchild</t>
  </si>
  <si>
    <t>/mnt/measurements/07_CANape/Mitsubishi/5K45/MMC5.1.0/5K457EG11/CSR_XCP_Signals_Recorder_2025-12-22_16-35-05_TC214_CPD.MF4.xz,child,RadarFC_Master,child (ncap3),CPD,realchild</t>
  </si>
  <si>
    <t>/mnt/measurements/07_CANape/Mitsubishi/5K45/MMC5.1.0/5K457EG11/CSR_XCP_Signals_Recorder_2025-12-22_16-38-22_TC214_CPD.MF4.xz,child,RadarFC_Master,child (ncap3),CPD,realchild</t>
  </si>
  <si>
    <t>/mnt/measurements/07_CANape/Mitsubishi/5K45/MMC5.1.0/5K457EG11/CSR_XCP_Signals_Recorder_2025-12-22_16-40-01_TC214_CPD.MF4.xz,child,RadarFC_Master,child (ncap3),CPD,realchild</t>
  </si>
  <si>
    <t>/mnt/measurements/07_CANape/Mitsubishi/5K45/5.3.0_RC6/Customer_Testing/Real_Child_Measurements/CSR_XCP_Signals_Recorder_2026-01-30_16-00-17_TC235.MF4.xz,Radar stays in INIT, "m_CpdFuncActive": 8,RadarFC_Master,Radar stays in INIT, "m_CpdFuncActive": 8 (ncap3),CPD,realchild</t>
  </si>
  <si>
    <t>/mnt/measurements/07_CANape/Mitsubishi/5K45/5.3.0_RC6/Customer_Testing/Real_Child_Measurements/3YO/CSR_XCP_Signals_Recorder_2026-01-30_10-37-25_TC215.MF4.xz,child,RadarFC_Master,child (ncap3),CPD,realchild</t>
  </si>
  <si>
    <t>/mnt/measurements/07_CANape/Mitsubishi/5K45/5.3.0_RC6/Customer_Testing/Real_Child_Measurements/3YO/CSR_XCP_Signals_Recorder_2026-01-30_10-39-48_TC215.MF4.xz,child,RadarFC_Master,child (ncap3),CPD,realchild</t>
  </si>
  <si>
    <t>/mnt/measurements/07_CANape/Mitsubishi/5K45/5.3.0_RC6/Customer_Testing/Real_Child_Measurements/6YO/CSR_XCP_Signals_Recorder_2026-01-30_14-50-35_TC235.MF4.xz,error,RadarFC_Master,error,CPD,realchild</t>
  </si>
  <si>
    <t>/mnt/measurements/07_CANape/Mitsubishi/5K45/5.3.0_RC6/Customer_Testing/Real_Child_Measurements/3YO/CSR_XCP_Signals_Recorder_2026-01-30_10-43-02_TC215.MF4.xz,child,RadarFC_Master,child (ncap3),CPD,realchild</t>
  </si>
  <si>
    <t>/mnt/measurements/07_CANape/Mitsubishi/5K45/5.3.0_RC6/Customer_Testing/Real_Child_Measurements/3YO/CSR_XCP_Signals_Recorder_2026-01-30_10-45-45_TC215.MF4.xz,child,RadarFC_Master,child (ncap3),CPD,realchild</t>
  </si>
  <si>
    <t>/mnt/measurements/07_CANape/Mitsubishi/5K45/5.3.0_RC6/Customer_Testing/Real_Child_Measurements/3YO/CSR_XCP_Signals_Recorder_2026-01-30_10-47-10_TC215.MF4.xz,child,RadarFC_Master,child (ncap3),CPD,realchild</t>
  </si>
  <si>
    <t>/mnt/measurements/07_CANape/Mitsubishi/5K45/MMC5.1.0/5K457EG11/CSR_XCP_Signals_Recorder_2025-12-18_16-13-48_TC216_CPD.MF4.xz,child,RadarFC_Master,child (ncap3),CPD,realchild</t>
  </si>
  <si>
    <t>/mnt/measurements/07_CANape/Mitsubishi/5K45/MMC5.1.0/5K457EG11/CSR_XCP_Signals_Recorder_2025-12-18_16-15-31_TC216_CPD.MF4.xz,child,RadarFC_Master,child (ncap3),CPD,realchild</t>
  </si>
  <si>
    <t>/mnt/measurements/07_CANape/Mitsubishi/5K45/MMC5.1.0/5K457EG11/CSR_XCP_Signals_Recorder_2025-12-18_16-17-05_TC216_CPD.MF4.xz,child,RadarFC_Master,child (ncap3),CPD,realchild</t>
  </si>
  <si>
    <t>/mnt/measurements/07_CANape/Mitsubishi/5K45/MMC5.1.0/5K457EG11/CSR_XCP_Signals_Recorder_2025-12-18_16-18-38_TC216_CPD.MF4.xz,child,RadarFC_Master,child (ncap3),CPD,realchild</t>
  </si>
  <si>
    <t>/mnt/measurements/07_CANape/Mitsubishi/5K45/MMC5.1.0/5K457EG11/CSR_XCP_Signals_Recorder_2025-12-18_16-20-14_TC216_CPD.MF4.xz,child,RadarFC_Master,child (ncap3),CPD,realchild</t>
  </si>
  <si>
    <t>/mnt/measurements/07_CANape/Mitsubishi/5K45/MMC5.0.2/5K457EG11/RealChild/CSR_XCP_Signals_Recorder_2026-01-20_16-23-48_CPD_TC216_Try5.MF4.xz,child,RadarFC_Master,child (ncap3),CPD,realchild</t>
  </si>
  <si>
    <t>/mnt/measurements/07_CANape/Mitsubishi/5K45/MMC5.0.2/5K457EG11/RealChild/CSR_XCP_Signals_Recorder_2026-01-20_16-12-57_CPD_TC216_Try_1.MF4.xz,child,RadarFC_Master,child (ncap3),CPD,realchild</t>
  </si>
  <si>
    <t>/mnt/measurements/07_CANape/Mitsubishi/5K45/MMC5.0.2/5K457EG11/RealChild/CSR_XCP_Signals_Recorder_2026-01-20_16-14-45_CPD_TC216_Try2.MF4.xz,child,RadarFC_Master,child (ncap3),CPD,realchild</t>
  </si>
  <si>
    <t>/mnt/measurements/07_CANape/Mitsubishi/5K45/MMC5.0.2/5K457EG11/RealChild/CSR_XCP_Signals_Recorder_2026-01-20_16-17-46_CPD_TC216_Try3.MF4.xz,child,RadarFC_Master,child (ncap3),CPD,realchild</t>
  </si>
  <si>
    <t>/mnt/measurements/07_CANape/Mitsubishi/5K45/MMC5.0.2/5K457EG11/RealChild/CSR_XCP_Signals_Recorder_2026-01-20_16-22-17_CPD_TC216_Try4.MF4.xz,child,RadarFC_Master,child (ncap3),CPD,realchild</t>
  </si>
  <si>
    <t>/mnt/measurements/07_CANape/Mitsubishi/5K45/MMC5.0.2/5K457EG11/RealChild/CSR_XCP_Signals_Recorder_2026-01-23_17-48-47_CPD_TC217_Try1.MF4.xz,child,RadarFC_Master,child (ncap3),CPD,realchild</t>
  </si>
  <si>
    <t>/mnt/measurements/07_CANape/Mitsubishi/5K45/MMC5.0.2/5K457EG11/RealChild/CSR_XCP_Signals_Recorder_2026-01-23_17-50-11_CPD_TC217_Try2.MF4.xz,child,RadarFC_Master,child (ncap3),CPD,realchild</t>
  </si>
  <si>
    <t>/mnt/measurements/07_CANape/Mitsubishi/5K45/MMC5.0.2/5K457EG11/RealChild/CSR_XCP_Signals_Recorder_2026-01-23_17-53-09_CPD_TC217_Try4.MF4.xz,child,RadarFC_Master,child (ncap3),CPD,realchild</t>
  </si>
  <si>
    <t>/mnt/measurements/07_CANape/Mitsubishi/5K45/MMC5.0.2/5K457EG11/RealChild/CSR_XCP_Signals_Recorder_2026-01-23_17-54-42_CPD_TC217_Try5.MF4.xz,child,RadarFC_Master,child (ncap3),CPD,realchild</t>
  </si>
  <si>
    <t>/mnt/measurements/07_CANape/Mitsubishi/5K45/5.3.0_RC6/Customer_Testing/Real_Child_Measurements/6YO/CSR_XCP_Signals_Recorder_2026-01-30_14-28-16_TC217.MF4.xz,child,RadarFC_Master,child (ncap3),CPD,realchild</t>
  </si>
  <si>
    <t>/mnt/measurements/07_CANape/Mitsubishi/5K45/5.3.0_RC6/Customer_Testing/Real_Child_Measurements/6YO/CSR_XCP_Signals_Recorder_2026-01-30_14-30-42_TC217.MF4.xz,child,RadarFC_Master,child (ncap3),CPD,realchild</t>
  </si>
  <si>
    <t>/mnt/measurements/07_CANape/Mitsubishi/5K45/5.3.0_RC6/Customer_Testing/Real_Child_Measurements/6YO/CSR_XCP_Signals_Recorder_2026-01-30_14-33-45_TC217.MF4.xz,child,RadarFC_Master,child (ncap3),CPD,realchild</t>
  </si>
  <si>
    <t>/mnt/measurements/07_CANape/Mitsubishi/5K45/5.3.0_RC7/5K457EG11/RealChild/CSR_XCP_Signals_Recorder_2026-02-04_17-33-15_CPD_TC217_with_reset.MF4.xz,child,RadarFC_Master,child (ncap3),CPD,realchild</t>
  </si>
  <si>
    <t>/mnt/measurements/07_CANape/Mitsubishi/5K45/5.3.0_RC7/5K457EG11/RealChild/CSR_XCP_Signals_Recorder_2026-02-04_17-35-19_CPD_TC217_with_reset.MF4.xz,child,RadarFC_Master,child (ncap3),CPD,realchild</t>
  </si>
  <si>
    <t>/mnt/measurements/07_CANape/Mitsubishi/5K45/5.3.0_RC7/5K457EG11/RealChild/CSR_XCP_Signals_Recorder_2026-02-04_17-37-19_CPD_TC217_with_reset.MF4.xz,child,RadarFC_Master,child (ncap3),CPD,realchild</t>
  </si>
  <si>
    <t>/mnt/measurements/07_CANape/Mitsubishi/5K45/MMC5.0.0_RC3_with_resetfix/CPD/TC218_Try_1.MF4.xz,child,RadarFC_Master,child (ncap3),CPD,dummy</t>
  </si>
  <si>
    <t>/mnt/measurements/07_CANape/Mitsubishi/5K45/MMC5.0.0_RC3_with_resetfix/CPD/TC218_Try_2.MF4.xz,child,RadarFC_Master,child (ncap3),CPD,dummy</t>
  </si>
  <si>
    <t>/mnt/measurements/07_CANape/Mitsubishi/5K45/MMC5.0.2/5K457EG11/RealChild/CSR_XCP_Signals_Recorder_2026-01-20_09-38-41_CPD_TC244_Try2.MF4.xz,child,RadarFC_Master,child (ncap3),CPD,realchild</t>
  </si>
  <si>
    <t>/mnt/measurements/07_CANape/Mitsubishi/5K45/MMC5.0.0_RC3_with_resetfix/CPD/TC218_Try_3.MF4.xz,child,RadarFC_Master,child (ncap3),CPD,dummy</t>
  </si>
  <si>
    <t>/mnt/measurements/07_CANape/Mitsubishi/5K45/MMC4.1.2/Validation/2025_12_02/ChildAwake/TC_219_Try1.MF4.xz,child,RadarFC_Master,child (ncap3),CPD,dummy</t>
  </si>
  <si>
    <t>/mnt/measurements/07_CANape/Mitsubishi/5K45/MMC4.1.2/Validation/2025_12_02/ChildAwake/TC_219_Try2.MF4.xz,child,RadarFC_Master,child (ncap3),CPD,dummy</t>
  </si>
  <si>
    <t>/mnt/measurements/07_CANape/Mitsubishi/5K45/MMC4.1.2/Validation/2025_12_02/ChildAwake/TC_219_Try3.MF4.xz,child,RadarFC_Master,child (ncap3),CPD,dummy</t>
  </si>
  <si>
    <t>/mnt/measurements/07_CANape/Mitsubishi/5K45/MMC5.0.1/5K457EG-11/Real_Child_Measurements/CSR_XCP_Signals_Recorder_2025-12-15_11-18-09_TC221_6YO_1R_CPD.MF4.xz,child,RadarFC_Master,child (ncap3),CPD,realchild</t>
  </si>
  <si>
    <t>/mnt/measurements/07_CANape/Mitsubishi/5K45/MMC5.0.1/5K457EG-11/Real_Child_Measurements/CSR_XCP_Signals_Recorder_2025-12-15_11-19-57_TC221_6YO_1R_CPD.MF4.xz,child,RadarFC_Master,child (ncap3),CPD,realchild</t>
  </si>
  <si>
    <t>/mnt/measurements/07_CANape/Mitsubishi/5K45/MMC5.0.1/5K457EG-11/Real_Child_Measurements/CSR_XCP_Signals_Recorder_2025-12-15_11-23-12_TC221_6YO_1R_CPD.MF4.xz,child,RadarFC_Master,child (ncap3),CPD,realchild</t>
  </si>
  <si>
    <t>/mnt/measurements/07_CANape/Mitsubishi/5K45/MMC5.0.1/5K457EG-11/Real_Child_Measurements/CSR_XCP_Signals_Recorder_2025-12-15_11-25-41_TC221_6YO_1R_CPD.MF4.xz,child,RadarFC_Master,child (ncap3),CPD,realchild</t>
  </si>
  <si>
    <t>/mnt/measurements/07_CANape/Mitsubishi/5K45/MMC5.0.1/5K457EG-11/Real_Child_Measurements/CSR_XCP_Signals_Recorder_2025-12-15_11-27-14_TC221_6YO_1R_CPD.MF4.xz,child,RadarFC_Master,child (ncap3),CPD,realchild</t>
  </si>
  <si>
    <t>/mnt/measurements/07_CANape/Mitsubishi/5K45/MMC5.1.0/5K457EG11/CSR_XCP_Signals_Recorder_2025-12-18_17-27-53_TC221_CPD.MF4.xz,child,RadarFC_Master,child (ncap3),CPD,realchild</t>
  </si>
  <si>
    <t>/mnt/measurements/07_CANape/Mitsubishi/5K45/MMC5.1.0/5K457EG11/CSR_XCP_Signals_Recorder_2025-12-18_17-29-21_TC221_CPD.MF4.xz,child,RadarFC_Master,child (ncap3),CPD,realchild</t>
  </si>
  <si>
    <t>/mnt/measurements/07_CANape/Mitsubishi/5K45/MMC5.1.0/5K457EG11/CSR_XCP_Signals_Recorder_2025-12-18_17-30-52_TC221_CPD.MF4.xz,child,RadarFC_Master,child (ncap3),CPD,realchild</t>
  </si>
  <si>
    <t>/mnt/measurements/07_CANape/Mitsubishi/5K45/MMC5.1.0/5K457EG11/CSR_XCP_Signals_Recorder_2025-12-18_17-32-23_TC221_CPD.MF4.xz,child,RadarFC_Master,child (ncap3),CPD,realchild</t>
  </si>
  <si>
    <t>/mnt/measurements/07_CANape/Mitsubishi/5K45/MMC5.1.0/5K457EG11/CSR_XCP_Signals_Recorder_2025-12-18_17-33-53_TC221_CPD.MF4.xz,child,RadarFC_Master,child (ncap3),CPD,realchild</t>
  </si>
  <si>
    <t>/mnt/measurements/07_CANape/Mitsubishi/5K45/MMC5.1.0/5K457EG11/CSR_XCP_Signals_Recorder_2025-12-18_17-40-51_TC221_CPD.MF4.xz,child,RadarFC_Master,child (ncap3),CPD,realchild</t>
  </si>
  <si>
    <t>/mnt/measurements/07_CANape/Mitsubishi/5K45/MMC5.1.0/5K457EG11/CSR_XCP_Signals_Recorder_2025-12-18_17-42-20_TC221_CPD.MF4.xz,child,RadarFC_Master,child (ncap3),CPD,realchild</t>
  </si>
  <si>
    <t>/mnt/measurements/07_CANape/Mitsubishi/5K45/MMC5.1.0/5K457EG11/CSR_XCP_Signals_Recorder_2025-12-18_17-45-29_TC221_CPD.MF4.xz,child,RadarFC_Master,child (ncap3),CPD,realchild</t>
  </si>
  <si>
    <t>/mnt/measurements/07_CANape/Mitsubishi/5K45/MMC5.1.0/5K457EG11/CSR_XCP_Signals_Recorder_2025-12-18_17-47-01_TC221_CPD.MF4.xz,child,RadarFC_Master,child (ncap3),CPD,realchild</t>
  </si>
  <si>
    <t>/mnt/measurements/07_CANape/Mitsubishi/5K45/MMC5.0.1/5K457EG-11/Real_Child_Measurements/CSR_XCP_Signals_Recorder_2025-12-15_14-08-28_TC223_6YO2L_CPD.MF4.xz,child,RadarFC_Master,child (ncap3),CPD,realchild</t>
  </si>
  <si>
    <t>/mnt/measurements/07_CANape/Mitsubishi/5K45/MMC5.0.1/5K457EG-11/Real_Child_Measurements/CSR_XCP_Signals_Recorder_2025-12-15_14-10-03_TC223_6YO2L_CPD.MF4.xz,child,RadarFC_Master,child (ncap3),CPD,realchild</t>
  </si>
  <si>
    <t>/mnt/measurements/07_CANape/Mitsubishi/5K45/MMC5.0.1/5K457EG-11/Real_Child_Measurements/CSR_XCP_Signals_Recorder_2025-12-15_14-11-45_TC223_6YO2L_CPD.MF4.xz,child,RadarFC_Master,child (ncap3),CPD,realchild</t>
  </si>
  <si>
    <t>/mnt/measurements/07_CANape/Mitsubishi/5K45/MMC5.0.1/5K457EG-11/Real_Child_Measurements/CSR_XCP_Signals_Recorder_2025-12-15_14-14-05_TC223_6YO2L_CPD.MF4.xz,child,RadarFC_Master,child (ncap3),CPD,realchild</t>
  </si>
  <si>
    <t>/mnt/measurements/07_CANape/Mitsubishi/5K45/MMC5.0.1/5K457EG-11/Real_Child_Measurements/CSR_XCP_Signals_Recorder_2025-12-15_14-15-37_TC223_6YO2L_CPD.MF4.xz,child,RadarFC_Master,child (ncap3),CPD,realchild</t>
  </si>
  <si>
    <t>/mnt/measurements/07_CANape/Mitsubishi/5K45/MMC5.0.1/5K457EG-11/Real_Child_Measurements/CSR_XCP_Signals_Recorder_2025-12-15_16-19-27_TC225_3R_CPD.MF4.xz,child,RadarFC_Master,child (ncap3),CPD,realchild</t>
  </si>
  <si>
    <t>/mnt/measurements/07_CANape/Mitsubishi/5K45/MMC5.0.1/5K457EG-11/Real_Child_Measurements/CSR_XCP_Signals_Recorder_2025-12-15_16-21-04_TC225_3R_CPD.MF4.xz,child,RadarFC_Master,child (ncap3),CPD,realchild</t>
  </si>
  <si>
    <t>/mnt/measurements/07_CANape/Mitsubishi/5K45/MMC5.0.1/5K457EG-11/Real_Child_Measurements/CSR_XCP_Signals_Recorder_2025-12-15_16-22-42_TC225_3R_CPD.MF4.xz,child,RadarFC_Master,child (ncap3),CPD,realchild</t>
  </si>
  <si>
    <t>/mnt/measurements/07_CANape/Mitsubishi/5K45/MMC5.0.0_RC3_with_resetfix/CPD/TC261_Try_1.MF4.xz,child,RadarFC_Master,child,CPD,dummy</t>
  </si>
  <si>
    <t>/mnt/measurements/07_CANape/Mitsubishi/5K45/MMC5.0.0_RC3_with_resetfix/CPD/TC261_Try_2.MF4.xz,child,RadarFC_Master,child,CPD,dummy</t>
  </si>
  <si>
    <t>/mnt/measurements/07_CANape/Mitsubishi/5K45/MMC5.0.0_RC3_with_resetfix/CPD/TC261_Try_3.MF4.xz,child,RadarFC_Master,child,CPD,dummy</t>
  </si>
  <si>
    <t>/mnt/measurements/07_CANape/Mitsubishi/5K45/MMC5.0.1/5K457EG-11/Real_Child_Measurements/CSR_XCP_Signals_Recorder_2025-12-15_16-24-17_TC225_3R_CPD.MF4.xz,child,RadarFC_Master,child (ncap3),CPD,realchild</t>
  </si>
  <si>
    <t>/mnt/measurements/07_CANape/Mitsubishi/5K45/MMC5.0.1/5K457EG-11/Real_Child_Measurements/CSR_XCP_Signals_Recorder_2025-12-15_16-25-53_TC225_3R_CPD.MF4.xz,child,RadarFC_Master,child (ncap3),CPD,realchild</t>
  </si>
  <si>
    <t>/mnt/measurements/07_CANape/Mitsubishi/5K45/5.3.0_RC6/Customer_Testing/Real_Child_Measurements/3YO/CSR_XCP_Signals_Recorder_2026-01-30_10-51-53_TC226.MF4.xz,child,RadarFC_Master,child (ncap3),CPD,realchild</t>
  </si>
  <si>
    <t>/mnt/measurements/07_CANape/Mitsubishi/5K45/5.3.0_RC6/Customer_Testing/Real_Child_Measurements/3YO/CSR_XCP_Signals_Recorder_2026-01-30_10-54-26_TC226.MF4.xz,child,RadarFC_Master,child (ncap3),CPD,realchild</t>
  </si>
  <si>
    <t>/mnt/measurements/07_CANape/Mitsubishi/5K45/5.3.0_RC6/Customer_Testing/Real_Child_Measurements/3YO/CSR_XCP_Signals_Recorder_2026-01-30_10-57-00_TC226.MF4.xz,child,RadarFC_Master,child (ncap3),CPD,realchild</t>
  </si>
  <si>
    <t>/mnt/measurements/07_CANape/Mitsubishi/5K45/5.3.0_RC6/Customer_Testing/Real_Child_Measurements/3YO/CSR_XCP_Signals_Recorder_2026-01-30_11-01-43_TC226.MF4.xz,child,RadarFC_Master,child (ncap3),CPD,realchild</t>
  </si>
  <si>
    <t>/mnt/measurements/07_CANape/Mitsubishi/5K45/MMC5.0.1/5K457EG-11/Real_Child_Measurements/CSR_XCP_Signals_Recorder_2025-12-15_11-43-57_TC229_6YO1L_CPD.MF4.xz,child,RadarFC_Master,child (ncap3),CPD,realchild</t>
  </si>
  <si>
    <t>/mnt/measurements/07_CANape/Mitsubishi/5K45/MMC5.0.1/5K457EG-11/Real_Child_Measurements/CSR_XCP_Signals_Recorder_2025-12-15_11-45-24_TC229_6YO1L_CPD.MF4.xz,child,RadarFC_Master,child (ncap3),CPD,realchild</t>
  </si>
  <si>
    <t>/mnt/measurements/07_CANape/Mitsubishi/5K45/MMC5.0.1/5K457EG-11/Real_Child_Measurements/CSR_XCP_Signals_Recorder_2025-12-15_11-46-57_TC229_6YO1L_CPD.MF4.xz,child,RadarFC_Master,child (ncap3),CPD,realchild</t>
  </si>
  <si>
    <t>/mnt/measurements/07_CANape/Mitsubishi/5K45/MMC5.0.1/5K457EG-11/Real_Child_Measurements/CSR_XCP_Signals_Recorder_2025-12-15_11-48-34_TC229_6YO1L_CPD.MF4.xz,child,RadarFC_Master,child (ncap3),CPD,realchild</t>
  </si>
  <si>
    <t>/mnt/measurements/07_CANape/Mitsubishi/5K45/MMC5.0.1/5K457EG-11/Real_Child_Measurements/CSR_XCP_Signals_Recorder_2025-12-15_11-50-08_TC229_6YO1L_CPD.MF4.xz,child,RadarFC_Master,child (ncap3),CPD,realchild</t>
  </si>
  <si>
    <t>/mnt/measurements/07_CANape/Mitsubishi/5K45/5.3.0_RC6/Customer_Testing/Real_Child_Measurements/6YO/CSR_XCP_Signals_Recorder_2026-01-30_14-36-58_TC229.MF4.xz,child,RadarFC_Master,child (ncap3),CPD,realchild</t>
  </si>
  <si>
    <t>/mnt/measurements/07_CANape/Mitsubishi/5K45/5.3.0_RC6/Customer_Testing/Real_Child_Measurements/6YO/CSR_XCP_Signals_Recorder_2026-01-30_14-38-50_TC229.MF4.xz,child,RadarFC_Master,child (ncap3),CPD,realchild</t>
  </si>
  <si>
    <t>/mnt/measurements/07_CANape/Mitsubishi/5K45/5.3.0_RC6/Customer_Testing/Real_Child_Measurements/6YO/CSR_XCP_Signals_Recorder_2026-01-30_14-41-26_TC229.MF4.xz,child,RadarFC_Master,child (ncap3),CPD,realchild</t>
  </si>
  <si>
    <t>/mnt/measurements/07_CANape/Mitsubishi/5K45/MMC5.0.0_RC3/Real_Child_Tests/CSR_XCP_Signals_Recorder_2025-12-11_10-52-08_TC230_6YO_2R_CPD.MF4.xz,child,RadarFC_Master,child (ncap3),CPD,realchild</t>
  </si>
  <si>
    <t>/mnt/measurements/07_CANape/Mitsubishi/5K45/MMC5.0.0_RC3/Real_Child_Tests/CSR_XCP_Signals_Recorder_2025-12-11_10-54-24_TC230_6YO_2R_CPD.MF4.xz,child,RadarFC_Master,child (ncap3),CPD,realchild</t>
  </si>
  <si>
    <t>/mnt/measurements/07_CANape/Mitsubishi/5K45/MMC5.0.0_RC3/Real_Child_Tests/CSR_XCP_Signals_Recorder_2025-12-11_10-56-40_TC230_6YO_2R_CPD.MF4.xz,child,RadarFC_Master,child (ncap3),CPD,realchild</t>
  </si>
  <si>
    <t>/mnt/measurements/07_CANape/Mitsubishi/5K45/MMC5.0.0_RC3/Real_Child_Tests/CSR_XCP_Signals_Recorder_2025-12-11_10-58-30_TC230_6YO_2R_CPD.MF4.xz,child,RadarFC_Master,child (ncap3),CPD,realchild</t>
  </si>
  <si>
    <t>/mnt/measurements/07_CANape/Mitsubishi/5K45/MMC5.0.0_RC3/Real_Child_Tests/CSR_XCP_Signals_Recorder_2025-12-11_11-00-28_TC230_6YO_2R_CPD.MF4.xz,child,RadarFC_Master,child (ncap3),CPD,realchild</t>
  </si>
  <si>
    <t>/mnt/measurements/07_CANape/Mitsubishi/5K45/MMC5.0.1/5K457EG-11/Real_Child_Measurements/CSR_XCP_Signals_Recorder_2025-12-15_16-08-47_TC231_6YO2M_CPD.MF4.xzRadarFC_Master_standardized.json,child,RadarFC_Master,child (ncap3),CPD,realchild</t>
  </si>
  <si>
    <t>/mnt/measurements/07_CANape/Mitsubishi/5K45/MMC5.0.1/5K457EG-11/Real_Child_Measurements/CSR_XCP_Signals_Recorder_2025-12-15_16-10-26_TC231_6YO2M_CPD.MF4.xzRadarFC_Master_standardized.json,child,RadarFC_Master,child (ncap3),CPD,realchild</t>
  </si>
  <si>
    <t>/mnt/measurements/07_CANape/Mitsubishi/5K45/MMC5.0.1/5K457EG-11/Real_Child_Measurements/CSR_XCP_Signals_Recorder_2025-12-15_16-11-59_TC231_6YO2M_CPD.MF4.xzRadarFC_Master_standardized.json,child,RadarFC_Master,child (ncap3),CPD,realchild</t>
  </si>
  <si>
    <t>/mnt/measurements/07_CANape/Mitsubishi/5K45/MMC5.0.1/5K457EG-11/Real_Child_Measurements/CSR_XCP_Signals_Recorder_2025-12-15_16-13-35_TC231_6YO2M_CPD.MF4.xzRadarFC_Master_standardized.json,child,RadarFC_Master,child (ncap3),CPD,realchild</t>
  </si>
  <si>
    <t>/mnt/measurements/07_CANape/Mitsubishi/5K45/MMC5.0.1/5K457EG-11/Real_Child_Measurements/CSR_XCP_Signals_Recorder_2025-12-15_16-15-06_TC231_6YO2M_CPD.MF4.xzRadarFC_Master_standardized.json,child,RadarFC_Master,child (ncap3),CPD,realchild</t>
  </si>
  <si>
    <t>/mnt/measurements/07_CANape/Mitsubishi/5K45/MMC5.0.1/5K457EG-11/Real_Child_Measurements/CSR_XCP_Signals_Recorder_2025-12-15_16-30-04_TC232_3L_CPD.MF4.xzRadarFC_Master_standardized.json,child,RadarFC_Master,child (ncap3),CPD,realchild</t>
  </si>
  <si>
    <t>/mnt/measurements/07_CANape/Mitsubishi/5K45/MMC5.0.1/5K457EG-11/Real_Child_Measurements/CSR_XCP_Signals_Recorder_2025-12-15_16-31-34_TC232_3L_CPD.MF4.xzRadarFC_Master_standardized.json,child,RadarFC_Master,child (ncap3),CPD,realchild</t>
  </si>
  <si>
    <t>/mnt/measurements/07_CANape/Mitsubishi/5K45/MMC5.0.1/5K457EG-11/Real_Child_Measurements/CSR_XCP_Signals_Recorder_2025-12-15_16-33-04_TC232_3L_CPD.MF4.xzRadarFC_Master_standardized.json,child,RadarFC_Master,child (ncap3),CPD,realchild</t>
  </si>
  <si>
    <t>/mnt/measurements/07_CANape/Mitsubishi/5K45/MMC5.0.1/5K457EG-11/Real_Child_Measurements/CSR_XCP_Signals_Recorder_2025-12-15_16-34-33_TC232_3L_CPD.MF4.xzRadarFC_Master_standardized.json,child,RadarFC_Master,child (ncap3),CPD,realchild</t>
  </si>
  <si>
    <t>/mnt/measurements/07_CANape/Mitsubishi/5K45/MMC5.0.1/5K457EG-11/Real_Child_Measurements/CSR_XCP_Signals_Recorder_2025-12-15_16-36-03_TC232_3L_CPD.MF4.xzRadarFC_Master_standardized.json,child,RadarFC_Master,child (ncap3),CPD,realchild</t>
  </si>
  <si>
    <t>/mnt/measurements/07_CANape/Mitsubishi/5K45/MMC5.0.1/5K457EG-11/Real_Child_Measurements/CSR_XCP_Signals_Recorder_2025-12-15_14-21-11_TC235_6YO1L_CPD.MF4.xz,child,RadarFC_Master,child (ncap3),CPD,realchild</t>
  </si>
  <si>
    <t>/mnt/measurements/07_CANape/Mitsubishi/5K45/MMC5.0.1/5K457EG-11/Real_Child_Measurements/CSR_XCP_Signals_Recorder_2025-12-15_14-22-43_TC235_6YO1L_CPD.MF4.xz,child,RadarFC_Master,child (ncap3),CPD,realchild</t>
  </si>
  <si>
    <t>/mnt/measurements/07_CANape/Mitsubishi/5K45/MMC5.0.1/5K457EG-11/Real_Child_Measurements/CSR_XCP_Signals_Recorder_2025-12-15_14-25-12_TC235_6YO1L_CPD.MF4.xz,child,RadarFC_Master,child (ncap3),CPD,realchild</t>
  </si>
  <si>
    <t>/mnt/measurements/07_CANape/Mitsubishi/5K45/MMC5.0.1/5K457EG-11/Real_Child_Measurements/CSR_XCP_Signals_Recorder_2025-12-15_14-26-45_TC235_6YO1L_CPD.MF4.xz,child,RadarFC_Master,child (ncap3),CPD,realchild</t>
  </si>
  <si>
    <t>/mnt/measurements/07_CANape/Mitsubishi/5K45/MMC5.0.1/5K457EG-11/Real_Child_Measurements/CSR_XCP_Signals_Recorder_2025-12-15_14-28-24_TC235_6YO1L_CPD.MF4.xz,child,RadarFC_Master,child (ncap3),CPD,realchild</t>
  </si>
  <si>
    <t>/mnt/measurements/07_CANape/Mitsubishi/5K45/5.3.0_RC6/Customer_Testing/Real_Child_Measurements/6YO/CSR_XCP_Signals_Recorder_2026-01-30_14-47-44_TC235.MF4.xz,child,RadarFC_Master,child (ncap3),CPD,realchild</t>
  </si>
  <si>
    <t>/mnt/measurements/07_CANape/Mitsubishi/5K45/5.3.0_RC6/Customer_Testing/Real_Child_Measurements/6YO/CSR_XCP_Signals_Recorder_2026-01-30_14-49-11_TC235.MF4.xz,child,RadarFC_Master,child (ncap3),CPD,realchild</t>
  </si>
  <si>
    <t>/mnt/measurements/07_CANape/Mitsubishi/5K45/5.3.0_RC7/5K457EG11/RealChild/CSR_XCP_Signals_Recorder_2026-02-04_17-41-07_CPD_TC235_with_reset.MF4.xz,child,RadarFC_Master,child (ncap3),CPD,realchild</t>
  </si>
  <si>
    <t>/mnt/measurements/07_CANape/Mitsubishi/5K45/5.3.0_RC7/5K457EG11/RealChild/CSR_XCP_Signals_Recorder_2026-02-04_17-43-25_CPD_TC235_with_reset.MF4.xz,child,RadarFC_Master,child (ncap3),CPD,realchild</t>
  </si>
  <si>
    <t>/mnt/measurements/07_CANape/Mitsubishi/5K45/5.3.0_RC7/5K457EG11/RealChild/CSR_XCP_Signals_Recorder_2026-02-04_17-45-44_CPD_TC235_with_reset.MF4.xz,child,RadarFC_Master,child (ncap3),CPD,realchild</t>
  </si>
  <si>
    <t>/mnt/measurements/07_CANape/Mitsubishi/5K45/MMC5.0.1/5K457EG-11/Real_Child_Measurements/CSR_XCP_Signals_Recorder_2025-12-15_16-40-55_TC236_3R_CPD.MF4.xz,child,RadarFC_Master,child (ncap3),CPD,realchild</t>
  </si>
  <si>
    <t>/mnt/measurements/07_CANape/Mitsubishi/5K45/MMC5.0.1/5K457EG-11/Real_Child_Measurements/CSR_XCP_Signals_Recorder_2025-12-15_16-42-26_TC236_3R_CPD.MF4.xz,child,RadarFC_Master,child (ncap3),CPD,realchild</t>
  </si>
  <si>
    <t>/mnt/measurements/07_CANape/Mitsubishi/5K45/MMC5.0.1/5K457EG-11/Real_Child_Measurements/CSR_XCP_Signals_Recorder_2025-12-15_16-44-00_TC236_3R_CPD.MF4.xz,child,RadarFC_Master,child (ncap3),CPD,realchild</t>
  </si>
  <si>
    <t>/mnt/measurements/07_CANape/Mitsubishi/5K45/5.3.0_RC6/5K457EG11/FP_Outside/CSR_XCP_Signals_Recorder_2026-01-29_13-19-58_Right_BacktoFront.mf4.xz,empty,RadarFC_Master,empty,CPD,dummy</t>
  </si>
  <si>
    <t>/mnt/measurements/07_CANape/Mitsubishi/5K45/5.3.0_RC6/5K457EG11/FP_Outside/CSR_XCP_Signals_Recorder_2026-01-29_13-21-52_Right_FronttoBack.mf4.xz,empty,RadarFC_Master,empty,CPD,dummy</t>
  </si>
  <si>
    <t>/mnt/measurements/07_CANape/Mitsubishi/5K45/5.3.0_RC6/5K457EG11/FP_Outside/CSR_XCP_Signals_Recorder_2026-01-29_13-23-39_Left_FronttoBack.mf4.xz,empty,RadarFC_Master,empty,CPD,dummy</t>
  </si>
  <si>
    <t>/mnt/measurements/07_CANape/Mitsubishi/5K45/5.3.0_RC6/5K457EG11/FP_Outside/CSR_XCP_Signals_Recorder_2026-01-29_13-25-39_Left_Backtofront.mf4.xz,empty,RadarFC_Master,empty,CPD,dummy</t>
  </si>
  <si>
    <t>/mnt/measurements/07_CANape/Mitsubishi/5K45/5.3.0_RC6/5K457EG11/FP_Outside/CSR_XCP_Signals_Recorder_2026-01-29_15-12-05_Right_BacktoFront.MF4.xz,empty,RadarFC_Master,empty,CPD,dummy</t>
  </si>
  <si>
    <t>/mnt/measurements/07_CANape/Mitsubishi/5K45/5.3.0_RC6/5K457EG11/FP_Outside/CSR_XCP_Signals_Recorder_2026-01-29_15-13-53_Right_FronttoBack.MF4.xz,empty,RadarFC_Master,empty,CPD,dummy</t>
  </si>
  <si>
    <t>/mnt/measurements/07_CANape/Mitsubishi/5K45/5.3.0_RC6/5K457EG11/FP_Outside/CSR_XCP_Signals_Recorder_2026-01-29_15-15-45_Left_FronttoBack.MF4.xz,empty,RadarFC_Master,empty,CPD,dummy</t>
  </si>
  <si>
    <t>/mnt/measurements/07_CANape/Mitsubishi/5K45/5.3.0_RC6/5K457EG11/FP_Outside/CSR_XCP_Signals_Recorder_2026-01-29_15-17-35_Left_BacktoFront.MF4.xz,empty,RadarFC_Master,empty,CPD,dummy</t>
  </si>
  <si>
    <t>/mnt/measurements/07_CANape/Mitsubishi/5K45/5.3.0_RC6/Customer_Testing/CSR_XCP_Signals_Recorder_2026-01-29_17-45-50_Moving_Outside_Right_NCAP_1_2.MF4.xz,empty,RadarFC_Master,empty,CPD,dummy</t>
  </si>
  <si>
    <t>/mnt/measurements/07_CANape/Mitsubishi/5K45/5.3.0_RC6/Customer_Testing/CSR_XCP_Signals_Recorder_2026-01-29_17-46-48_Moving_Outside_Right_NCAP_1_2.MF4.xz,empty,RadarFC_Master,empty,CPD,dummy</t>
  </si>
  <si>
    <t>/mnt/measurements/07_CANape/Mitsubishi/5K45/5.3.0_RC6/Customer_Testing/CSR_XCP_Signals_Recorder_2026-01-29_17-47-38_Moving_Outside_Right_NCAP_1_2.MF4.xz,empty,RadarFC_Master,empty,CPD,dummy</t>
  </si>
  <si>
    <t>/mnt/measurements/07_CANape/Mitsubishi/5K45/5.3.0_RC6/Customer_Testing/CSR_XCP_Signals_Recorder_2026-01-29_17-48-21_Moving_Outside_Right_NCAP_3.MF4.xz,empty,RadarFC_Master,empty,CPD,dummy</t>
  </si>
  <si>
    <t>/mnt/measurements/07_CANape/Mitsubishi/5K45/5.3.0_RC6/Customer_Testing/CSR_XCP_Signals_Recorder_2026-01-29_17-49-52_Moving_Outside_Right_NCAP_3.MF4.xz,empty,RadarFC_Master,empty,CPD,dummy</t>
  </si>
  <si>
    <t>/mnt/measurements/07_CANape/Mitsubishi/5K45/5.3.0_RC6.2/5K457EG11/FP_Test_Cases_Renamed/CSR_XCP_Signals_Recorder_2026-02-03_15-17-41_AF50_2L_NCAP1_2.MF4.xz,adult,RadarFC_Master,adult,CPD,dummy</t>
  </si>
  <si>
    <t>/mnt/measurements/07_CANape/Mitsubishi/5K45/MMC5.0.1/5K457EG-11/Real_Child_Measurements/CSR_XCP_Signals_Recorder_2025-12-15_16-45-28_TC236_3R_CPD.MF4.xz,child,RadarFC_Master,child (ncap3),CPD,realchild</t>
  </si>
  <si>
    <t>/mnt/measurements/07_CANape/Mitsubishi/5K45/MMC5.0.1/5K457EG-11/Real_Child_Measurements/CSR_XCP_Signals_Recorder_2025-12-15_16-46-58_TC236_3R_CPD.MF4.xz,child,RadarFC_Master,child (ncap3),CPD,realchild</t>
  </si>
  <si>
    <t>/mnt/measurements/07_CANape/Mitsubishi/5K45/MMC5.0.2/5K457EG11/RealChild/CSR_XCP_Signals_Recorder_2026-01-20_09-18-22_CPD_TC238_Try4.MF4.xz,child,RadarFC_Master,child (ncap3),CPD,realchild</t>
  </si>
  <si>
    <t>/mnt/measurements/07_CANape/Mitsubishi/5K45/MMC5.0.2/5K457EG11/RealChild/CSR_XCP_Signals_Recorder_2026-01-20_09-20-08_CPD_TC238_Try5.MF4.xz,child,RadarFC_Master,child (ncap3),CPD,realchild</t>
  </si>
  <si>
    <t>/mnt/measurements/07_CANape/Mitsubishi/5K45/MMC5.0.2/5K457EG11/RealChild/CSR_XCP_Signals_Recorder_2026-01-20_09-13-02_CPD_TC238_Try1.MF4.xz,child,RadarFC_Master,child (ncap3),CPD,realchild</t>
  </si>
  <si>
    <t>/mnt/measurements/07_CANape/Mitsubishi/5K45/MMC5.0.2/5K457EG11/RealChild/CSR_XCP_Signals_Recorder_2026-01-20_09-15-17_CPD_TC238_Try2.MF4.xz,child,RadarFC_Master,child (ncap3),CPD,realchild</t>
  </si>
  <si>
    <t>/mnt/measurements/07_CANape/Mitsubishi/5K45/MMC5.0.2/5K457EG11/RealChild/CSR_XCP_Signals_Recorder_2026-01-20_09-16-50_CPD_TC238_Try3.MF4.xz,child,RadarFC_Master,child (ncap3),CPD,realchild</t>
  </si>
  <si>
    <t>/mnt/measurements/07_CANape/Mitsubishi/5K45/MMC5.0.2/5K457EG11/RealChild/CPD_TC239_Try1.MF4.xz,child,RadarFC_Master,child (ncap3),CPD,realchild</t>
  </si>
  <si>
    <t>/mnt/measurements/07_CANape/Mitsubishi/5K45/MMC5.0.2/5K457EG11/RealChild/CPD_TC239_Try2.MF4.xz,child,RadarFC_Master,child (ncap3),CPD,realchild</t>
  </si>
  <si>
    <t>/mnt/measurements/07_CANape/Mitsubishi/5K45/5.3.0_RC6.2/5K457EG11/FP_Test_Cases_Renamed/CSR_XCP_Signals_Recorder_2026-02-02_13-27-51_TC151_NCAP3.MF4.xz,empty,RadarFC_Master,empty,CPD,dummy</t>
  </si>
  <si>
    <t>/mnt/measurements/07_CANape/Mitsubishi/5K45/5.3.0_RC6.2/5K457EG11/FP_Test_Cases_Renamed/CSR_XCP_Signals_Recorder_2026-02-02_13-30-38_TC148_NCAP3.MF4.xz,empty,RadarFC_Master,empty,CPD,dummy</t>
  </si>
  <si>
    <t>/mnt/measurements/07_CANape/Mitsubishi/5K45/5.3.0_RC6.2/5K457EG11/FP_Test_Cases_Renamed/CSR_XCP_Signals_Recorder_2026-02-02_13-33-02_TC149_NCAP3.MF4.xz,empty,RadarFC_Master,empty,CPD,dummy</t>
  </si>
  <si>
    <t>/mnt/measurements/07_CANape/Mitsubishi/5K45/5.3.0_RC6.2/5K457EG11/FP_Test_Cases_Renamed/CSR_XCP_Signals_Recorder_2026-02-02_13-34-48_TC146_NCAP3.MF4.xz,empty,RadarFC_Master,empty,CPD,dummy</t>
  </si>
  <si>
    <t>/mnt/measurements/07_CANape/Mitsubishi/5K45/5.3.0_RC6.2/5K457EG11/FP_Test_Cases_Renamed/CSR_XCP_Signals_Recorder_2026-02-02_13-36-52_Adult_Outside_1R.MF4.xz,empty,RadarFC_Master,empty,CPD,dummy</t>
  </si>
  <si>
    <t>/mnt/measurements/07_CANape/Mitsubishi/5K45/5.3.0_RC6.2/5K457EG11/FP_Test_Cases_Renamed/CSR_XCP_Signals_Recorder_2026-02-02_13-38-23_Adult_Outside_2L.MF4.xz,empty,RadarFC_Master,empty,CPD,dummy</t>
  </si>
  <si>
    <t>/mnt/measurements/07_CANape/Mitsubishi/5K45/5.3.0_RC6.2/5K457EG11/FP_Test_Cases_Renamed/CSR_XCP_Signals_Recorder_2026-02-02_13-40-55_Adult_Outside_3R.MF4.xz,empty,RadarFC_Master,empty,CPD,dummy</t>
  </si>
  <si>
    <t>/mnt/measurements/07_CANape/Mitsubishi/5K45/5.3.0_RC6.2/5K457EG11/FP_Test_Cases_Renamed/CSR_XCP_Signals_Recorder_2026-02-02_13-42-55_Adult_Inside_1L.MF4.xz,empty,RadarFC_Master,empty,CPD,dummy</t>
  </si>
  <si>
    <t>/mnt/measurements/07_CANape/Mitsubishi/5K45/5.3.0_RC6.2/5K457EG11/FP_Test_Cases_Renamed/CSR_XCP_Signals_Recorder_2026-02-02_13-44-50_Adult_Inside_2C.MF4.xz,empty,RadarFC_Master,empty,CPD,dummy</t>
  </si>
  <si>
    <t>/mnt/measurements/07_CANape/Mitsubishi/5K45/5.3.0_RC6.2/5K457EG11/FP_Test_Cases_Renamed/CSR_XCP_Signals_Recorder_2026-02-02_13-46-38_Adult_Inside_2R.MF4.xz,empty,RadarFC_Master,empty,CPD,dummy</t>
  </si>
  <si>
    <t>/mnt/measurements/07_CANape/Mitsubishi/5K45/5.3.0_RC6.2/5K457EG11/FP_Test_Cases_Renamed/CSR_XCP_Signals_Recorder_2026-02-02_13-48-28_Adult_Inside_3L.MF4.xz,empty,RadarFC_Master,empty,CPD,dummy</t>
  </si>
  <si>
    <t>/mnt/measurements/07_CANape/Mitsubishi/5K45/5.3.0_RC6.2/5K457EG11/FP_Test_Cases_Renamed/CSR_XCP_Signals_Recorder_2026-02-03_13-11-44_TC176_NCAP3.MF4.xz,empty,RadarFC_Master,empty,CPD,dummy</t>
  </si>
  <si>
    <t>/mnt/measurements/07_CANape/Mitsubishi/5K45/5.3.0_RC6.2/5K457EG11/FP_Test_Cases_Renamed/CSR_XCP_Signals_Recorder_2026-02-03_13-13-32_TC176_NCAP3.MF4.xz,empty,RadarFC_Master,empty,CPD,dummy</t>
  </si>
  <si>
    <t>/mnt/measurements/07_CANape/Mitsubishi/5K45/MMC5.0.2/5K457EG11/RealChild/CPD_TC239_Try3.MF4.xz,child,RadarFC_Master,child (ncap3),CPD,realchild</t>
  </si>
  <si>
    <t>/mnt/measurements/07_CANape/Mitsubishi/5K45/MMC5.0.2/5K457EG11/RealChild/CPD_TC239_Try4.MF4.xz,child,RadarFC_Master,child (ncap3),CPD,realchild</t>
  </si>
  <si>
    <t>/mnt/measurements/07_CANape/Mitsubishi/5K45/MMC5.0.2/5K457EG11/RealChild/CPD_TC239_Try5.MF4.xz,child,RadarFC_Master,child (ncap3),CPD,realchild</t>
  </si>
  <si>
    <t>/mnt/measurements/07_CANape/Mitsubishi/5K45/MMC5.0.2/5K457EG11/RealChild/CSR_XCP_Signals_Recorder_2026-01-20_09-31-09__CPD_TC240_Try5.MF4.xz,child,RadarFC_Master,child (ncap3),CPD,realchild</t>
  </si>
  <si>
    <t>/mnt/measurements/07_CANape/Mitsubishi/5K45/MMC5.0.2/5K457EG11/RealChild/CSR_XCP_Signals_Recorder_2026-01-20_09-24-31_CPD_TC240_Try1.MF4.xz,child,RadarFC_Master,child (ncap3),CPD,realchild</t>
  </si>
  <si>
    <t>/mnt/measurements/07_CANape/Mitsubishi/5K45/MMC5.0.2/5K457EG11/RealChild/CSR_XCP_Signals_Recorder_2026-01-20_09-26-00_CPD_TC240_Try2.MF4.xz,child,RadarFC_Master,child (ncap3),CPD,realchild</t>
  </si>
  <si>
    <t>/mnt/measurements/07_CANape/Mitsubishi/5K45/MMC5.0.2/5K457EG11/RealChild/CSR_XCP_Signals_Recorder_2026-01-20_09-27-47_CPD_TC240_Try3.MF4.xz,child,RadarFC_Master,child (ncap3),CPD,realchild</t>
  </si>
  <si>
    <t>/mnt/measurements/07_CANape/Mitsubishi/5K45/MMC5.0.2/5K457EG11/RealChild/CSR_XCP_Signals_Recorder_2026-01-20_09-29-35_CPD_TC240_Try4.MF4.xz,child,RadarFC_Master,child (ncap3),CPD,realchild</t>
  </si>
  <si>
    <t>/mnt/measurements/07_CANape/Mitsubishi/5K45/5.3.0_RC6/Customer_Testing/Real_Child_Measurements/CSR_XCP_Signals_Recorder_2026-01-29_16-44-55_TC240.MF4.xz,child,RadarFC_Master,child (ncap3),CPD,realchild</t>
  </si>
  <si>
    <t>/mnt/measurements/07_CANape/Mitsubishi/5K45/5.3.0_RC6.2/5K457EG11/FP_Test_Cases_Renamed/CSR_XCP_Signals_Recorder_2026-02-03_13-27-03_TC162_NCAP3.MF4.xz,empty,RadarFC_Master,empty,CPD,dummy</t>
  </si>
  <si>
    <t>/mnt/measurements/07_CANape/Mitsubishi/5K45/5.3.0_RC6.2/5K457EG11/FP_Test_Cases_Renamed/CSR_XCP_Signals_Recorder_2026-02-03_13-28-37_TC162_NCAP3.MF4.xz,empty,RadarFC_Master,empty,CPD,dummy</t>
  </si>
  <si>
    <t>/mnt/measurements/07_CANape/Mitsubishi/5K45/5.3.0_RC6.2/5K457EG11/FP_Test_Cases_Renamed/CSR_XCP_Signals_Recorder_2026-02-03_13-30-19_TC162_NCAP3.MF4.xz,empty,RadarFC_Master,empty,CPD,dummy</t>
  </si>
  <si>
    <t>/mnt/measurements/07_CANape/Mitsubishi/5K45/5.3.0_RC6.2/5K457EG11/FP_Test_Cases_Renamed/CSR_XCP_Signals_Recorder_2026-02-03_13-32-58_TC104_NCAP1_2.MF4.xz,wrong measurmeent,RadarFC_Master,wrong measurmeent,CPD,dummy</t>
  </si>
  <si>
    <t>/mnt/measurements/07_CANape/Mitsubishi/5K45/5.3.0_RC6.2/5K457EG11/FP_Test_Cases_Renamed/CSR_XCP_Signals_Recorder_2026-02-03_13-33-55_TC104_NCAP1_2.MF4.xz,Door left open,RadarFC_Master,Door left open,CPD,dummy</t>
  </si>
  <si>
    <t>/mnt/measurements/07_CANape/Mitsubishi/5K45/5.3.0_RC6.2/5K457EG11/FP_Test_Cases_Renamed/CSR_XCP_Signals_Recorder_2026-02-03_13-34-46_TC104_NCAP1_2.MF4.xz,wrong measurmeent,RadarFC_Master,wrong measurmeent,CPD,dummy</t>
  </si>
  <si>
    <t>/mnt/measurements/07_CANape/Mitsubishi/5K45/5.3.0_RC6/Customer_Testing/Real_Child_Measurements/CSR_XCP_Signals_Recorder_2026-01-29_16-46-23_TC240.MF4.xz,child,RadarFC_Master,child (ncap3),CPD,realchild</t>
  </si>
  <si>
    <t>/mnt/measurements/07_CANape/Mitsubishi/5K45/5.3.0_RC6/Customer_Testing/Real_Child_Measurements/CSR_XCP_Signals_Recorder_2026-01-29_16-47-51_TC240.MF4.xz,child,RadarFC_Master,child (ncap3),CPD,realchild</t>
  </si>
  <si>
    <t>/mnt/measurements/07_CANape/Mitsubishi/5K45/MMC5.0.2/5K457EG11/RealChild/CPD_TC243_Try1.MF4.xz,child,RadarFC_Master,child (ncap3),CPD,realchild</t>
  </si>
  <si>
    <t>/mnt/measurements/07_CANape/Mitsubishi/5K45/MMC5.0.2/5K457EG11/RealChild/CPD_TC243_Try2.MF4.xz,child,RadarFC_Master,child (ncap3),CPD,realchild</t>
  </si>
  <si>
    <t>/mnt/measurements/07_CANape/Mitsubishi/5K45/MMC5.0.2/5K457EG11/RealChild/CPD_TC243_Try3.MF4.xz,child,RadarFC_Master,child (ncap3),CPD,realchild</t>
  </si>
  <si>
    <t>/mnt/measurements/07_CANape/Mitsubishi/5K45/MMC5.0.2/5K457EG11/RealChild/CPD_TC243_Try4.MF4.xz,child,RadarFC_Master,child (ncap3),CPD,realchild</t>
  </si>
  <si>
    <t>/mnt/measurements/07_CANape/Mitsubishi/5K45/MMC5.0.2/5K457EG11/RealChild/CPD_TC243_Try5.MF4.xz,child,RadarFC_Master,child (ncap3),CPD,realchild</t>
  </si>
  <si>
    <t>/mnt/measurements/07_CANape/Mitsubishi/5K45/MMC5.0.2/5K457EG11/RealChild/CSR_XCP_Signals_Recorder_2026-01-20_09-43-14_CPD_TC244_Try5.MF4.xz,child,RadarFC_Master,child (ncap3),CPD,realchild</t>
  </si>
  <si>
    <t>/mnt/measurements/07_CANape/Mitsubishi/5K45/MMC5.0.2/5K457EG11/RealChild/CSR_XCP_Signals_Recorder_2026-01-20_09-37-04_CPD_TC244_Try1.MF4.xz,child,RadarFC_Master,child (ncap3),CPD,realchild</t>
  </si>
  <si>
    <t>/mnt/measurements/07_CANape/Mitsubishi/5K45/MMC5.0.2/5K457EG11/RealChild/CSR_XCP_Signals_Recorder_2026-01-20_09-40-07_CPD_TC244_Try3.MF4.xz,child,RadarFC_Master,child (ncap3),CPD,realchild</t>
  </si>
  <si>
    <t>/mnt/measurements/07_CANape/Mitsubishi/5K45/MMC5.0.2/5K457EG11/RealChild/CSR_XCP_Signals_Recorder_2026-01-20_09-41-40_CPD_TC244_Try4.MF4.xz,child,RadarFC_Master,child (ncap3),CPD,realchild</t>
  </si>
  <si>
    <t>/mnt/measurements/07_CANape/Mitsubishi/5K45/MMC5.0.0_RC3_with_resetfix/CPD/TC247_Try_1.MF4.xz,child,RadarFC_Master,child (ncap3),CPD,dummy</t>
  </si>
  <si>
    <t>/mnt/measurements/07_CANape/Mitsubishi/5K45/MMC5.0.0_RC3_with_resetfix/CPD/TC247_Try_2.MF4.xz,child,RadarFC_Master,child (ncap3),CPD,dummy</t>
  </si>
  <si>
    <t>/mnt/measurements/07_CANape/Mitsubishi/5K45/MMC5.0.0_RC3_with_resetfix/CPD/TC247_Try_3.MF4.xz,child,RadarFC_Master,child (ncap3),CPD,dummy</t>
  </si>
  <si>
    <t>/mnt/measurements/07_CANape/Mitsubishi/5K45/MMC5.0.0_RC3_with_resetfix/CPD/TC248_Try_1.MF4.xz,child,RadarFC_Master,child (ncap3),CPD,dummy</t>
  </si>
  <si>
    <t>/mnt/measurements/07_CANape/Mitsubishi/5K45/MMC5.0.0_RC3_with_resetfix/CPD/TC248_Try_2.MF4.xz,child,RadarFC_Master,child (ncap3),CPD,dummy</t>
  </si>
  <si>
    <t>/mnt/measurements/07_CANape/Mitsubishi/5K45/MMC5.0.0_RC3_with_resetfix/CPD/TC248_Try_3.MF4.xz,child,RadarFC_Master,child (ncap3),CPD,dummy</t>
  </si>
  <si>
    <t>/mnt/measurements/07_CANape/Mitsubishi/5K45/MMC5.0.0_RC3_with_resetfix/CPD/TC249_Try_1.MF4.xz,child,RadarFC_Master,child (ncap3),CPD,dummy</t>
  </si>
  <si>
    <t>/mnt/measurements/07_CANape/Mitsubishi/5K45/MMC5.0.0_RC3_with_resetfix/CPD/TC249_Try_2.MF4.xz,child,RadarFC_Master,child (ncap3),CPD,dummy</t>
  </si>
  <si>
    <t>/mnt/measurements/07_CANape/Mitsubishi/5K45/MMC5.0.0_RC3_with_resetfix/CPD/TC249_Try_3.MF4.xz,child,RadarFC_Master,child (ncap3),CPD,dummy</t>
  </si>
  <si>
    <t>/mnt/measurements/07_CANape/Mitsubishi/5K45/MMC5.0.0_RC3_with_resetfix/CPD/TC251_Try_1.MF4.xz,child,RadarFC_Master,child (ncap3),CPD,dummy</t>
  </si>
  <si>
    <t>/mnt/measurements/07_CANape/Mitsubishi/5K45/MMC5.0.0_RC3_with_resetfix/CPD/TC251_Try_2.MF4.xz,child,RadarFC_Master,child (ncap3),CPD,dummy</t>
  </si>
  <si>
    <t>/mnt/measurements/07_CANape/Mitsubishi/5K45/MMC5.0.0_RC3_with_resetfix/CPD/TC251_Try_3.MF4.xz,child,RadarFC_Master,child (ncap3),CPD,dummy</t>
  </si>
  <si>
    <t>/mnt/measurements/07_CANape/Mitsubishi/5K45/MMC5.0.0_RC3_with_resetfix/CPD/TC252_Try_1.MF4.xz,child,RadarFC_Master,child (ncap3),CPD,dummy</t>
  </si>
  <si>
    <t>/mnt/measurements/07_CANape/Mitsubishi/5K45/MMC5.0.0_RC3_with_resetfix/CPD/TC252_Try_2.MF4.xz,child,RadarFC_Master,child (ncap3),CPD,dummy</t>
  </si>
  <si>
    <t>/mnt/measurements/07_CANape/Mitsubishi/5K45/MMC5.0.0_RC3_with_resetfix/CPD/TC252_Try_3.MF4.xz,child,RadarFC_Master,child (ncap3),CPD,dummy</t>
  </si>
  <si>
    <t>/mnt/measurements/07_CANape/Mitsubishi/5K45/MMC5.0.0_RC3_with_resetfix/CPD/TC253_Try_1.MF4.xz,child,RadarFC_Master,child (ncap3),CPD,dummy</t>
  </si>
  <si>
    <t>/mnt/measurements/07_CANape/Mitsubishi/5K45/MMC5.0.0_RC3_with_resetfix/CPD/TC253_Try_2.MF4.xz,child,RadarFC_Master,child (ncap3),CPD,dummy</t>
  </si>
  <si>
    <t>/mnt/measurements/07_CANape/Mitsubishi/5K45/MMC5.0.0_RC3_with_resetfix/CPD/TC253_Try_3.MF4.xz,child,RadarFC_Master,child (ncap3),CPD,dummy</t>
  </si>
  <si>
    <t>/mnt/measurements/07_CANape/Mitsubishi/5K45/MMC5.0.0_RC3_with_resetfix/CPD/TC257_Try_1.MF4.xz,child,RadarFC_Master,child (ncap3),CPD,dummy</t>
  </si>
  <si>
    <t>/mnt/measurements/07_CANape/Mitsubishi/5K45/MMC5.0.0_RC3_with_resetfix/CPD/TC257_Try_2.MF4.xz,child,RadarFC_Master,child (ncap3),CPD,dummy</t>
  </si>
  <si>
    <t>/mnt/measurements/07_CANape/Mitsubishi/5K45/MMC5.0.0_RC3_with_resetfix/CPD/TC257_Try_3.MF4.xz,child,RadarFC_Master,child (ncap3),CPD,dummy</t>
  </si>
  <si>
    <t>/mnt/measurements/07_CANape/Mitsubishi/5K45/MMC5.0.0_RC3_with_resetfix/CPD/TC258_Try_1.MF4.xz,child,RadarFC_Master,child (ncap3),CPD,dummy</t>
  </si>
  <si>
    <t>/mnt/measurements/07_CANape/Mitsubishi/5K45/5.3.0_RC7/5K457EG11/RealChild/CSR_XCP_Signals_Recorder_2026-02-04_17-49-02_CPD_TC178_with_reset.MF4.xz,NCAP3 long,RadarFC_Master,NCAP3 long,CPD,dummy</t>
  </si>
  <si>
    <t>/mnt/measurements/07_CANape/Mitsubishi/5K45/5.3.0_RC7/5K457EG11/RealChild/CSR_XCP_Signals_Recorder_2026-02-04_17-51-28_CPD_TC178_with_reset.MF4.xz,NCAP3 long,RadarFC_Master,NCAP3 long,CPD,dummy</t>
  </si>
  <si>
    <t>/mnt/measurements/07_CANape/Mitsubishi/5K45/MMC5.0.0_RC3_with_resetfix/CPD/TC258_Try_2.MF4.xz,child,RadarFC_Master,child (ncap3),CPD,dummy</t>
  </si>
  <si>
    <t>/mnt/measurements/07_CANape/Mitsubishi/5K45/MMC5.0.0_RC3_with_resetfix/CPD/TC258_Try_3.MF4.xz,child,RadarFC_Master,child (ncap3),CPD,dummy</t>
  </si>
  <si>
    <t>/mnt/measurements/07_CANape/Mitsubishi/5K45/MMC5.0.2/5K457EG11/RealChild/CSR_XCP_Signals_Recorder_2026-01-23_16-45-01_CPD_TC261_Try1.MF4.xz,child,RadarFC_Master,child (ncap3),CPD,realchild</t>
  </si>
  <si>
    <t>/mnt/measurements/07_CANape/Mitsubishi/5K45/MMC5.0.2/5K457EG11/RealChild/CSR_XCP_Signals_Recorder_2026-01-23_16-46-27_CPD_TC261_Try2.MF4.xz,child,RadarFC_Master,child (ncap3),CPD,realchild</t>
  </si>
  <si>
    <t>/mnt/measurements/07_CANape/Mitsubishi/5K45/MMC5.0.2/5K457EG11/RealChild/CSR_XCP_Signals_Recorder_2026-01-23_16-47-51_CPD_TC261_Try3.MF4.xz,child,RadarFC_Master,child (ncap3),CPD,realchild</t>
  </si>
  <si>
    <t>/mnt/measurements/07_CANape/Mitsubishi/5K45/MMC5.0.2/5K457EG11/RealChild/CSR_XCP_Signals_Recorder_2026-01-23_16-49-15_CPD_TC261_Try4.MF4.xz,child,RadarFC_Master,child (ncap3),CPD,realchild</t>
  </si>
  <si>
    <t>/mnt/measurements/07_CANape/Mitsubishi/5K45/MMC5.0.2/5K457EG11/RealChild/CSR_XCP_Signals_Recorder_2026-01-23_16-50-42_CPD_TC261_Try5.MF4.xz,child,RadarFC_Master,child (ncap3),CPD,realchild</t>
  </si>
  <si>
    <t>/mnt/measurements/07_CANape/Mitsubishi/5K45/MMC4.1.2/8EmptyCases/Passenger_Rear_Soft.MF4.xz,empty,RadarFC_Master,empty,CPD,dummy</t>
  </si>
  <si>
    <t>/mnt/measurements/07_CANape/Mitsubishi/5K45/MMC4.1.2/8EmptyCases/Driver_Front_Hard.MF4.xz,empty,RadarFC_Master,empty,CPD,dummy</t>
  </si>
  <si>
    <t>/mnt/measurements/07_CANape/Mitsubishi/5K45/MMC4.1.2/8EmptyCases/Driver_Front_Soft.MF4.xz,empty,RadarFC_Master,empty,CPD,dummy</t>
  </si>
  <si>
    <t>/mnt/measurements/07_CANape/Mitsubishi/5K45/MMC4.1.2/8EmptyCases/Driver_Rear_Hard.MF4.xz,empty,RadarFC_Master,empty,CPD,dummy</t>
  </si>
  <si>
    <t>/mnt/measurements/07_CANape/Mitsubishi/5K45/MMC4.1.2/8EmptyCases/Driver_Rear_Soft.MF4.xz,empty,RadarFC_Master,empty,CPD,dummy</t>
  </si>
  <si>
    <t>/mnt/measurements/07_CANape/Mitsubishi/5K45/MMC4.1.2/8EmptyCases/Passenger_Front_Hard.MF4.xz,empty,RadarFC_Master,empty,CPD,dummy</t>
  </si>
  <si>
    <t>/mnt/measurements/07_CANape/Mitsubishi/5K45/MMC4.1.2/8EmptyCases/Passenger_Front_Soft.MF4.xz,empty,RadarFC_Master,empty,CPD,dummy</t>
  </si>
  <si>
    <t>/mnt/measurements/07_CANape/Mitsubishi/5K45/MMC4.1.2/8EmptyCases/Passenger_Rear_Hard.MF4.xz,empty,RadarFC_Master,empty,CPD,dummy</t>
  </si>
  <si>
    <t>/mnt/measurements/07_CANape/Mitsubishi/5K45/MMC5.0.2/5K457EG11/RealChild/CSR_XCP_Signals_Recorder_2026-01-21_16-05-44_CPD_TC263_Try1.MF4.xz,child,RadarFC_Master,child (ncap3),CPD,realchild</t>
  </si>
  <si>
    <t>/mnt/measurements/07_CANape/Mitsubishi/5K45/MMC5.0.2/5K457EG11/RealChild/CSR_XCP_Signals_Recorder_2026-01-21_16-07-23_CPD_TC263_Try2.MF4.xz,child,RadarFC_Master,child (ncap3),CPD,realchild</t>
  </si>
  <si>
    <t>/mnt/measurements/07_CANape/Mitsubishi/5K45/MMC5.0.2/5K457EG11/RealChild/CSR_XCP_Signals_Recorder_2026-01-21_16-09-25_CPD_TC263_Try3.MF4.xz,child,RadarFC_Master,child (ncap3),CPD,realchild</t>
  </si>
  <si>
    <t>/mnt/measurements/07_CANape/Mitsubishi/5K45/MMC5.0.2/5K457EG11/RealChild/CSR_XCP_Signals_Recorder_2026-01-21_16-10-55_CPD_TC263_Try4.MF4.xz,child,RadarFC_Master,child (ncap3),CPD,realchild</t>
  </si>
  <si>
    <t>/mnt/measurements/07_CANape/Mitsubishi/5K45/MMC5.0.2/5K457EG11/RealChild/CSR_XCP_Signals_Recorder_2026-01-21_16-12-48_CPD_TC263_Try5.MF4.xz,child,RadarFC_Master,child (ncap3),CPD,realchild</t>
  </si>
  <si>
    <t>/mnt/measurements/07_CANape/Mitsubishi/5K45/MMC5.0.2/5K457EG11/RealChild/CSR_XCP_Signals_Recorder_2026-01-21_16-22-50_CPD_TC264_Try1.MF4.xz,child,RadarFC_Master,child (ncap3),CPD,realchild</t>
  </si>
  <si>
    <t>/mnt/measurements/07_CANape/Mitsubishi/5K45/MMC5.0.2/5K457EG11/RealChild/CSR_XCP_Signals_Recorder_2026-01-21_16-24-23_CPD_TC264_Try2.MF4.xz,child,RadarFC_Master,child (ncap3),CPD,realchild</t>
  </si>
  <si>
    <t>/mnt/measurements/07_CANape/Mitsubishi/5K45/MMC5.0.2/5K457EG11/RealChild/CSR_XCP_Signals_Recorder_2026-01-21_16-26-03_CPD_TC264_Try3.MF4.xz,child,RadarFC_Master,child (ncap3),CPD,realchild</t>
  </si>
  <si>
    <t>/mnt/measurements/07_CANape/Mitsubishi/5K45/MMC5.0.2/5K457EG11/RealChild/CSR_XCP_Signals_Recorder_2026-01-21_16-27-36_CPD_TC264_Try4.MF4.xz,child,RadarFC_Master,child (ncap3),CPD,realchild</t>
  </si>
  <si>
    <t>/mnt/measurements/07_CANape/Mitsubishi/5K45/MMC5.0.2/5K457EG11/RealChild/CSR_XCP_Signals_Recorder_2026-01-21_16-29-08_CPD_TC264_Try5.MF4.xz,child,RadarFC_Master,child (ncap3),CPD,realchild</t>
  </si>
  <si>
    <t>/mnt/measurements/07_CANape/Mitsubishi/5K45/MMC5.0.2/5K457EG11/RealChild/CSR_XCP_Signals_Recorder_2026-01-21_16-38-35_CPD_TC265_Try1.MF4.xz,child,RadarFC_Master,child (ncap3),CPD,realchild</t>
  </si>
  <si>
    <t>/mnt/measurements/07_CANape/Mitsubishi/5K45/MMC5.0.2/5K457EG11/RealChild/CSR_XCP_Signals_Recorder_2026-01-21_16-40-05_CPD_TC265_Try2.MF4.xz,child,RadarFC_Master,child (ncap3),CPD,realchild</t>
  </si>
  <si>
    <t>/mnt/measurements/07_CANape/Mitsubishi/5K45/MMC5.0.2/5K457EG11/RealChild/CSR_XCP_Signals_Recorder_2026-01-21_16-41-43_CPD_TC265_Try3.MF4.xz,child,RadarFC_Master,child (ncap3),CPD,realchild</t>
  </si>
  <si>
    <t>/mnt/measurements/07_CANape/Mitsubishi/5K45/5.3.0_RC6.2/5K457EG11/CSRGIMMC-2250/CSR_XCP_Signals_Recorder_2026-02-05_16-29-30_TC137_StaticToy3R_BagF3L_CPD.MF4.xz,location azi quality mismatch,RadarFC_Master,location azi quality mismatch,CPD,dummy</t>
  </si>
  <si>
    <t>/mnt/measurements/07_CANape/Mitsubishi/5K45/MMC5.0.2/5K457EG11/RealChild/CSR_XCP_Signals_Recorder_2026-01-21_16-43-12_CPD_TC265_Try4.MF4.xz,child,RadarFC_Master,child (ncap3),CPD,realchild</t>
  </si>
  <si>
    <t>/mnt/measurements/07_CANape/Mitsubishi/5K45/MMC5.0.2/5K457EG11/RealChild/CSR_XCP_Signals_Recorder_2026-01-21_16-44-52_CPD_TC265_Try5.MF4.xz,child,RadarFC_Master,child (ncap3),CPD,realchild</t>
  </si>
  <si>
    <t>/mnt/measurements/07_CANape/Mitsubishi/5K45/MMC5.0.2/5K457EG11/RealChild/CSR_XCP_Signals_Recorder_2026-01-23_15-45-44_CPD_TC266_Try1.MF4.xz,child,RadarFC_Master,child (ncap3),CPD,realchild</t>
  </si>
  <si>
    <t>/mnt/measurements/07_CANape/Mitsubishi/5K45/MMC5.0.2/5K457EG11/RealChild/CSR_XCP_Signals_Recorder_2026-01-23_15-48-52_CPD_TC266_Try2.MF4.xz,child,RadarFC_Master,child (ncap3),CPD,realchild</t>
  </si>
  <si>
    <t>/mnt/measurements/07_CANape/Mitsubishi/5K45/MMC5.0.2/5K457EG11/RealChild/CSR_XCP_Signals_Recorder_2026-01-23_15-50-57_CPD_TC266_Try3.MF4.xz,child,RadarFC_Master,child (ncap3),CPD,realchild</t>
  </si>
  <si>
    <t>/mnt/measurements/07_CANape/Mitsubishi/5K45/MMC5.0.2/5K457EG11/RealChild/CSR_XCP_Signals_Recorder_2026-01-23_15-52-45_CPD_TC266_Try4.MF4.xz,child,RadarFC_Master,child (ncap3),CPD,realchild</t>
  </si>
  <si>
    <t>/mnt/measurements/07_CANape/Mitsubishi/5K45/MMC5.0.2/5K457EG11/RealChild/CSR_XCP_Signals_Recorder_2026-01-23_15-54-32_CPD_TC266_Try5.MF4.xz,child,RadarFC_Master,child (ncap3),CPD,realchild</t>
  </si>
  <si>
    <t>/mnt/measurements/07_CANape/Mitsubishi/5K45/MMC5.0.2/5K457EG11/RealChild/CSR_XCP_Signals_Recorder_2026-01-23_15-58-26_CPD_TC267_Try1.MF4.xz,child,RadarFC_Master,child (ncap3),CPD,realchild</t>
  </si>
  <si>
    <t>/mnt/measurements/07_CANape/Mitsubishi/5K45/MMC5.0.2/5K457EG11/RealChild/CSR_XCP_Signals_Recorder_2026-01-23_16-00-01_CPD_TC267_Try2.MF4.xz,child,RadarFC_Master,child (ncap3),CPD,realchild</t>
  </si>
  <si>
    <t>/mnt/measurements/07_CANape/Mitsubishi/5K45/MMC5.0.2/5K457EG11/RealChild/CSR_XCP_Signals_Recorder_2026-01-23_16-03-00_CPD_TC267_Try4.MF4.xz,child,RadarFC_Master,child (ncap3),CPD,realchild</t>
  </si>
  <si>
    <t>/mnt/measurements/07_CANape/Mitsubishi/5K45/MMC5.0.2/5K457EG11/RealChild/CSR_XCP_Signals_Recorder_2026-01-23_16-04-26_CPD_TC267_Try5.MF4.xz,child,RadarFC_Master,child (ncap3),CPD,realchild</t>
  </si>
  <si>
    <t>/mnt/measurements/07_CANape/Mitsubishi/5K45/MMC5.0.2/5K457EG11/RealChild/CSR_XCP_Signals_Recorder_2026-01-23_16-56-27_CPD_TC268_Try1.MF4.xz,child,RadarFC_Master,child (ncap3),CPD,realchild</t>
  </si>
  <si>
    <t>/mnt/measurements/07_CANape/Mitsubishi/5K45/MMC5.0.2/5K457EG11/RealChild/CSR_XCP_Signals_Recorder_2026-01-23_16-58-05_CPD_TC268_Try2.MF4.xz,child,RadarFC_Master,child (ncap3),CPD,realchild</t>
  </si>
  <si>
    <t>/mnt/measurements/07_CANape/Mitsubishi/5K45/MMC5.0.2/5K457EG11/RealChild/CSR_XCP_Signals_Recorder_2026-01-23_16-59-34_CPD_TC268_Try3.MF4.xz,child,RadarFC_Master,child (ncap3),CPD,realchild</t>
  </si>
  <si>
    <t>/mnt/measurements/07_CANape/Mitsubishi/5K45/MMC5.0.2/5K457EG11/RealChild/CSR_XCP_Signals_Recorder_2026-01-23_17-01-03_CPD_TC268_Try4.MF4.xz,child,RadarFC_Master,child (ncap3),CPD,realchild</t>
  </si>
  <si>
    <t>/mnt/measurements/07_CANape/Mitsubishi/5K45/MMC5.0.2/5K457EG11/RealChild/CSR_XCP_Signals_Recorder_2026-01-23_17-02-35_CPD_TC268_Try5.MF4.xz,child,RadarFC_Master,child (ncap3),CPD,realchild</t>
  </si>
  <si>
    <t>Missing files</t>
  </si>
  <si>
    <t>Remove from list - real child available</t>
  </si>
  <si>
    <t xml:space="preserve"> Newborn</t>
  </si>
  <si>
    <t>NCAP1,2</t>
  </si>
  <si>
    <t>NCAP 1,2</t>
  </si>
  <si>
    <t>NCAP 3</t>
  </si>
  <si>
    <t>N?</t>
  </si>
  <si>
    <t>SmokeTest_CPD_TC51.MF4.xz</t>
  </si>
  <si>
    <t>Newborn</t>
  </si>
  <si>
    <t>No measurement available</t>
  </si>
  <si>
    <t>NCAP 4</t>
  </si>
  <si>
    <t>NCAP 5</t>
  </si>
  <si>
    <t>NCAP 6</t>
  </si>
  <si>
    <t>NCAP 7</t>
  </si>
  <si>
    <t>NCAP1,3</t>
  </si>
  <si>
    <t>NCAP1,4</t>
  </si>
  <si>
    <t>NCAP1,5</t>
  </si>
  <si>
    <t>NCAP1,6</t>
  </si>
  <si>
    <t>Data missing</t>
  </si>
  <si>
    <t>/mnt/measurements/07_CANape/Mitsubishi/5K45/MMC5.0.2\5K457EG11\RealChild</t>
  </si>
  <si>
    <t>/mnt/measurements/07_CANape/Mitsubishi/5K45/MMC5.0.2/5K457EG11/CPD/CSR_XCP_Signals_Recorder_2026-01-26_11-23-32_CPD_TC182_Try5.MF4.xz</t>
  </si>
  <si>
    <t>/mnt/measurements/07_CANape/Mitsubishi/5K45/MMC5.0.2/5K457EG11/CPD/CSR_XCP_Signals_Recorder_2026-01-26_11-12-00_CPD_TC182_Try1.MF4.xz</t>
  </si>
  <si>
    <t>/mnt/measurements/07_CANape/Mitsubishi/5K45/MMC5.0.2/5K457EG11/CPD/CSR_XCP_Signals_Recorder_2026-01-26_11-13-36_CPD_TC182_Try2.MF4.xz</t>
  </si>
  <si>
    <t>/mnt/measurements/07_CANape/Mitsubishi/5K45/MMC5.0.2/5K457EG11/CPD/CSR_XCP_Signals_Recorder_2026-01-26_11-16-46_CPD_TC182_Try3.MF4.xz</t>
  </si>
  <si>
    <t>/mnt/measurements/07_CANape/Mitsubishi/5K45/MMC5.0.2/5K457EG11/CPD/CSR_XCP_Signals_Recorder_2026-01-26_11-20-06_CPD_TC182_Try4.MF4.xz</t>
  </si>
  <si>
    <t>/mnt/measurements/07_CANape/Mitsubishi/5K45/MMC5.0.2/5K457EG11/CPD/CSR_XCP_Signals_Recorder_2026-01-27_13-57-58_CPD_TC108_Try5.MF4.xz</t>
  </si>
  <si>
    <t>/mnt/measurements/07_CANape/Mitsubishi/5K45/MMC5.0.2/5K457EG11/CPD/CSR_XCP_Signals_Recorder_2026-01-27_13-52-01_CPD_TC108_Try1.MF4.xz</t>
  </si>
  <si>
    <t>/mnt/measurements/07_CANape/Mitsubishi/5K45/MMC5.0.2/5K457EG11/CPD/CSR_XCP_Signals_Recorder_2026-01-27_13-53-34_CPD_TC108_Try2.MF4.xz</t>
  </si>
  <si>
    <t>/mnt/measurements/07_CANape/Mitsubishi/5K45/MMC5.0.2/5K457EG11/CPD/CSR_XCP_Signals_Recorder_2026-01-27_13-55-02_CPD_TC108_Try3.MF4.xz</t>
  </si>
  <si>
    <t>/mnt/measurements/07_CANape/Mitsubishi/5K45/MMC5.0.2/5K457EG11/CPD/CSR_XCP_Signals_Recorder_2026-01-27_13-56-28_CPD_TC108_Try4.MF4.xz</t>
  </si>
  <si>
    <t>\\abtvdfs2.de.bosch.com\ismdfs\ilm\abt\IMS\Platform\400_Cabin_Sensing_Radar\20_Measurements\07_CANape\Mitsubishi\5K45\5.3.0_RC6\5K457EG11\FP_Outside\CSR_XCP_Signals_Recorder_2026-01-29_15-17-35_Left_BacktoFront.MF4.xz</t>
  </si>
  <si>
    <t>\\abtvdfs2.de.bosch.com\ismdfs\ilm\abt\IMS\Platform\400_Cabin_Sensing_Radar\20_Measurements\07_CANape\Mitsubishi\5K45\5.3.0_RC6\5K457EG11\FP_Outside\CSR_XCP_Signals_Recorder_2026-01-29_11-59-03_TS176.mf4.xz</t>
  </si>
  <si>
    <t>\\abtvdfs2.de.bosch.com\ismdfs\ilm\abt\IMS\Platform\400_Cabin_Sensing_Radar\20_Measurements\07_CANape\Mitsubishi\5K45\5.3.0_RC6\5K457EG11\FP_Outside\CSR_XCP_Signals_Recorder_2026-01-29_12-01-45_TS176.mf4.xz</t>
  </si>
  <si>
    <t>\\abtvdfs2.de.bosch.com\ismdfs\ilm\abt\IMS\Platform\400_Cabin_Sensing_Radar\20_Measurements\07_CANape\Mitsubishi\5K45\5.3.0_RC6\5K457EG11\FP_Outside\CSR_XCP_Signals_Recorder_2026-01-29_12-03-19_TS176.mf4.xz</t>
  </si>
  <si>
    <t>\\abtvdfs2.de.bosch.com\ismdfs\ilm\abt\IMS\Platform\400_Cabin_Sensing_Radar\20_Measurements\07_CANape\Mitsubishi\5K45\5.3.0_RC6\5K457EG11\FP_Outside\CSR_XCP_Signals_Recorder_2026-01-29_12-04-51_TS176.mf4.xz</t>
  </si>
  <si>
    <t>\\abtvdfs2.de.bosch.com\ismdfs\ilm\abt\IMS\Platform\400_Cabin_Sensing_Radar\20_Measurements\07_CANape\Mitsubishi\5K45\5.3.0_RC6\5K457EG11\FP_Outside\CSR_XCP_Signals_Recorder_2026-01-29_12-07-46_TS180.mf4.xz</t>
  </si>
  <si>
    <t>\\abtvdfs2.de.bosch.com\ismdfs\ilm\abt\IMS\Platform\400_Cabin_Sensing_Radar\20_Measurements\07_CANape\Mitsubishi\5K45\5.3.0_RC6\5K457EG11\FP_Outside\CSR_XCP_Signals_Recorder_2026-01-29_12-09-09_TS180.mf4.xz</t>
  </si>
  <si>
    <t>\\abtvdfs2.de.bosch.com\ismdfs\ilm\abt\IMS\Platform\400_Cabin_Sensing_Radar\20_Measurements\07_CANape\Mitsubishi\5K45\5.3.0_RC6\5K457EG11\FP_Outside\CSR_XCP_Signals_Recorder_2026-01-29_12-11-39_TS180.mf4.xz</t>
  </si>
  <si>
    <t>\\abtvdfs2.de.bosch.com\ismdfs\ilm\abt\IMS\Platform\400_Cabin_Sensing_Radar\20_Measurements\07_CANape\Mitsubishi\5K45\5.3.0_RC6\5K457EG11\FP_Outside\CSR_XCP_Signals_Recorder_2026-01-29_12-13-06_TS180.mf4.xz</t>
  </si>
  <si>
    <t>\\abtvdfs2.de.bosch.com\ismdfs\ilm\abt\IMS\Platform\400_Cabin_Sensing_Radar\20_Measurements\07_CANape\Mitsubishi\5K45\5.3.0_RC6\5K457EG11\FP_Outside\CSR_XCP_Signals_Recorder_2026-01-29_12-16-30_TS177.mf4.xz</t>
  </si>
  <si>
    <t>\\abtvdfs2.de.bosch.com\ismdfs\ilm\abt\IMS\Platform\400_Cabin_Sensing_Radar\20_Measurements\07_CANape\Mitsubishi\5K45\5.3.0_RC6\5K457EG11\FP_Outside\CSR_XCP_Signals_Recorder_2026-01-29_12-18-01_TS177.mf4.xz</t>
  </si>
  <si>
    <t>\\abtvdfs2.de.bosch.com\ismdfs\ilm\abt\IMS\Platform\400_Cabin_Sensing_Radar\20_Measurements\07_CANape\Mitsubishi\5K45\5.3.0_RC6\5K457EG11\FP_Outside\CSR_XCP_Signals_Recorder_2026-01-29_12-19-32_TS177.mf4.xz</t>
  </si>
  <si>
    <t>\\abtvdfs2.de.bosch.com\ismdfs\ilm\abt\IMS\Platform\400_Cabin_Sensing_Radar\20_Measurements\07_CANape\Mitsubishi\5K45\5.3.0_RC6\5K457EG11\FP_Outside\CSR_XCP_Signals_Recorder_2026-01-29_12-21-06_TS177.mf4.xz</t>
  </si>
  <si>
    <t>\\abtvdfs2.de.bosch.com\ismdfs\ilm\abt\IMS\Platform\400_Cabin_Sensing_Radar\20_Measurements\07_CANape\Mitsubishi\5K45\5.3.0_RC6\5K457EG11\FP_Outside\CSR_XCP_Signals_Recorder_2026-01-29_12-24-22_TS181.mf4.xz</t>
  </si>
  <si>
    <t>\\abtvdfs2.de.bosch.com\ismdfs\ilm\abt\IMS\Platform\400_Cabin_Sensing_Radar\20_Measurements\07_CANape\Mitsubishi\5K45\5.3.0_RC6\5K457EG11\FP_Outside\CSR_XCP_Signals_Recorder_2026-01-29_12-25-46_TS181.mf4.xz</t>
  </si>
  <si>
    <t>\\abtvdfs2.de.bosch.com\ismdfs\ilm\abt\IMS\Platform\400_Cabin_Sensing_Radar\20_Measurements\07_CANape\Mitsubishi\5K45\5.3.0_RC6\5K457EG11\FP_Outside\CSR_XCP_Signals_Recorder_2026-01-29_12-27-11_TS181.mf4.xz</t>
  </si>
  <si>
    <t>\\abtvdfs2.de.bosch.com\ismdfs\ilm\abt\IMS\Platform\400_Cabin_Sensing_Radar\20_Measurements\07_CANape\Mitsubishi\5K45\5.3.0_RC6\5K457EG11\FP_Outside\CSR_XCP_Signals_Recorder_2026-01-29_12-28-34_TS181.mf4.xz</t>
  </si>
  <si>
    <t>\\abtvdfs2.de.bosch.com\ismdfs\ilm\abt\IMS\Platform\400_Cabin_Sensing_Radar\20_Measurements\07_CANape\Mitsubishi\5K45\5.3.0_RC6\5K457EG11\FP_Outside\CSR_XCP_Signals_Recorder_2026-01-29_13-19-58_Right_BacktoFront.mf4.xz</t>
  </si>
  <si>
    <t>\\abtvdfs2.de.bosch.com\ismdfs\ilm\abt\IMS\Platform\400_Cabin_Sensing_Radar\20_Measurements\07_CANape\Mitsubishi\5K45\5.3.0_RC6\5K457EG11\FP_Outside\CSR_XCP_Signals_Recorder_2026-01-29_13-21-52_Right_FronttoBack.mf4.xz</t>
  </si>
  <si>
    <t>\\abtvdfs2.de.bosch.com\ismdfs\ilm\abt\IMS\Platform\400_Cabin_Sensing_Radar\20_Measurements\07_CANape\Mitsubishi\5K45\5.3.0_RC6\5K457EG11\FP_Outside\CSR_XCP_Signals_Recorder_2026-01-29_13-23-39_Left_FronttoBack.mf4.xz</t>
  </si>
  <si>
    <t>\\abtvdfs2.de.bosch.com\ismdfs\ilm\abt\IMS\Platform\400_Cabin_Sensing_Radar\20_Measurements\07_CANape\Mitsubishi\5K45\5.3.0_RC6\5K457EG11\FP_Outside\CSR_XCP_Signals_Recorder_2026-01-29_13-25-39_Left_Backtofront.mf4.xz</t>
  </si>
  <si>
    <t>\\abtvdfs2.de.bosch.com\ismdfs\ilm\abt\IMS\Platform\400_Cabin_Sensing_Radar\20_Measurements\07_CANape\Mitsubishi\5K45\5.3.0_RC6\5K457EG11\FP_Outside\CSR_XCP_Signals_Recorder_2026-01-29_15-12-05_Right_BacktoFront.MF4.xz</t>
  </si>
  <si>
    <t>\\abtvdfs2.de.bosch.com\ismdfs\ilm\abt\IMS\Platform\400_Cabin_Sensing_Radar\20_Measurements\07_CANape\Mitsubishi\5K45\5.3.0_RC6\5K457EG11\FP_Outside\CSR_XCP_Signals_Recorder_2026-01-29_15-13-53_Right_FronttoBack.MF4.xz</t>
  </si>
  <si>
    <t>\\abtvdfs2.de.bosch.com\ismdfs\ilm\abt\IMS\Platform\400_Cabin_Sensing_Radar\20_Measurements\07_CANape\Mitsubishi\5K45\5.3.0_RC6\5K457EG11\FP_Outside\CSR_XCP_Signals_Recorder_2026-01-29_15-15-45_Left_FronttoBack.MF4.xz</t>
  </si>
  <si>
    <t>\\abtvdfs2.de.bosch.com\ismdfs\ilm\abt\IMS\Platform\400_Cabin_Sensing_Radar\20_Measurements\07_CANape\Mitsubishi\5K45\MMC4.1.2\Validation\child\Awake</t>
  </si>
  <si>
    <t>\\abtvdfs2.de.bosch.com\ismdfs\ilm\abt\IMS\Platform\400_Cabin_Sensing_Radar\20_Measurements\07_CANape\Mitsubishi\5K45\MMC4.1.2\Validation\2025_11_29\child\part1\Awake</t>
  </si>
  <si>
    <t>\\abtvdfs2.de.bosch.com\ismdfs\ilm\abt\IMS\Platform\400_Cabin_Sensing_Radar\20_Measurements\07_CANape\Mitsubishi\5K45\MMC4.1.2\Validation\2025_11_29\child\part3\Awake</t>
  </si>
  <si>
    <t>\\abtvdfs2.de.bosch.com\ismdfs\ilm\abt\IMS\Platform\400_Cabin_Sensing_Radar\20_Measurements\07_CANape\Mitsubishi\5K45\MMC4.1.2\Validation\2025_12_02\ChildSleep</t>
  </si>
  <si>
    <t>\\abtvdfs2.de.bosch.com\ismdfs\ilm\abt\IMS\Platform\400_Cabin_Sensing_Radar\20_Measurements\07_CANape\Mitsubishi\5K45\MMC5.0.0_RC3_with_resetfix\CPD</t>
  </si>
  <si>
    <t>\\abtvdfs2.de.bosch.com\ismdfs\ilm\abt\IMS\Platform\400_Cabin_Sensing_Radar\20_Measurements\07_CANape\Mitsubishi\5K45\MMC4.1.2\Validation\2025_11_29\child\part3\Awake\</t>
  </si>
  <si>
    <t>\\abtvdfs2.de.bosch.com\ismdfs\ilm\abt\IMS\Platform\400_Cabin_Sensing_Radar\20_Measurements\07_CANape\Mitsubishi\5K45\MMC5.0.1\5K457EG-11\Real_Child_Measurements</t>
  </si>
  <si>
    <t>\\abtvdfs2.de.bosch.com\ismdfs\ilm\abt\IMS\Platform\400_Cabin_Sensing_Radar\20_Measurements\07_CANape\Mitsubishi\5K45\MMC5.0.0_RC3\Real_Child_Tests</t>
  </si>
  <si>
    <t>\\abtvdfs2.de.bosch.com\ismdfs\ilm\abt\IMS\Platform\400_Cabin_Sensing_Radar\20_Measurements\07_CANape\Mitsubishi\5K45\MMC4.1.2\Validation\2025_11_28\orderedByTargetType\adult</t>
  </si>
  <si>
    <t>\\abtvdfs2.de.bosch.com\ismdfs\ilm\abt\IMS\Platform\400_Cabin_Sensing_Radar\20_Measurements\07_CANape\Mitsubishi\5K45\MMC5.0.1\5K457EG-11\Real_Child_Measurements\2025_12_16</t>
  </si>
  <si>
    <t>\\abtvdfs2.de.bosch.com\ismdfs\ilm\abt\IMS\Platform\400_Cabin_Sensing_Radar\20_Measurements\07_CANape\Mitsubishi\5K45\MMC4.1.2\Validation\child\Sleep\</t>
  </si>
  <si>
    <t>\\abtvdfs2.de.bosch.com\ismdfs\ilm\abt\IMS\Platform\400_Cabin_Sensing_Radar\20_Measurements\07_CANape\Mitsubishi\5K45\MMC4.1.2\Validation\2025_11_29\child\part1\Sleep</t>
  </si>
  <si>
    <t>\\abtvdfs2.de.bosch.com\ismdfs\ilm\abt\IMS\Platform\400_Cabin_Sensing_Radar\20_Measurements\07_CANape\Mitsubishi\5K45\MMC4.1.2\Validation\2025_11_29\child\part2\Sleep</t>
  </si>
  <si>
    <t>\\abtvdfs2.de.bosch.com\ismdfs\ilm\abt\IMS\Platform\400_Cabin_Sensing_Radar\20_Measurements\07_CANape\Mitsubishi\5K45\MMC4.1.2\Validation\2025_11_29\child\part3\Sleep</t>
  </si>
  <si>
    <t>\\abtvdfs2.de.bosch.com\ismdfs\ilm\abt\IMS\Platform\400_Cabin_Sensing_Radar\20_Measurements\07_CANape\Mitsubishi\5K45\MMC4.1.2\Validation\2025_11_28\TC_102_Try1.MF4.xz</t>
  </si>
  <si>
    <t>\\abtvdfs2.de.bosch.com\ismdfs\ilm\abt\IMS\Platform\400_Cabin_Sensing_Radar\20_Measurements\07_CANape\Mitsubishi\5K45\MMC4.1.2\Validation\2025_11_28\TC_102_Try2.MF4.xz</t>
  </si>
  <si>
    <t>\\abtvdfs2.de.bosch.com\ismdfs\ilm\abt\IMS\Platform\400_Cabin_Sensing_Radar\20_Measurements\07_CANape\Mitsubishi\5K45\MMC4.1.2\Validation\2025_11_28\TC_102_Try3.MF4.xz</t>
  </si>
  <si>
    <t>\\abtvdfs2.de.bosch.com\ismdfs\ilm\abt\IMS\Platform\400_Cabin_Sensing_Radar\20_Measurements\07_CANape\Mitsubishi\5K45\MMC4.1.2\Validation\2025_11_28\TC_103_Try1.MF4.xz</t>
  </si>
  <si>
    <t>\\abtvdfs2.de.bosch.com\ismdfs\ilm\abt\IMS\Platform\400_Cabin_Sensing_Radar\20_Measurements\07_CANape\Mitsubishi\5K45\MMC4.1.2\Validation\2025_11_28\TC_103_Try2.MF4.xz</t>
  </si>
  <si>
    <t>\\abtvdfs2.de.bosch.com\ismdfs\ilm\abt\IMS\Platform\400_Cabin_Sensing_Radar\20_Measurements\07_CANape\Mitsubishi\5K45\MMC4.1.2\Validation\2025_11_28\TC_103_Try3.MF4.xz</t>
  </si>
  <si>
    <t>\\abtvdfs2.de.bosch.com\ismdfs\ilm\abt\IMS\Platform\400_Cabin_Sensing_Radar\20_Measurements\07_CANape\Mitsubishi\5K45\MMC4.1.2\Validation\2025_11_28\TC_103_Try3_Retry.MF4.xz</t>
  </si>
  <si>
    <t>\\abtvdfs2.de.bosch.com\ismdfs\ilm\abt\IMS\Platform\400_Cabin_Sensing_Radar\20_Measurements\07_CANape\Mitsubishi\5K45\MMC4.1.2\Validation\2025_11_28\TC_104_Try1.MF4.xz</t>
  </si>
  <si>
    <t>\\abtvdfs2.de.bosch.com\ismdfs\ilm\abt\IMS\Platform\400_Cabin_Sensing_Radar\20_Measurements\07_CANape\Mitsubishi\5K45\MMC4.1.2\Validation\2025_11_28\TC_104_Try2.MF4.xz</t>
  </si>
  <si>
    <t>\\abtvdfs2.de.bosch.com\ismdfs\ilm\abt\IMS\Platform\400_Cabin_Sensing_Radar\20_Measurements\07_CANape\Mitsubishi\5K45\MMC4.1.2\Validation\2025_11_28\TC_104_Try3.MF4.xz</t>
  </si>
  <si>
    <t>\\abtvdfs2.de.bosch.com\ismdfs\ilm\abt\IMS\Platform\400_Cabin_Sensing_Radar\20_Measurements\07_CANape\Mitsubishi\5K45\MMC4.1.2\Validation\2025_11_28\TC_105_Try1.MF4.xz</t>
  </si>
  <si>
    <t>\\abtvdfs2.de.bosch.com\ismdfs\ilm\abt\IMS\Platform\400_Cabin_Sensing_Radar\20_Measurements\07_CANape\Mitsubishi\5K45\MMC4.1.2\Validation\2025_11_28\TC_105_Try2.MF4.xz</t>
  </si>
  <si>
    <t>\\abtvdfs2.de.bosch.com\ismdfs\ilm\abt\IMS\Platform\400_Cabin_Sensing_Radar\20_Measurements\07_CANape\Mitsubishi\5K45\MMC4.1.2\Validation\2025_11_28\TC_105_Try3.MF4.xz</t>
  </si>
  <si>
    <t>\\abtvdfs2.de.bosch.com\ismdfs\ilm\abt\IMS\Platform\400_Cabin_Sensing_Radar\20_Measurements\07_CANape\Mitsubishi\5K45\MMC4.1.2\Validation\2025_11_28\TC_107_Try1.MF4.xz</t>
  </si>
  <si>
    <t>\\abtvdfs2.de.bosch.com\ismdfs\ilm\abt\IMS\Platform\400_Cabin_Sensing_Radar\20_Measurements\07_CANape\Mitsubishi\5K45\MMC4.1.2\Validation\2025_11_28\TC_107_Try2.MF4.xz</t>
  </si>
  <si>
    <t>\\abtvdfs2.de.bosch.com\ismdfs\ilm\abt\IMS\Platform\400_Cabin_Sensing_Radar\20_Measurements\07_CANape\Mitsubishi\5K45\MMC4.1.2\Validation\2025_11_28\TC_107_Try3.MF4.xz</t>
  </si>
  <si>
    <t>\\abtvdfs2.de.bosch.com\ismdfs\ilm\abt\IMS\Platform\400_Cabin_Sensing_Radar\20_Measurements\07_CANape\Mitsubishi\5K45\MMC4.1.2\Validation\2025_11_28\TC_108_Try1.MF4.xz</t>
  </si>
  <si>
    <t>\\abtvdfs2.de.bosch.com\ismdfs\ilm\abt\IMS\Platform\400_Cabin_Sensing_Radar\20_Measurements\07_CANape\Mitsubishi\5K45\MMC4.1.2\Validation\2025_11_28\TC_108_Try2.MF4.xz</t>
  </si>
  <si>
    <t>\\abtvdfs2.de.bosch.com\ismdfs\ilm\abt\IMS\Platform\400_Cabin_Sensing_Radar\20_Measurements\07_CANape\Mitsubishi\5K45\MMC4.1.2\Validation\2025_11_28\TC_108_Try3.MF4.xz</t>
  </si>
  <si>
    <t>\\abtvdfs2.de.bosch.com\ismdfs\ilm\abt\IMS\Platform\400_Cabin_Sensing_Radar\20_Measurements\07_CANape\Mitsubishi\5K45\MMC4.1.2\Validation\2025_11_28\TC_109_Try1.MF4.xz</t>
  </si>
  <si>
    <t>\\abtvdfs2.de.bosch.com\ismdfs\ilm\abt\IMS\Platform\400_Cabin_Sensing_Radar\20_Measurements\07_CANape\Mitsubishi\5K45\MMC4.1.2\Validation\2025_11_28\TC_109_Try2.MF4.xz</t>
  </si>
  <si>
    <t>\\abtvdfs2.de.bosch.com\ismdfs\ilm\abt\IMS\Platform\400_Cabin_Sensing_Radar\20_Measurements\07_CANape\Mitsubishi\5K45\MMC4.1.2\Validation\2025_11_28\TC_109_Try3.MF4.xz</t>
  </si>
  <si>
    <t>\\abtvdfs2.de.bosch.com\ismdfs\ilm\abt\IMS\Platform\400_Cabin_Sensing_Radar\20_Measurements\07_CANape\Mitsubishi\5K45\MMC4.1.2\Validation\2025_11_28\TC_110_Try1.MF4.xz</t>
  </si>
  <si>
    <t>\\abtvdfs2.de.bosch.com\ismdfs\ilm\abt\IMS\Platform\400_Cabin_Sensing_Radar\20_Measurements\07_CANape\Mitsubishi\5K45\MMC4.1.2\Validation\2025_11_28\TC_110_Try2.MF4.xz</t>
  </si>
  <si>
    <t>\\abtvdfs2.de.bosch.com\ismdfs\ilm\abt\IMS\Platform\400_Cabin_Sensing_Radar\20_Measurements\07_CANape\Mitsubishi\5K45\MMC4.1.2\Validation\2025_11_28\TC_110_Try3.MF4.xz</t>
  </si>
  <si>
    <t>Count of TC ID</t>
  </si>
  <si>
    <t>Real child (N, Y)</t>
  </si>
  <si>
    <t>Row Labels</t>
  </si>
  <si>
    <t>(blank)</t>
  </si>
  <si>
    <t>Grand Total</t>
  </si>
  <si>
    <t>TC_ID</t>
  </si>
  <si>
    <t>Measurement</t>
  </si>
  <si>
    <t>Customer focus</t>
  </si>
  <si>
    <t>Real child [Y/N]</t>
  </si>
  <si>
    <t>Relevant for analysis [1/0]</t>
  </si>
  <si>
    <t>Analysis comment</t>
  </si>
  <si>
    <t>MMC4.1.2\Validation\2025_11_28\orderedByTargetType\ncap3\TC_40_Try_2.MF4.xzRadarFC_Master.json</t>
  </si>
  <si>
    <t>Need to be rerecorded, detaction is deatcivated in mea (CpdFuncActive =5)</t>
  </si>
  <si>
    <t>MMC4.1.2\Validation\2025_11_28\orderedByTargetType\ncap3\TC_40_Try1.MF4.xzRadarFC_Master.json</t>
  </si>
  <si>
    <t>MMC4.1.2\Validation\2025_11_28\orderedByTargetType\ncap3\TC_40_Try3.MF4.xzRadarFC_Master.json</t>
  </si>
  <si>
    <t>MMC4.1.2\Validation\2025_11_28\orderedByTargetType\ncap3\TC_49_Try1.MF4.xzRadarFC_Master.json</t>
  </si>
  <si>
    <t>MMC4.1.2\Validation\2025_11_28\orderedByTargetType\ncap3\TC_49_Try2.MF4.xzRadarFC_Master.json</t>
  </si>
  <si>
    <t>MMC4.1.2\Validation\2025_11_28\orderedByTargetType\ncap3\TC_49_Try3.MF4.xzRadarFC_Master.json</t>
  </si>
  <si>
    <t>MMC5.0.1\5K457EG-11\Real_Child_Measurements\ncap3\CSR_XCP_Signals_Recorder_2025-12-15_11-38-04_TC51_3YO2C_CPD.MF4.xzRadarFC_Master.json</t>
  </si>
  <si>
    <t>debug_activeState_HMI goes to 11, it should be PASSED</t>
  </si>
  <si>
    <t>MMC5.1.0\5K457EG11\ncap3\CSR_XCP_Signals_Recorder_2025-12-23_11-31-20_TC57_CPD.MF4.xzRadarFC_Master.json</t>
  </si>
  <si>
    <t>Incorrect lenght</t>
  </si>
  <si>
    <t>MMC5.1.0\5K457EG11\ncap3\CSR_XCP_Signals_Recorder_2025-12-23_11-32-54_TC57_CPD.MF4.xzRadarFC_Master.json</t>
  </si>
  <si>
    <t>MMC5.1.0\5K457EG11\ncap3\CSR_XCP_Signals_Recorder_2025-12-23_11-34-09_TC57_CPD.MF4.xzRadarFC_Master.json</t>
  </si>
  <si>
    <t>MMC5.1.0\5K457EG11\ncap3\CSR_XCP_Signals_Recorder_2025-12-23_11-36-44_TC57_CPD.MF4.xzRadarFC_Master.json</t>
  </si>
  <si>
    <t>MMC5.1.0\5K457EG11\ncap3\CSR_XCP_Signals_Recorder_2025-12-23_11-39-21_TC57_CPD.MF4.xzRadarFC_Master.json</t>
  </si>
  <si>
    <t>MMC4.1.2\Validation\2025_11_28\orderedByTargetType\ncap3\TC_61_Try1.MF4.xzRadarFC_Master.json</t>
  </si>
  <si>
    <t>MMC4.1.2\Validation\2025_11_28\orderedByTargetType\ncap3\TC_61_Try2.MF4.xzRadarFC_Master.json</t>
  </si>
  <si>
    <t>MMC4.1.2\Validation\2025_11_28\orderedByTargetType\ncap3\TC_61_Try3.MF4.xzRadarFC_Master.json</t>
  </si>
  <si>
    <t>MMC5.1.0\5K457MG47\SmokeTest\ncap3\CPD_SmokeTest_TS68_Try2.MF4.xzRadarFC_Master.json</t>
  </si>
  <si>
    <t>MMC5.1.0\5K457MG47\SmokeTest\ncap3\CPD_SmokeTest_TS68_Try3.MF4.xzRadarFC_Master.json</t>
  </si>
  <si>
    <t>MMC5.1.0\5K457MG47\SmokeTest\ncap3\CPD_SmokeTest_TS68-Try1.MF4.xzRadarFC_Master.json</t>
  </si>
  <si>
    <t>MMC4.1.2\Validation\2025_12_02\ChildAwake\ncap3\TC_69_Try1.MF4.xzRadarFC_Master.json</t>
  </si>
  <si>
    <t>MMC5.0.0_RC3\Real_Child_Tests\ncap3\CSR_XCP_Signals_Recorder_2025-12-10_10-50-49_TC70_6YO2RC_CPD.MF4.xzRadarFC_Master.json</t>
  </si>
  <si>
    <t>MMC5.0.0_RC3\Real_Child_Tests\ncap3\CSR_XCP_Signals_Recorder_2025-12-10_10-52-35_TC70_6YO2RC_CPD.MF4.xzRadarFC_Master.json</t>
  </si>
  <si>
    <t>MMC5.0.0_RC3\Real_Child_Tests\ncap3\CSR_XCP_Signals_Recorder_2025-12-10_10-54-48_TC70_6YO2RC_CPD.MF4.xzRadarFC_Master.json</t>
  </si>
  <si>
    <t>MMC5.0.0_RC3\Real_Child_Tests\ncap3\CSR_XCP_Signals_Recorder_2025-12-10_11-00-30_TC70_6YO2RC_CPD.MF4.xzRadarFC_Master.json</t>
  </si>
  <si>
    <t>MMC5.0.0_RC3\Real_Child_Tests\ncap3\CSR_XCP_Signals_Recorder_2025-12-10_11-02-28_TC70_6YO2RC_CPD.MF4.xzRadarFC_Master.json</t>
  </si>
  <si>
    <t>MMC4.1.2\Validation\2025_11_28\orderedByTargetType\ncap3\TC_71_Try1.MF4.xzRadarFC_Master.json</t>
  </si>
  <si>
    <t>MMC4.1.2\Validation\2025_11_28\orderedByTargetType\ncap3\TC_71_Try2.MF4.xzRadarFC_Master.json</t>
  </si>
  <si>
    <t>MMC4.1.2\Validation\2025_11_28\orderedByTargetType\ncap3\TC_71_Try3.MF4.xzRadarFC_Master.json</t>
  </si>
  <si>
    <t>MMC4.1.2\Validation\2025_11_28\orderedByTargetType\ncap3\TC_72_Try1.MF4.xzRadarFC_Master.json</t>
  </si>
  <si>
    <t>MMC4.1.2\Validation\2025_11_28\orderedByTargetType\ncap3\TC_72_Try2.MF4.xzRadarFC_Master.json</t>
  </si>
  <si>
    <t>MMC4.1.2\Validation\2025_11_28\orderedByTargetType\ncap3\TC_72_Try3.MF4.xzRadarFC_Master.json</t>
  </si>
  <si>
    <t>MMC4.1.2\Validation\2025_12_02\ChildSleep\child\TC_189_Try1.MF4.xzRadarFC_Master.json</t>
  </si>
  <si>
    <t>MMC4.1.2\Validation\2025_12_02\ChildSleep\child\TC_189_Try2.MF4.xzRadarFC_Master.json</t>
  </si>
  <si>
    <t>MMC4.1.2\Validation\2025_12_02\ChildSleep\child\TC_189_Try3.MF4.xzRadarFC_Master.json</t>
  </si>
  <si>
    <t>MMC4.1.2\Validation\2025_12_02\ChildSleep\child\TC_201_Try1.MF4.xzRadarFC_Master.json</t>
  </si>
  <si>
    <t>Incorrent Lenght</t>
  </si>
  <si>
    <t>MMC4.1.2\Validation\2025_12_02\ChildSleep\child\TC_201_Try2.MF4.xzRadarFC_Master.json</t>
  </si>
  <si>
    <t>MMC4.1.2\Validation\2025_12_02\ChildSleep\child\TC_201_Try3.MF4.xzRadarFC_Master.json</t>
  </si>
  <si>
    <t>MMC5.0.1\5K457EG-11\Real_Child_Measurements\ncap3\CSR_XCP_Signals_Recorder_2025-12-15_11-21-43_TC221_6YO_1R_CPD.MF4.xzRadarFC_Master.json</t>
  </si>
  <si>
    <t>6YO 3rd Row Left Seat Kneeling Awake</t>
  </si>
  <si>
    <t>6YO 2nd Row Middle Seat Kneeling Awake</t>
  </si>
  <si>
    <t>Empty Vehicle</t>
  </si>
  <si>
    <t>TargetMeasurementSet</t>
  </si>
  <si>
    <t>Sleep</t>
  </si>
  <si>
    <t>Awake</t>
  </si>
  <si>
    <t>Child 1 State</t>
  </si>
  <si>
    <t>DeepSleep</t>
  </si>
  <si>
    <t>MMC_CPD_NCAP3_TP</t>
  </si>
  <si>
    <t>MMC_CPD_FP_ncap3</t>
  </si>
  <si>
    <t>MMC_CPD_FP_Adult</t>
  </si>
  <si>
    <t>MMC_CPD_FP_Adult_w_child</t>
  </si>
  <si>
    <t>MMC_CPD_FP_Empty</t>
  </si>
  <si>
    <t>MMC_CPD_FP_Liquid</t>
  </si>
  <si>
    <t>MMC_CPD_FP_Phone</t>
  </si>
  <si>
    <t>XC90_CPD_FP_Adult_RainChamber</t>
  </si>
  <si>
    <t>XC90_CPD_FP_Adult_w_child_RainChamber</t>
  </si>
  <si>
    <t>XC90_CPD_NCAP12_RainChamber</t>
  </si>
  <si>
    <t>XC90_CPD_FP_Empty_RainChamber</t>
  </si>
  <si>
    <t>MMC_CPD_FP_Outside</t>
  </si>
  <si>
    <t>MMC_CPD_FP_MovingToy</t>
  </si>
  <si>
    <t>MMC_CPD_FP_StaticToy</t>
  </si>
  <si>
    <t>MMC_CPD_FP_Bag</t>
  </si>
  <si>
    <t>MMC_CPD_NCAP12_AWAKE_TP</t>
  </si>
  <si>
    <t>MMC_CPD_NCAP12_SLEEPING_TP</t>
  </si>
  <si>
    <t>MMC_CPD_NCAP12_ActivityAmbiguous_TP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</si>
</sst>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  <font>
      <sz val="10"/>
      <color theme="1"/>
      <name val="Aptos Narrow"/>
      <family val="2"/>
      <scheme val="minor"/>
    </font>
    <font>
      <u/>
      <sz val="11"/>
      <color rgb="FFFF0000"/>
      <name val="Aptos Narrow"/>
      <family val="2"/>
      <charset val="238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1"/>
      <color theme="10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name val="Aptos Narrow"/>
      <family val="2"/>
      <charset val="238"/>
      <scheme val="minor"/>
    </font>
    <font>
      <sz val="9"/>
      <color rgb="FFFF0000"/>
      <name val="Segoe UI"/>
      <family val="2"/>
    </font>
    <font>
      <sz val="11"/>
      <color rgb="FF00B050"/>
      <name val="Aptos Narrow"/>
      <family val="2"/>
      <charset val="238"/>
      <scheme val="minor"/>
    </font>
    <font>
      <b/>
      <sz val="11"/>
      <name val="Aptos Narrow"/>
      <family val="2"/>
      <scheme val="minor"/>
    </font>
    <font>
      <sz val="10"/>
      <color rgb="FFFF0000"/>
      <name val="Arial Unicode MS"/>
    </font>
    <font>
      <sz val="10"/>
      <color theme="1"/>
      <name val="Arial Unicode MS"/>
    </font>
    <font>
      <u/>
      <sz val="11"/>
      <name val="Aptos Narrow"/>
      <family val="2"/>
      <scheme val="minor"/>
    </font>
    <font>
      <sz val="11"/>
      <color rgb="FFCE9178"/>
      <name val="Consolas"/>
      <family val="3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3" fillId="0" borderId="0"/>
  </cellStyleXfs>
  <cellXfs count="141">
    <xf numFmtId="0" fontId="0" fillId="0" borderId="0" xfId="0"/>
    <xf numFmtId="0" fontId="2" fillId="0" borderId="0" xfId="1" applyFont="1"/>
    <xf numFmtId="0" fontId="0" fillId="2" borderId="0" xfId="0" applyFill="1"/>
    <xf numFmtId="9" fontId="0" fillId="0" borderId="0" xfId="2" applyFont="1"/>
    <xf numFmtId="9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/>
    <xf numFmtId="0" fontId="0" fillId="3" borderId="0" xfId="0" applyFill="1"/>
    <xf numFmtId="0" fontId="0" fillId="0" borderId="1" xfId="0" applyBorder="1" applyAlignment="1">
      <alignment vertical="top"/>
    </xf>
    <xf numFmtId="0" fontId="1" fillId="3" borderId="0" xfId="1" applyFill="1"/>
    <xf numFmtId="0" fontId="6" fillId="0" borderId="0" xfId="0" applyFont="1" applyAlignment="1">
      <alignment horizontal="left"/>
    </xf>
    <xf numFmtId="0" fontId="7" fillId="0" borderId="0" xfId="1" applyFont="1"/>
    <xf numFmtId="0" fontId="9" fillId="0" borderId="0" xfId="0" applyFont="1" applyAlignment="1">
      <alignment horizontal="left"/>
    </xf>
    <xf numFmtId="0" fontId="2" fillId="0" borderId="0" xfId="1" applyFont="1" applyAlignment="1">
      <alignment horizontal="left"/>
    </xf>
    <xf numFmtId="0" fontId="0" fillId="4" borderId="3" xfId="0" applyFill="1" applyBorder="1"/>
    <xf numFmtId="0" fontId="0" fillId="4" borderId="4" xfId="0" applyFill="1" applyBorder="1"/>
    <xf numFmtId="0" fontId="5" fillId="4" borderId="4" xfId="0" applyFont="1" applyFill="1" applyBorder="1"/>
    <xf numFmtId="0" fontId="0" fillId="5" borderId="0" xfId="0" applyFill="1"/>
    <xf numFmtId="0" fontId="0" fillId="5" borderId="3" xfId="0" applyFill="1" applyBorder="1"/>
    <xf numFmtId="0" fontId="0" fillId="5" borderId="4" xfId="0" applyFill="1" applyBorder="1"/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/>
    <xf numFmtId="0" fontId="2" fillId="4" borderId="4" xfId="0" applyFont="1" applyFill="1" applyBorder="1"/>
    <xf numFmtId="0" fontId="2" fillId="5" borderId="4" xfId="0" applyFont="1" applyFill="1" applyBorder="1"/>
    <xf numFmtId="0" fontId="0" fillId="5" borderId="1" xfId="0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0" fillId="6" borderId="3" xfId="0" applyFill="1" applyBorder="1"/>
    <xf numFmtId="0" fontId="0" fillId="6" borderId="4" xfId="0" applyFill="1" applyBorder="1"/>
    <xf numFmtId="0" fontId="0" fillId="7" borderId="0" xfId="0" applyFill="1"/>
    <xf numFmtId="0" fontId="0" fillId="7" borderId="3" xfId="0" applyFill="1" applyBorder="1"/>
    <xf numFmtId="0" fontId="0" fillId="7" borderId="4" xfId="0" applyFill="1" applyBorder="1"/>
    <xf numFmtId="0" fontId="0" fillId="8" borderId="1" xfId="0" applyFill="1" applyBorder="1" applyAlignment="1">
      <alignment vertical="top"/>
    </xf>
    <xf numFmtId="0" fontId="11" fillId="8" borderId="2" xfId="1" applyFont="1" applyFill="1" applyBorder="1" applyAlignment="1">
      <alignment horizontal="left"/>
    </xf>
    <xf numFmtId="0" fontId="1" fillId="8" borderId="0" xfId="1" applyFill="1" applyAlignment="1">
      <alignment horizontal="left"/>
    </xf>
    <xf numFmtId="0" fontId="0" fillId="8" borderId="0" xfId="0" applyFill="1"/>
    <xf numFmtId="0" fontId="2" fillId="8" borderId="2" xfId="1" applyFont="1" applyFill="1" applyBorder="1" applyAlignment="1">
      <alignment horizontal="left"/>
    </xf>
    <xf numFmtId="0" fontId="2" fillId="8" borderId="0" xfId="1" applyFont="1" applyFill="1" applyAlignment="1">
      <alignment horizontal="left"/>
    </xf>
    <xf numFmtId="0" fontId="0" fillId="9" borderId="1" xfId="0" applyFill="1" applyBorder="1" applyAlignment="1">
      <alignment vertical="top"/>
    </xf>
    <xf numFmtId="0" fontId="1" fillId="8" borderId="1" xfId="1" applyFill="1" applyBorder="1" applyAlignment="1">
      <alignment vertical="top"/>
    </xf>
    <xf numFmtId="0" fontId="0" fillId="10" borderId="0" xfId="0" applyFill="1"/>
    <xf numFmtId="0" fontId="0" fillId="8" borderId="0" xfId="0" applyFill="1" applyAlignment="1">
      <alignment vertical="top"/>
    </xf>
    <xf numFmtId="0" fontId="0" fillId="9" borderId="0" xfId="0" applyFill="1"/>
    <xf numFmtId="0" fontId="5" fillId="0" borderId="3" xfId="0" applyFont="1" applyBorder="1"/>
    <xf numFmtId="0" fontId="2" fillId="0" borderId="3" xfId="0" applyFont="1" applyBorder="1"/>
    <xf numFmtId="0" fontId="0" fillId="10" borderId="4" xfId="0" applyFill="1" applyBorder="1"/>
    <xf numFmtId="0" fontId="0" fillId="0" borderId="3" xfId="0" applyBorder="1"/>
    <xf numFmtId="0" fontId="5" fillId="3" borderId="0" xfId="0" applyFont="1" applyFill="1"/>
    <xf numFmtId="0" fontId="5" fillId="2" borderId="0" xfId="0" applyFont="1" applyFill="1"/>
    <xf numFmtId="0" fontId="8" fillId="2" borderId="0" xfId="0" applyFont="1" applyFill="1"/>
    <xf numFmtId="0" fontId="5" fillId="10" borderId="0" xfId="0" applyFont="1" applyFill="1"/>
    <xf numFmtId="0" fontId="4" fillId="2" borderId="0" xfId="0" applyFont="1" applyFill="1"/>
    <xf numFmtId="0" fontId="5" fillId="0" borderId="1" xfId="0" applyFont="1" applyBorder="1" applyAlignment="1">
      <alignment vertical="top"/>
    </xf>
    <xf numFmtId="0" fontId="5" fillId="8" borderId="1" xfId="0" applyFont="1" applyFill="1" applyBorder="1" applyAlignment="1">
      <alignment vertical="top"/>
    </xf>
    <xf numFmtId="0" fontId="7" fillId="9" borderId="0" xfId="1" applyFont="1" applyFill="1"/>
    <xf numFmtId="0" fontId="1" fillId="9" borderId="0" xfId="1" applyFill="1"/>
    <xf numFmtId="0" fontId="12" fillId="0" borderId="0" xfId="0" applyFont="1"/>
    <xf numFmtId="0" fontId="0" fillId="0" borderId="1" xfId="0" applyBorder="1"/>
    <xf numFmtId="0" fontId="8" fillId="0" borderId="1" xfId="0" applyFont="1" applyBorder="1"/>
    <xf numFmtId="0" fontId="8" fillId="0" borderId="1" xfId="0" applyFont="1" applyBorder="1" applyAlignment="1">
      <alignment vertical="top"/>
    </xf>
    <xf numFmtId="0" fontId="8" fillId="0" borderId="0" xfId="1" applyFont="1"/>
    <xf numFmtId="0" fontId="4" fillId="0" borderId="0" xfId="0" applyFont="1" applyAlignment="1">
      <alignment wrapText="1"/>
    </xf>
    <xf numFmtId="0" fontId="14" fillId="0" borderId="0" xfId="1" applyFont="1"/>
    <xf numFmtId="0" fontId="1" fillId="0" borderId="1" xfId="1" applyBorder="1"/>
    <xf numFmtId="0" fontId="10" fillId="0" borderId="1" xfId="1" applyFont="1" applyBorder="1"/>
    <xf numFmtId="0" fontId="5" fillId="0" borderId="1" xfId="0" applyFont="1" applyBorder="1"/>
    <xf numFmtId="0" fontId="0" fillId="0" borderId="2" xfId="0" applyBorder="1"/>
    <xf numFmtId="0" fontId="0" fillId="0" borderId="4" xfId="0" applyBorder="1"/>
    <xf numFmtId="0" fontId="0" fillId="0" borderId="4" xfId="0" applyBorder="1" applyAlignment="1">
      <alignment vertical="top"/>
    </xf>
    <xf numFmtId="0" fontId="2" fillId="0" borderId="4" xfId="0" applyFont="1" applyBorder="1"/>
    <xf numFmtId="0" fontId="1" fillId="0" borderId="0" xfId="1" applyAlignment="1">
      <alignment vertical="top"/>
    </xf>
    <xf numFmtId="0" fontId="11" fillId="0" borderId="0" xfId="1" applyFont="1" applyAlignment="1">
      <alignment horizontal="left"/>
    </xf>
    <xf numFmtId="0" fontId="8" fillId="0" borderId="4" xfId="0" applyFont="1" applyBorder="1"/>
    <xf numFmtId="0" fontId="10" fillId="0" borderId="4" xfId="1" applyFont="1" applyBorder="1"/>
    <xf numFmtId="0" fontId="12" fillId="8" borderId="0" xfId="0" applyFont="1" applyFill="1"/>
    <xf numFmtId="0" fontId="8" fillId="8" borderId="0" xfId="0" applyFont="1" applyFill="1"/>
    <xf numFmtId="0" fontId="5" fillId="8" borderId="0" xfId="0" applyFont="1" applyFill="1"/>
    <xf numFmtId="0" fontId="8" fillId="0" borderId="4" xfId="0" applyFont="1" applyBorder="1" applyAlignment="1">
      <alignment vertical="top"/>
    </xf>
    <xf numFmtId="0" fontId="13" fillId="0" borderId="0" xfId="0" applyFont="1"/>
    <xf numFmtId="0" fontId="12" fillId="8" borderId="3" xfId="0" applyFont="1" applyFill="1" applyBorder="1"/>
    <xf numFmtId="0" fontId="8" fillId="8" borderId="3" xfId="0" applyFont="1" applyFill="1" applyBorder="1"/>
    <xf numFmtId="0" fontId="13" fillId="8" borderId="3" xfId="0" applyFont="1" applyFill="1" applyBorder="1"/>
    <xf numFmtId="0" fontId="2" fillId="0" borderId="0" xfId="0" applyFont="1"/>
    <xf numFmtId="0" fontId="8" fillId="0" borderId="1" xfId="1" applyFont="1" applyBorder="1"/>
    <xf numFmtId="0" fontId="1" fillId="0" borderId="0" xfId="1" applyAlignment="1">
      <alignment horizontal="left"/>
    </xf>
    <xf numFmtId="0" fontId="16" fillId="0" borderId="0" xfId="0" applyFont="1"/>
    <xf numFmtId="0" fontId="5" fillId="0" borderId="0" xfId="1" applyFont="1"/>
    <xf numFmtId="0" fontId="16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6" fillId="7" borderId="5" xfId="0" applyFont="1" applyFill="1" applyBorder="1" applyAlignment="1">
      <alignment horizontal="left"/>
    </xf>
    <xf numFmtId="0" fontId="9" fillId="7" borderId="5" xfId="0" applyFont="1" applyFill="1" applyBorder="1" applyAlignment="1">
      <alignment horizontal="left"/>
    </xf>
    <xf numFmtId="0" fontId="17" fillId="0" borderId="0" xfId="0" applyFont="1"/>
    <xf numFmtId="0" fontId="8" fillId="0" borderId="2" xfId="0" applyFont="1" applyBorder="1"/>
    <xf numFmtId="0" fontId="18" fillId="0" borderId="0" xfId="0" applyFont="1" applyAlignment="1">
      <alignment horizontal="left" wrapText="1"/>
    </xf>
    <xf numFmtId="0" fontId="1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9" fillId="0" borderId="0" xfId="0" applyFont="1" applyAlignment="1">
      <alignment vertical="center"/>
    </xf>
    <xf numFmtId="0" fontId="20" fillId="0" borderId="0" xfId="0" applyFont="1"/>
    <xf numFmtId="0" fontId="0" fillId="3" borderId="1" xfId="0" applyFill="1" applyBorder="1"/>
    <xf numFmtId="0" fontId="0" fillId="8" borderId="3" xfId="0" applyFill="1" applyBorder="1"/>
    <xf numFmtId="0" fontId="13" fillId="8" borderId="0" xfId="0" applyFont="1" applyFill="1"/>
    <xf numFmtId="0" fontId="6" fillId="0" borderId="5" xfId="0" applyFont="1" applyBorder="1" applyAlignment="1">
      <alignment horizontal="left"/>
    </xf>
    <xf numFmtId="0" fontId="0" fillId="0" borderId="5" xfId="0" applyBorder="1"/>
    <xf numFmtId="0" fontId="15" fillId="0" borderId="1" xfId="1" applyFont="1" applyBorder="1"/>
    <xf numFmtId="0" fontId="12" fillId="0" borderId="3" xfId="0" applyFont="1" applyBorder="1"/>
    <xf numFmtId="0" fontId="6" fillId="7" borderId="4" xfId="0" applyFont="1" applyFill="1" applyBorder="1" applyAlignment="1">
      <alignment horizontal="left"/>
    </xf>
    <xf numFmtId="0" fontId="12" fillId="0" borderId="1" xfId="0" applyFont="1" applyBorder="1"/>
    <xf numFmtId="0" fontId="17" fillId="0" borderId="4" xfId="0" applyFont="1" applyBorder="1"/>
    <xf numFmtId="0" fontId="5" fillId="0" borderId="4" xfId="0" applyFont="1" applyBorder="1"/>
    <xf numFmtId="0" fontId="13" fillId="0" borderId="0" xfId="0" applyFont="1" applyAlignment="1">
      <alignment vertical="top"/>
    </xf>
    <xf numFmtId="0" fontId="21" fillId="0" borderId="0" xfId="1" applyFont="1"/>
    <xf numFmtId="0" fontId="8" fillId="0" borderId="3" xfId="0" applyFont="1" applyBorder="1"/>
    <xf numFmtId="0" fontId="6" fillId="7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5" fillId="0" borderId="5" xfId="0" applyFont="1" applyBorder="1"/>
    <xf numFmtId="0" fontId="5" fillId="0" borderId="0" xfId="0" applyFont="1" applyAlignment="1">
      <alignment vertical="center" wrapText="1"/>
    </xf>
    <xf numFmtId="0" fontId="9" fillId="0" borderId="1" xfId="0" applyFont="1" applyBorder="1" applyAlignment="1">
      <alignment horizontal="left"/>
    </xf>
    <xf numFmtId="0" fontId="8" fillId="0" borderId="0" xfId="0" applyFont="1" applyAlignment="1">
      <alignment vertical="center" wrapText="1"/>
    </xf>
    <xf numFmtId="0" fontId="13" fillId="0" borderId="0" xfId="0" quotePrefix="1" applyFont="1" applyAlignment="1">
      <alignment horizontal="left"/>
    </xf>
    <xf numFmtId="0" fontId="5" fillId="0" borderId="0" xfId="0" quotePrefix="1" applyFont="1"/>
    <xf numFmtId="0" fontId="8" fillId="0" borderId="0" xfId="0" quotePrefix="1" applyFont="1"/>
    <xf numFmtId="0" fontId="16" fillId="0" borderId="0" xfId="0" quotePrefix="1" applyFont="1" applyAlignment="1">
      <alignment vertical="center"/>
    </xf>
    <xf numFmtId="0" fontId="16" fillId="0" borderId="0" xfId="0" quotePrefix="1" applyFont="1"/>
    <xf numFmtId="0" fontId="12" fillId="0" borderId="0" xfId="0" applyFont="1" applyAlignment="1">
      <alignment horizontal="left"/>
    </xf>
    <xf numFmtId="0" fontId="9" fillId="7" borderId="4" xfId="0" applyFont="1" applyFill="1" applyBorder="1" applyAlignment="1">
      <alignment horizontal="left"/>
    </xf>
    <xf numFmtId="0" fontId="0" fillId="11" borderId="0" xfId="0" applyFill="1"/>
    <xf numFmtId="0" fontId="1" fillId="0" borderId="0" xfId="1"/>
    <xf numFmtId="0" fontId="8" fillId="0" borderId="0" xfId="0" applyFont="1"/>
    <xf numFmtId="0" fontId="10" fillId="0" borderId="0" xfId="1" applyFont="1"/>
    <xf numFmtId="0" fontId="0" fillId="0" borderId="0" xfId="0" applyAlignment="1">
      <alignment vertical="top"/>
    </xf>
    <xf numFmtId="0" fontId="0" fillId="0" borderId="0" xfId="0"/>
    <xf numFmtId="0" fontId="15" fillId="0" borderId="0" xfId="1" applyFont="1"/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5" fillId="0" borderId="0" xfId="0" applyFont="1"/>
    <xf numFmtId="0" fontId="22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23" fillId="0" borderId="0" xfId="0" applyFont="1"/>
  </cellXfs>
  <cellStyles count="3">
    <cellStyle name="Hyperlink" xfId="1" builtinId="8"/>
    <cellStyle name="Normal" xfId="0" builtinId="0"/>
    <cellStyle name="Percent" xfId="2" builtinId="5"/>
  </cellStyles>
  <dxfs count="1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tnt2bp_bosch_com/Documents/Documents/01_GrL/02_Project/11_CSR/Reports/val_60_fixed/MMC_5K45_CSR_CPD_Test_Catalogue_measurement_campaign_6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D_SOP_new"/>
      <sheetName val="Sheet2"/>
      <sheetName val="New measurement folders"/>
      <sheetName val="Measurement database"/>
      <sheetName val="Sheet1"/>
      <sheetName val="test scenario in JP"/>
      <sheetName val="How-to-read Test scenario sheet"/>
      <sheetName val="CRS types"/>
      <sheetName val="Dummy"/>
      <sheetName val="Temp"/>
      <sheetName val="Opt(Novelic)_CPD_SOP"/>
      <sheetName val="CPD_Real_child_Planning"/>
      <sheetName val="CPD_Real_Child_Risky_Tests"/>
    </sheetNames>
    <sheetDataSet>
      <sheetData sheetId="0">
        <row r="1">
          <cell r="A1"/>
          <cell r="K1"/>
        </row>
        <row r="2">
          <cell r="A2"/>
          <cell r="K2"/>
        </row>
        <row r="3">
          <cell r="A3"/>
          <cell r="K3"/>
        </row>
        <row r="4">
          <cell r="A4" t="str">
            <v>Scenario No.</v>
          </cell>
          <cell r="K4" t="str">
            <v>Seat position</v>
          </cell>
        </row>
        <row r="5">
          <cell r="A5">
            <v>1</v>
          </cell>
          <cell r="K5"/>
        </row>
        <row r="6">
          <cell r="A6">
            <v>2</v>
          </cell>
          <cell r="K6" t="str">
            <v>1P</v>
          </cell>
        </row>
        <row r="7">
          <cell r="A7">
            <v>3</v>
          </cell>
          <cell r="K7" t="str">
            <v>2R</v>
          </cell>
        </row>
        <row r="8">
          <cell r="A8">
            <v>4</v>
          </cell>
          <cell r="K8"/>
        </row>
        <row r="9">
          <cell r="A9">
            <v>5</v>
          </cell>
          <cell r="K9" t="str">
            <v>2L</v>
          </cell>
        </row>
        <row r="10">
          <cell r="A10">
            <v>6</v>
          </cell>
          <cell r="K10"/>
        </row>
        <row r="11">
          <cell r="A11">
            <v>7</v>
          </cell>
          <cell r="K11" t="str">
            <v>3R</v>
          </cell>
        </row>
        <row r="12">
          <cell r="A12">
            <v>8</v>
          </cell>
          <cell r="K12"/>
        </row>
        <row r="13">
          <cell r="A13">
            <v>9</v>
          </cell>
          <cell r="K13" t="str">
            <v>1P</v>
          </cell>
        </row>
        <row r="14">
          <cell r="A14">
            <v>10</v>
          </cell>
          <cell r="K14" t="str">
            <v>2R</v>
          </cell>
        </row>
        <row r="15">
          <cell r="A15">
            <v>11</v>
          </cell>
          <cell r="K15" t="str">
            <v>2L</v>
          </cell>
        </row>
        <row r="16">
          <cell r="A16">
            <v>12</v>
          </cell>
          <cell r="K16" t="str">
            <v>2L</v>
          </cell>
        </row>
        <row r="17">
          <cell r="A17">
            <v>13</v>
          </cell>
          <cell r="K17" t="str">
            <v>2C</v>
          </cell>
        </row>
        <row r="18">
          <cell r="A18">
            <v>14</v>
          </cell>
          <cell r="K18" t="str">
            <v>3R</v>
          </cell>
        </row>
        <row r="19">
          <cell r="A19">
            <v>15</v>
          </cell>
          <cell r="K19" t="str">
            <v>3R</v>
          </cell>
        </row>
        <row r="20">
          <cell r="A20">
            <v>16</v>
          </cell>
          <cell r="K20" t="str">
            <v>3L</v>
          </cell>
        </row>
        <row r="21">
          <cell r="A21">
            <v>17</v>
          </cell>
          <cell r="K21" t="str">
            <v>1P</v>
          </cell>
        </row>
        <row r="22">
          <cell r="A22">
            <v>18</v>
          </cell>
          <cell r="K22" t="str">
            <v>2R</v>
          </cell>
        </row>
        <row r="23">
          <cell r="A23">
            <v>19</v>
          </cell>
          <cell r="K23" t="str">
            <v>2L</v>
          </cell>
        </row>
        <row r="24">
          <cell r="A24">
            <v>20</v>
          </cell>
          <cell r="K24" t="str">
            <v>2C</v>
          </cell>
        </row>
        <row r="25">
          <cell r="A25">
            <v>21</v>
          </cell>
          <cell r="K25" t="str">
            <v>3R</v>
          </cell>
        </row>
        <row r="26">
          <cell r="A26">
            <v>22</v>
          </cell>
          <cell r="K26" t="str">
            <v>3L</v>
          </cell>
        </row>
        <row r="27">
          <cell r="A27">
            <v>23</v>
          </cell>
          <cell r="K27" t="str">
            <v>1P</v>
          </cell>
        </row>
        <row r="28">
          <cell r="A28">
            <v>24</v>
          </cell>
          <cell r="K28" t="str">
            <v>2R</v>
          </cell>
        </row>
        <row r="29">
          <cell r="A29">
            <v>25</v>
          </cell>
          <cell r="K29" t="str">
            <v>2L</v>
          </cell>
        </row>
        <row r="30">
          <cell r="A30">
            <v>26</v>
          </cell>
          <cell r="K30" t="str">
            <v>2C</v>
          </cell>
        </row>
        <row r="31">
          <cell r="A31">
            <v>27</v>
          </cell>
          <cell r="K31" t="str">
            <v>3R</v>
          </cell>
        </row>
        <row r="32">
          <cell r="A32">
            <v>28</v>
          </cell>
          <cell r="K32" t="str">
            <v>3L</v>
          </cell>
        </row>
        <row r="33">
          <cell r="A33">
            <v>29</v>
          </cell>
          <cell r="K33" t="str">
            <v>1P+2C</v>
          </cell>
        </row>
        <row r="34">
          <cell r="A34">
            <v>30</v>
          </cell>
          <cell r="K34" t="str">
            <v>2R+3R</v>
          </cell>
        </row>
        <row r="35">
          <cell r="A35">
            <v>31</v>
          </cell>
          <cell r="K35" t="str">
            <v>1D</v>
          </cell>
        </row>
        <row r="36">
          <cell r="A36">
            <v>32</v>
          </cell>
          <cell r="K36" t="str">
            <v>1D</v>
          </cell>
        </row>
        <row r="37">
          <cell r="A37">
            <v>33</v>
          </cell>
          <cell r="K37" t="str">
            <v>1D</v>
          </cell>
        </row>
        <row r="38">
          <cell r="A38">
            <v>34</v>
          </cell>
          <cell r="K38" t="str">
            <v>1D</v>
          </cell>
        </row>
        <row r="39">
          <cell r="A39">
            <v>35</v>
          </cell>
          <cell r="K39" t="str">
            <v>1D</v>
          </cell>
        </row>
        <row r="40">
          <cell r="A40">
            <v>36</v>
          </cell>
          <cell r="K40" t="str">
            <v>1D</v>
          </cell>
        </row>
        <row r="41">
          <cell r="A41">
            <v>37</v>
          </cell>
          <cell r="K41" t="str">
            <v>1D</v>
          </cell>
        </row>
        <row r="42">
          <cell r="A42">
            <v>38</v>
          </cell>
          <cell r="K42" t="str">
            <v>1D</v>
          </cell>
        </row>
        <row r="43">
          <cell r="A43">
            <v>39</v>
          </cell>
          <cell r="K43" t="str">
            <v>1P</v>
          </cell>
        </row>
        <row r="44">
          <cell r="A44">
            <v>40</v>
          </cell>
          <cell r="K44" t="str">
            <v>1D</v>
          </cell>
        </row>
        <row r="45">
          <cell r="A45">
            <v>41</v>
          </cell>
          <cell r="K45" t="str">
            <v>1D</v>
          </cell>
        </row>
        <row r="46">
          <cell r="A46">
            <v>42</v>
          </cell>
          <cell r="K46" t="str">
            <v>1D</v>
          </cell>
        </row>
        <row r="47">
          <cell r="A47">
            <v>43</v>
          </cell>
          <cell r="K47" t="str">
            <v>1D</v>
          </cell>
        </row>
        <row r="48">
          <cell r="A48">
            <v>44</v>
          </cell>
          <cell r="K48" t="str">
            <v>1D</v>
          </cell>
        </row>
        <row r="49">
          <cell r="A49">
            <v>45</v>
          </cell>
          <cell r="K49" t="str">
            <v>1D</v>
          </cell>
        </row>
        <row r="50">
          <cell r="A50">
            <v>46</v>
          </cell>
          <cell r="K50" t="str">
            <v>1D</v>
          </cell>
        </row>
        <row r="51">
          <cell r="A51">
            <v>47</v>
          </cell>
          <cell r="K51" t="str">
            <v>1D</v>
          </cell>
        </row>
        <row r="52">
          <cell r="A52">
            <v>48</v>
          </cell>
          <cell r="K52" t="str">
            <v>2R</v>
          </cell>
        </row>
        <row r="53">
          <cell r="A53">
            <v>49</v>
          </cell>
          <cell r="K53" t="str">
            <v>2L</v>
          </cell>
        </row>
        <row r="54">
          <cell r="A54">
            <v>50</v>
          </cell>
          <cell r="K54" t="str">
            <v>2C</v>
          </cell>
        </row>
        <row r="55">
          <cell r="A55">
            <v>51</v>
          </cell>
          <cell r="K55" t="str">
            <v>2C</v>
          </cell>
        </row>
        <row r="56">
          <cell r="A56">
            <v>52</v>
          </cell>
          <cell r="K56" t="str">
            <v>2C</v>
          </cell>
        </row>
        <row r="57">
          <cell r="A57">
            <v>53</v>
          </cell>
          <cell r="K57" t="str">
            <v>2C</v>
          </cell>
        </row>
        <row r="58">
          <cell r="A58">
            <v>54</v>
          </cell>
          <cell r="K58" t="str">
            <v>3R</v>
          </cell>
        </row>
        <row r="59">
          <cell r="A59">
            <v>55</v>
          </cell>
          <cell r="K59" t="str">
            <v>3L</v>
          </cell>
        </row>
        <row r="60">
          <cell r="A60">
            <v>56</v>
          </cell>
          <cell r="K60" t="str">
            <v>F1D</v>
          </cell>
        </row>
        <row r="61">
          <cell r="A61">
            <v>57</v>
          </cell>
          <cell r="K61" t="str">
            <v>F1P</v>
          </cell>
        </row>
        <row r="62">
          <cell r="A62">
            <v>58</v>
          </cell>
          <cell r="K62" t="str">
            <v>F1P</v>
          </cell>
        </row>
        <row r="63">
          <cell r="A63">
            <v>59</v>
          </cell>
          <cell r="K63" t="str">
            <v>F2R</v>
          </cell>
        </row>
        <row r="64">
          <cell r="A64">
            <v>60</v>
          </cell>
          <cell r="K64" t="str">
            <v>F2L</v>
          </cell>
        </row>
        <row r="65">
          <cell r="A65">
            <v>61</v>
          </cell>
          <cell r="K65" t="str">
            <v>F2C</v>
          </cell>
        </row>
        <row r="66">
          <cell r="A66">
            <v>62</v>
          </cell>
          <cell r="K66" t="str">
            <v>F3R</v>
          </cell>
        </row>
        <row r="67">
          <cell r="A67">
            <v>63</v>
          </cell>
          <cell r="K67" t="str">
            <v>F3L</v>
          </cell>
        </row>
        <row r="68">
          <cell r="A68">
            <v>64</v>
          </cell>
          <cell r="K68" t="str">
            <v>F3L</v>
          </cell>
        </row>
        <row r="69">
          <cell r="A69">
            <v>65</v>
          </cell>
          <cell r="K69" t="str">
            <v>1P</v>
          </cell>
        </row>
        <row r="70">
          <cell r="A70">
            <v>66</v>
          </cell>
          <cell r="K70" t="str">
            <v>2R</v>
          </cell>
        </row>
        <row r="71">
          <cell r="A71">
            <v>67</v>
          </cell>
          <cell r="K71" t="str">
            <v>2R</v>
          </cell>
        </row>
        <row r="72">
          <cell r="A72">
            <v>68</v>
          </cell>
          <cell r="K72" t="str">
            <v>2L</v>
          </cell>
        </row>
        <row r="73">
          <cell r="A73">
            <v>69</v>
          </cell>
          <cell r="K73" t="str">
            <v>2L</v>
          </cell>
        </row>
        <row r="74">
          <cell r="A74">
            <v>70</v>
          </cell>
          <cell r="K74" t="str">
            <v>2C</v>
          </cell>
        </row>
        <row r="75">
          <cell r="A75">
            <v>71</v>
          </cell>
          <cell r="K75" t="str">
            <v>3R</v>
          </cell>
        </row>
        <row r="76">
          <cell r="A76">
            <v>72</v>
          </cell>
          <cell r="K76" t="str">
            <v>3R</v>
          </cell>
        </row>
        <row r="77">
          <cell r="A77">
            <v>73</v>
          </cell>
          <cell r="K77" t="str">
            <v>3R</v>
          </cell>
        </row>
        <row r="78">
          <cell r="A78">
            <v>74</v>
          </cell>
          <cell r="K78" t="str">
            <v>3L</v>
          </cell>
        </row>
        <row r="79">
          <cell r="A79">
            <v>75</v>
          </cell>
          <cell r="K79"/>
        </row>
        <row r="80">
          <cell r="A80">
            <v>76</v>
          </cell>
          <cell r="K80"/>
        </row>
        <row r="81">
          <cell r="A81">
            <v>77</v>
          </cell>
          <cell r="K81"/>
        </row>
        <row r="82">
          <cell r="A82">
            <v>78</v>
          </cell>
          <cell r="K82"/>
        </row>
        <row r="83">
          <cell r="A83">
            <v>79</v>
          </cell>
          <cell r="K83" t="str">
            <v>F2L</v>
          </cell>
        </row>
        <row r="84">
          <cell r="A84">
            <v>80</v>
          </cell>
          <cell r="K84"/>
        </row>
        <row r="85">
          <cell r="A85">
            <v>81</v>
          </cell>
          <cell r="K85"/>
        </row>
        <row r="86">
          <cell r="A86">
            <v>82</v>
          </cell>
          <cell r="K86"/>
        </row>
        <row r="87">
          <cell r="A87">
            <v>83</v>
          </cell>
          <cell r="K87"/>
        </row>
        <row r="88">
          <cell r="A88">
            <v>84</v>
          </cell>
          <cell r="K88" t="str">
            <v>1D+2L</v>
          </cell>
        </row>
        <row r="89">
          <cell r="A89">
            <v>85</v>
          </cell>
          <cell r="K89" t="str">
            <v>1D+3R</v>
          </cell>
        </row>
        <row r="90">
          <cell r="A90">
            <v>86</v>
          </cell>
          <cell r="K90" t="str">
            <v>1D+3L</v>
          </cell>
        </row>
        <row r="91">
          <cell r="A91">
            <v>87</v>
          </cell>
          <cell r="K91" t="str">
            <v>1D+F2R</v>
          </cell>
        </row>
        <row r="92">
          <cell r="A92">
            <v>88</v>
          </cell>
          <cell r="K92" t="str">
            <v>1D+F3L</v>
          </cell>
        </row>
        <row r="93">
          <cell r="A93">
            <v>89</v>
          </cell>
          <cell r="K93" t="str">
            <v>1D+1P</v>
          </cell>
        </row>
        <row r="94">
          <cell r="A94">
            <v>90</v>
          </cell>
          <cell r="K94" t="str">
            <v>1D+2L</v>
          </cell>
        </row>
        <row r="95">
          <cell r="A95">
            <v>91</v>
          </cell>
          <cell r="K95" t="str">
            <v>1D+3L</v>
          </cell>
        </row>
        <row r="96">
          <cell r="A96">
            <v>92</v>
          </cell>
          <cell r="K96" t="str">
            <v>1D+F2R</v>
          </cell>
        </row>
        <row r="97">
          <cell r="A97">
            <v>93</v>
          </cell>
          <cell r="K97" t="str">
            <v>1D+F3L</v>
          </cell>
        </row>
        <row r="98">
          <cell r="A98">
            <v>94</v>
          </cell>
          <cell r="K98" t="str">
            <v>1D+1P</v>
          </cell>
        </row>
        <row r="99">
          <cell r="A99">
            <v>95</v>
          </cell>
          <cell r="K99" t="str">
            <v>1D+2R</v>
          </cell>
        </row>
        <row r="100">
          <cell r="A100">
            <v>96</v>
          </cell>
          <cell r="K100" t="str">
            <v>1D+2C</v>
          </cell>
        </row>
        <row r="101">
          <cell r="A101">
            <v>97</v>
          </cell>
          <cell r="K101" t="str">
            <v>1P+2L</v>
          </cell>
        </row>
        <row r="102">
          <cell r="A102">
            <v>98</v>
          </cell>
          <cell r="K102" t="str">
            <v>2L+3R</v>
          </cell>
        </row>
        <row r="103">
          <cell r="A103">
            <v>99</v>
          </cell>
          <cell r="K103" t="str">
            <v>1P+3L</v>
          </cell>
        </row>
        <row r="104">
          <cell r="A104">
            <v>100</v>
          </cell>
          <cell r="K104" t="str">
            <v>2R+2C</v>
          </cell>
        </row>
        <row r="105">
          <cell r="A105">
            <v>101</v>
          </cell>
          <cell r="K105" t="str">
            <v>3R+3L</v>
          </cell>
        </row>
        <row r="106">
          <cell r="A106">
            <v>102</v>
          </cell>
          <cell r="K106" t="str">
            <v>1D</v>
          </cell>
        </row>
        <row r="107">
          <cell r="A107">
            <v>103</v>
          </cell>
          <cell r="K107" t="str">
            <v>1P</v>
          </cell>
        </row>
        <row r="108">
          <cell r="A108">
            <v>104</v>
          </cell>
          <cell r="K108" t="str">
            <v>2R</v>
          </cell>
        </row>
        <row r="109">
          <cell r="A109">
            <v>105</v>
          </cell>
          <cell r="K109" t="str">
            <v>2C</v>
          </cell>
        </row>
        <row r="110">
          <cell r="A110">
            <v>106</v>
          </cell>
          <cell r="K110" t="str">
            <v>1P+2L</v>
          </cell>
        </row>
        <row r="111">
          <cell r="A111">
            <v>107</v>
          </cell>
          <cell r="K111" t="str">
            <v>F2L</v>
          </cell>
        </row>
        <row r="112">
          <cell r="A112">
            <v>108</v>
          </cell>
          <cell r="K112" t="str">
            <v>F3R</v>
          </cell>
        </row>
        <row r="113">
          <cell r="A113">
            <v>109</v>
          </cell>
          <cell r="K113" t="str">
            <v>3R</v>
          </cell>
        </row>
        <row r="114">
          <cell r="A114">
            <v>110</v>
          </cell>
          <cell r="K114" t="str">
            <v>3L</v>
          </cell>
        </row>
        <row r="115">
          <cell r="A115">
            <v>111</v>
          </cell>
          <cell r="K115"/>
        </row>
        <row r="116">
          <cell r="A116">
            <v>112</v>
          </cell>
          <cell r="K116"/>
        </row>
        <row r="117">
          <cell r="A117">
            <v>113</v>
          </cell>
          <cell r="K117"/>
        </row>
        <row r="118">
          <cell r="A118">
            <v>114</v>
          </cell>
          <cell r="K118"/>
        </row>
        <row r="119">
          <cell r="A119">
            <v>115</v>
          </cell>
          <cell r="K119"/>
        </row>
        <row r="120">
          <cell r="A120">
            <v>116</v>
          </cell>
          <cell r="K120"/>
        </row>
        <row r="121">
          <cell r="A121">
            <v>117</v>
          </cell>
          <cell r="K121"/>
        </row>
        <row r="122">
          <cell r="A122">
            <v>118</v>
          </cell>
          <cell r="K122"/>
        </row>
        <row r="123">
          <cell r="A123">
            <v>119</v>
          </cell>
          <cell r="K123"/>
        </row>
        <row r="124">
          <cell r="A124">
            <v>120</v>
          </cell>
          <cell r="K124"/>
        </row>
        <row r="125">
          <cell r="A125">
            <v>121</v>
          </cell>
          <cell r="K125"/>
        </row>
        <row r="126">
          <cell r="A126">
            <v>122</v>
          </cell>
          <cell r="K126"/>
        </row>
        <row r="127">
          <cell r="A127">
            <v>123</v>
          </cell>
          <cell r="K127"/>
        </row>
        <row r="128">
          <cell r="A128">
            <v>124</v>
          </cell>
          <cell r="K128"/>
        </row>
        <row r="129">
          <cell r="A129">
            <v>125</v>
          </cell>
          <cell r="K129"/>
        </row>
        <row r="130">
          <cell r="A130">
            <v>126</v>
          </cell>
          <cell r="K130" t="str">
            <v>2R+3L</v>
          </cell>
        </row>
        <row r="131">
          <cell r="A131">
            <v>127</v>
          </cell>
          <cell r="K131" t="str">
            <v>1P+2L</v>
          </cell>
        </row>
        <row r="132">
          <cell r="A132">
            <v>128</v>
          </cell>
          <cell r="K132" t="str">
            <v>2R+3L</v>
          </cell>
        </row>
        <row r="133">
          <cell r="A133">
            <v>129</v>
          </cell>
          <cell r="K133" t="str">
            <v>1P+2R</v>
          </cell>
        </row>
        <row r="134">
          <cell r="A134">
            <v>130</v>
          </cell>
          <cell r="K134" t="str">
            <v>2R+3R</v>
          </cell>
        </row>
        <row r="135">
          <cell r="A135">
            <v>131</v>
          </cell>
          <cell r="K135" t="str">
            <v>1P+2L</v>
          </cell>
        </row>
        <row r="136">
          <cell r="A136">
            <v>132</v>
          </cell>
          <cell r="K136" t="str">
            <v>1D+F1P</v>
          </cell>
        </row>
        <row r="137">
          <cell r="A137">
            <v>133</v>
          </cell>
          <cell r="K137" t="str">
            <v>1P+F2R</v>
          </cell>
        </row>
        <row r="138">
          <cell r="A138">
            <v>134</v>
          </cell>
          <cell r="K138" t="str">
            <v>2R+F2L</v>
          </cell>
        </row>
        <row r="139">
          <cell r="A139">
            <v>135</v>
          </cell>
          <cell r="K139" t="str">
            <v>2L+F2C</v>
          </cell>
        </row>
        <row r="140">
          <cell r="A140">
            <v>136</v>
          </cell>
          <cell r="K140" t="str">
            <v>2C+F3R</v>
          </cell>
        </row>
        <row r="141">
          <cell r="A141">
            <v>137</v>
          </cell>
          <cell r="K141" t="str">
            <v>3R+F3L</v>
          </cell>
        </row>
        <row r="142">
          <cell r="A142">
            <v>138</v>
          </cell>
          <cell r="K142" t="str">
            <v>3L+F1D</v>
          </cell>
        </row>
        <row r="143">
          <cell r="A143">
            <v>139</v>
          </cell>
          <cell r="K143" t="str">
            <v>1P+F1D</v>
          </cell>
        </row>
        <row r="144">
          <cell r="A144">
            <v>140</v>
          </cell>
          <cell r="K144" t="str">
            <v>2R+F1P</v>
          </cell>
        </row>
        <row r="145">
          <cell r="A145">
            <v>141</v>
          </cell>
          <cell r="K145" t="str">
            <v>2L+F2R</v>
          </cell>
        </row>
        <row r="146">
          <cell r="A146">
            <v>142</v>
          </cell>
          <cell r="K146" t="str">
            <v>2C+F2L</v>
          </cell>
        </row>
        <row r="147">
          <cell r="A147">
            <v>143</v>
          </cell>
          <cell r="K147" t="str">
            <v>3R+F2C</v>
          </cell>
        </row>
        <row r="148">
          <cell r="A148">
            <v>144</v>
          </cell>
          <cell r="K148" t="str">
            <v>3L+F3R</v>
          </cell>
        </row>
        <row r="149">
          <cell r="A149">
            <v>145</v>
          </cell>
          <cell r="K149" t="str">
            <v>1D+F3L</v>
          </cell>
        </row>
        <row r="150">
          <cell r="A150">
            <v>146</v>
          </cell>
          <cell r="K150" t="str">
            <v>1D</v>
          </cell>
        </row>
        <row r="151">
          <cell r="A151">
            <v>147</v>
          </cell>
          <cell r="K151" t="str">
            <v>1P</v>
          </cell>
        </row>
        <row r="152">
          <cell r="A152">
            <v>148</v>
          </cell>
          <cell r="K152" t="str">
            <v>2R</v>
          </cell>
        </row>
        <row r="153">
          <cell r="A153">
            <v>149</v>
          </cell>
          <cell r="K153" t="str">
            <v>2L</v>
          </cell>
        </row>
        <row r="154">
          <cell r="A154">
            <v>150</v>
          </cell>
          <cell r="K154" t="str">
            <v>2C</v>
          </cell>
        </row>
        <row r="155">
          <cell r="A155">
            <v>151</v>
          </cell>
          <cell r="K155" t="str">
            <v>3R</v>
          </cell>
        </row>
        <row r="156">
          <cell r="A156">
            <v>152</v>
          </cell>
          <cell r="K156" t="str">
            <v>3L</v>
          </cell>
        </row>
        <row r="157">
          <cell r="A157">
            <v>153</v>
          </cell>
          <cell r="K157" t="str">
            <v>F1D</v>
          </cell>
        </row>
        <row r="158">
          <cell r="A158">
            <v>154</v>
          </cell>
          <cell r="K158" t="str">
            <v>F1P</v>
          </cell>
        </row>
        <row r="159">
          <cell r="A159">
            <v>155</v>
          </cell>
          <cell r="K159" t="str">
            <v>F2R</v>
          </cell>
        </row>
        <row r="160">
          <cell r="A160">
            <v>156</v>
          </cell>
          <cell r="K160" t="str">
            <v>F2L</v>
          </cell>
        </row>
        <row r="161">
          <cell r="A161">
            <v>157</v>
          </cell>
          <cell r="K161" t="str">
            <v>F2C</v>
          </cell>
        </row>
        <row r="162">
          <cell r="A162">
            <v>158</v>
          </cell>
          <cell r="K162" t="str">
            <v>F3R</v>
          </cell>
        </row>
        <row r="163">
          <cell r="A163">
            <v>159</v>
          </cell>
          <cell r="K163" t="str">
            <v>F3L</v>
          </cell>
        </row>
        <row r="164">
          <cell r="A164">
            <v>160</v>
          </cell>
          <cell r="K164" t="str">
            <v>1D</v>
          </cell>
        </row>
        <row r="165">
          <cell r="A165">
            <v>161</v>
          </cell>
          <cell r="K165" t="str">
            <v>1P</v>
          </cell>
        </row>
        <row r="166">
          <cell r="A166">
            <v>162</v>
          </cell>
          <cell r="K166" t="str">
            <v>2R</v>
          </cell>
        </row>
        <row r="167">
          <cell r="A167">
            <v>163</v>
          </cell>
          <cell r="K167" t="str">
            <v>2L</v>
          </cell>
        </row>
        <row r="168">
          <cell r="A168">
            <v>164</v>
          </cell>
          <cell r="K168" t="str">
            <v>2C</v>
          </cell>
        </row>
        <row r="169">
          <cell r="A169">
            <v>165</v>
          </cell>
          <cell r="K169" t="str">
            <v>3R</v>
          </cell>
        </row>
        <row r="170">
          <cell r="A170">
            <v>166</v>
          </cell>
          <cell r="K170" t="str">
            <v>3L</v>
          </cell>
        </row>
        <row r="171">
          <cell r="A171">
            <v>167</v>
          </cell>
          <cell r="K171" t="str">
            <v>F1D</v>
          </cell>
        </row>
        <row r="172">
          <cell r="A172">
            <v>168</v>
          </cell>
          <cell r="K172" t="str">
            <v>F1P</v>
          </cell>
        </row>
        <row r="173">
          <cell r="A173">
            <v>169</v>
          </cell>
          <cell r="K173" t="str">
            <v>F2R</v>
          </cell>
        </row>
        <row r="174">
          <cell r="A174">
            <v>170</v>
          </cell>
          <cell r="K174" t="str">
            <v>F2L</v>
          </cell>
        </row>
        <row r="175">
          <cell r="A175">
            <v>171</v>
          </cell>
          <cell r="K175" t="str">
            <v>F2C</v>
          </cell>
        </row>
        <row r="176">
          <cell r="A176">
            <v>172</v>
          </cell>
          <cell r="K176" t="str">
            <v>F3R</v>
          </cell>
        </row>
        <row r="177">
          <cell r="A177">
            <v>173</v>
          </cell>
          <cell r="K177" t="str">
            <v>F3L</v>
          </cell>
        </row>
        <row r="178">
          <cell r="A178">
            <v>174</v>
          </cell>
          <cell r="K178"/>
        </row>
        <row r="179">
          <cell r="A179">
            <v>175</v>
          </cell>
          <cell r="K179"/>
        </row>
        <row r="180">
          <cell r="A180">
            <v>176</v>
          </cell>
          <cell r="K180" t="str">
            <v>2R</v>
          </cell>
        </row>
        <row r="181">
          <cell r="A181">
            <v>177</v>
          </cell>
          <cell r="K181" t="str">
            <v>2L</v>
          </cell>
        </row>
        <row r="182">
          <cell r="A182">
            <v>178</v>
          </cell>
          <cell r="K182" t="str">
            <v>2R+3R</v>
          </cell>
        </row>
        <row r="183">
          <cell r="A183">
            <v>179</v>
          </cell>
          <cell r="K183" t="str">
            <v>2L+3L</v>
          </cell>
        </row>
        <row r="184">
          <cell r="A184">
            <v>180</v>
          </cell>
          <cell r="K184" t="str">
            <v>3R</v>
          </cell>
        </row>
        <row r="185">
          <cell r="A185">
            <v>181</v>
          </cell>
          <cell r="K185" t="str">
            <v>3L</v>
          </cell>
        </row>
        <row r="186">
          <cell r="A186">
            <v>182</v>
          </cell>
          <cell r="K186" t="str">
            <v>1P</v>
          </cell>
        </row>
        <row r="187">
          <cell r="A187">
            <v>183</v>
          </cell>
          <cell r="K187" t="str">
            <v>2R</v>
          </cell>
        </row>
        <row r="188">
          <cell r="A188">
            <v>184</v>
          </cell>
          <cell r="K188" t="str">
            <v>2L</v>
          </cell>
        </row>
        <row r="189">
          <cell r="A189">
            <v>185</v>
          </cell>
          <cell r="K189" t="str">
            <v>2C</v>
          </cell>
        </row>
        <row r="190">
          <cell r="A190">
            <v>186</v>
          </cell>
          <cell r="K190" t="str">
            <v>3R</v>
          </cell>
        </row>
        <row r="191">
          <cell r="A191">
            <v>187</v>
          </cell>
          <cell r="K191" t="str">
            <v>3L</v>
          </cell>
        </row>
        <row r="192">
          <cell r="A192">
            <v>188</v>
          </cell>
          <cell r="K192" t="str">
            <v>1P</v>
          </cell>
        </row>
        <row r="193">
          <cell r="A193">
            <v>189</v>
          </cell>
          <cell r="K193" t="str">
            <v>2R</v>
          </cell>
        </row>
        <row r="194">
          <cell r="A194">
            <v>190</v>
          </cell>
          <cell r="K194" t="str">
            <v>2L</v>
          </cell>
        </row>
        <row r="195">
          <cell r="A195">
            <v>191</v>
          </cell>
          <cell r="K195" t="str">
            <v>2C</v>
          </cell>
        </row>
        <row r="196">
          <cell r="A196">
            <v>192</v>
          </cell>
          <cell r="K196" t="str">
            <v>3R</v>
          </cell>
        </row>
        <row r="197">
          <cell r="A197">
            <v>193</v>
          </cell>
          <cell r="K197" t="str">
            <v>3L</v>
          </cell>
        </row>
        <row r="198">
          <cell r="A198">
            <v>194</v>
          </cell>
          <cell r="K198" t="str">
            <v>1P</v>
          </cell>
        </row>
        <row r="199">
          <cell r="A199">
            <v>195</v>
          </cell>
          <cell r="K199" t="str">
            <v>2R</v>
          </cell>
        </row>
        <row r="200">
          <cell r="A200">
            <v>196</v>
          </cell>
          <cell r="K200" t="str">
            <v>2L</v>
          </cell>
        </row>
        <row r="201">
          <cell r="A201">
            <v>197</v>
          </cell>
          <cell r="K201" t="str">
            <v>2C</v>
          </cell>
        </row>
        <row r="202">
          <cell r="A202">
            <v>198</v>
          </cell>
          <cell r="K202" t="str">
            <v>3R</v>
          </cell>
        </row>
        <row r="203">
          <cell r="A203">
            <v>199</v>
          </cell>
          <cell r="K203" t="str">
            <v>3L</v>
          </cell>
        </row>
        <row r="204">
          <cell r="A204">
            <v>200</v>
          </cell>
          <cell r="K204" t="str">
            <v>1P</v>
          </cell>
        </row>
        <row r="205">
          <cell r="A205">
            <v>201</v>
          </cell>
          <cell r="K205" t="str">
            <v>2R</v>
          </cell>
        </row>
        <row r="206">
          <cell r="A206">
            <v>202</v>
          </cell>
          <cell r="K206" t="str">
            <v>2C</v>
          </cell>
        </row>
        <row r="207">
          <cell r="A207">
            <v>203</v>
          </cell>
          <cell r="K207" t="str">
            <v>3L</v>
          </cell>
        </row>
        <row r="208">
          <cell r="A208">
            <v>204</v>
          </cell>
          <cell r="K208" t="str">
            <v>3L</v>
          </cell>
        </row>
        <row r="209">
          <cell r="A209">
            <v>205</v>
          </cell>
          <cell r="K209" t="str">
            <v>3R</v>
          </cell>
        </row>
        <row r="210">
          <cell r="A210">
            <v>206</v>
          </cell>
          <cell r="K210" t="str">
            <v>3L</v>
          </cell>
        </row>
        <row r="211">
          <cell r="A211">
            <v>207</v>
          </cell>
          <cell r="K211" t="str">
            <v>2C</v>
          </cell>
        </row>
        <row r="212">
          <cell r="A212">
            <v>208</v>
          </cell>
          <cell r="K212" t="str">
            <v>3R</v>
          </cell>
        </row>
        <row r="213">
          <cell r="A213">
            <v>209</v>
          </cell>
          <cell r="K213" t="str">
            <v>3L</v>
          </cell>
        </row>
        <row r="214">
          <cell r="A214">
            <v>210</v>
          </cell>
          <cell r="K214" t="str">
            <v>3R</v>
          </cell>
        </row>
        <row r="215">
          <cell r="A215">
            <v>211</v>
          </cell>
          <cell r="K215" t="str">
            <v>1P</v>
          </cell>
        </row>
        <row r="216">
          <cell r="A216">
            <v>212</v>
          </cell>
          <cell r="K216" t="str">
            <v>1D</v>
          </cell>
        </row>
        <row r="217">
          <cell r="A217">
            <v>213</v>
          </cell>
          <cell r="K217" t="str">
            <v>1P</v>
          </cell>
        </row>
        <row r="218">
          <cell r="A218">
            <v>214</v>
          </cell>
          <cell r="K218" t="str">
            <v>1P</v>
          </cell>
        </row>
        <row r="219">
          <cell r="A219">
            <v>215</v>
          </cell>
          <cell r="K219" t="str">
            <v>1D</v>
          </cell>
        </row>
        <row r="220">
          <cell r="A220">
            <v>216</v>
          </cell>
          <cell r="K220" t="str">
            <v>3L</v>
          </cell>
        </row>
        <row r="221">
          <cell r="A221">
            <v>217</v>
          </cell>
          <cell r="K221" t="str">
            <v>3L</v>
          </cell>
        </row>
        <row r="222">
          <cell r="A222">
            <v>218</v>
          </cell>
          <cell r="K222" t="str">
            <v>1D</v>
          </cell>
        </row>
        <row r="223">
          <cell r="A223">
            <v>219</v>
          </cell>
          <cell r="K223" t="str">
            <v>1P</v>
          </cell>
        </row>
        <row r="224">
          <cell r="A224">
            <v>220</v>
          </cell>
          <cell r="K224" t="str">
            <v>1D</v>
          </cell>
        </row>
        <row r="225">
          <cell r="A225">
            <v>221</v>
          </cell>
          <cell r="K225" t="str">
            <v>1P</v>
          </cell>
        </row>
        <row r="226">
          <cell r="A226">
            <v>222</v>
          </cell>
          <cell r="K226" t="str">
            <v>2R</v>
          </cell>
        </row>
        <row r="227">
          <cell r="A227">
            <v>223</v>
          </cell>
          <cell r="K227" t="str">
            <v>2L</v>
          </cell>
        </row>
        <row r="228">
          <cell r="A228">
            <v>224</v>
          </cell>
          <cell r="K228" t="str">
            <v>3L</v>
          </cell>
        </row>
        <row r="229">
          <cell r="A229">
            <v>225</v>
          </cell>
          <cell r="K229" t="str">
            <v>3R</v>
          </cell>
        </row>
        <row r="230">
          <cell r="A230">
            <v>226</v>
          </cell>
          <cell r="K230" t="str">
            <v>1P</v>
          </cell>
        </row>
        <row r="231">
          <cell r="A231">
            <v>227</v>
          </cell>
          <cell r="K231" t="str">
            <v>2L</v>
          </cell>
        </row>
        <row r="232">
          <cell r="A232">
            <v>228</v>
          </cell>
          <cell r="K232" t="str">
            <v>3R</v>
          </cell>
        </row>
        <row r="233">
          <cell r="A233">
            <v>229</v>
          </cell>
          <cell r="K233" t="str">
            <v>1D</v>
          </cell>
        </row>
        <row r="234">
          <cell r="A234">
            <v>230</v>
          </cell>
          <cell r="K234" t="str">
            <v>2R</v>
          </cell>
        </row>
        <row r="235">
          <cell r="A235">
            <v>231</v>
          </cell>
          <cell r="K235" t="str">
            <v>2C</v>
          </cell>
        </row>
        <row r="236">
          <cell r="A236">
            <v>232</v>
          </cell>
          <cell r="K236" t="str">
            <v>3L</v>
          </cell>
        </row>
        <row r="237">
          <cell r="A237">
            <v>233</v>
          </cell>
          <cell r="K237" t="str">
            <v>1P</v>
          </cell>
        </row>
        <row r="238">
          <cell r="A238">
            <v>234</v>
          </cell>
          <cell r="K238" t="str">
            <v>3L</v>
          </cell>
        </row>
        <row r="239">
          <cell r="A239">
            <v>235</v>
          </cell>
          <cell r="K239" t="str">
            <v>1D</v>
          </cell>
        </row>
        <row r="240">
          <cell r="A240">
            <v>236</v>
          </cell>
          <cell r="K240" t="str">
            <v>3R</v>
          </cell>
        </row>
        <row r="241">
          <cell r="A241">
            <v>237</v>
          </cell>
          <cell r="K241"/>
        </row>
        <row r="242">
          <cell r="A242">
            <v>238</v>
          </cell>
          <cell r="K242" t="str">
            <v>F2R</v>
          </cell>
        </row>
        <row r="243">
          <cell r="A243">
            <v>239</v>
          </cell>
          <cell r="K243" t="str">
            <v>F3L</v>
          </cell>
        </row>
        <row r="244">
          <cell r="A244">
            <v>240</v>
          </cell>
          <cell r="K244" t="str">
            <v>F2L</v>
          </cell>
        </row>
        <row r="245">
          <cell r="A245">
            <v>241</v>
          </cell>
          <cell r="K245"/>
        </row>
        <row r="246">
          <cell r="A246">
            <v>242</v>
          </cell>
          <cell r="K246"/>
        </row>
        <row r="247">
          <cell r="A247">
            <v>243</v>
          </cell>
          <cell r="K247" t="str">
            <v>F2R</v>
          </cell>
        </row>
        <row r="248">
          <cell r="A248">
            <v>244</v>
          </cell>
          <cell r="K248" t="str">
            <v>F3R</v>
          </cell>
        </row>
        <row r="249">
          <cell r="A249">
            <v>245</v>
          </cell>
          <cell r="K249"/>
        </row>
        <row r="250">
          <cell r="A250">
            <v>246</v>
          </cell>
          <cell r="K250"/>
        </row>
        <row r="251">
          <cell r="A251">
            <v>247</v>
          </cell>
          <cell r="K251" t="str">
            <v>F1D</v>
          </cell>
        </row>
        <row r="252">
          <cell r="A252">
            <v>248</v>
          </cell>
          <cell r="K252" t="str">
            <v>F1P</v>
          </cell>
        </row>
        <row r="253">
          <cell r="A253">
            <v>249</v>
          </cell>
          <cell r="K253" t="str">
            <v>F1D</v>
          </cell>
        </row>
        <row r="254">
          <cell r="A254">
            <v>250</v>
          </cell>
          <cell r="K254"/>
        </row>
        <row r="255">
          <cell r="A255">
            <v>251</v>
          </cell>
          <cell r="K255" t="str">
            <v>F1P</v>
          </cell>
        </row>
        <row r="256">
          <cell r="A256">
            <v>252</v>
          </cell>
          <cell r="K256" t="str">
            <v>F1P</v>
          </cell>
        </row>
        <row r="257">
          <cell r="A257">
            <v>253</v>
          </cell>
          <cell r="K257" t="str">
            <v>F1D</v>
          </cell>
        </row>
        <row r="258">
          <cell r="A258">
            <v>254</v>
          </cell>
          <cell r="K258"/>
        </row>
        <row r="259">
          <cell r="A259">
            <v>255</v>
          </cell>
          <cell r="K259"/>
        </row>
        <row r="260">
          <cell r="A260">
            <v>256</v>
          </cell>
          <cell r="K260"/>
        </row>
        <row r="261">
          <cell r="A261">
            <v>257</v>
          </cell>
          <cell r="K261" t="str">
            <v>F2R</v>
          </cell>
        </row>
        <row r="262">
          <cell r="A262">
            <v>258</v>
          </cell>
          <cell r="K262" t="str">
            <v>F3R</v>
          </cell>
        </row>
        <row r="263">
          <cell r="A263">
            <v>259</v>
          </cell>
          <cell r="K263"/>
        </row>
        <row r="264">
          <cell r="A264">
            <v>260</v>
          </cell>
          <cell r="K264"/>
        </row>
        <row r="265">
          <cell r="A265">
            <v>261</v>
          </cell>
          <cell r="K265" t="str">
            <v>3L</v>
          </cell>
        </row>
        <row r="266">
          <cell r="A266">
            <v>262</v>
          </cell>
          <cell r="K266"/>
        </row>
        <row r="267">
          <cell r="A267">
            <v>263</v>
          </cell>
          <cell r="K267" t="str">
            <v>F1P</v>
          </cell>
        </row>
        <row r="268">
          <cell r="A268">
            <v>264</v>
          </cell>
          <cell r="K268" t="str">
            <v>F1P</v>
          </cell>
        </row>
        <row r="269">
          <cell r="A269">
            <v>265</v>
          </cell>
          <cell r="K269" t="str">
            <v>F1P</v>
          </cell>
        </row>
        <row r="270">
          <cell r="A270">
            <v>266</v>
          </cell>
          <cell r="K270" t="str">
            <v>1P</v>
          </cell>
        </row>
        <row r="271">
          <cell r="A271">
            <v>267</v>
          </cell>
          <cell r="K271" t="str">
            <v>1P</v>
          </cell>
        </row>
        <row r="272">
          <cell r="A272">
            <v>268</v>
          </cell>
          <cell r="K272" t="str">
            <v>1P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enheim Zoltan (XC-DX/EET3-Bp)" refreshedDate="46029.616144675929" createdVersion="8" refreshedVersion="8" minRefreshableVersion="3" recordCount="320" xr:uid="{00000000-000A-0000-FFFF-FFFF03000000}">
  <cacheSource type="worksheet">
    <worksheetSource ref="A1:C1048576" sheet="final"/>
  </cacheSource>
  <cacheFields count="3">
    <cacheField name="TC ID" numFmtId="0">
      <sharedItems containsString="0" containsBlank="1" containsNumber="1" containsInteger="1" minValue="2" maxValue="253" count="75">
        <n v="10"/>
        <n v="12"/>
        <n v="14"/>
        <n v="188"/>
        <n v="189"/>
        <n v="190"/>
        <n v="191"/>
        <n v="192"/>
        <n v="193"/>
        <n v="200"/>
        <n v="201"/>
        <n v="202"/>
        <n v="203"/>
        <n v="231"/>
        <n v="232"/>
        <n v="84"/>
        <n v="94"/>
        <n v="95"/>
        <n v="97"/>
        <n v="195"/>
        <n v="11"/>
        <n v="13"/>
        <n v="15"/>
        <n v="16"/>
        <n v="18"/>
        <n v="20"/>
        <n v="22"/>
        <n v="23"/>
        <n v="25"/>
        <n v="27"/>
        <n v="31"/>
        <n v="42"/>
        <n v="51"/>
        <n v="65"/>
        <n v="66"/>
        <n v="67"/>
        <n v="69"/>
        <n v="70"/>
        <n v="73"/>
        <n v="205"/>
        <n v="206"/>
        <n v="207"/>
        <n v="209"/>
        <n v="210"/>
        <n v="212"/>
        <n v="217"/>
        <n v="221"/>
        <n v="223"/>
        <n v="225"/>
        <n v="229"/>
        <n v="230"/>
        <n v="235"/>
        <n v="236"/>
        <n v="249"/>
        <n v="252"/>
        <n v="253"/>
        <n v="2"/>
        <n v="3"/>
        <n v="5"/>
        <n v="7"/>
        <n v="182"/>
        <n v="183"/>
        <n v="184"/>
        <n v="185"/>
        <n v="186"/>
        <n v="187"/>
        <n v="102"/>
        <n v="103"/>
        <n v="104"/>
        <n v="105"/>
        <n v="107"/>
        <n v="108"/>
        <n v="109"/>
        <n v="110"/>
        <m/>
      </sharedItems>
    </cacheField>
    <cacheField name="Type" numFmtId="0">
      <sharedItems containsBlank="1" count="9">
        <s v="1YO"/>
        <s v="6YO"/>
        <s v="Adult w child"/>
        <s v="NB awake"/>
        <s v="NCAP 1,2"/>
        <s v="NCAP 3"/>
        <s v="Newborn"/>
        <s v="Adult only"/>
        <m/>
      </sharedItems>
    </cacheField>
    <cacheField name="Real child" numFmtId="0">
      <sharedItems containsBlank="1" count="3">
        <s v="N"/>
        <s v="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20"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2"/>
    <x v="0"/>
    <x v="0"/>
  </r>
  <r>
    <x v="2"/>
    <x v="0"/>
    <x v="0"/>
  </r>
  <r>
    <x v="2"/>
    <x v="0"/>
    <x v="0"/>
  </r>
  <r>
    <x v="2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4"/>
    <x v="0"/>
    <x v="0"/>
  </r>
  <r>
    <x v="4"/>
    <x v="0"/>
    <x v="0"/>
  </r>
  <r>
    <x v="4"/>
    <x v="0"/>
    <x v="0"/>
  </r>
  <r>
    <x v="5"/>
    <x v="0"/>
    <x v="0"/>
  </r>
  <r>
    <x v="5"/>
    <x v="0"/>
    <x v="0"/>
  </r>
  <r>
    <x v="5"/>
    <x v="0"/>
    <x v="0"/>
  </r>
  <r>
    <x v="5"/>
    <x v="0"/>
    <x v="0"/>
  </r>
  <r>
    <x v="6"/>
    <x v="0"/>
    <x v="0"/>
  </r>
  <r>
    <x v="6"/>
    <x v="0"/>
    <x v="0"/>
  </r>
  <r>
    <x v="6"/>
    <x v="0"/>
    <x v="0"/>
  </r>
  <r>
    <x v="7"/>
    <x v="0"/>
    <x v="0"/>
  </r>
  <r>
    <x v="7"/>
    <x v="0"/>
    <x v="0"/>
  </r>
  <r>
    <x v="7"/>
    <x v="0"/>
    <x v="0"/>
  </r>
  <r>
    <x v="7"/>
    <x v="0"/>
    <x v="0"/>
  </r>
  <r>
    <x v="8"/>
    <x v="0"/>
    <x v="0"/>
  </r>
  <r>
    <x v="8"/>
    <x v="0"/>
    <x v="0"/>
  </r>
  <r>
    <x v="8"/>
    <x v="0"/>
    <x v="0"/>
  </r>
  <r>
    <x v="9"/>
    <x v="0"/>
    <x v="0"/>
  </r>
  <r>
    <x v="9"/>
    <x v="0"/>
    <x v="0"/>
  </r>
  <r>
    <x v="9"/>
    <x v="0"/>
    <x v="0"/>
  </r>
  <r>
    <x v="9"/>
    <x v="0"/>
    <x v="0"/>
  </r>
  <r>
    <x v="10"/>
    <x v="0"/>
    <x v="0"/>
  </r>
  <r>
    <x v="10"/>
    <x v="0"/>
    <x v="0"/>
  </r>
  <r>
    <x v="10"/>
    <x v="0"/>
    <x v="0"/>
  </r>
  <r>
    <x v="10"/>
    <x v="0"/>
    <x v="0"/>
  </r>
  <r>
    <x v="10"/>
    <x v="0"/>
    <x v="0"/>
  </r>
  <r>
    <x v="10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2"/>
    <x v="0"/>
    <x v="0"/>
  </r>
  <r>
    <x v="12"/>
    <x v="0"/>
    <x v="0"/>
  </r>
  <r>
    <x v="12"/>
    <x v="0"/>
    <x v="0"/>
  </r>
  <r>
    <x v="13"/>
    <x v="1"/>
    <x v="1"/>
  </r>
  <r>
    <x v="13"/>
    <x v="1"/>
    <x v="1"/>
  </r>
  <r>
    <x v="13"/>
    <x v="1"/>
    <x v="1"/>
  </r>
  <r>
    <x v="13"/>
    <x v="1"/>
    <x v="1"/>
  </r>
  <r>
    <x v="13"/>
    <x v="1"/>
    <x v="1"/>
  </r>
  <r>
    <x v="14"/>
    <x v="1"/>
    <x v="1"/>
  </r>
  <r>
    <x v="14"/>
    <x v="1"/>
    <x v="1"/>
  </r>
  <r>
    <x v="14"/>
    <x v="1"/>
    <x v="1"/>
  </r>
  <r>
    <x v="14"/>
    <x v="1"/>
    <x v="1"/>
  </r>
  <r>
    <x v="14"/>
    <x v="1"/>
    <x v="1"/>
  </r>
  <r>
    <x v="15"/>
    <x v="2"/>
    <x v="1"/>
  </r>
  <r>
    <x v="15"/>
    <x v="2"/>
    <x v="1"/>
  </r>
  <r>
    <x v="15"/>
    <x v="2"/>
    <x v="1"/>
  </r>
  <r>
    <x v="15"/>
    <x v="2"/>
    <x v="1"/>
  </r>
  <r>
    <x v="15"/>
    <x v="2"/>
    <x v="1"/>
  </r>
  <r>
    <x v="16"/>
    <x v="2"/>
    <x v="0"/>
  </r>
  <r>
    <x v="16"/>
    <x v="2"/>
    <x v="0"/>
  </r>
  <r>
    <x v="16"/>
    <x v="2"/>
    <x v="0"/>
  </r>
  <r>
    <x v="17"/>
    <x v="2"/>
    <x v="1"/>
  </r>
  <r>
    <x v="17"/>
    <x v="2"/>
    <x v="1"/>
  </r>
  <r>
    <x v="17"/>
    <x v="2"/>
    <x v="1"/>
  </r>
  <r>
    <x v="17"/>
    <x v="2"/>
    <x v="1"/>
  </r>
  <r>
    <x v="17"/>
    <x v="2"/>
    <x v="1"/>
  </r>
  <r>
    <x v="18"/>
    <x v="2"/>
    <x v="1"/>
  </r>
  <r>
    <x v="18"/>
    <x v="2"/>
    <x v="1"/>
  </r>
  <r>
    <x v="18"/>
    <x v="2"/>
    <x v="1"/>
  </r>
  <r>
    <x v="18"/>
    <x v="2"/>
    <x v="1"/>
  </r>
  <r>
    <x v="19"/>
    <x v="3"/>
    <x v="0"/>
  </r>
  <r>
    <x v="19"/>
    <x v="3"/>
    <x v="0"/>
  </r>
  <r>
    <x v="19"/>
    <x v="3"/>
    <x v="0"/>
  </r>
  <r>
    <x v="0"/>
    <x v="4"/>
    <x v="1"/>
  </r>
  <r>
    <x v="0"/>
    <x v="4"/>
    <x v="1"/>
  </r>
  <r>
    <x v="0"/>
    <x v="4"/>
    <x v="1"/>
  </r>
  <r>
    <x v="0"/>
    <x v="4"/>
    <x v="1"/>
  </r>
  <r>
    <x v="0"/>
    <x v="4"/>
    <x v="1"/>
  </r>
  <r>
    <x v="20"/>
    <x v="4"/>
    <x v="1"/>
  </r>
  <r>
    <x v="20"/>
    <x v="4"/>
    <x v="1"/>
  </r>
  <r>
    <x v="20"/>
    <x v="4"/>
    <x v="1"/>
  </r>
  <r>
    <x v="20"/>
    <x v="4"/>
    <x v="1"/>
  </r>
  <r>
    <x v="1"/>
    <x v="4"/>
    <x v="1"/>
  </r>
  <r>
    <x v="1"/>
    <x v="4"/>
    <x v="1"/>
  </r>
  <r>
    <x v="1"/>
    <x v="4"/>
    <x v="1"/>
  </r>
  <r>
    <x v="1"/>
    <x v="4"/>
    <x v="1"/>
  </r>
  <r>
    <x v="1"/>
    <x v="4"/>
    <x v="1"/>
  </r>
  <r>
    <x v="21"/>
    <x v="4"/>
    <x v="1"/>
  </r>
  <r>
    <x v="21"/>
    <x v="4"/>
    <x v="1"/>
  </r>
  <r>
    <x v="21"/>
    <x v="4"/>
    <x v="1"/>
  </r>
  <r>
    <x v="21"/>
    <x v="4"/>
    <x v="1"/>
  </r>
  <r>
    <x v="21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"/>
    <x v="4"/>
    <x v="1"/>
  </r>
  <r>
    <x v="22"/>
    <x v="4"/>
    <x v="1"/>
  </r>
  <r>
    <x v="22"/>
    <x v="4"/>
    <x v="1"/>
  </r>
  <r>
    <x v="22"/>
    <x v="4"/>
    <x v="1"/>
  </r>
  <r>
    <x v="22"/>
    <x v="4"/>
    <x v="1"/>
  </r>
  <r>
    <x v="22"/>
    <x v="4"/>
    <x v="1"/>
  </r>
  <r>
    <x v="23"/>
    <x v="4"/>
    <x v="0"/>
  </r>
  <r>
    <x v="23"/>
    <x v="4"/>
    <x v="0"/>
  </r>
  <r>
    <x v="23"/>
    <x v="4"/>
    <x v="0"/>
  </r>
  <r>
    <x v="24"/>
    <x v="4"/>
    <x v="1"/>
  </r>
  <r>
    <x v="24"/>
    <x v="4"/>
    <x v="1"/>
  </r>
  <r>
    <x v="24"/>
    <x v="4"/>
    <x v="1"/>
  </r>
  <r>
    <x v="24"/>
    <x v="4"/>
    <x v="1"/>
  </r>
  <r>
    <x v="24"/>
    <x v="4"/>
    <x v="1"/>
  </r>
  <r>
    <x v="25"/>
    <x v="4"/>
    <x v="1"/>
  </r>
  <r>
    <x v="25"/>
    <x v="4"/>
    <x v="1"/>
  </r>
  <r>
    <x v="25"/>
    <x v="4"/>
    <x v="1"/>
  </r>
  <r>
    <x v="25"/>
    <x v="4"/>
    <x v="1"/>
  </r>
  <r>
    <x v="25"/>
    <x v="4"/>
    <x v="1"/>
  </r>
  <r>
    <x v="26"/>
    <x v="4"/>
    <x v="1"/>
  </r>
  <r>
    <x v="26"/>
    <x v="4"/>
    <x v="1"/>
  </r>
  <r>
    <x v="26"/>
    <x v="4"/>
    <x v="1"/>
  </r>
  <r>
    <x v="26"/>
    <x v="4"/>
    <x v="1"/>
  </r>
  <r>
    <x v="26"/>
    <x v="4"/>
    <x v="1"/>
  </r>
  <r>
    <x v="27"/>
    <x v="4"/>
    <x v="1"/>
  </r>
  <r>
    <x v="27"/>
    <x v="4"/>
    <x v="1"/>
  </r>
  <r>
    <x v="27"/>
    <x v="4"/>
    <x v="1"/>
  </r>
  <r>
    <x v="27"/>
    <x v="4"/>
    <x v="1"/>
  </r>
  <r>
    <x v="27"/>
    <x v="4"/>
    <x v="1"/>
  </r>
  <r>
    <x v="27"/>
    <x v="4"/>
    <x v="1"/>
  </r>
  <r>
    <x v="27"/>
    <x v="4"/>
    <x v="1"/>
  </r>
  <r>
    <x v="28"/>
    <x v="4"/>
    <x v="1"/>
  </r>
  <r>
    <x v="28"/>
    <x v="4"/>
    <x v="1"/>
  </r>
  <r>
    <x v="28"/>
    <x v="4"/>
    <x v="1"/>
  </r>
  <r>
    <x v="28"/>
    <x v="4"/>
    <x v="1"/>
  </r>
  <r>
    <x v="28"/>
    <x v="4"/>
    <x v="1"/>
  </r>
  <r>
    <x v="29"/>
    <x v="4"/>
    <x v="1"/>
  </r>
  <r>
    <x v="29"/>
    <x v="4"/>
    <x v="1"/>
  </r>
  <r>
    <x v="29"/>
    <x v="4"/>
    <x v="1"/>
  </r>
  <r>
    <x v="29"/>
    <x v="4"/>
    <x v="1"/>
  </r>
  <r>
    <x v="29"/>
    <x v="4"/>
    <x v="1"/>
  </r>
  <r>
    <x v="30"/>
    <x v="5"/>
    <x v="1"/>
  </r>
  <r>
    <x v="30"/>
    <x v="5"/>
    <x v="1"/>
  </r>
  <r>
    <x v="30"/>
    <x v="5"/>
    <x v="1"/>
  </r>
  <r>
    <x v="30"/>
    <x v="5"/>
    <x v="1"/>
  </r>
  <r>
    <x v="30"/>
    <x v="5"/>
    <x v="1"/>
  </r>
  <r>
    <x v="31"/>
    <x v="5"/>
    <x v="1"/>
  </r>
  <r>
    <x v="31"/>
    <x v="5"/>
    <x v="1"/>
  </r>
  <r>
    <x v="31"/>
    <x v="5"/>
    <x v="1"/>
  </r>
  <r>
    <x v="31"/>
    <x v="5"/>
    <x v="1"/>
  </r>
  <r>
    <x v="31"/>
    <x v="5"/>
    <x v="1"/>
  </r>
  <r>
    <x v="32"/>
    <x v="5"/>
    <x v="1"/>
  </r>
  <r>
    <x v="32"/>
    <x v="5"/>
    <x v="1"/>
  </r>
  <r>
    <x v="32"/>
    <x v="5"/>
    <x v="1"/>
  </r>
  <r>
    <x v="32"/>
    <x v="5"/>
    <x v="1"/>
  </r>
  <r>
    <x v="32"/>
    <x v="5"/>
    <x v="1"/>
  </r>
  <r>
    <x v="33"/>
    <x v="5"/>
    <x v="1"/>
  </r>
  <r>
    <x v="33"/>
    <x v="5"/>
    <x v="1"/>
  </r>
  <r>
    <x v="33"/>
    <x v="5"/>
    <x v="1"/>
  </r>
  <r>
    <x v="33"/>
    <x v="5"/>
    <x v="1"/>
  </r>
  <r>
    <x v="34"/>
    <x v="5"/>
    <x v="1"/>
  </r>
  <r>
    <x v="34"/>
    <x v="5"/>
    <x v="1"/>
  </r>
  <r>
    <x v="34"/>
    <x v="5"/>
    <x v="1"/>
  </r>
  <r>
    <x v="34"/>
    <x v="5"/>
    <x v="1"/>
  </r>
  <r>
    <x v="34"/>
    <x v="5"/>
    <x v="1"/>
  </r>
  <r>
    <x v="35"/>
    <x v="5"/>
    <x v="1"/>
  </r>
  <r>
    <x v="35"/>
    <x v="5"/>
    <x v="1"/>
  </r>
  <r>
    <x v="35"/>
    <x v="5"/>
    <x v="1"/>
  </r>
  <r>
    <x v="35"/>
    <x v="5"/>
    <x v="1"/>
  </r>
  <r>
    <x v="36"/>
    <x v="5"/>
    <x v="1"/>
  </r>
  <r>
    <x v="36"/>
    <x v="5"/>
    <x v="1"/>
  </r>
  <r>
    <x v="36"/>
    <x v="5"/>
    <x v="1"/>
  </r>
  <r>
    <x v="36"/>
    <x v="5"/>
    <x v="1"/>
  </r>
  <r>
    <x v="37"/>
    <x v="5"/>
    <x v="1"/>
  </r>
  <r>
    <x v="37"/>
    <x v="5"/>
    <x v="1"/>
  </r>
  <r>
    <x v="37"/>
    <x v="5"/>
    <x v="1"/>
  </r>
  <r>
    <x v="37"/>
    <x v="5"/>
    <x v="1"/>
  </r>
  <r>
    <x v="37"/>
    <x v="5"/>
    <x v="1"/>
  </r>
  <r>
    <x v="38"/>
    <x v="5"/>
    <x v="1"/>
  </r>
  <r>
    <x v="38"/>
    <x v="5"/>
    <x v="1"/>
  </r>
  <r>
    <x v="38"/>
    <x v="5"/>
    <x v="1"/>
  </r>
  <r>
    <x v="38"/>
    <x v="5"/>
    <x v="1"/>
  </r>
  <r>
    <x v="38"/>
    <x v="5"/>
    <x v="1"/>
  </r>
  <r>
    <x v="39"/>
    <x v="5"/>
    <x v="0"/>
  </r>
  <r>
    <x v="39"/>
    <x v="5"/>
    <x v="0"/>
  </r>
  <r>
    <x v="39"/>
    <x v="5"/>
    <x v="0"/>
  </r>
  <r>
    <x v="40"/>
    <x v="5"/>
    <x v="0"/>
  </r>
  <r>
    <x v="40"/>
    <x v="5"/>
    <x v="0"/>
  </r>
  <r>
    <x v="40"/>
    <x v="5"/>
    <x v="0"/>
  </r>
  <r>
    <x v="41"/>
    <x v="5"/>
    <x v="0"/>
  </r>
  <r>
    <x v="41"/>
    <x v="5"/>
    <x v="0"/>
  </r>
  <r>
    <x v="41"/>
    <x v="5"/>
    <x v="0"/>
  </r>
  <r>
    <x v="42"/>
    <x v="5"/>
    <x v="0"/>
  </r>
  <r>
    <x v="42"/>
    <x v="5"/>
    <x v="0"/>
  </r>
  <r>
    <x v="42"/>
    <x v="5"/>
    <x v="0"/>
  </r>
  <r>
    <x v="43"/>
    <x v="5"/>
    <x v="1"/>
  </r>
  <r>
    <x v="43"/>
    <x v="5"/>
    <x v="1"/>
  </r>
  <r>
    <x v="43"/>
    <x v="5"/>
    <x v="1"/>
  </r>
  <r>
    <x v="44"/>
    <x v="5"/>
    <x v="0"/>
  </r>
  <r>
    <x v="44"/>
    <x v="5"/>
    <x v="0"/>
  </r>
  <r>
    <x v="44"/>
    <x v="5"/>
    <x v="0"/>
  </r>
  <r>
    <x v="45"/>
    <x v="5"/>
    <x v="0"/>
  </r>
  <r>
    <x v="45"/>
    <x v="5"/>
    <x v="0"/>
  </r>
  <r>
    <x v="45"/>
    <x v="5"/>
    <x v="0"/>
  </r>
  <r>
    <x v="46"/>
    <x v="5"/>
    <x v="1"/>
  </r>
  <r>
    <x v="46"/>
    <x v="5"/>
    <x v="1"/>
  </r>
  <r>
    <x v="46"/>
    <x v="5"/>
    <x v="1"/>
  </r>
  <r>
    <x v="46"/>
    <x v="5"/>
    <x v="1"/>
  </r>
  <r>
    <x v="46"/>
    <x v="5"/>
    <x v="1"/>
  </r>
  <r>
    <x v="46"/>
    <x v="5"/>
    <x v="1"/>
  </r>
  <r>
    <x v="47"/>
    <x v="5"/>
    <x v="1"/>
  </r>
  <r>
    <x v="47"/>
    <x v="5"/>
    <x v="1"/>
  </r>
  <r>
    <x v="47"/>
    <x v="5"/>
    <x v="1"/>
  </r>
  <r>
    <x v="47"/>
    <x v="5"/>
    <x v="1"/>
  </r>
  <r>
    <x v="47"/>
    <x v="5"/>
    <x v="1"/>
  </r>
  <r>
    <x v="48"/>
    <x v="5"/>
    <x v="1"/>
  </r>
  <r>
    <x v="48"/>
    <x v="5"/>
    <x v="1"/>
  </r>
  <r>
    <x v="48"/>
    <x v="5"/>
    <x v="1"/>
  </r>
  <r>
    <x v="48"/>
    <x v="5"/>
    <x v="1"/>
  </r>
  <r>
    <x v="48"/>
    <x v="5"/>
    <x v="1"/>
  </r>
  <r>
    <x v="49"/>
    <x v="5"/>
    <x v="1"/>
  </r>
  <r>
    <x v="49"/>
    <x v="5"/>
    <x v="1"/>
  </r>
  <r>
    <x v="49"/>
    <x v="5"/>
    <x v="1"/>
  </r>
  <r>
    <x v="49"/>
    <x v="5"/>
    <x v="1"/>
  </r>
  <r>
    <x v="49"/>
    <x v="5"/>
    <x v="1"/>
  </r>
  <r>
    <x v="50"/>
    <x v="5"/>
    <x v="1"/>
  </r>
  <r>
    <x v="50"/>
    <x v="5"/>
    <x v="1"/>
  </r>
  <r>
    <x v="50"/>
    <x v="5"/>
    <x v="1"/>
  </r>
  <r>
    <x v="50"/>
    <x v="5"/>
    <x v="1"/>
  </r>
  <r>
    <x v="50"/>
    <x v="5"/>
    <x v="1"/>
  </r>
  <r>
    <x v="51"/>
    <x v="5"/>
    <x v="1"/>
  </r>
  <r>
    <x v="51"/>
    <x v="5"/>
    <x v="1"/>
  </r>
  <r>
    <x v="51"/>
    <x v="5"/>
    <x v="1"/>
  </r>
  <r>
    <x v="51"/>
    <x v="5"/>
    <x v="1"/>
  </r>
  <r>
    <x v="51"/>
    <x v="5"/>
    <x v="1"/>
  </r>
  <r>
    <x v="52"/>
    <x v="5"/>
    <x v="1"/>
  </r>
  <r>
    <x v="52"/>
    <x v="5"/>
    <x v="1"/>
  </r>
  <r>
    <x v="52"/>
    <x v="5"/>
    <x v="1"/>
  </r>
  <r>
    <x v="52"/>
    <x v="5"/>
    <x v="1"/>
  </r>
  <r>
    <x v="52"/>
    <x v="5"/>
    <x v="1"/>
  </r>
  <r>
    <x v="53"/>
    <x v="5"/>
    <x v="0"/>
  </r>
  <r>
    <x v="53"/>
    <x v="5"/>
    <x v="0"/>
  </r>
  <r>
    <x v="53"/>
    <x v="5"/>
    <x v="0"/>
  </r>
  <r>
    <x v="54"/>
    <x v="5"/>
    <x v="0"/>
  </r>
  <r>
    <x v="54"/>
    <x v="5"/>
    <x v="0"/>
  </r>
  <r>
    <x v="54"/>
    <x v="5"/>
    <x v="0"/>
  </r>
  <r>
    <x v="55"/>
    <x v="5"/>
    <x v="0"/>
  </r>
  <r>
    <x v="55"/>
    <x v="5"/>
    <x v="0"/>
  </r>
  <r>
    <x v="55"/>
    <x v="5"/>
    <x v="0"/>
  </r>
  <r>
    <x v="56"/>
    <x v="6"/>
    <x v="0"/>
  </r>
  <r>
    <x v="56"/>
    <x v="6"/>
    <x v="0"/>
  </r>
  <r>
    <x v="56"/>
    <x v="6"/>
    <x v="0"/>
  </r>
  <r>
    <x v="56"/>
    <x v="6"/>
    <x v="0"/>
  </r>
  <r>
    <x v="57"/>
    <x v="6"/>
    <x v="0"/>
  </r>
  <r>
    <x v="57"/>
    <x v="6"/>
    <x v="0"/>
  </r>
  <r>
    <x v="57"/>
    <x v="6"/>
    <x v="0"/>
  </r>
  <r>
    <x v="57"/>
    <x v="6"/>
    <x v="0"/>
  </r>
  <r>
    <x v="58"/>
    <x v="6"/>
    <x v="0"/>
  </r>
  <r>
    <x v="58"/>
    <x v="6"/>
    <x v="0"/>
  </r>
  <r>
    <x v="58"/>
    <x v="6"/>
    <x v="0"/>
  </r>
  <r>
    <x v="58"/>
    <x v="6"/>
    <x v="0"/>
  </r>
  <r>
    <x v="59"/>
    <x v="6"/>
    <x v="0"/>
  </r>
  <r>
    <x v="59"/>
    <x v="6"/>
    <x v="0"/>
  </r>
  <r>
    <x v="59"/>
    <x v="6"/>
    <x v="0"/>
  </r>
  <r>
    <x v="59"/>
    <x v="6"/>
    <x v="0"/>
  </r>
  <r>
    <x v="60"/>
    <x v="6"/>
    <x v="0"/>
  </r>
  <r>
    <x v="60"/>
    <x v="6"/>
    <x v="0"/>
  </r>
  <r>
    <x v="60"/>
    <x v="6"/>
    <x v="0"/>
  </r>
  <r>
    <x v="60"/>
    <x v="6"/>
    <x v="0"/>
  </r>
  <r>
    <x v="61"/>
    <x v="6"/>
    <x v="0"/>
  </r>
  <r>
    <x v="61"/>
    <x v="6"/>
    <x v="0"/>
  </r>
  <r>
    <x v="61"/>
    <x v="6"/>
    <x v="0"/>
  </r>
  <r>
    <x v="61"/>
    <x v="6"/>
    <x v="0"/>
  </r>
  <r>
    <x v="62"/>
    <x v="6"/>
    <x v="0"/>
  </r>
  <r>
    <x v="62"/>
    <x v="6"/>
    <x v="0"/>
  </r>
  <r>
    <x v="62"/>
    <x v="6"/>
    <x v="0"/>
  </r>
  <r>
    <x v="62"/>
    <x v="6"/>
    <x v="0"/>
  </r>
  <r>
    <x v="63"/>
    <x v="6"/>
    <x v="0"/>
  </r>
  <r>
    <x v="63"/>
    <x v="6"/>
    <x v="0"/>
  </r>
  <r>
    <x v="63"/>
    <x v="6"/>
    <x v="0"/>
  </r>
  <r>
    <x v="63"/>
    <x v="6"/>
    <x v="0"/>
  </r>
  <r>
    <x v="64"/>
    <x v="6"/>
    <x v="0"/>
  </r>
  <r>
    <x v="64"/>
    <x v="6"/>
    <x v="0"/>
  </r>
  <r>
    <x v="64"/>
    <x v="6"/>
    <x v="0"/>
  </r>
  <r>
    <x v="64"/>
    <x v="6"/>
    <x v="0"/>
  </r>
  <r>
    <x v="65"/>
    <x v="6"/>
    <x v="0"/>
  </r>
  <r>
    <x v="65"/>
    <x v="6"/>
    <x v="0"/>
  </r>
  <r>
    <x v="65"/>
    <x v="6"/>
    <x v="0"/>
  </r>
  <r>
    <x v="65"/>
    <x v="6"/>
    <x v="0"/>
  </r>
  <r>
    <x v="66"/>
    <x v="7"/>
    <x v="0"/>
  </r>
  <r>
    <x v="66"/>
    <x v="7"/>
    <x v="0"/>
  </r>
  <r>
    <x v="66"/>
    <x v="7"/>
    <x v="0"/>
  </r>
  <r>
    <x v="67"/>
    <x v="7"/>
    <x v="0"/>
  </r>
  <r>
    <x v="67"/>
    <x v="7"/>
    <x v="0"/>
  </r>
  <r>
    <x v="67"/>
    <x v="7"/>
    <x v="0"/>
  </r>
  <r>
    <x v="67"/>
    <x v="7"/>
    <x v="0"/>
  </r>
  <r>
    <x v="68"/>
    <x v="7"/>
    <x v="0"/>
  </r>
  <r>
    <x v="68"/>
    <x v="7"/>
    <x v="0"/>
  </r>
  <r>
    <x v="68"/>
    <x v="7"/>
    <x v="0"/>
  </r>
  <r>
    <x v="69"/>
    <x v="7"/>
    <x v="0"/>
  </r>
  <r>
    <x v="69"/>
    <x v="7"/>
    <x v="0"/>
  </r>
  <r>
    <x v="69"/>
    <x v="7"/>
    <x v="0"/>
  </r>
  <r>
    <x v="70"/>
    <x v="7"/>
    <x v="0"/>
  </r>
  <r>
    <x v="70"/>
    <x v="7"/>
    <x v="0"/>
  </r>
  <r>
    <x v="70"/>
    <x v="7"/>
    <x v="0"/>
  </r>
  <r>
    <x v="71"/>
    <x v="7"/>
    <x v="0"/>
  </r>
  <r>
    <x v="71"/>
    <x v="7"/>
    <x v="0"/>
  </r>
  <r>
    <x v="71"/>
    <x v="7"/>
    <x v="0"/>
  </r>
  <r>
    <x v="72"/>
    <x v="7"/>
    <x v="0"/>
  </r>
  <r>
    <x v="72"/>
    <x v="7"/>
    <x v="0"/>
  </r>
  <r>
    <x v="72"/>
    <x v="7"/>
    <x v="0"/>
  </r>
  <r>
    <x v="73"/>
    <x v="7"/>
    <x v="0"/>
  </r>
  <r>
    <x v="73"/>
    <x v="7"/>
    <x v="0"/>
  </r>
  <r>
    <x v="73"/>
    <x v="7"/>
    <x v="0"/>
  </r>
  <r>
    <x v="74"/>
    <x v="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Real child (N, Y)">
  <location ref="B4:F15" firstHeaderRow="1" firstDataRow="2" firstDataCol="1"/>
  <pivotFields count="3">
    <pivotField dataField="1" showAll="0">
      <items count="76">
        <item x="56"/>
        <item x="57"/>
        <item x="58"/>
        <item x="59"/>
        <item x="0"/>
        <item x="20"/>
        <item x="1"/>
        <item x="21"/>
        <item x="2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5"/>
        <item x="16"/>
        <item x="17"/>
        <item x="18"/>
        <item x="66"/>
        <item x="67"/>
        <item x="68"/>
        <item x="69"/>
        <item x="70"/>
        <item x="71"/>
        <item x="72"/>
        <item x="73"/>
        <item x="60"/>
        <item x="61"/>
        <item x="62"/>
        <item x="63"/>
        <item x="64"/>
        <item x="65"/>
        <item x="3"/>
        <item x="4"/>
        <item x="5"/>
        <item x="6"/>
        <item x="7"/>
        <item x="8"/>
        <item x="19"/>
        <item x="9"/>
        <item x="10"/>
        <item x="11"/>
        <item x="12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13"/>
        <item x="14"/>
        <item x="51"/>
        <item x="52"/>
        <item x="53"/>
        <item x="54"/>
        <item x="55"/>
        <item x="74"/>
        <item t="default"/>
      </items>
    </pivotField>
    <pivotField axis="axisRow" showAll="0">
      <items count="10">
        <item x="0"/>
        <item x="1"/>
        <item x="7"/>
        <item x="2"/>
        <item x="3"/>
        <item x="4"/>
        <item x="5"/>
        <item x="6"/>
        <item x="8"/>
        <item t="default"/>
      </items>
    </pivotField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TC ID" fld="0" subtotal="count" baseField="1" baseItem="0"/>
  </dataFields>
  <formats count="1">
    <format dxfId="184">
      <pivotArea dataOnly="0" labelOnly="1" fieldPosition="0">
        <references count="1">
          <reference field="2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abt-soc501-dfs.de.bosch.com\XC_IMS_Platform\400_Cabin_Sensing_Radar\20_Measurements\07_CANape\Mitsubishi\5K45\MMC5.0.2\5K457EG11\RealChild" TargetMode="External"/><Relationship Id="rId2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63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15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26" Type="http://schemas.openxmlformats.org/officeDocument/2006/relationships/hyperlink" Target="https://rb-tracker.bosch.com/tracker08/browse/CSRGIMMC-2373" TargetMode="External"/><Relationship Id="rId268" Type="http://schemas.openxmlformats.org/officeDocument/2006/relationships/hyperlink" Target="https://rb-tracker.bosch.com/tracker08/browse/CSRGIMMC-2373" TargetMode="External"/><Relationship Id="rId3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4" Type="http://schemas.openxmlformats.org/officeDocument/2006/relationships/hyperlink" Target="file:///\\abt-soc501-dfs.de.bosch.com\XC_IMS_Platform\400_Cabin_Sensing_Radar\20_Measurements\07_CANape\Mitsubishi\5K45\MMC4.1.2\Validation\2025_11_28\orderedByTargetType\child\Sleep" TargetMode="External"/><Relationship Id="rId12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5" Type="http://schemas.openxmlformats.org/officeDocument/2006/relationships/hyperlink" Target="file:///\\abt-soc501-dfs.de.bosch.com\XC_IMS_Platform\400_Cabin_Sensing_Radar\20_Measurements\07_CANape\Mitsubishi\5K45\MMC5.0.2\5K457MG57\SmokeTest" TargetMode="External"/><Relationship Id="rId181" Type="http://schemas.openxmlformats.org/officeDocument/2006/relationships/hyperlink" Target="https://rb-tracker.bosch.com/tracker08/browse/CSRGIMMC-2373" TargetMode="External"/><Relationship Id="rId237" Type="http://schemas.openxmlformats.org/officeDocument/2006/relationships/hyperlink" Target="https://rb-tracker.bosch.com/tracker08/browse/CSRGIMMC-2373" TargetMode="External"/><Relationship Id="rId279" Type="http://schemas.openxmlformats.org/officeDocument/2006/relationships/hyperlink" Target="https://rb-tracker.bosch.com/tracker08/browse/CSRGIMMC-2373" TargetMode="External"/><Relationship Id="rId4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3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90" Type="http://schemas.openxmlformats.org/officeDocument/2006/relationships/hyperlink" Target="https://rb-tracker.bosch.com/tracker08/browse/CSRGIMMC-2373" TargetMode="External"/><Relationship Id="rId8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5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92" Type="http://schemas.openxmlformats.org/officeDocument/2006/relationships/hyperlink" Target="https://rb-tracker.bosch.com/tracker08/browse/CSRGIMMC-2373" TargetMode="External"/><Relationship Id="rId206" Type="http://schemas.openxmlformats.org/officeDocument/2006/relationships/hyperlink" Target="https://rb-tracker.bosch.com/tracker08/browse/CSRGIMMC-2373" TargetMode="External"/><Relationship Id="rId248" Type="http://schemas.openxmlformats.org/officeDocument/2006/relationships/hyperlink" Target="https://rb-tracker.bosch.com/tracker08/browse/CSRGIMMC-2373" TargetMode="External"/><Relationship Id="rId1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8" Type="http://schemas.openxmlformats.org/officeDocument/2006/relationships/hyperlink" Target="file:///\\abtvdfs2.de.bosch.com\ismdfs\ilm\abt\IMS\Platform\400_Cabin_Sensing_Radar\20_Measurements\07_CANape\Mitsubishi\5K45\MMC4.1.2\Validation\2025_11_28\TC_103_Try1.MF4.xz" TargetMode="External"/><Relationship Id="rId129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280" Type="http://schemas.openxmlformats.org/officeDocument/2006/relationships/hyperlink" Target="https://rb-tracker.bosch.com/tracker08/browse/CSRGIMMC-2373" TargetMode="External"/><Relationship Id="rId5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5" Type="http://schemas.openxmlformats.org/officeDocument/2006/relationships/hyperlink" Target="file:///\\abt-soc501-dfs.de.bosch.com\XC_IMS_Platform\400_Cabin_Sensing_Radar\20_Measurements\07_CANape\Mitsubishi\5K45\MMC4.1.2\Validation\2025_11_28\orderedByTargetType\child\Sleep" TargetMode="External"/><Relationship Id="rId96" Type="http://schemas.openxmlformats.org/officeDocument/2006/relationships/hyperlink" Target="file:///\\abt-soc501-dfs.de.bosch.com\XC_IMS_Platform\400_Cabin_Sensing_Radar\20_Measurements\07_CANape\Mitsubishi\5K45\MMC4.1.2\Validation\2025_12_02\ChildAwake" TargetMode="External"/><Relationship Id="rId14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82" Type="http://schemas.openxmlformats.org/officeDocument/2006/relationships/hyperlink" Target="https://rb-tracker.bosch.com/tracker08/browse/CSRGIMMC-2373" TargetMode="External"/><Relationship Id="rId217" Type="http://schemas.openxmlformats.org/officeDocument/2006/relationships/hyperlink" Target="https://rb-tracker.bosch.com/tracker08/browse/CSRGIMMC-2373" TargetMode="External"/><Relationship Id="rId6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238" Type="http://schemas.openxmlformats.org/officeDocument/2006/relationships/hyperlink" Target="https://rb-tracker.bosch.com/tracker08/browse/CSRGIMMC-2373" TargetMode="External"/><Relationship Id="rId259" Type="http://schemas.openxmlformats.org/officeDocument/2006/relationships/hyperlink" Target="https://rb-tracker.bosch.com/tracker08/browse/CSRGIMMC-2373" TargetMode="External"/><Relationship Id="rId23" Type="http://schemas.openxmlformats.org/officeDocument/2006/relationships/hyperlink" Target="file:///\\abt-soc501-dfs.de.bosch.com\XC_IMS_Platform\400_Cabin_Sensing_Radar\20_Measurements\07_CANape\Mitsubishi\5K45\MMC4.1.2\Validation\2025_11_29\child\part1\Awake" TargetMode="External"/><Relationship Id="rId119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270" Type="http://schemas.openxmlformats.org/officeDocument/2006/relationships/hyperlink" Target="https://rb-tracker.bosch.com/tracker08/browse/CSRGIMMC-2373" TargetMode="External"/><Relationship Id="rId291" Type="http://schemas.openxmlformats.org/officeDocument/2006/relationships/hyperlink" Target="https://rb-tracker.bosch.com/tracker08/browse/CSRGIMMC-2373" TargetMode="External"/><Relationship Id="rId4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5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8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0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93" Type="http://schemas.openxmlformats.org/officeDocument/2006/relationships/hyperlink" Target="https://rb-tracker.bosch.com/tracker08/browse/CSRGIMMC-2373" TargetMode="External"/><Relationship Id="rId207" Type="http://schemas.openxmlformats.org/officeDocument/2006/relationships/hyperlink" Target="https://rb-tracker.bosch.com/tracker08/browse/CSRGIMMC-2373" TargetMode="External"/><Relationship Id="rId228" Type="http://schemas.openxmlformats.org/officeDocument/2006/relationships/hyperlink" Target="https://rb-tracker.bosch.com/tracker08/browse/CSRGIMMC-2373" TargetMode="External"/><Relationship Id="rId249" Type="http://schemas.openxmlformats.org/officeDocument/2006/relationships/hyperlink" Target="https://rb-tracker.bosch.com/tracker08/browse/CSRGIMMC-2373" TargetMode="External"/><Relationship Id="rId1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09" Type="http://schemas.openxmlformats.org/officeDocument/2006/relationships/hyperlink" Target="file:///\\abtvdfs2.de.bosch.com\ismdfs\ilm\abt\IMS\Platform\400_Cabin_Sensing_Radar\20_Measurements\07_CANape\Mitsubishi\5K45\MMC4.1.2\Validation\2025_11_28\TC_103_Try1.MF4.xz" TargetMode="External"/><Relationship Id="rId260" Type="http://schemas.openxmlformats.org/officeDocument/2006/relationships/hyperlink" Target="https://rb-tracker.bosch.com/tracker08/browse/CSRGIMMC-2373" TargetMode="External"/><Relationship Id="rId281" Type="http://schemas.openxmlformats.org/officeDocument/2006/relationships/hyperlink" Target="https://rb-tracker.bosch.com/tracker08/browse/CSRGIMMC-2373" TargetMode="External"/><Relationship Id="rId3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5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76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0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7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16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83" Type="http://schemas.openxmlformats.org/officeDocument/2006/relationships/hyperlink" Target="https://rb-tracker.bosch.com/tracker08/browse/CSRGIMMC-2373" TargetMode="External"/><Relationship Id="rId218" Type="http://schemas.openxmlformats.org/officeDocument/2006/relationships/hyperlink" Target="https://rb-tracker.bosch.com/tracker08/browse/CSRGIMMC-2373" TargetMode="External"/><Relationship Id="rId239" Type="http://schemas.openxmlformats.org/officeDocument/2006/relationships/hyperlink" Target="https://rb-tracker.bosch.com/tracker08/browse/CSRGIMMC-2373" TargetMode="External"/><Relationship Id="rId250" Type="http://schemas.openxmlformats.org/officeDocument/2006/relationships/hyperlink" Target="https://rb-tracker.bosch.com/tracker08/browse/CSRGIMMC-2373" TargetMode="External"/><Relationship Id="rId271" Type="http://schemas.openxmlformats.org/officeDocument/2006/relationships/hyperlink" Target="https://rb-tracker.bosch.com/tracker08/browse/CSRGIMMC-2373" TargetMode="External"/><Relationship Id="rId292" Type="http://schemas.openxmlformats.org/officeDocument/2006/relationships/hyperlink" Target="https://rb-tracker.bosch.com/tracker08/browse/CSRGIMMC-2373" TargetMode="External"/><Relationship Id="rId24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4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7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10" Type="http://schemas.openxmlformats.org/officeDocument/2006/relationships/hyperlink" Target="file:///\\abtvdfs2.de.bosch.com\ismdfs\ilm\abt\IMS\Platform\400_Cabin_Sensing_Radar\20_Measurements\07_CANape\Mitsubishi\5K45\MMC4.1.2\Validation\2025_11_28\TC_103_Try1.MF4.xz" TargetMode="External"/><Relationship Id="rId131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94" Type="http://schemas.openxmlformats.org/officeDocument/2006/relationships/hyperlink" Target="https://rb-tracker.bosch.com/tracker08/browse/CSRGIMMC-2373" TargetMode="External"/><Relationship Id="rId208" Type="http://schemas.openxmlformats.org/officeDocument/2006/relationships/hyperlink" Target="https://rb-tracker.bosch.com/tracker08/browse/CSRGIMMC-2373" TargetMode="External"/><Relationship Id="rId229" Type="http://schemas.openxmlformats.org/officeDocument/2006/relationships/hyperlink" Target="https://rb-tracker.bosch.com/tracker08/browse/CSRGIMMC-2373" TargetMode="External"/><Relationship Id="rId240" Type="http://schemas.openxmlformats.org/officeDocument/2006/relationships/hyperlink" Target="https://rb-tracker.bosch.com/tracker08/browse/CSRGIMMC-2373" TargetMode="External"/><Relationship Id="rId261" Type="http://schemas.openxmlformats.org/officeDocument/2006/relationships/hyperlink" Target="https://rb-tracker.bosch.com/tracker08/browse/CSRGIMMC-2373" TargetMode="External"/><Relationship Id="rId1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6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77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0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82" Type="http://schemas.openxmlformats.org/officeDocument/2006/relationships/hyperlink" Target="https://rb-tracker.bosch.com/tracker08/browse/CSRGIMMC-2373" TargetMode="External"/><Relationship Id="rId8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9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1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84" Type="http://schemas.openxmlformats.org/officeDocument/2006/relationships/hyperlink" Target="https://rb-tracker.bosch.com/tracker08/browse/CSRGIMMC-2373" TargetMode="External"/><Relationship Id="rId219" Type="http://schemas.openxmlformats.org/officeDocument/2006/relationships/hyperlink" Target="https://rb-tracker.bosch.com/tracker08/browse/CSRGIMMC-2373" TargetMode="External"/><Relationship Id="rId230" Type="http://schemas.openxmlformats.org/officeDocument/2006/relationships/hyperlink" Target="https://rb-tracker.bosch.com/tracker08/browse/CSRGIMMC-2373" TargetMode="External"/><Relationship Id="rId251" Type="http://schemas.openxmlformats.org/officeDocument/2006/relationships/hyperlink" Target="https://rb-tracker.bosch.com/tracker08/browse/CSRGIMMC-2373" TargetMode="External"/><Relationship Id="rId25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4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272" Type="http://schemas.openxmlformats.org/officeDocument/2006/relationships/hyperlink" Target="https://rb-tracker.bosch.com/tracker08/browse/CSRGIMMC-2373" TargetMode="External"/><Relationship Id="rId293" Type="http://schemas.openxmlformats.org/officeDocument/2006/relationships/hyperlink" Target="https://rb-tracker.bosch.com/tracker08/browse/CSRGIMMC-2373" TargetMode="External"/><Relationship Id="rId88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11" Type="http://schemas.openxmlformats.org/officeDocument/2006/relationships/hyperlink" Target="file:///\\abt-soc501-dfs.de.bosch.com\XC_IMS_Platform\400_Cabin_Sensing_Radar\20_Measurements\07_CANape\Mitsubishi\5K45\MMC4.1.2\Validation\2025_11_28\orderedByTargetType\child\Sleep" TargetMode="External"/><Relationship Id="rId132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95" Type="http://schemas.openxmlformats.org/officeDocument/2006/relationships/hyperlink" Target="https://rb-tracker.bosch.com/tracker08/browse/CSRGIMMC-2373" TargetMode="External"/><Relationship Id="rId209" Type="http://schemas.openxmlformats.org/officeDocument/2006/relationships/hyperlink" Target="https://rb-tracker.bosch.com/tracker08/browse/CSRGIMMC-2373" TargetMode="External"/><Relationship Id="rId220" Type="http://schemas.openxmlformats.org/officeDocument/2006/relationships/hyperlink" Target="https://rb-tracker.bosch.com/tracker08/browse/CSRGIMMC-2373" TargetMode="External"/><Relationship Id="rId241" Type="http://schemas.openxmlformats.org/officeDocument/2006/relationships/hyperlink" Target="https://rb-tracker.bosch.com/tracker08/browse/CSRGIMMC-2373" TargetMode="External"/><Relationship Id="rId1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7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262" Type="http://schemas.openxmlformats.org/officeDocument/2006/relationships/hyperlink" Target="https://rb-tracker.bosch.com/tracker08/browse/CSRGIMMC-2373" TargetMode="External"/><Relationship Id="rId283" Type="http://schemas.openxmlformats.org/officeDocument/2006/relationships/hyperlink" Target="https://rb-tracker.bosch.com/tracker08/browse/CSRGIMMC-2373" TargetMode="External"/><Relationship Id="rId78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0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2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85" Type="http://schemas.openxmlformats.org/officeDocument/2006/relationships/hyperlink" Target="https://rb-tracker.bosch.com/tracker08/browse/CSRGIMMC-2373" TargetMode="External"/><Relationship Id="rId9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210" Type="http://schemas.openxmlformats.org/officeDocument/2006/relationships/hyperlink" Target="https://rb-tracker.bosch.com/tracker08/browse/CSRGIMMC-2373" TargetMode="External"/><Relationship Id="rId26" Type="http://schemas.openxmlformats.org/officeDocument/2006/relationships/hyperlink" Target="file:///\\abt-soc501-dfs.de.bosch.com\XC_IMS_Platform\400_Cabin_Sensing_Radar\20_Measurements\07_CANape\Mitsubishi\5K45\MMC4.1.2\Validation\2025_11_29\child\part1\Awake" TargetMode="External"/><Relationship Id="rId231" Type="http://schemas.openxmlformats.org/officeDocument/2006/relationships/hyperlink" Target="https://rb-tracker.bosch.com/tracker08/browse/CSRGIMMC-2373" TargetMode="External"/><Relationship Id="rId252" Type="http://schemas.openxmlformats.org/officeDocument/2006/relationships/hyperlink" Target="https://rb-tracker.bosch.com/tracker08/browse/CSRGIMMC-2373" TargetMode="External"/><Relationship Id="rId273" Type="http://schemas.openxmlformats.org/officeDocument/2006/relationships/hyperlink" Target="https://rb-tracker.bosch.com/tracker08/browse/CSRGIMMC-2373" TargetMode="External"/><Relationship Id="rId294" Type="http://schemas.openxmlformats.org/officeDocument/2006/relationships/hyperlink" Target="https://rb-tracker.bosch.com/tracker08/browse/CSRGIMMC-2373" TargetMode="External"/><Relationship Id="rId4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9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12" Type="http://schemas.openxmlformats.org/officeDocument/2006/relationships/hyperlink" Target="file:///\\abtvdfs2.de.bosch.com\ismdfs\ilm\abt\IMS\Platform\400_Cabin_Sensing_Radar\20_Measurements\07_CANape\Mitsubishi\5K45\MMC5.0.2\5K457EG11\CPD\CSR_XCP_Signals_Recorder_2026-01-26_11-23-32_CPD_TC182_Try5.MF4.xz" TargetMode="External"/><Relationship Id="rId133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96" Type="http://schemas.openxmlformats.org/officeDocument/2006/relationships/hyperlink" Target="https://rb-tracker.bosch.com/tracker08/browse/CSRGIMMC-2373" TargetMode="External"/><Relationship Id="rId200" Type="http://schemas.openxmlformats.org/officeDocument/2006/relationships/hyperlink" Target="https://rb-tracker.bosch.com/tracker08/browse/CSRGIMMC-2373" TargetMode="External"/><Relationship Id="rId16" Type="http://schemas.openxmlformats.org/officeDocument/2006/relationships/hyperlink" Target="file:///\\abt-soc501-dfs.de.bosch.com\XC_IMS_Platform\400_Cabin_Sensing_Radar\20_Measurements\07_CANape\Mitsubishi\5K45\MMC5.0.2\5K457MG57\SmokeTest" TargetMode="External"/><Relationship Id="rId221" Type="http://schemas.openxmlformats.org/officeDocument/2006/relationships/hyperlink" Target="https://rb-tracker.bosch.com/tracker08/browse/CSRGIMMC-2373" TargetMode="External"/><Relationship Id="rId242" Type="http://schemas.openxmlformats.org/officeDocument/2006/relationships/hyperlink" Target="https://rb-tracker.bosch.com/tracker08/browse/CSRGIMMC-2373" TargetMode="External"/><Relationship Id="rId263" Type="http://schemas.openxmlformats.org/officeDocument/2006/relationships/hyperlink" Target="https://rb-tracker.bosch.com/tracker08/browse/CSRGIMMC-2373" TargetMode="External"/><Relationship Id="rId284" Type="http://schemas.openxmlformats.org/officeDocument/2006/relationships/hyperlink" Target="https://rb-tracker.bosch.com/tracker08/browse/CSRGIMMC-2373" TargetMode="External"/><Relationship Id="rId3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9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0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3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90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6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86" Type="http://schemas.openxmlformats.org/officeDocument/2006/relationships/hyperlink" Target="https://rb-tracker.bosch.com/tracker08/browse/CSRGIMMC-2373" TargetMode="External"/><Relationship Id="rId211" Type="http://schemas.openxmlformats.org/officeDocument/2006/relationships/hyperlink" Target="https://rb-tracker.bosch.com/tracker08/browse/CSRGIMMC-2373" TargetMode="External"/><Relationship Id="rId232" Type="http://schemas.openxmlformats.org/officeDocument/2006/relationships/hyperlink" Target="https://rb-tracker.bosch.com/tracker08/browse/CSRGIMMC-2373" TargetMode="External"/><Relationship Id="rId253" Type="http://schemas.openxmlformats.org/officeDocument/2006/relationships/hyperlink" Target="https://rb-tracker.bosch.com/tracker08/browse/CSRGIMMC-2373" TargetMode="External"/><Relationship Id="rId274" Type="http://schemas.openxmlformats.org/officeDocument/2006/relationships/hyperlink" Target="https://rb-tracker.bosch.com/tracker08/browse/CSRGIMMC-2373" TargetMode="External"/><Relationship Id="rId295" Type="http://schemas.openxmlformats.org/officeDocument/2006/relationships/hyperlink" Target="https://rb-tracker.bosch.com/tracker08/browse/CSRGIMMC-2373" TargetMode="External"/><Relationship Id="rId27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4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3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4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80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5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6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197" Type="http://schemas.openxmlformats.org/officeDocument/2006/relationships/hyperlink" Target="https://rb-tracker.bosch.com/tracker08/browse/CSRGIMMC-2373" TargetMode="External"/><Relationship Id="rId201" Type="http://schemas.openxmlformats.org/officeDocument/2006/relationships/hyperlink" Target="https://rb-tracker.bosch.com/tracker08/browse/CSRGIMMC-2373" TargetMode="External"/><Relationship Id="rId222" Type="http://schemas.openxmlformats.org/officeDocument/2006/relationships/hyperlink" Target="https://rb-tracker.bosch.com/tracker08/browse/CSRGIMMC-2373" TargetMode="External"/><Relationship Id="rId243" Type="http://schemas.openxmlformats.org/officeDocument/2006/relationships/hyperlink" Target="https://rb-tracker.bosch.com/tracker08/browse/CSRGIMMC-2373" TargetMode="External"/><Relationship Id="rId264" Type="http://schemas.openxmlformats.org/officeDocument/2006/relationships/hyperlink" Target="https://rb-tracker.bosch.com/tracker08/browse/CSRGIMMC-2373" TargetMode="External"/><Relationship Id="rId285" Type="http://schemas.openxmlformats.org/officeDocument/2006/relationships/hyperlink" Target="https://rb-tracker.bosch.com/tracker08/browse/CSRGIMMC-2373" TargetMode="External"/><Relationship Id="rId1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4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7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91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4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87" Type="http://schemas.openxmlformats.org/officeDocument/2006/relationships/hyperlink" Target="https://rb-tracker.bosch.com/tracker08/browse/CSRGIMMC-2373" TargetMode="External"/><Relationship Id="rId1" Type="http://schemas.openxmlformats.org/officeDocument/2006/relationships/hyperlink" Target="file:///\\abtvdfs2.de.bosch.com\ismdfs\ilm\abt\IMS\Platform\400_Cabin_Sensing_Radar\20_Measurements\07_CANape\Mitsubishi\5K45\MMC4.1.2\Validation\2025_11_29\child\part1\Sleep" TargetMode="External"/><Relationship Id="rId212" Type="http://schemas.openxmlformats.org/officeDocument/2006/relationships/hyperlink" Target="https://rb-tracker.bosch.com/tracker08/browse/CSRGIMMC-2373" TargetMode="External"/><Relationship Id="rId233" Type="http://schemas.openxmlformats.org/officeDocument/2006/relationships/hyperlink" Target="https://rb-tracker.bosch.com/tracker08/browse/CSRGIMMC-2373" TargetMode="External"/><Relationship Id="rId254" Type="http://schemas.openxmlformats.org/officeDocument/2006/relationships/hyperlink" Target="https://rb-tracker.bosch.com/tracker08/browse/CSRGIMMC-2373" TargetMode="External"/><Relationship Id="rId28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4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4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275" Type="http://schemas.openxmlformats.org/officeDocument/2006/relationships/hyperlink" Target="https://rb-tracker.bosch.com/tracker08/browse/CSRGIMMC-2373" TargetMode="External"/><Relationship Id="rId6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1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35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7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198" Type="http://schemas.openxmlformats.org/officeDocument/2006/relationships/hyperlink" Target="https://rb-tracker.bosch.com/tracker08/browse/CSRGIMMC-2373" TargetMode="External"/><Relationship Id="rId202" Type="http://schemas.openxmlformats.org/officeDocument/2006/relationships/hyperlink" Target="https://rb-tracker.bosch.com/tracker08/browse/CSRGIMMC-2373" TargetMode="External"/><Relationship Id="rId223" Type="http://schemas.openxmlformats.org/officeDocument/2006/relationships/hyperlink" Target="https://rb-tracker.bosch.com/tracker08/browse/CSRGIMMC-2373" TargetMode="External"/><Relationship Id="rId244" Type="http://schemas.openxmlformats.org/officeDocument/2006/relationships/hyperlink" Target="https://rb-tracker.bosch.com/tracker08/browse/CSRGIMMC-2373" TargetMode="External"/><Relationship Id="rId1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265" Type="http://schemas.openxmlformats.org/officeDocument/2006/relationships/hyperlink" Target="https://rb-tracker.bosch.com/tracker08/browse/CSRGIMMC-2373" TargetMode="External"/><Relationship Id="rId286" Type="http://schemas.openxmlformats.org/officeDocument/2006/relationships/hyperlink" Target="https://rb-tracker.bosch.com/tracker08/browse/CSRGIMMC-2373" TargetMode="External"/><Relationship Id="rId5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5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88" Type="http://schemas.openxmlformats.org/officeDocument/2006/relationships/hyperlink" Target="https://rb-tracker.bosch.com/tracker08/browse/CSRGIMMC-2373" TargetMode="External"/><Relationship Id="rId71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92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213" Type="http://schemas.openxmlformats.org/officeDocument/2006/relationships/hyperlink" Target="https://rb-tracker.bosch.com/tracker08/browse/CSRGIMMC-2373" TargetMode="External"/><Relationship Id="rId234" Type="http://schemas.openxmlformats.org/officeDocument/2006/relationships/hyperlink" Target="https://rb-tracker.bosch.com/tracker08/browse/CSRGIMMC-2373" TargetMode="External"/><Relationship Id="rId2" Type="http://schemas.openxmlformats.org/officeDocument/2006/relationships/hyperlink" Target="file:///\\abt-soc501-dfs.de.bosch.com\XC_IMS_Platform\400_Cabin_Sensing_Radar\20_Measurements\07_CANape\Mitsubishi\5K45\MMC5.1.1\5K457EG11\Smoke%20Tests" TargetMode="External"/><Relationship Id="rId29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255" Type="http://schemas.openxmlformats.org/officeDocument/2006/relationships/hyperlink" Target="https://rb-tracker.bosch.com/tracker08/browse/CSRGIMMC-2373" TargetMode="External"/><Relationship Id="rId276" Type="http://schemas.openxmlformats.org/officeDocument/2006/relationships/hyperlink" Target="https://rb-tracker.bosch.com/tracker08/browse/CSRGIMMC-2373" TargetMode="External"/><Relationship Id="rId40" Type="http://schemas.openxmlformats.org/officeDocument/2006/relationships/hyperlink" Target="file:///\\abtvdfs2.de.bosch.com\ismdfs\ilm\abt\IMS\Platform\400_Cabin_Sensing_Radar\20_Measurements\07_CANape\Mitsubishi\5K45\MMC4.1.2\Validation\2025_11_29\child\part2\Awake\" TargetMode="External"/><Relationship Id="rId115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6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8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6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99" Type="http://schemas.openxmlformats.org/officeDocument/2006/relationships/hyperlink" Target="https://rb-tracker.bosch.com/tracker08/browse/CSRGIMMC-2373" TargetMode="External"/><Relationship Id="rId203" Type="http://schemas.openxmlformats.org/officeDocument/2006/relationships/hyperlink" Target="https://rb-tracker.bosch.com/tracker08/browse/CSRGIMMC-2373" TargetMode="External"/><Relationship Id="rId1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24" Type="http://schemas.openxmlformats.org/officeDocument/2006/relationships/hyperlink" Target="https://rb-tracker.bosch.com/tracker08/browse/CSRGIMMC-2373" TargetMode="External"/><Relationship Id="rId245" Type="http://schemas.openxmlformats.org/officeDocument/2006/relationships/hyperlink" Target="https://rb-tracker.bosch.com/tracker08/browse/CSRGIMMC-2373" TargetMode="External"/><Relationship Id="rId266" Type="http://schemas.openxmlformats.org/officeDocument/2006/relationships/hyperlink" Target="https://rb-tracker.bosch.com/tracker08/browse/CSRGIMMC-2373" TargetMode="External"/><Relationship Id="rId287" Type="http://schemas.openxmlformats.org/officeDocument/2006/relationships/hyperlink" Target="https://rb-tracker.bosch.com/tracker08/browse/CSRGIMMC-2373" TargetMode="External"/><Relationship Id="rId3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6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5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2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93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89" Type="http://schemas.openxmlformats.org/officeDocument/2006/relationships/hyperlink" Target="https://rb-tracker.bosch.com/tracker08/browse/CSRGIMMC-2373" TargetMode="External"/><Relationship Id="rId3" Type="http://schemas.openxmlformats.org/officeDocument/2006/relationships/hyperlink" Target="file:///\\abt-soc501-dfs.de.bosch.com\XC_IMS_Platform\400_Cabin_Sensing_Radar\20_Measurements\07_CANape\Mitsubishi\5K45\5.2.0\5K457EG11\SmokeTest\CPD" TargetMode="External"/><Relationship Id="rId214" Type="http://schemas.openxmlformats.org/officeDocument/2006/relationships/hyperlink" Target="https://rb-tracker.bosch.com/tracker08/browse/CSRGIMMC-2373" TargetMode="External"/><Relationship Id="rId235" Type="http://schemas.openxmlformats.org/officeDocument/2006/relationships/hyperlink" Target="https://rb-tracker.bosch.com/tracker08/browse/CSRGIMMC-2373" TargetMode="External"/><Relationship Id="rId256" Type="http://schemas.openxmlformats.org/officeDocument/2006/relationships/hyperlink" Target="https://rb-tracker.bosch.com/tracker08/browse/CSRGIMMC-2373" TargetMode="External"/><Relationship Id="rId277" Type="http://schemas.openxmlformats.org/officeDocument/2006/relationships/hyperlink" Target="https://rb-tracker.bosch.com/tracker08/browse/CSRGIMMC-2373" TargetMode="External"/><Relationship Id="rId116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137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41" Type="http://schemas.openxmlformats.org/officeDocument/2006/relationships/hyperlink" Target="file:///\\abtvdfs2.de.bosch.com\ismdfs\ilm\abt\IMS\Platform\400_Cabin_Sensing_Radar\20_Measurements\07_CANape\Mitsubishi\5K45\MMC4.1.2\Validation\2025_11_29\child\part2\Awake\" TargetMode="External"/><Relationship Id="rId6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9" Type="http://schemas.openxmlformats.org/officeDocument/2006/relationships/hyperlink" Target="file:///\\abt-soc501-dfs.de.bosch.com\XC_IMS_Platform\400_Cabin_Sensing_Radar\20_Measurements\07_CANape\Mitsubishi\5K45\MMC5.0.0_RC3_with_resetfix\CPD" TargetMode="External"/><Relationship Id="rId190" Type="http://schemas.openxmlformats.org/officeDocument/2006/relationships/hyperlink" Target="https://rb-tracker.bosch.com/tracker08/browse/CSRGIMMC-2373" TargetMode="External"/><Relationship Id="rId204" Type="http://schemas.openxmlformats.org/officeDocument/2006/relationships/hyperlink" Target="https://rb-tracker.bosch.com/tracker08/browse/CSRGIMMC-2373" TargetMode="External"/><Relationship Id="rId225" Type="http://schemas.openxmlformats.org/officeDocument/2006/relationships/hyperlink" Target="https://rb-tracker.bosch.com/tracker08/browse/CSRGIMMC-2373" TargetMode="External"/><Relationship Id="rId246" Type="http://schemas.openxmlformats.org/officeDocument/2006/relationships/hyperlink" Target="https://rb-tracker.bosch.com/tracker08/browse/CSRGIMMC-2373" TargetMode="External"/><Relationship Id="rId267" Type="http://schemas.openxmlformats.org/officeDocument/2006/relationships/hyperlink" Target="https://rb-tracker.bosch.com/tracker08/browse/CSRGIMMC-2373" TargetMode="External"/><Relationship Id="rId288" Type="http://schemas.openxmlformats.org/officeDocument/2006/relationships/hyperlink" Target="https://rb-tracker.bosch.com/tracker08/browse/CSRGIMMC-2373" TargetMode="External"/><Relationship Id="rId10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7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0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3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3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94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4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4" Type="http://schemas.openxmlformats.org/officeDocument/2006/relationships/hyperlink" Target="file:///\\abt-soc501-dfs.de.bosch.com\XC_IMS_Platform\400_Cabin_Sensing_Radar\20_Measurements\07_CANape\Mitsubishi\5K45\MMC5.0.2\5K457MG57\SmokeTest" TargetMode="External"/><Relationship Id="rId180" Type="http://schemas.openxmlformats.org/officeDocument/2006/relationships/hyperlink" Target="https://rb-tracker.bosch.com/tracker08/browse/CSRGIMMC-2373" TargetMode="External"/><Relationship Id="rId215" Type="http://schemas.openxmlformats.org/officeDocument/2006/relationships/hyperlink" Target="https://rb-tracker.bosch.com/tracker08/browse/CSRGIMMC-2373" TargetMode="External"/><Relationship Id="rId236" Type="http://schemas.openxmlformats.org/officeDocument/2006/relationships/hyperlink" Target="https://rb-tracker.bosch.com/tracker08/browse/CSRGIMMC-2373" TargetMode="External"/><Relationship Id="rId257" Type="http://schemas.openxmlformats.org/officeDocument/2006/relationships/hyperlink" Target="https://rb-tracker.bosch.com/tracker08/browse/CSRGIMMC-2373" TargetMode="External"/><Relationship Id="rId278" Type="http://schemas.openxmlformats.org/officeDocument/2006/relationships/hyperlink" Target="https://rb-tracker.bosch.com/tracker08/browse/CSRGIMMC-2373" TargetMode="External"/><Relationship Id="rId42" Type="http://schemas.openxmlformats.org/officeDocument/2006/relationships/hyperlink" Target="file:///\\abtvdfs2.de.bosch.com\ismdfs\ilm\abt\IMS\Platform\400_Cabin_Sensing_Radar\20_Measurements\07_CANape\Mitsubishi\5K45\MMC4.1.2\Validation\2025_11_29\child\part2\Awake\" TargetMode="External"/><Relationship Id="rId8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91" Type="http://schemas.openxmlformats.org/officeDocument/2006/relationships/hyperlink" Target="https://rb-tracker.bosch.com/tracker08/browse/CSRGIMMC-2373" TargetMode="External"/><Relationship Id="rId205" Type="http://schemas.openxmlformats.org/officeDocument/2006/relationships/hyperlink" Target="https://rb-tracker.bosch.com/tracker08/browse/CSRGIMMC-2373" TargetMode="External"/><Relationship Id="rId247" Type="http://schemas.openxmlformats.org/officeDocument/2006/relationships/hyperlink" Target="https://rb-tracker.bosch.com/tracker08/browse/CSRGIMMC-2373" TargetMode="External"/><Relationship Id="rId107" Type="http://schemas.openxmlformats.org/officeDocument/2006/relationships/hyperlink" Target="file:///\\abtvdfs2.de.bosch.com\ismdfs\ilm\abt\IMS\Platform\400_Cabin_Sensing_Radar\20_Measurements\07_CANape\Mitsubishi\5K45\MMC4.1.2\Validation\2025_11_28\TC_103_Try1.MF4.xz" TargetMode="External"/><Relationship Id="rId289" Type="http://schemas.openxmlformats.org/officeDocument/2006/relationships/hyperlink" Target="https://rb-tracker.bosch.com/tracker08/browse/CSRGIMMC-2373" TargetMode="External"/><Relationship Id="rId1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5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4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95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6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216" Type="http://schemas.openxmlformats.org/officeDocument/2006/relationships/hyperlink" Target="https://rb-tracker.bosch.com/tracker08/browse/CSRGIMMC-2373" TargetMode="External"/><Relationship Id="rId258" Type="http://schemas.openxmlformats.org/officeDocument/2006/relationships/hyperlink" Target="https://rb-tracker.bosch.com/tracker08/browse/CSRGIMMC-2373" TargetMode="External"/><Relationship Id="rId22" Type="http://schemas.openxmlformats.org/officeDocument/2006/relationships/hyperlink" Target="file:///\\abt-soc501-dfs.de.bosch.com\XC_IMS_Platform\400_Cabin_Sensing_Radar\20_Measurements\07_CANape\Mitsubishi\5K45\MMC4.1.2\Validation\2025_11_29\child\part1\Awake" TargetMode="External"/><Relationship Id="rId64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11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7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27" Type="http://schemas.openxmlformats.org/officeDocument/2006/relationships/hyperlink" Target="https://rb-tracker.bosch.com/tracker08/browse/CSRGIMMC-2373" TargetMode="External"/><Relationship Id="rId269" Type="http://schemas.openxmlformats.org/officeDocument/2006/relationships/hyperlink" Target="https://rb-tracker.bosch.com/tracker08/browse/CSRGIMMC-2373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21" Type="http://schemas.openxmlformats.org/officeDocument/2006/relationships/hyperlink" Target="file:///\\abt-soc501-dfs.de.bosch.com\XC_IMS_Platform\400_Cabin_Sensing_Radar\20_Measurements\07_CANape\Mitsubishi\5K45\MMC4.1.2\Validation\2025_11_29\child\part1\Awake" TargetMode="External"/><Relationship Id="rId42" Type="http://schemas.openxmlformats.org/officeDocument/2006/relationships/hyperlink" Target="file:///\\abtvdfs2.de.bosch.com\ismdfs\ilm\abt\IMS\Platform\400_Cabin_Sensing_Radar\20_Measurements\07_CANape\Mitsubishi\5K45\MMC4.1.2\Validation\2025_11_29\child\part2\Awake\" TargetMode="External"/><Relationship Id="rId63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8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0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4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2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5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95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6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81" Type="http://schemas.openxmlformats.org/officeDocument/2006/relationships/hyperlink" Target="file:///\\abt-soc501-dfs.de.bosch.com\XC_IMS_Platform\400_Cabin_Sensing_Radar\20_Measurements\07_CANape\Mitsubishi\5K45\MMC5.0.0_RC3_with_resetfix\CPD" TargetMode="External"/><Relationship Id="rId22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4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4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11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9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8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5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9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5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5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6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40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6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82" Type="http://schemas.openxmlformats.org/officeDocument/2006/relationships/hyperlink" Target="file:///\\abtvdfs2.de.bosch.com\ismdfs\ilm\abt\IMS\Platform\400_Cabin_Sensing_Radar\20_Measurements\07_CANape\Mitsubishi\5K45\5.3.0_RC6.2\5K457EG11\FP_Test_Cases_Renamed\CSR_XCP_Signals_Recorder_2026-02-03_15-17-41_AF50_2L_NCAP1_2.MF4.xz" TargetMode="External"/><Relationship Id="rId6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23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119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4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5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81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8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0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5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5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" Type="http://schemas.openxmlformats.org/officeDocument/2006/relationships/hyperlink" Target="file:///\\abt-soc501-dfs.de.bosch.com\XC_IMS_Platform\400_Cabin_Sensing_Radar\20_Measurements\07_CANape\Mitsubishi\5K45\MMC5.0.2\5K457MG57\SmokeTest" TargetMode="External"/><Relationship Id="rId1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5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76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7" Type="http://schemas.openxmlformats.org/officeDocument/2006/relationships/hyperlink" Target="file:///\\abt-soc501-dfs.de.bosch.com\XC_IMS_Platform\400_Cabin_Sensing_Radar\20_Measurements\07_CANape\Mitsubishi\5K45\MMC4.1.2\Validation\2025_12_02\ChildAwake" TargetMode="External"/><Relationship Id="rId10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0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125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1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71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92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6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83" Type="http://schemas.openxmlformats.org/officeDocument/2006/relationships/hyperlink" Target="file:///\\abtvdfs2.de.bosch.com\ismdfs\ilm\abt\IMS\Platform\400_Cabin_Sensing_Radar\20_Measurements\07_CANape\Mitsubishi\5K45\5.3.0_RC6.2\5K457EG11\NB_Awake_with_Blanket\CSR_XCP_Signals_Recorder_2026-01-31_13-33-25_TC200_Reset.MF4.xz" TargetMode="External"/><Relationship Id="rId2" Type="http://schemas.openxmlformats.org/officeDocument/2006/relationships/hyperlink" Target="file:///\\abt-soc501-dfs.de.bosch.com\XC_IMS_Platform\400_Cabin_Sensing_Radar\20_Measurements\07_CANape\Mitsubishi\5K45\5.2.0\5K457EG11\SmokeTest\CPD" TargetMode="External"/><Relationship Id="rId29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24" Type="http://schemas.openxmlformats.org/officeDocument/2006/relationships/hyperlink" Target="file:///\\abt-soc501-dfs.de.bosch.com\XC_IMS_Platform\400_Cabin_Sensing_Radar\20_Measurements\07_CANape\Mitsubishi\5K45\MMC4.1.2\Validation\2025_11_29\child\part1\Awake" TargetMode="External"/><Relationship Id="rId40" Type="http://schemas.openxmlformats.org/officeDocument/2006/relationships/hyperlink" Target="file:///\\abtvdfs2.de.bosch.com\ismdfs\ilm\abt\IMS\Platform\400_Cabin_Sensing_Radar\20_Measurements\07_CANape\Mitsubishi\5K45\MMC4.1.2\Validation\2025_11_29\child\part2\Awake\" TargetMode="External"/><Relationship Id="rId4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1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15" Type="http://schemas.openxmlformats.org/officeDocument/2006/relationships/hyperlink" Target="file:///\\abtvdfs2.de.bosch.com\ismdfs\ilm\abt\IMS\Platform\400_Cabin_Sensing_Radar\20_Measurements\07_CANape\Mitsubishi\5K45\MMC4.1.2\Validation\2025_11_28\TC_103_Try3_Retry.MF4.xz" TargetMode="External"/><Relationship Id="rId131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6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6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2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5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4" Type="http://schemas.openxmlformats.org/officeDocument/2006/relationships/hyperlink" Target="file:///\\abt-soc501-dfs.de.bosch.com\XC_IMS_Platform\400_Cabin_Sensing_Radar\20_Measurements\07_CANape\Mitsubishi\5K45\MMC5.1.1\5K457EG11\Smoke%20Tests" TargetMode="External"/><Relationship Id="rId3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3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6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77" Type="http://schemas.openxmlformats.org/officeDocument/2006/relationships/hyperlink" Target="file:///\\abt-soc501-dfs.de.bosch.com\XC_IMS_Platform\400_Cabin_Sensing_Radar\20_Measurements\07_CANape\Mitsubishi\5K45\MMC4.1.2\Validation\2025_11_28\orderedByTargetType\child\Sleep" TargetMode="External"/><Relationship Id="rId10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6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5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2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93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1" Type="http://schemas.openxmlformats.org/officeDocument/2006/relationships/hyperlink" Target="file:///\\abt-soc501-dfs.de.bosch.com\XC_IMS_Platform\400_Cabin_Sensing_Radar\20_Measurements\07_CANape\Mitsubishi\5K45\MMC5.0.2\5K457EG11\RealChild" TargetMode="External"/><Relationship Id="rId142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6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25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4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6" Type="http://schemas.openxmlformats.org/officeDocument/2006/relationships/hyperlink" Target="file:///\\abtvdfs2.de.bosch.com\ismdfs\ilm\abt\IMS\Platform\400_Cabin_Sensing_Radar\20_Measurements\07_CANape\Mitsubishi\5K45\MMC5.0.2\5K457EG11\CPD\CSR_XCP_Signals_Recorder_2026-01-26_11-23-32_CPD_TC182_Try5.MF4.xz" TargetMode="External"/><Relationship Id="rId137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0" Type="http://schemas.openxmlformats.org/officeDocument/2006/relationships/hyperlink" Target="file:///\\abt-soc501-dfs.de.bosch.com\XC_IMS_Platform\400_Cabin_Sensing_Radar\20_Measurements\07_CANape\Mitsubishi\5K45\MMC4.1.2\Validation\2025_11_29\child\part1\Awake" TargetMode="External"/><Relationship Id="rId41" Type="http://schemas.openxmlformats.org/officeDocument/2006/relationships/hyperlink" Target="file:///\\abtvdfs2.de.bosch.com\ismdfs\ilm\abt\IMS\Platform\400_Cabin_Sensing_Radar\20_Measurements\07_CANape\Mitsubishi\5K45\MMC4.1.2\Validation\2025_11_29\child\part2\Awake\" TargetMode="External"/><Relationship Id="rId6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88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1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2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7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10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7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3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78" Type="http://schemas.openxmlformats.org/officeDocument/2006/relationships/hyperlink" Target="file:///\\abt-soc501-dfs.de.bosch.com\XC_IMS_Platform\400_Cabin_Sensing_Radar\20_Measurements\07_CANape\Mitsubishi\5K45\MMC4.1.2\Validation\2025_11_28\orderedByTargetType\child\Sleep" TargetMode="External"/><Relationship Id="rId94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2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4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6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4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80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26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4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9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12" Type="http://schemas.openxmlformats.org/officeDocument/2006/relationships/hyperlink" Target="file:///\\abtvdfs2.de.bosch.com\ismdfs\ilm\abt\IMS\Platform\400_Cabin_Sensing_Radar\20_Measurements\07_CANape\Mitsubishi\5K45\MMC4.1.2\Validation\2025_11_28\TC_103_Try1.MF4.xz" TargetMode="External"/><Relationship Id="rId133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9" Type="http://schemas.openxmlformats.org/officeDocument/2006/relationships/hyperlink" Target="file:///\\abt-soc501-dfs.de.bosch.com\XC_IMS_Platform\400_Cabin_Sensing_Radar\20_Measurements\07_CANape\Mitsubishi\5K45\MMC4.1.2\Validation\2025_11_28\orderedByTargetType\child\Sleep" TargetMode="External"/><Relationship Id="rId10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3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90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6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27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4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3" Type="http://schemas.openxmlformats.org/officeDocument/2006/relationships/hyperlink" Target="file:///\\abtvdfs2.de.bosch.com\ismdfs\ilm\abt\IMS\Platform\400_Cabin_Sensing_Radar\20_Measurements\07_CANape\Mitsubishi\5K45\MMC4.1.2\Validation\2025_11_28\TC_103_Try2.MF4.xz" TargetMode="External"/><Relationship Id="rId134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80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5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4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7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91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4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" Type="http://schemas.openxmlformats.org/officeDocument/2006/relationships/hyperlink" Target="file:///\\abtvdfs2.de.bosch.com\ismdfs\ilm\abt\IMS\Platform\400_Cabin_Sensing_Radar\20_Measurements\07_CANape\Mitsubishi\5K45\MMC4.1.2\Validation\2025_11_29\child\part1\Sleep" TargetMode="External"/><Relationship Id="rId28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4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4" Type="http://schemas.openxmlformats.org/officeDocument/2006/relationships/hyperlink" Target="file:///\\abtvdfs2.de.bosch.com\ismdfs\ilm\abt\IMS\Platform\400_Cabin_Sensing_Radar\20_Measurements\07_CANape\Mitsubishi\5K45\MMC4.1.2\Validation\2025_11_28\TC_103_Try3.MF4.xz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21" Type="http://schemas.openxmlformats.org/officeDocument/2006/relationships/hyperlink" Target="file:///\\abt-soc501-dfs.de.bosch.com\XC_IMS_Platform\400_Cabin_Sensing_Radar\20_Measurements\07_CANape\Mitsubishi\5K45\MMC4.1.2\Validation\2025_11_29\child\part1\Awake" TargetMode="External"/><Relationship Id="rId42" Type="http://schemas.openxmlformats.org/officeDocument/2006/relationships/hyperlink" Target="file:///\\abtvdfs2.de.bosch.com\ismdfs\ilm\abt\IMS\Platform\400_Cabin_Sensing_Radar\20_Measurements\07_CANape\Mitsubishi\5K45\MMC4.1.2\Validation\2025_11_29\child\part2\Awake\" TargetMode="External"/><Relationship Id="rId6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0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3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74" Type="http://schemas.openxmlformats.org/officeDocument/2006/relationships/hyperlink" Target="file:///\\abt-soc501-dfs.de.bosch.com\XC_IMS_Platform\400_Cabin_Sensing_Radar\20_Measurements\07_CANape\Mitsubishi\5K45\MMC4.1.2\Validation\2025_11_28\orderedByTargetType\child\Sleep" TargetMode="External"/><Relationship Id="rId12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5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95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6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8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2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4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9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8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5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9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5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5" Type="http://schemas.openxmlformats.org/officeDocument/2006/relationships/hyperlink" Target="file:///\\abt-soc501-dfs.de.bosch.com\XC_IMS_Platform\400_Cabin_Sensing_Radar\20_Measurements\07_CANape\Mitsubishi\5K45\MMC4.1.2\Validation\2025_11_28\orderedByTargetType\child\Sleep" TargetMode="External"/><Relationship Id="rId9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40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6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82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6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23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119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4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0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6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1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8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0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5" Type="http://schemas.openxmlformats.org/officeDocument/2006/relationships/hyperlink" Target="file:///\\abt-soc501-dfs.de.bosch.com\XC_IMS_Platform\400_Cabin_Sensing_Radar\20_Measurements\07_CANape\Mitsubishi\5K45\MMC5.0.2\5K457EG11\RealChild" TargetMode="External"/><Relationship Id="rId15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5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" Type="http://schemas.openxmlformats.org/officeDocument/2006/relationships/hyperlink" Target="file:///\\abt-soc501-dfs.de.bosch.com\XC_IMS_Platform\400_Cabin_Sensing_Radar\20_Measurements\07_CANape\Mitsubishi\5K45\MMC5.0.2\5K457MG57\SmokeTest" TargetMode="External"/><Relationship Id="rId1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3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6" Type="http://schemas.openxmlformats.org/officeDocument/2006/relationships/hyperlink" Target="file:///\\abt-soc501-dfs.de.bosch.com\XC_IMS_Platform\400_Cabin_Sensing_Radar\20_Measurements\07_CANape\Mitsubishi\5K45\MMC4.1.2\Validation\2025_11_28\orderedByTargetType\child\Sleep" TargetMode="External"/><Relationship Id="rId97" Type="http://schemas.openxmlformats.org/officeDocument/2006/relationships/hyperlink" Target="file:///\\abt-soc501-dfs.de.bosch.com\XC_IMS_Platform\400_Cabin_Sensing_Radar\20_Measurements\07_CANape\Mitsubishi\5K45\MMC4.1.2\Validation\2025_12_02\ChildAwake" TargetMode="External"/><Relationship Id="rId10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0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25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1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7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92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6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83" Type="http://schemas.openxmlformats.org/officeDocument/2006/relationships/hyperlink" Target="file:///\\abt-soc501-dfs.de.bosch.com\XC_IMS_Platform\400_Cabin_Sensing_Radar\20_Measurements\07_CANape\Mitsubishi\5K45\MMC5.0.0_RC3_with_resetfix\CPD" TargetMode="External"/><Relationship Id="rId2" Type="http://schemas.openxmlformats.org/officeDocument/2006/relationships/hyperlink" Target="file:///\\abt-soc501-dfs.de.bosch.com\XC_IMS_Platform\400_Cabin_Sensing_Radar\20_Measurements\07_CANape\Mitsubishi\5K45\5.2.0\5K457EG11\SmokeTest\CPD" TargetMode="External"/><Relationship Id="rId29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24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40" Type="http://schemas.openxmlformats.org/officeDocument/2006/relationships/hyperlink" Target="file:///\\abtvdfs2.de.bosch.com\ismdfs\ilm\abt\IMS\Platform\400_Cabin_Sensing_Radar\20_Measurements\07_CANape\Mitsubishi\5K45\MMC4.1.2\Validation\2025_11_29\child\part2\Awake\" TargetMode="External"/><Relationship Id="rId4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6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87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1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5" Type="http://schemas.openxmlformats.org/officeDocument/2006/relationships/hyperlink" Target="file:///\\abtvdfs2.de.bosch.com\ismdfs\ilm\abt\IMS\Platform\400_Cabin_Sensing_Radar\20_Measurements\07_CANape\Mitsubishi\5K45\MMC4.1.2\Validation\2025_11_28\TC_103_Try3_Retry.MF4.xz" TargetMode="External"/><Relationship Id="rId131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6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6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2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5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4" Type="http://schemas.openxmlformats.org/officeDocument/2006/relationships/hyperlink" Target="file:///\\abt-soc501-dfs.de.bosch.com\XC_IMS_Platform\400_Cabin_Sensing_Radar\20_Measurements\07_CANape\Mitsubishi\5K45\MMC5.1.1\5K457EG11\Smoke%20Tests" TargetMode="External"/><Relationship Id="rId3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3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7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0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6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51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7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93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1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2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6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25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4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7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116" Type="http://schemas.openxmlformats.org/officeDocument/2006/relationships/hyperlink" Target="file:///\\abtvdfs2.de.bosch.com\ismdfs\ilm\abt\IMS\Platform\400_Cabin_Sensing_Radar\20_Measurements\07_CANape\Mitsubishi\5K45\MMC5.0.2\5K457EG11\CPD\CSR_XCP_Signals_Recorder_2026-01-26_11-23-32_CPD_TC182_Try5.MF4.xz" TargetMode="External"/><Relationship Id="rId137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0" Type="http://schemas.openxmlformats.org/officeDocument/2006/relationships/hyperlink" Target="file:///\\abt-soc501-dfs.de.bosch.com\XC_IMS_Platform\400_Cabin_Sensing_Radar\20_Measurements\07_CANape\Mitsubishi\5K45\MMC4.1.2\Validation\2025_11_29\child\part1\Awake" TargetMode="External"/><Relationship Id="rId41" Type="http://schemas.openxmlformats.org/officeDocument/2006/relationships/hyperlink" Target="file:///\\abtvdfs2.de.bosch.com\ismdfs\ilm\abt\IMS\Platform\400_Cabin_Sensing_Radar\20_Measurements\07_CANape\Mitsubishi\5K45\MMC4.1.2\Validation\2025_11_29\child\part2\Awake\" TargetMode="External"/><Relationship Id="rId6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88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1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32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9" Type="http://schemas.openxmlformats.org/officeDocument/2006/relationships/hyperlink" Target="file:///\\abtvdfs2.de.bosch.com\ismdfs\ilm\abt\IMS\Platform\400_Cabin_Sensing_Radar\20_Measurements\07_CANape\Mitsubishi\5K45\5.3.0_RC6.2\5K457EG11\FP_Test_Cases_Renamed\CSR_XCP_Signals_Recorder_2026-02-03_15-17-41_AF50_2L_NCAP1_2.MF4.xz" TargetMode="External"/><Relationship Id="rId1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7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2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7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8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4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2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3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4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8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6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4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8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89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12" Type="http://schemas.openxmlformats.org/officeDocument/2006/relationships/hyperlink" Target="file:///\\abtvdfs2.de.bosch.com\ismdfs\ilm\abt\IMS\Platform\400_Cabin_Sensing_Radar\20_Measurements\07_CANape\Mitsubishi\5K45\MMC4.1.2\Validation\2025_11_28\TC_103_Try1.MF4.xz" TargetMode="External"/><Relationship Id="rId133" Type="http://schemas.openxmlformats.org/officeDocument/2006/relationships/hyperlink" Target="file:///\\abtvdfs2.de.bosch.com\ismdfs\ilm\abt\IMS\Platform\400_Cabin_Sensing_Radar\20_Measurements\07_CANape\Mitsubishi\5K45\5.3.0_RC6.2\5K457EG11\NB_Awake_with_Blanket\CSR_XCP_Signals_Recorder_2026-01-31_13-33-25_TC200_Reset.MF4.xz" TargetMode="External"/><Relationship Id="rId15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8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79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0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3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4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90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6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27" Type="http://schemas.openxmlformats.org/officeDocument/2006/relationships/hyperlink" Target="file:///\\abt-soc501-dfs.de.bosch.com\XC_IMS_Platform\400_Cabin_Sensing_Radar\20_Measurements\07_CANape\Mitsubishi\5K45\MMC4.1.2\Validation\2025_11_29\child\part1\Awake" TargetMode="External"/><Relationship Id="rId4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3" Type="http://schemas.openxmlformats.org/officeDocument/2006/relationships/hyperlink" Target="file:///\\abtvdfs2.de.bosch.com\ismdfs\ilm\abt\IMS\Platform\400_Cabin_Sensing_Radar\20_Measurements\07_CANape\Mitsubishi\5K45\MMC4.1.2\Validation\2025_11_28\TC_103_Try2.MF4.xz" TargetMode="External"/><Relationship Id="rId13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80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5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9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10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4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7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91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4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" Type="http://schemas.openxmlformats.org/officeDocument/2006/relationships/hyperlink" Target="file:///\\abtvdfs2.de.bosch.com\ismdfs\ilm\abt\IMS\Platform\400_Cabin_Sensing_Radar\20_Measurements\07_CANape\Mitsubishi\5K45\MMC4.1.2\Validation\2025_11_29\child\part1\Sleep" TargetMode="External"/><Relationship Id="rId28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4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4" Type="http://schemas.openxmlformats.org/officeDocument/2006/relationships/hyperlink" Target="file:///\\abtvdfs2.de.bosch.com\ismdfs\ilm\abt\IMS\Platform\400_Cabin_Sensing_Radar\20_Measurements\07_CANape\Mitsubishi\5K45\MMC4.1.2\Validation\2025_11_28\TC_103_Try3.MF4.xz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21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4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3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5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0" Type="http://schemas.openxmlformats.org/officeDocument/2006/relationships/hyperlink" Target="file:///\\abtvdfs2.de.bosch.com\ismdfs\ilm\abt\IMS\Platform\400_Cabin_Sensing_Radar\20_Measurements\07_CANape\Mitsubishi\5K45\MMC4.1.2\8EmptyCases" TargetMode="External"/><Relationship Id="rId107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4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2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4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95" Type="http://schemas.openxmlformats.org/officeDocument/2006/relationships/hyperlink" Target="file:///\\abtvdfs2.de.bosch.com\ismdfs\ilm\abt\IMS\Platform\400_Cabin_Sensing_Radar\20_Measurements\07_CANape\Mitsubishi\5K45\MMC4.1.2\Validation\2025_11_28\TC_103_Try2.MF4.xz" TargetMode="External"/><Relationship Id="rId16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2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4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4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11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8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5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1" Type="http://schemas.openxmlformats.org/officeDocument/2006/relationships/hyperlink" Target="file:///\\abtvdfs2.de.bosch.com\ismdfs\ilm\abt\IMS\Platform\400_Cabin_Sensing_Radar\20_Measurements\07_CANape\Mitsubishi\5K45\MMC4.1.2\8EmptyCases" TargetMode="External"/><Relationship Id="rId1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3" Type="http://schemas.openxmlformats.org/officeDocument/2006/relationships/hyperlink" Target="file:///\\abtvdfs2.de.bosch.com\ismdfs\ilm\abt\IMS\Platform\400_Cabin_Sensing_Radar\20_Measurements\07_CANape\Mitsubishi\5K45\MMC4.1.2\Validation\2025_11_29\child\part2\Awake\" TargetMode="External"/><Relationship Id="rId10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2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5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5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6" Type="http://schemas.openxmlformats.org/officeDocument/2006/relationships/hyperlink" Target="file:///\\abtvdfs2.de.bosch.com\ismdfs\ilm\abt\IMS\Platform\400_Cabin_Sensing_Radar\20_Measurements\07_CANape\Mitsubishi\5K45\MMC4.1.2\Validation\2025_11_28\TC_103_Try3.MF4.xz" TargetMode="External"/><Relationship Id="rId14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1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2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49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114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19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4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5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8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3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5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5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7" Type="http://schemas.openxmlformats.org/officeDocument/2006/relationships/hyperlink" Target="file:///\\abtvdfs2.de.bosch.com\ismdfs\ilm\abt\IMS\Platform\400_Cabin_Sensing_Radar\20_Measurements\07_CANape\Mitsubishi\5K45\MMC5.0.2\5K457EG11\CPD\CSR_XCP_Signals_Recorder_2026-01-27_13-57-58_CPD_TC108_Try5.MF4.xz" TargetMode="External"/><Relationship Id="rId172" Type="http://schemas.openxmlformats.org/officeDocument/2006/relationships/hyperlink" Target="file:///\\abtvdfs2.de.bosch.com\ismdfs\ilm\abt\IMS\Platform\400_Cabin_Sensing_Radar\20_Measurements\07_CANape\Mitsubishi\5K45\MMC4.1.2\8EmptyCases" TargetMode="External"/><Relationship Id="rId1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8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3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9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34" Type="http://schemas.openxmlformats.org/officeDocument/2006/relationships/hyperlink" Target="file:///\\abtvdfs2.de.bosch.com\ismdfs\ilm\abt\IMS\Platform\400_Cabin_Sensing_Radar\20_Measurements\07_CANape\Mitsubishi\5K45\MMC4.1.2\Validation\2025_11_29\child\part2\Awake\" TargetMode="External"/><Relationship Id="rId50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5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6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7" Type="http://schemas.openxmlformats.org/officeDocument/2006/relationships/hyperlink" Target="file:///\\abtvdfs2.de.bosch.com\ismdfs\ilm\abt\IMS\Platform\400_Cabin_Sensing_Radar\20_Measurements\07_CANape\Mitsubishi\5K45\MMC4.1.2\Validation\2025_11_28\TC_103_Try3_Retry.MF4.xz" TargetMode="External"/><Relationship Id="rId104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20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2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4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4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67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71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2" Type="http://schemas.openxmlformats.org/officeDocument/2006/relationships/hyperlink" Target="file:///\\abt-soc501-dfs.de.bosch.com\XC_IMS_Platform\400_Cabin_Sensing_Radar\20_Measurements\07_CANape\Mitsubishi\5K45\MMC5.0.0_RC3_with_resetfix\CPD" TargetMode="External"/><Relationship Id="rId2" Type="http://schemas.openxmlformats.org/officeDocument/2006/relationships/hyperlink" Target="file:///\\abt-soc501-dfs.de.bosch.com\XC_IMS_Platform\400_Cabin_Sensing_Radar\20_Measurements\07_CANape\Mitsubishi\5K45\5.2.0\5K457EG11\SmokeTest\CPD" TargetMode="External"/><Relationship Id="rId2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2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4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4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6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8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0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15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5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8" Type="http://schemas.openxmlformats.org/officeDocument/2006/relationships/hyperlink" Target="file:///\\abtvdfs2.de.bosch.com\ismdfs\ilm\abt\IMS\Platform\400_Cabin_Sensing_Radar\20_Measurements\07_CANape\Mitsubishi\5K45\MMC5.0.2\5K457EG11\CPD\CSR_XCP_Signals_Recorder_2026-01-27_13-57-58_CPD_TC108_Try5.MF4.xz" TargetMode="External"/><Relationship Id="rId6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5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3" Type="http://schemas.openxmlformats.org/officeDocument/2006/relationships/hyperlink" Target="file:///\\abtvdfs2.de.bosch.com\ismdfs\ilm\abt\IMS\Platform\400_Cabin_Sensing_Radar\20_Measurements\07_CANape\Mitsubishi\5K45\MMC4.1.2\8EmptyCases" TargetMode="External"/><Relationship Id="rId19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1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35" Type="http://schemas.openxmlformats.org/officeDocument/2006/relationships/hyperlink" Target="file:///\\abtvdfs2.de.bosch.com\ismdfs\ilm\abt\IMS\Platform\400_Cabin_Sensing_Radar\20_Measurements\07_CANape\Mitsubishi\5K45\MMC4.1.2\Validation\2025_11_29\child\part2\Awake\" TargetMode="External"/><Relationship Id="rId56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77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00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05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2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4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68" Type="http://schemas.openxmlformats.org/officeDocument/2006/relationships/hyperlink" Target="file:///\\abtvdfs2.de.bosch.com\ismdfs\ilm\abt\IMS\Platform\400_Cabin_Sensing_Radar\20_Measurements\07_CANape\Mitsubishi\5K45\MMC4.1.2\8EmptyCases" TargetMode="External"/><Relationship Id="rId8" Type="http://schemas.openxmlformats.org/officeDocument/2006/relationships/hyperlink" Target="file:///\\abt-soc501-dfs.de.bosch.com\XC_IMS_Platform\400_Cabin_Sensing_Radar\20_Measurements\07_CANape\Mitsubishi\5K45\MMC5.0.2\5K457MG57\SmokeTest" TargetMode="External"/><Relationship Id="rId5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2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9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21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3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4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7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16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5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0" Type="http://schemas.openxmlformats.org/officeDocument/2006/relationships/hyperlink" Target="file:///\\abtvdfs2.de.bosch.com\ismdfs\ilm\abt\IMS\Platform\400_Cabin_Sensing_Radar\20_Measurements\07_CANape\Mitsubishi\5K45\5.2.0\5K457EG11\Real_Childs" TargetMode="External"/><Relationship Id="rId4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1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5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4" Type="http://schemas.openxmlformats.org/officeDocument/2006/relationships/hyperlink" Target="file:///\\abtvdfs2.de.bosch.com\ismdfs\ilm\abt\IMS\Platform\400_Cabin_Sensing_Radar\20_Measurements\07_CANape\Mitsubishi\5K45\MMC4.1.2\8EmptyCases" TargetMode="External"/><Relationship Id="rId15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3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7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106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2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3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78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4" Type="http://schemas.openxmlformats.org/officeDocument/2006/relationships/hyperlink" Target="file:///\\abtvdfs2.de.bosch.com\ismdfs\ilm\abt\IMS\Platform\400_Cabin_Sensing_Radar\20_Measurements\07_CANape\Mitsubishi\5K45\MMC4.1.2\Validation\2025_11_28\TC_103_Try1.MF4.xz" TargetMode="External"/><Relationship Id="rId99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01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122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4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64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169" Type="http://schemas.openxmlformats.org/officeDocument/2006/relationships/hyperlink" Target="file:///\\abtvdfs2.de.bosch.com\ismdfs\ilm\abt\IMS\Platform\400_Cabin_Sensing_Radar\20_Measurements\07_CANape\Mitsubishi\5K45\MMC4.1.2\8EmptyCases" TargetMode="External"/><Relationship Id="rId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9" Type="http://schemas.openxmlformats.org/officeDocument/2006/relationships/hyperlink" Target="file:///\\abt-soc501-dfs.de.bosch.com\XC_IMS_Platform\400_Cabin_Sensing_Radar\20_Measurements\07_CANape\Mitsubishi\5K45\MMC5.1.1\5K457EG11\Smoke%20Tests" TargetMode="External"/><Relationship Id="rId2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4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8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8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2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5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5" Type="http://schemas.openxmlformats.org/officeDocument/2006/relationships/hyperlink" Target="file:///\\abtvdfs2.de.bosch.com\ismdfs\ilm\abt\IMS\Platform\400_Cabin_Sensing_Radar\20_Measurements\07_CANape\Mitsubishi\5K45\MMC4.1.2\8EmptyCases" TargetMode="External"/><Relationship Id="rId16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3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8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79" Type="http://schemas.openxmlformats.org/officeDocument/2006/relationships/hyperlink" Target="file:///\\abt-soc501-dfs.de.bosch.com\XC_IMS_Platform\400_Cabin_Sensing_Radar\20_Measurements\07_CANape\Mitsubishi\5K45\MMC4.1.2\Validation\2025_12_02\ChildAwake" TargetMode="External"/><Relationship Id="rId102" Type="http://schemas.openxmlformats.org/officeDocument/2006/relationships/hyperlink" Target="file:///\\abt-soc501-dfs.de.bosch.com\XC_IMS_Platform\400_Cabin_Sensing_Radar\20_Measurements\07_CANape\Mitsubishi\5K45\MMC5.0.2\5K457EG11\RealChild" TargetMode="External"/><Relationship Id="rId123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9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65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2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48" Type="http://schemas.openxmlformats.org/officeDocument/2006/relationships/hyperlink" Target="file:///\\abtvdfs2.de.bosch.com\ismdfs\ilm\abt\IMS\Platform\400_Cabin_Sensing_Radar\20_Measurements\07_CANape\Mitsubishi\5K45\MMC4.1.2\Validation\2025_11_29\child\part2\Sleep\" TargetMode="External"/><Relationship Id="rId69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113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8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5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76" Type="http://schemas.openxmlformats.org/officeDocument/2006/relationships/hyperlink" Target="file:///\\abtvdfs2.de.bosch.com\ismdfs\ilm\abt\IMS\Platform\400_Cabin_Sensing_Radar\20_Measurements\07_CANape\Mitsubishi\5K45\MMC5.0.2\5K457EG11\CPD\CSR_XCP_Signals_Recorder_2026-01-26_11-23-32_CPD_TC182_Try5.MF4.xz" TargetMode="External"/><Relationship Id="rId17" Type="http://schemas.openxmlformats.org/officeDocument/2006/relationships/hyperlink" Target="file:///\\abt-soc501-dfs.de.bosch.com\XC_IMS_Platform\400_Cabin_Sensing_Radar\20_Measurements\07_CANape\Mitsubishi\5K45\MMC4.1.2\Validation\2025_11_29\child\part1\Awake" TargetMode="External"/><Relationship Id="rId3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3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2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70" Type="http://schemas.openxmlformats.org/officeDocument/2006/relationships/hyperlink" Target="file:///\\abtvdfs2.de.bosch.com\ismdfs\ilm\abt\IMS\Platform\400_Cabin_Sensing_Radar\20_Measurements\07_CANape\Mitsubishi\5K45\MMC5.0.0_RC3_with_resetfix\CPD\" TargetMode="External"/><Relationship Id="rId9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4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66" Type="http://schemas.openxmlformats.org/officeDocument/2006/relationships/hyperlink" Target="file:///\\abtvdfs2.de.bosch.com\ismdfs\ilm\abt\IMS\Platform\400_Cabin_Sensing_Radar\20_Measurements\07_CANape\Mitsubishi\5K45\MMC5.0.2\5K457EG11\RealChild" TargetMode="External"/><Relationship Id="rId1" Type="http://schemas.openxmlformats.org/officeDocument/2006/relationships/hyperlink" Target="file:///\\abtvdfs2.de.bosch.com\ismdfs\ilm\abt\IMS\Platform\400_Cabin_Sensing_Radar\20_Measurements\07_CANape\Mitsubishi\5K45\MMC4.1.2\Validation\2025_11_29\child\part1\Sleep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4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4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8" Type="http://schemas.openxmlformats.org/officeDocument/2006/relationships/hyperlink" Target="file:///\\abtvdfs2.de.bosch.com\ismdfs\ilm\abt\IMS\Platform\400_Cabin_Sensing_Radar\20_Measurements\07_CANape\Mitsubishi\5K45\MMC4.1.2\Validation\2025_11_28\TC_103_Try3_Retry.MF4.xz" TargetMode="External"/><Relationship Id="rId10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32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5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4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2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9" Type="http://schemas.openxmlformats.org/officeDocument/2006/relationships/hyperlink" Target="file:///\\abtvdfs2.de.bosch.com\ismdfs\ilm\abt\IMS\Platform\400_Cabin_Sensing_Radar\20_Measurements\07_CANape\Mitsubishi\5K45\MMC4.1.2\Validation\2025_11_28\TC_108_Try2.MF4.xz" TargetMode="External"/><Relationship Id="rId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9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4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4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9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1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1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4" Type="http://schemas.openxmlformats.org/officeDocument/2006/relationships/hyperlink" Target="file:///\\abtvdfs2.de.bosch.com\ismdfs\ilm\abt\IMS\Platform\400_Cabin_Sensing_Radar\20_Measurements\07_CANape\Mitsubishi\5K45\MMC4.1.2\Validation\2025_11_28\TC_102_Try3.MF4.xz" TargetMode="External"/><Relationship Id="rId139" Type="http://schemas.openxmlformats.org/officeDocument/2006/relationships/hyperlink" Target="file:///\\abtvdfs2.de.bosch.com\ismdfs\ilm\abt\IMS\Platform\400_Cabin_Sensing_Radar\20_Measurements\07_CANape\Mitsubishi\5K45\MMC4.1.2\Validation\2025_11_28\TC_104_Try1.MF4.xz" TargetMode="External"/><Relationship Id="rId80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85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0" Type="http://schemas.openxmlformats.org/officeDocument/2006/relationships/hyperlink" Target="file:///\\abtvdfs2.de.bosch.com\ismdfs\ilm\abt\IMS\Platform\400_Cabin_Sensing_Radar\20_Measurements\07_CANape\Mitsubishi\5K45\MMC4.1.2\Validation\2025_11_28\TC_108_Try3.MF4.xz" TargetMode="External"/><Relationship Id="rId155" Type="http://schemas.openxmlformats.org/officeDocument/2006/relationships/hyperlink" Target="file:///\\abtvdfs2.de.bosch.com\ismdfs\ilm\abt\IMS\Platform\400_Cabin_Sensing_Radar\20_Measurements\07_CANape\Mitsubishi\5K45\MMC4.1.2\Validation\2025_11_28\TC_110_Try2.MF4.xz" TargetMode="External"/><Relationship Id="rId1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3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0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24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29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5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0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75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9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9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40" Type="http://schemas.openxmlformats.org/officeDocument/2006/relationships/hyperlink" Target="file:///\\abtvdfs2.de.bosch.com\ismdfs\ilm\abt\IMS\Platform\400_Cabin_Sensing_Radar\20_Measurements\07_CANape\Mitsubishi\5K45\MMC4.1.2\Validation\2025_11_28\TC_104_Try2.MF4.xz" TargetMode="External"/><Relationship Id="rId145" Type="http://schemas.openxmlformats.org/officeDocument/2006/relationships/hyperlink" Target="file:///\\abtvdfs2.de.bosch.com\ismdfs\ilm\abt\IMS\Platform\400_Cabin_Sensing_Radar\20_Measurements\07_CANape\Mitsubishi\5K45\MMC4.1.2\Validation\2025_11_28\TC_107_Try1.MF4.xz" TargetMode="External"/><Relationship Id="rId1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2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4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1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4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5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81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8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0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35" Type="http://schemas.openxmlformats.org/officeDocument/2006/relationships/hyperlink" Target="file:///\\abtvdfs2.de.bosch.com\ismdfs\ilm\abt\IMS\Platform\400_Cabin_Sensing_Radar\20_Measurements\07_CANape\Mitsubishi\5K45\MMC4.1.2\Validation\2025_11_28\TC_103_Try1.MF4.xz" TargetMode="External"/><Relationship Id="rId151" Type="http://schemas.openxmlformats.org/officeDocument/2006/relationships/hyperlink" Target="file:///\\abtvdfs2.de.bosch.com\ismdfs\ilm\abt\IMS\Platform\400_Cabin_Sensing_Radar\20_Measurements\07_CANape\Mitsubishi\5K45\MMC4.1.2\Validation\2025_11_28\TC_109_Try1.MF4.xz" TargetMode="External"/><Relationship Id="rId156" Type="http://schemas.openxmlformats.org/officeDocument/2006/relationships/hyperlink" Target="file:///\\abtvdfs2.de.bosch.com\ismdfs\ilm\abt\IMS\Platform\400_Cabin_Sensing_Radar\20_Measurements\07_CANape\Mitsubishi\5K45\MMC4.1.2\Validation\2025_11_28\TC_110_Try3.MF4.xz" TargetMode="External"/><Relationship Id="rId13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3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3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6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9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0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5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1" Type="http://schemas.openxmlformats.org/officeDocument/2006/relationships/hyperlink" Target="file:///\\abtvdfs2.de.bosch.com\ismdfs\ilm\abt\IMS\Platform\400_Cabin_Sensing_Radar\20_Measurements\07_CANape\Mitsubishi\5K45\MMC4.1.2\Validation\2025_11_28\TC_104_Try3.MF4.xz" TargetMode="External"/><Relationship Id="rId146" Type="http://schemas.openxmlformats.org/officeDocument/2006/relationships/hyperlink" Target="file:///\\abtvdfs2.de.bosch.com\ismdfs\ilm\abt\IMS\Platform\400_Cabin_Sensing_Radar\20_Measurements\07_CANape\Mitsubishi\5K45\MMC4.1.2\Validation\2025_11_28\TC_107_Try2.MF4.xz" TargetMode="External"/><Relationship Id="rId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1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9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2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4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4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6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87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1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1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1" Type="http://schemas.openxmlformats.org/officeDocument/2006/relationships/hyperlink" Target="file:///\\abtvdfs2.de.bosch.com\ismdfs\ilm\abt\IMS\Platform\400_Cabin_Sensing_Radar\20_Measurements\07_CANape\Mitsubishi\5K45\MMC4.1.2\Validation\2025_11_29\child\part1\Sleep" TargetMode="External"/><Relationship Id="rId136" Type="http://schemas.openxmlformats.org/officeDocument/2006/relationships/hyperlink" Target="file:///\\abtvdfs2.de.bosch.com\ismdfs\ilm\abt\IMS\Platform\400_Cabin_Sensing_Radar\20_Measurements\07_CANape\Mitsubishi\5K45\MMC4.1.2\Validation\2025_11_28\TC_103_Try2.MF4.xz" TargetMode="External"/><Relationship Id="rId6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2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52" Type="http://schemas.openxmlformats.org/officeDocument/2006/relationships/hyperlink" Target="file:///\\abtvdfs2.de.bosch.com\ismdfs\ilm\abt\IMS\Platform\400_Cabin_Sensing_Radar\20_Measurements\07_CANape\Mitsubishi\5K45\MMC4.1.2\Validation\2025_11_28\TC_109_Try2.MF4.xz" TargetMode="External"/><Relationship Id="rId19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5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7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0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0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6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7" Type="http://schemas.openxmlformats.org/officeDocument/2006/relationships/hyperlink" Target="file:///\\abtvdfs2.de.bosch.com\ismdfs\ilm\abt\IMS\Platform\400_Cabin_Sensing_Radar\20_Measurements\07_CANape\Mitsubishi\5K45\MMC4.1.2\Validation\2025_11_28\TC_107_Try3.MF4.xz" TargetMode="External"/><Relationship Id="rId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2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9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9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42" Type="http://schemas.openxmlformats.org/officeDocument/2006/relationships/hyperlink" Target="file:///\\abtvdfs2.de.bosch.com\ismdfs\ilm\abt\IMS\Platform\400_Cabin_Sensing_Radar\20_Measurements\07_CANape\Mitsubishi\5K45\MMC4.1.2\Validation\2025_11_28\TC_105_Try1.MF4.xz" TargetMode="External"/><Relationship Id="rId3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2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4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7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1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7" Type="http://schemas.openxmlformats.org/officeDocument/2006/relationships/hyperlink" Target="file:///\\abtvdfs2.de.bosch.com\ismdfs\ilm\abt\IMS\Platform\400_Cabin_Sensing_Radar\20_Measurements\07_CANape\Mitsubishi\5K45\MMC4.1.2\Validation\2025_11_28\TC_103_Try3.MF4.xz" TargetMode="External"/><Relationship Id="rId20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4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83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88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11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32" Type="http://schemas.openxmlformats.org/officeDocument/2006/relationships/hyperlink" Target="file:///\\abtvdfs2.de.bosch.com\ismdfs\ilm\abt\IMS\Platform\400_Cabin_Sensing_Radar\20_Measurements\07_CANape\Mitsubishi\5K45\MMC4.1.2\Validation\2025_11_28\TC_102_Try1.MF4.xz" TargetMode="External"/><Relationship Id="rId153" Type="http://schemas.openxmlformats.org/officeDocument/2006/relationships/hyperlink" Target="file:///\\abtvdfs2.de.bosch.com\ismdfs\ilm\abt\IMS\Platform\400_Cabin_Sensing_Radar\20_Measurements\07_CANape\Mitsubishi\5K45\MMC4.1.2\Validation\2025_11_28\TC_109_Try3.MF4.xz" TargetMode="External"/><Relationship Id="rId15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6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10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7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0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31" Type="http://schemas.openxmlformats.org/officeDocument/2006/relationships/hyperlink" Target="file:///\\abtvdfs2.de.bosch.com\ismdfs\ilm\abt\IMS\Platform\400_Cabin_Sensing_Radar\20_Measurements\07_CANape\Mitsubishi\5K45\MMC4.1.2\Validation\child\Awake" TargetMode="External"/><Relationship Id="rId52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3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7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94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9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01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2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3" Type="http://schemas.openxmlformats.org/officeDocument/2006/relationships/hyperlink" Target="file:///\\abtvdfs2.de.bosch.com\ismdfs\ilm\abt\IMS\Platform\400_Cabin_Sensing_Radar\20_Measurements\07_CANape\Mitsubishi\5K45\MMC4.1.2\Validation\2025_11_28\TC_105_Try2.MF4.xz" TargetMode="External"/><Relationship Id="rId148" Type="http://schemas.openxmlformats.org/officeDocument/2006/relationships/hyperlink" Target="file:///\\abtvdfs2.de.bosch.com\ismdfs\ilm\abt\IMS\Platform\400_Cabin_Sensing_Radar\20_Measurements\07_CANape\Mitsubishi\5K45\MMC4.1.2\Validation\2025_11_28\TC_108_Try1.MF4.xz" TargetMode="External"/><Relationship Id="rId4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9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2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4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68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89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1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33" Type="http://schemas.openxmlformats.org/officeDocument/2006/relationships/hyperlink" Target="file:///\\abtvdfs2.de.bosch.com\ismdfs\ilm\abt\IMS\Platform\400_Cabin_Sensing_Radar\20_Measurements\07_CANape\Mitsubishi\5K45\MMC4.1.2\Validation\2025_11_28\TC_102_Try2.MF4.xz" TargetMode="External"/><Relationship Id="rId154" Type="http://schemas.openxmlformats.org/officeDocument/2006/relationships/hyperlink" Target="file:///\\abtvdfs2.de.bosch.com\ismdfs\ilm\abt\IMS\Platform\400_Cabin_Sensing_Radar\20_Measurements\07_CANape\Mitsubishi\5K45\MMC4.1.2\Validation\2025_11_28\TC_110_Try1.MF4.xz" TargetMode="External"/><Relationship Id="rId16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37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58" Type="http://schemas.openxmlformats.org/officeDocument/2006/relationships/hyperlink" Target="file:///\\abtvdfs2.de.bosch.com\ismdfs\ilm\abt\IMS\Platform\400_Cabin_Sensing_Radar\20_Measurements\07_CANape\Mitsubishi\5K45\MMC5.0.0_RC3\Real_Child_Tests" TargetMode="External"/><Relationship Id="rId79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02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Relationship Id="rId123" Type="http://schemas.openxmlformats.org/officeDocument/2006/relationships/hyperlink" Target="file:///\\abtvdfs2.de.bosch.com\ismdfs\ilm\abt\IMS\Platform\400_Cabin_Sensing_Radar\20_Measurements\07_CANape\Mitsubishi\5K45\MMC5.0.0_RC3_with_resetfix\CPD" TargetMode="External"/><Relationship Id="rId144" Type="http://schemas.openxmlformats.org/officeDocument/2006/relationships/hyperlink" Target="file:///\\abtvdfs2.de.bosch.com\ismdfs\ilm\abt\IMS\Platform\400_Cabin_Sensing_Radar\20_Measurements\07_CANape\Mitsubishi\5K45\MMC4.1.2\Validation\2025_11_28\TC_105_Try3.MF4.xz" TargetMode="External"/><Relationship Id="rId90" Type="http://schemas.openxmlformats.org/officeDocument/2006/relationships/hyperlink" Target="file:///\\abtvdfs2.de.bosch.com\ismdfs\ilm\abt\IMS\Platform\400_Cabin_Sensing_Radar\20_Measurements\07_CANape\Mitsubishi\5K45\MMC5.0.1\5K457EG-11\Real_Child_Measurement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556"/>
  <sheetViews>
    <sheetView tabSelected="1" zoomScaleNormal="100"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ColWidth="9.140625" defaultRowHeight="15"/>
  <cols>
    <col min="1" max="1" width="8.85546875" style="59" customWidth="1"/>
    <col min="2" max="2" width="16.5703125" style="133" customWidth="1"/>
    <col min="3" max="3" width="15.85546875" style="133" customWidth="1"/>
    <col min="4" max="4" width="13" style="81" customWidth="1"/>
    <col min="5" max="5" width="13.140625" style="97" customWidth="1"/>
    <col min="6" max="6" width="9.42578125" style="97" bestFit="1" customWidth="1"/>
    <col min="7" max="7" width="11.85546875" style="133" customWidth="1"/>
    <col min="8" max="8" width="9.28515625" style="133" customWidth="1"/>
    <col min="9" max="9" width="10.42578125" style="133" customWidth="1"/>
    <col min="10" max="10" width="9.7109375" style="133" customWidth="1"/>
    <col min="11" max="11" width="10.5703125" style="133" customWidth="1"/>
    <col min="12" max="12" width="11.5703125" style="133" customWidth="1"/>
    <col min="13" max="13" width="10.5703125" style="133" customWidth="1"/>
    <col min="14" max="14" width="18.85546875" style="133" customWidth="1"/>
    <col min="15" max="15" width="70.42578125" style="133" customWidth="1"/>
    <col min="16" max="16" width="123.5703125" style="133" customWidth="1"/>
    <col min="17" max="17" width="65.5703125" style="133" customWidth="1"/>
    <col min="18" max="18" width="58.140625" style="133" customWidth="1"/>
    <col min="19" max="19" width="18.85546875" style="133" customWidth="1"/>
    <col min="20" max="21" width="10.7109375" style="133" customWidth="1"/>
    <col min="22" max="22" width="13.42578125" style="133" customWidth="1"/>
    <col min="23" max="23" width="10.7109375" style="133" customWidth="1"/>
    <col min="24" max="24" width="13" style="133" customWidth="1"/>
    <col min="25" max="25" width="14.7109375" style="133" customWidth="1"/>
  </cols>
  <sheetData>
    <row r="1" spans="1:25" s="64" customFormat="1" ht="45" customHeight="1">
      <c r="A1" s="64" t="s">
        <v>0</v>
      </c>
      <c r="B1" s="64" t="s">
        <v>1</v>
      </c>
      <c r="C1" s="64" t="s">
        <v>2</v>
      </c>
      <c r="D1" s="139" t="s">
        <v>3</v>
      </c>
      <c r="E1" s="96" t="s">
        <v>4</v>
      </c>
      <c r="F1" s="96" t="s">
        <v>5</v>
      </c>
      <c r="G1" s="64" t="s">
        <v>6</v>
      </c>
      <c r="H1" s="64" t="s">
        <v>7</v>
      </c>
      <c r="I1" s="64" t="s">
        <v>8</v>
      </c>
      <c r="J1" s="64" t="s">
        <v>9</v>
      </c>
      <c r="K1" s="64" t="s">
        <v>10</v>
      </c>
      <c r="L1" s="64" t="s">
        <v>11</v>
      </c>
      <c r="M1" s="64" t="s">
        <v>12</v>
      </c>
      <c r="N1" s="64" t="s">
        <v>13</v>
      </c>
      <c r="O1" s="64" t="s">
        <v>14</v>
      </c>
      <c r="P1" s="64" t="s">
        <v>15</v>
      </c>
      <c r="Q1" s="64" t="s">
        <v>16</v>
      </c>
      <c r="R1" s="64" t="s">
        <v>4443</v>
      </c>
      <c r="S1" s="64" t="s">
        <v>17</v>
      </c>
      <c r="T1" s="64" t="s">
        <v>18</v>
      </c>
      <c r="U1" s="64" t="s">
        <v>19</v>
      </c>
      <c r="V1" s="64" t="s">
        <v>20</v>
      </c>
      <c r="W1" s="64" t="s">
        <v>21</v>
      </c>
      <c r="X1" s="64" t="s">
        <v>22</v>
      </c>
      <c r="Y1" s="64" t="s">
        <v>23</v>
      </c>
    </row>
    <row r="2" spans="1:25" s="130" customFormat="1" hidden="1">
      <c r="A2" s="78">
        <v>2</v>
      </c>
      <c r="B2" s="130" t="s">
        <v>24</v>
      </c>
      <c r="C2" s="130" t="s">
        <v>25</v>
      </c>
      <c r="D2" s="81" t="s">
        <v>4444</v>
      </c>
      <c r="E2" s="97">
        <v>1</v>
      </c>
      <c r="F2" s="97" t="s">
        <v>26</v>
      </c>
      <c r="G2" s="130" t="s">
        <v>27</v>
      </c>
      <c r="H2" s="130" t="s">
        <v>28</v>
      </c>
      <c r="I2" s="130" t="s">
        <v>28</v>
      </c>
      <c r="J2" s="130" t="s">
        <v>27</v>
      </c>
      <c r="K2" s="137" t="s">
        <v>29</v>
      </c>
      <c r="L2" s="137" t="s">
        <v>30</v>
      </c>
      <c r="M2" s="137" t="s">
        <v>27</v>
      </c>
      <c r="N2" s="122" t="s">
        <v>31</v>
      </c>
      <c r="O2" s="130" t="s">
        <v>32</v>
      </c>
      <c r="P2" s="130" t="s">
        <v>33</v>
      </c>
    </row>
    <row r="3" spans="1:25" s="130" customFormat="1" hidden="1">
      <c r="A3" s="78">
        <v>2</v>
      </c>
      <c r="B3" s="130" t="s">
        <v>24</v>
      </c>
      <c r="C3" s="130" t="s">
        <v>25</v>
      </c>
      <c r="D3" s="81" t="s">
        <v>4444</v>
      </c>
      <c r="E3" s="97">
        <v>1</v>
      </c>
      <c r="F3" s="97" t="s">
        <v>26</v>
      </c>
      <c r="G3" s="130" t="s">
        <v>27</v>
      </c>
      <c r="H3" s="130" t="s">
        <v>28</v>
      </c>
      <c r="I3" s="130" t="s">
        <v>28</v>
      </c>
      <c r="J3" s="130" t="s">
        <v>27</v>
      </c>
      <c r="K3" s="137" t="s">
        <v>29</v>
      </c>
      <c r="L3" s="137" t="s">
        <v>30</v>
      </c>
      <c r="M3" s="137" t="s">
        <v>27</v>
      </c>
      <c r="N3" s="122" t="s">
        <v>31</v>
      </c>
      <c r="O3" s="130" t="s">
        <v>34</v>
      </c>
      <c r="P3" s="131" t="s">
        <v>35</v>
      </c>
      <c r="Q3" s="131"/>
      <c r="R3" s="131"/>
      <c r="S3" s="131"/>
    </row>
    <row r="4" spans="1:25" s="130" customFormat="1" hidden="1">
      <c r="A4" s="78">
        <v>2</v>
      </c>
      <c r="B4" s="130" t="s">
        <v>24</v>
      </c>
      <c r="C4" s="130" t="s">
        <v>25</v>
      </c>
      <c r="D4" s="81" t="s">
        <v>4444</v>
      </c>
      <c r="E4" s="97">
        <v>1</v>
      </c>
      <c r="F4" s="97" t="s">
        <v>26</v>
      </c>
      <c r="G4" s="130" t="s">
        <v>27</v>
      </c>
      <c r="H4" s="130" t="s">
        <v>28</v>
      </c>
      <c r="I4" s="130" t="s">
        <v>28</v>
      </c>
      <c r="J4" s="130" t="s">
        <v>27</v>
      </c>
      <c r="K4" s="137" t="s">
        <v>29</v>
      </c>
      <c r="L4" s="137" t="s">
        <v>30</v>
      </c>
      <c r="M4" s="137" t="s">
        <v>27</v>
      </c>
      <c r="N4" s="122" t="s">
        <v>31</v>
      </c>
      <c r="O4" s="130" t="s">
        <v>36</v>
      </c>
      <c r="P4" s="131" t="s">
        <v>35</v>
      </c>
      <c r="Q4" s="131"/>
      <c r="R4" s="131"/>
      <c r="S4" s="131"/>
    </row>
    <row r="5" spans="1:25" s="130" customFormat="1" hidden="1">
      <c r="A5" s="78">
        <v>2</v>
      </c>
      <c r="B5" s="130" t="s">
        <v>24</v>
      </c>
      <c r="C5" s="130" t="s">
        <v>25</v>
      </c>
      <c r="D5" s="81" t="s">
        <v>4444</v>
      </c>
      <c r="E5" s="97">
        <v>1</v>
      </c>
      <c r="F5" s="97" t="s">
        <v>26</v>
      </c>
      <c r="G5" s="130" t="s">
        <v>27</v>
      </c>
      <c r="H5" s="130" t="s">
        <v>28</v>
      </c>
      <c r="I5" s="130" t="s">
        <v>28</v>
      </c>
      <c r="J5" s="130" t="s">
        <v>27</v>
      </c>
      <c r="K5" s="137" t="s">
        <v>29</v>
      </c>
      <c r="L5" s="137" t="s">
        <v>30</v>
      </c>
      <c r="M5" s="137" t="s">
        <v>27</v>
      </c>
      <c r="N5" s="122" t="s">
        <v>31</v>
      </c>
      <c r="O5" s="130" t="s">
        <v>37</v>
      </c>
      <c r="P5" s="131" t="s">
        <v>35</v>
      </c>
      <c r="Q5" s="131"/>
      <c r="R5" s="131"/>
      <c r="S5" s="131"/>
    </row>
    <row r="6" spans="1:25" s="59" customFormat="1">
      <c r="A6" s="77">
        <v>2</v>
      </c>
      <c r="B6" s="59" t="s">
        <v>38</v>
      </c>
      <c r="C6" s="59" t="s">
        <v>25</v>
      </c>
      <c r="D6" s="81" t="s">
        <v>4444</v>
      </c>
      <c r="E6" s="97">
        <v>1</v>
      </c>
      <c r="F6" s="97" t="s">
        <v>26</v>
      </c>
      <c r="G6" s="59" t="s">
        <v>27</v>
      </c>
      <c r="H6" s="59" t="s">
        <v>28</v>
      </c>
      <c r="I6" s="59" t="s">
        <v>28</v>
      </c>
      <c r="J6" s="59" t="s">
        <v>28</v>
      </c>
      <c r="K6" t="s">
        <v>29</v>
      </c>
      <c r="M6" s="85" t="s">
        <v>28</v>
      </c>
      <c r="N6" s="85" t="s">
        <v>39</v>
      </c>
      <c r="O6" s="59" t="s">
        <v>40</v>
      </c>
      <c r="P6" s="65" t="s">
        <v>41</v>
      </c>
      <c r="Q6" s="65" t="s">
        <v>42</v>
      </c>
      <c r="R6" s="140" t="s">
        <v>4464</v>
      </c>
      <c r="S6" s="65"/>
    </row>
    <row r="7" spans="1:25">
      <c r="A7" s="77">
        <v>2</v>
      </c>
      <c r="B7" t="s">
        <v>38</v>
      </c>
      <c r="C7" t="s">
        <v>43</v>
      </c>
      <c r="D7" s="81" t="s">
        <v>4444</v>
      </c>
      <c r="E7" s="97">
        <v>1</v>
      </c>
      <c r="F7" s="97" t="s">
        <v>26</v>
      </c>
      <c r="G7" t="s">
        <v>27</v>
      </c>
      <c r="H7" t="s">
        <v>28</v>
      </c>
      <c r="I7" t="s">
        <v>28</v>
      </c>
      <c r="J7" s="59" t="s">
        <v>28</v>
      </c>
      <c r="K7" t="s">
        <v>29</v>
      </c>
      <c r="M7" s="85" t="s">
        <v>28</v>
      </c>
      <c r="N7" s="85" t="s">
        <v>39</v>
      </c>
      <c r="O7" t="s">
        <v>44</v>
      </c>
      <c r="P7" t="s">
        <v>45</v>
      </c>
      <c r="Q7" t="s">
        <v>42</v>
      </c>
      <c r="R7" s="140" t="s">
        <v>4464</v>
      </c>
    </row>
    <row r="8" spans="1:25">
      <c r="A8" s="77">
        <v>2</v>
      </c>
      <c r="B8" t="s">
        <v>38</v>
      </c>
      <c r="C8" t="s">
        <v>43</v>
      </c>
      <c r="D8" s="81" t="s">
        <v>4444</v>
      </c>
      <c r="E8" s="97">
        <v>1</v>
      </c>
      <c r="F8" s="97" t="s">
        <v>26</v>
      </c>
      <c r="G8" t="s">
        <v>27</v>
      </c>
      <c r="H8" t="s">
        <v>28</v>
      </c>
      <c r="I8" t="s">
        <v>28</v>
      </c>
      <c r="J8" s="59" t="s">
        <v>28</v>
      </c>
      <c r="K8" t="s">
        <v>29</v>
      </c>
      <c r="M8" s="85" t="s">
        <v>28</v>
      </c>
      <c r="N8" s="85" t="s">
        <v>39</v>
      </c>
      <c r="O8" t="s">
        <v>46</v>
      </c>
      <c r="P8" t="s">
        <v>45</v>
      </c>
      <c r="Q8" t="s">
        <v>42</v>
      </c>
      <c r="R8" s="140" t="s">
        <v>4464</v>
      </c>
    </row>
    <row r="9" spans="1:25">
      <c r="A9" s="77">
        <v>2</v>
      </c>
      <c r="B9" t="s">
        <v>38</v>
      </c>
      <c r="C9" t="s">
        <v>43</v>
      </c>
      <c r="D9" s="81" t="s">
        <v>4444</v>
      </c>
      <c r="E9" s="97">
        <v>1</v>
      </c>
      <c r="F9" s="97" t="s">
        <v>26</v>
      </c>
      <c r="G9" t="s">
        <v>27</v>
      </c>
      <c r="H9" t="s">
        <v>28</v>
      </c>
      <c r="I9" t="s">
        <v>28</v>
      </c>
      <c r="J9" s="59" t="s">
        <v>28</v>
      </c>
      <c r="K9" t="s">
        <v>29</v>
      </c>
      <c r="M9" s="85" t="s">
        <v>28</v>
      </c>
      <c r="N9" s="85" t="s">
        <v>39</v>
      </c>
      <c r="O9" t="s">
        <v>47</v>
      </c>
      <c r="P9" t="s">
        <v>45</v>
      </c>
      <c r="Q9" t="s">
        <v>42</v>
      </c>
      <c r="R9" s="140" t="s">
        <v>4464</v>
      </c>
    </row>
    <row r="10" spans="1:25" hidden="1">
      <c r="A10" s="78">
        <v>11</v>
      </c>
      <c r="B10" s="130" t="s">
        <v>38</v>
      </c>
      <c r="C10" s="130" t="s">
        <v>48</v>
      </c>
      <c r="D10" s="81" t="s">
        <v>4444</v>
      </c>
      <c r="E10" s="97">
        <v>2</v>
      </c>
      <c r="F10" s="98" t="s">
        <v>49</v>
      </c>
      <c r="G10" s="130" t="s">
        <v>27</v>
      </c>
      <c r="H10" s="130" t="s">
        <v>28</v>
      </c>
      <c r="I10" s="130" t="s">
        <v>28</v>
      </c>
      <c r="J10" s="130" t="s">
        <v>27</v>
      </c>
      <c r="K10" s="130" t="s">
        <v>29</v>
      </c>
      <c r="L10" s="130" t="s">
        <v>50</v>
      </c>
      <c r="M10" s="130" t="s">
        <v>28</v>
      </c>
      <c r="N10" s="130" t="s">
        <v>51</v>
      </c>
      <c r="O10" s="136" t="s">
        <v>52</v>
      </c>
      <c r="P10" s="131" t="s">
        <v>53</v>
      </c>
      <c r="Q10" s="131"/>
      <c r="R10" s="131"/>
      <c r="S10" s="131"/>
      <c r="T10" s="130"/>
      <c r="U10" s="130"/>
      <c r="V10" s="130"/>
      <c r="W10" s="130"/>
      <c r="X10" s="130"/>
      <c r="Y10" s="130"/>
    </row>
    <row r="11" spans="1:25">
      <c r="A11" s="77">
        <v>3</v>
      </c>
      <c r="B11" t="s">
        <v>38</v>
      </c>
      <c r="C11" t="s">
        <v>25</v>
      </c>
      <c r="D11" s="81" t="s">
        <v>4444</v>
      </c>
      <c r="E11" s="97">
        <v>2</v>
      </c>
      <c r="F11" s="97" t="s">
        <v>54</v>
      </c>
      <c r="G11" t="s">
        <v>27</v>
      </c>
      <c r="H11" t="s">
        <v>28</v>
      </c>
      <c r="I11" t="s">
        <v>28</v>
      </c>
      <c r="J11" s="59" t="s">
        <v>28</v>
      </c>
      <c r="K11" t="s">
        <v>29</v>
      </c>
      <c r="M11" s="85" t="s">
        <v>28</v>
      </c>
      <c r="N11" s="85" t="s">
        <v>39</v>
      </c>
      <c r="O11" s="60" t="s">
        <v>55</v>
      </c>
      <c r="P11" t="s">
        <v>33</v>
      </c>
      <c r="Q11" t="s">
        <v>56</v>
      </c>
      <c r="R11" s="140" t="s">
        <v>4464</v>
      </c>
    </row>
    <row r="12" spans="1:25">
      <c r="A12" s="77">
        <v>3</v>
      </c>
      <c r="B12" t="s">
        <v>38</v>
      </c>
      <c r="C12" t="s">
        <v>25</v>
      </c>
      <c r="D12" s="81" t="s">
        <v>4444</v>
      </c>
      <c r="E12" s="97">
        <v>2</v>
      </c>
      <c r="F12" s="97" t="s">
        <v>54</v>
      </c>
      <c r="G12" t="s">
        <v>27</v>
      </c>
      <c r="H12" t="s">
        <v>28</v>
      </c>
      <c r="I12" t="s">
        <v>28</v>
      </c>
      <c r="J12" s="59" t="s">
        <v>28</v>
      </c>
      <c r="K12" t="s">
        <v>29</v>
      </c>
      <c r="M12" s="85" t="s">
        <v>28</v>
      </c>
      <c r="N12" s="85" t="s">
        <v>39</v>
      </c>
      <c r="O12" s="60" t="s">
        <v>57</v>
      </c>
      <c r="P12" s="129" t="s">
        <v>35</v>
      </c>
      <c r="Q12" s="129" t="s">
        <v>56</v>
      </c>
      <c r="R12" s="140" t="s">
        <v>4464</v>
      </c>
      <c r="S12" s="129"/>
    </row>
    <row r="13" spans="1:25">
      <c r="A13" s="77">
        <v>3</v>
      </c>
      <c r="B13" t="s">
        <v>38</v>
      </c>
      <c r="C13" t="s">
        <v>25</v>
      </c>
      <c r="D13" s="81" t="s">
        <v>4444</v>
      </c>
      <c r="E13" s="97">
        <v>2</v>
      </c>
      <c r="F13" s="97" t="s">
        <v>54</v>
      </c>
      <c r="G13" t="s">
        <v>27</v>
      </c>
      <c r="H13" t="s">
        <v>28</v>
      </c>
      <c r="I13" t="s">
        <v>28</v>
      </c>
      <c r="J13" s="59" t="s">
        <v>28</v>
      </c>
      <c r="K13" t="s">
        <v>29</v>
      </c>
      <c r="M13" s="85" t="s">
        <v>28</v>
      </c>
      <c r="N13" s="85" t="s">
        <v>39</v>
      </c>
      <c r="O13" t="s">
        <v>58</v>
      </c>
      <c r="P13" s="129" t="s">
        <v>35</v>
      </c>
      <c r="Q13" s="129" t="s">
        <v>56</v>
      </c>
      <c r="R13" s="140" t="s">
        <v>4464</v>
      </c>
      <c r="S13" s="129"/>
    </row>
    <row r="14" spans="1:25">
      <c r="A14" s="77">
        <v>3</v>
      </c>
      <c r="B14" t="s">
        <v>38</v>
      </c>
      <c r="C14" t="s">
        <v>25</v>
      </c>
      <c r="D14" s="81" t="s">
        <v>4444</v>
      </c>
      <c r="E14" s="97">
        <v>2</v>
      </c>
      <c r="F14" s="97" t="s">
        <v>54</v>
      </c>
      <c r="G14" t="s">
        <v>27</v>
      </c>
      <c r="H14" t="s">
        <v>28</v>
      </c>
      <c r="I14" t="s">
        <v>28</v>
      </c>
      <c r="J14" s="59" t="s">
        <v>28</v>
      </c>
      <c r="K14" t="s">
        <v>29</v>
      </c>
      <c r="M14" s="85" t="s">
        <v>28</v>
      </c>
      <c r="N14" s="85" t="s">
        <v>39</v>
      </c>
      <c r="O14" t="s">
        <v>59</v>
      </c>
      <c r="P14" s="129" t="s">
        <v>35</v>
      </c>
      <c r="Q14" s="129" t="s">
        <v>56</v>
      </c>
      <c r="R14" s="140" t="s">
        <v>4464</v>
      </c>
      <c r="S14" s="129"/>
    </row>
    <row r="15" spans="1:25" s="81" customFormat="1">
      <c r="A15" s="77">
        <v>3</v>
      </c>
      <c r="B15" t="s">
        <v>38</v>
      </c>
      <c r="C15" t="s">
        <v>25</v>
      </c>
      <c r="D15" s="81" t="s">
        <v>4444</v>
      </c>
      <c r="E15" s="97">
        <v>2</v>
      </c>
      <c r="F15" s="97" t="s">
        <v>54</v>
      </c>
      <c r="G15" t="s">
        <v>27</v>
      </c>
      <c r="H15" t="s">
        <v>28</v>
      </c>
      <c r="I15" t="s">
        <v>28</v>
      </c>
      <c r="J15" s="59" t="s">
        <v>28</v>
      </c>
      <c r="K15" t="s">
        <v>29</v>
      </c>
      <c r="M15" s="132" t="s">
        <v>60</v>
      </c>
      <c r="O15" s="132" t="s">
        <v>60</v>
      </c>
      <c r="P15" s="129" t="s">
        <v>41</v>
      </c>
      <c r="Q15" s="129" t="s">
        <v>61</v>
      </c>
      <c r="R15" s="140" t="s">
        <v>4464</v>
      </c>
      <c r="S15" s="129"/>
    </row>
    <row r="16" spans="1:25" s="130" customFormat="1">
      <c r="A16" s="103">
        <v>3</v>
      </c>
      <c r="B16" s="81" t="s">
        <v>38</v>
      </c>
      <c r="C16" s="81" t="s">
        <v>25</v>
      </c>
      <c r="D16" s="81" t="s">
        <v>4444</v>
      </c>
      <c r="E16" s="97">
        <v>2</v>
      </c>
      <c r="F16" s="97" t="s">
        <v>54</v>
      </c>
      <c r="G16" s="81" t="s">
        <v>27</v>
      </c>
      <c r="H16" s="81" t="s">
        <v>28</v>
      </c>
      <c r="I16" s="81" t="s">
        <v>28</v>
      </c>
      <c r="J16" s="81" t="s">
        <v>28</v>
      </c>
      <c r="K16" s="81" t="s">
        <v>29</v>
      </c>
      <c r="L16" s="81"/>
      <c r="M16" s="81" t="s">
        <v>27</v>
      </c>
      <c r="N16" s="81" t="s">
        <v>62</v>
      </c>
      <c r="O16" s="112" t="s">
        <v>63</v>
      </c>
      <c r="P16" s="113" t="s">
        <v>64</v>
      </c>
      <c r="Q16" s="113" t="s">
        <v>65</v>
      </c>
      <c r="R16" s="140" t="s">
        <v>4464</v>
      </c>
      <c r="S16" s="113"/>
      <c r="T16" s="81"/>
      <c r="U16" s="81"/>
      <c r="V16" s="81"/>
      <c r="W16" s="81"/>
      <c r="X16" s="81"/>
      <c r="Y16" s="81"/>
    </row>
    <row r="17" spans="1:25" hidden="1">
      <c r="A17" s="78">
        <v>20</v>
      </c>
      <c r="B17" s="130" t="s">
        <v>38</v>
      </c>
      <c r="C17" s="130" t="s">
        <v>66</v>
      </c>
      <c r="D17" s="81" t="s">
        <v>4444</v>
      </c>
      <c r="E17" s="97">
        <v>2</v>
      </c>
      <c r="F17" s="97" t="s">
        <v>67</v>
      </c>
      <c r="G17" s="130" t="s">
        <v>27</v>
      </c>
      <c r="H17" s="130" t="s">
        <v>28</v>
      </c>
      <c r="I17" s="130" t="s">
        <v>28</v>
      </c>
      <c r="J17" s="130" t="s">
        <v>27</v>
      </c>
      <c r="K17" s="137" t="s">
        <v>68</v>
      </c>
      <c r="L17" s="137" t="s">
        <v>68</v>
      </c>
      <c r="M17" s="137" t="s">
        <v>28</v>
      </c>
      <c r="N17" s="137" t="s">
        <v>51</v>
      </c>
      <c r="O17" s="136" t="s">
        <v>69</v>
      </c>
      <c r="P17" s="131" t="s">
        <v>64</v>
      </c>
      <c r="Q17" s="131"/>
      <c r="R17" s="131"/>
      <c r="S17" s="131"/>
      <c r="T17" s="130"/>
      <c r="U17" s="130"/>
      <c r="V17" s="130"/>
      <c r="W17" s="130"/>
      <c r="X17" s="130"/>
      <c r="Y17" s="130"/>
    </row>
    <row r="18" spans="1:25">
      <c r="A18" s="77">
        <v>5</v>
      </c>
      <c r="B18" t="s">
        <v>38</v>
      </c>
      <c r="C18" t="s">
        <v>25</v>
      </c>
      <c r="D18" s="81" t="s">
        <v>4444</v>
      </c>
      <c r="E18" s="97">
        <v>2</v>
      </c>
      <c r="F18" s="97" t="s">
        <v>49</v>
      </c>
      <c r="G18" t="s">
        <v>27</v>
      </c>
      <c r="H18" t="s">
        <v>28</v>
      </c>
      <c r="I18" t="s">
        <v>28</v>
      </c>
      <c r="J18" s="59" t="s">
        <v>28</v>
      </c>
      <c r="K18" t="s">
        <v>29</v>
      </c>
      <c r="M18" s="85" t="s">
        <v>28</v>
      </c>
      <c r="N18" s="85" t="s">
        <v>39</v>
      </c>
      <c r="O18" t="s">
        <v>70</v>
      </c>
      <c r="P18" s="129" t="s">
        <v>35</v>
      </c>
      <c r="Q18" s="129" t="s">
        <v>71</v>
      </c>
      <c r="R18" s="140" t="s">
        <v>4464</v>
      </c>
      <c r="S18" s="129"/>
    </row>
    <row r="19" spans="1:25">
      <c r="A19" s="77">
        <v>5</v>
      </c>
      <c r="B19" t="s">
        <v>38</v>
      </c>
      <c r="C19" t="s">
        <v>25</v>
      </c>
      <c r="D19" s="81" t="s">
        <v>4444</v>
      </c>
      <c r="E19" s="97">
        <v>2</v>
      </c>
      <c r="F19" s="97" t="s">
        <v>49</v>
      </c>
      <c r="G19" t="s">
        <v>27</v>
      </c>
      <c r="H19" t="s">
        <v>28</v>
      </c>
      <c r="I19" t="s">
        <v>28</v>
      </c>
      <c r="J19" s="59" t="s">
        <v>28</v>
      </c>
      <c r="K19" t="s">
        <v>29</v>
      </c>
      <c r="M19" s="85" t="s">
        <v>28</v>
      </c>
      <c r="N19" s="85" t="s">
        <v>39</v>
      </c>
      <c r="O19" t="s">
        <v>72</v>
      </c>
      <c r="P19" s="129" t="s">
        <v>35</v>
      </c>
      <c r="Q19" s="129" t="s">
        <v>71</v>
      </c>
      <c r="R19" s="140" t="s">
        <v>4464</v>
      </c>
      <c r="S19" s="129"/>
    </row>
    <row r="20" spans="1:25">
      <c r="A20" s="77">
        <v>5</v>
      </c>
      <c r="B20" t="s">
        <v>38</v>
      </c>
      <c r="C20" t="s">
        <v>25</v>
      </c>
      <c r="D20" s="81" t="s">
        <v>4444</v>
      </c>
      <c r="E20" s="97">
        <v>2</v>
      </c>
      <c r="F20" s="97" t="s">
        <v>49</v>
      </c>
      <c r="G20" t="s">
        <v>27</v>
      </c>
      <c r="H20" t="s">
        <v>28</v>
      </c>
      <c r="I20" t="s">
        <v>28</v>
      </c>
      <c r="J20" s="59" t="s">
        <v>28</v>
      </c>
      <c r="K20" t="s">
        <v>29</v>
      </c>
      <c r="M20" s="85" t="s">
        <v>28</v>
      </c>
      <c r="N20" s="85" t="s">
        <v>39</v>
      </c>
      <c r="O20" t="s">
        <v>73</v>
      </c>
      <c r="P20" s="129" t="s">
        <v>35</v>
      </c>
      <c r="Q20" s="129" t="s">
        <v>71</v>
      </c>
      <c r="R20" s="140" t="s">
        <v>4464</v>
      </c>
      <c r="S20" s="129"/>
    </row>
    <row r="21" spans="1:25">
      <c r="A21" s="77">
        <v>7</v>
      </c>
      <c r="B21" t="s">
        <v>38</v>
      </c>
      <c r="C21" t="s">
        <v>25</v>
      </c>
      <c r="D21" s="81" t="s">
        <v>4444</v>
      </c>
      <c r="E21" s="97">
        <v>3</v>
      </c>
      <c r="F21" s="97" t="s">
        <v>74</v>
      </c>
      <c r="G21" t="s">
        <v>27</v>
      </c>
      <c r="H21" t="s">
        <v>28</v>
      </c>
      <c r="I21" t="s">
        <v>28</v>
      </c>
      <c r="J21" s="59" t="s">
        <v>28</v>
      </c>
      <c r="K21" t="s">
        <v>29</v>
      </c>
      <c r="M21" s="85" t="s">
        <v>28</v>
      </c>
      <c r="N21" s="85" t="s">
        <v>39</v>
      </c>
      <c r="O21" s="60" t="s">
        <v>75</v>
      </c>
      <c r="P21" t="s">
        <v>33</v>
      </c>
      <c r="Q21" t="s">
        <v>76</v>
      </c>
      <c r="R21" s="140" t="s">
        <v>4464</v>
      </c>
    </row>
    <row r="22" spans="1:25">
      <c r="A22" s="77">
        <v>7</v>
      </c>
      <c r="B22" t="s">
        <v>38</v>
      </c>
      <c r="C22" t="s">
        <v>25</v>
      </c>
      <c r="D22" s="81" t="s">
        <v>4444</v>
      </c>
      <c r="E22" s="97">
        <v>3</v>
      </c>
      <c r="F22" s="97" t="s">
        <v>74</v>
      </c>
      <c r="G22" t="s">
        <v>27</v>
      </c>
      <c r="H22" t="s">
        <v>28</v>
      </c>
      <c r="I22" t="s">
        <v>28</v>
      </c>
      <c r="J22" s="59" t="s">
        <v>28</v>
      </c>
      <c r="K22" t="s">
        <v>29</v>
      </c>
      <c r="M22" s="81" t="s">
        <v>27</v>
      </c>
      <c r="N22" s="81" t="s">
        <v>62</v>
      </c>
      <c r="O22" s="60" t="s">
        <v>77</v>
      </c>
      <c r="P22" s="129" t="s">
        <v>35</v>
      </c>
      <c r="Q22" s="129" t="s">
        <v>78</v>
      </c>
      <c r="R22" s="140" t="s">
        <v>4464</v>
      </c>
      <c r="S22" s="129"/>
    </row>
    <row r="23" spans="1:25">
      <c r="A23" s="77">
        <v>7</v>
      </c>
      <c r="B23" t="s">
        <v>38</v>
      </c>
      <c r="C23" t="s">
        <v>25</v>
      </c>
      <c r="D23" s="81" t="s">
        <v>4444</v>
      </c>
      <c r="E23" s="97">
        <v>3</v>
      </c>
      <c r="F23" s="97" t="s">
        <v>74</v>
      </c>
      <c r="G23" t="s">
        <v>27</v>
      </c>
      <c r="H23" t="s">
        <v>28</v>
      </c>
      <c r="I23" t="s">
        <v>28</v>
      </c>
      <c r="J23" s="59" t="s">
        <v>28</v>
      </c>
      <c r="K23" t="s">
        <v>29</v>
      </c>
      <c r="M23" s="81" t="s">
        <v>27</v>
      </c>
      <c r="N23" s="81" t="s">
        <v>62</v>
      </c>
      <c r="O23" t="s">
        <v>79</v>
      </c>
      <c r="P23" s="129" t="s">
        <v>35</v>
      </c>
      <c r="Q23" s="129" t="s">
        <v>78</v>
      </c>
      <c r="R23" s="140" t="s">
        <v>4464</v>
      </c>
      <c r="S23" s="129"/>
    </row>
    <row r="24" spans="1:25">
      <c r="A24" s="77">
        <v>7</v>
      </c>
      <c r="B24" t="s">
        <v>38</v>
      </c>
      <c r="C24" t="s">
        <v>25</v>
      </c>
      <c r="D24" s="81" t="s">
        <v>4444</v>
      </c>
      <c r="E24" s="97">
        <v>3</v>
      </c>
      <c r="F24" s="97" t="s">
        <v>74</v>
      </c>
      <c r="G24" t="s">
        <v>27</v>
      </c>
      <c r="H24" t="s">
        <v>28</v>
      </c>
      <c r="I24" t="s">
        <v>28</v>
      </c>
      <c r="J24" s="59" t="s">
        <v>28</v>
      </c>
      <c r="K24" t="s">
        <v>29</v>
      </c>
      <c r="M24" s="81" t="s">
        <v>27</v>
      </c>
      <c r="N24" s="81" t="s">
        <v>62</v>
      </c>
      <c r="O24" t="s">
        <v>80</v>
      </c>
      <c r="P24" s="129" t="s">
        <v>35</v>
      </c>
      <c r="Q24" s="129" t="s">
        <v>78</v>
      </c>
      <c r="R24" s="140" t="s">
        <v>4464</v>
      </c>
      <c r="S24" s="129"/>
    </row>
    <row r="25" spans="1:25" s="81" customFormat="1">
      <c r="A25" s="77">
        <v>7</v>
      </c>
      <c r="B25" t="s">
        <v>38</v>
      </c>
      <c r="C25" t="s">
        <v>25</v>
      </c>
      <c r="D25" s="81" t="s">
        <v>4444</v>
      </c>
      <c r="E25" s="97">
        <v>3</v>
      </c>
      <c r="F25" s="97" t="s">
        <v>74</v>
      </c>
      <c r="G25" t="s">
        <v>27</v>
      </c>
      <c r="H25" t="s">
        <v>28</v>
      </c>
      <c r="I25" t="s">
        <v>28</v>
      </c>
      <c r="J25" s="59" t="s">
        <v>28</v>
      </c>
      <c r="K25" t="s">
        <v>29</v>
      </c>
      <c r="M25" s="85" t="s">
        <v>28</v>
      </c>
      <c r="N25" s="85" t="s">
        <v>39</v>
      </c>
      <c r="O25" s="132" t="s">
        <v>81</v>
      </c>
      <c r="P25" s="129" t="s">
        <v>41</v>
      </c>
      <c r="Q25" s="129" t="s">
        <v>82</v>
      </c>
      <c r="R25" s="140" t="s">
        <v>4464</v>
      </c>
      <c r="S25" s="129"/>
    </row>
    <row r="26" spans="1:25">
      <c r="A26" s="103">
        <v>7</v>
      </c>
      <c r="B26" s="81" t="s">
        <v>38</v>
      </c>
      <c r="C26" s="81" t="s">
        <v>25</v>
      </c>
      <c r="D26" s="81" t="s">
        <v>4444</v>
      </c>
      <c r="E26" s="97">
        <v>3</v>
      </c>
      <c r="F26" s="97" t="s">
        <v>74</v>
      </c>
      <c r="G26" s="81" t="s">
        <v>27</v>
      </c>
      <c r="H26" s="81" t="s">
        <v>28</v>
      </c>
      <c r="I26" s="81" t="s">
        <v>28</v>
      </c>
      <c r="J26" s="81" t="s">
        <v>28</v>
      </c>
      <c r="K26" s="81" t="s">
        <v>29</v>
      </c>
      <c r="L26" s="81"/>
      <c r="M26" s="81" t="s">
        <v>27</v>
      </c>
      <c r="N26" s="81" t="s">
        <v>62</v>
      </c>
      <c r="O26" s="112" t="s">
        <v>83</v>
      </c>
      <c r="P26" s="113" t="s">
        <v>64</v>
      </c>
      <c r="Q26" s="113" t="s">
        <v>84</v>
      </c>
      <c r="R26" s="140" t="s">
        <v>4464</v>
      </c>
      <c r="S26" s="113"/>
      <c r="T26" s="81"/>
      <c r="U26" s="81"/>
      <c r="V26" s="81"/>
      <c r="W26" s="81"/>
      <c r="X26" s="81"/>
      <c r="Y26" s="81"/>
    </row>
    <row r="27" spans="1:25">
      <c r="A27" s="77">
        <v>9</v>
      </c>
      <c r="B27" t="s">
        <v>38</v>
      </c>
      <c r="C27" t="s">
        <v>48</v>
      </c>
      <c r="D27" s="81" t="s">
        <v>4444</v>
      </c>
      <c r="E27" s="97">
        <v>1</v>
      </c>
      <c r="F27" s="97" t="s">
        <v>26</v>
      </c>
      <c r="G27" t="s">
        <v>28</v>
      </c>
      <c r="H27" t="s">
        <v>28</v>
      </c>
      <c r="I27" t="s">
        <v>28</v>
      </c>
      <c r="J27" s="59" t="s">
        <v>28</v>
      </c>
      <c r="K27" t="s">
        <v>29</v>
      </c>
      <c r="M27" s="85" t="s">
        <v>28</v>
      </c>
      <c r="N27" s="85" t="s">
        <v>39</v>
      </c>
      <c r="O27" t="s">
        <v>85</v>
      </c>
      <c r="P27" s="129" t="s">
        <v>86</v>
      </c>
      <c r="Q27" s="129" t="s">
        <v>87</v>
      </c>
      <c r="R27" s="140" t="s">
        <v>4465</v>
      </c>
      <c r="S27" s="129"/>
    </row>
    <row r="28" spans="1:25">
      <c r="A28" s="77">
        <v>9</v>
      </c>
      <c r="B28" t="s">
        <v>38</v>
      </c>
      <c r="C28" t="s">
        <v>48</v>
      </c>
      <c r="D28" s="81" t="s">
        <v>4444</v>
      </c>
      <c r="E28" s="97">
        <v>1</v>
      </c>
      <c r="F28" s="97" t="s">
        <v>26</v>
      </c>
      <c r="G28" t="s">
        <v>28</v>
      </c>
      <c r="H28" t="s">
        <v>28</v>
      </c>
      <c r="I28" t="s">
        <v>28</v>
      </c>
      <c r="J28" s="59" t="s">
        <v>28</v>
      </c>
      <c r="K28" t="s">
        <v>29</v>
      </c>
      <c r="M28" s="85" t="s">
        <v>28</v>
      </c>
      <c r="N28" s="85" t="s">
        <v>39</v>
      </c>
      <c r="O28" t="s">
        <v>88</v>
      </c>
      <c r="P28" s="129" t="s">
        <v>86</v>
      </c>
      <c r="Q28" s="129" t="s">
        <v>87</v>
      </c>
      <c r="R28" s="140" t="s">
        <v>4465</v>
      </c>
      <c r="S28" s="129"/>
    </row>
    <row r="29" spans="1:25">
      <c r="A29" s="77">
        <v>9</v>
      </c>
      <c r="B29" t="s">
        <v>38</v>
      </c>
      <c r="C29" t="s">
        <v>48</v>
      </c>
      <c r="D29" s="81" t="s">
        <v>4444</v>
      </c>
      <c r="E29" s="97">
        <v>1</v>
      </c>
      <c r="F29" s="97" t="s">
        <v>26</v>
      </c>
      <c r="G29" t="s">
        <v>28</v>
      </c>
      <c r="H29" t="s">
        <v>28</v>
      </c>
      <c r="I29" t="s">
        <v>28</v>
      </c>
      <c r="J29" s="59" t="s">
        <v>28</v>
      </c>
      <c r="K29" t="s">
        <v>29</v>
      </c>
      <c r="M29" s="85" t="s">
        <v>28</v>
      </c>
      <c r="N29" s="85" t="s">
        <v>39</v>
      </c>
      <c r="O29" t="s">
        <v>89</v>
      </c>
      <c r="P29" s="129" t="s">
        <v>86</v>
      </c>
      <c r="Q29" s="129" t="s">
        <v>87</v>
      </c>
      <c r="R29" s="140" t="s">
        <v>4465</v>
      </c>
      <c r="S29" s="129"/>
    </row>
    <row r="30" spans="1:25">
      <c r="A30" s="77">
        <v>9</v>
      </c>
      <c r="B30" t="s">
        <v>38</v>
      </c>
      <c r="C30" t="s">
        <v>48</v>
      </c>
      <c r="D30" s="81" t="s">
        <v>4444</v>
      </c>
      <c r="E30" s="97">
        <v>1</v>
      </c>
      <c r="F30" s="97" t="s">
        <v>26</v>
      </c>
      <c r="G30" t="s">
        <v>28</v>
      </c>
      <c r="H30" t="s">
        <v>28</v>
      </c>
      <c r="I30" t="s">
        <v>28</v>
      </c>
      <c r="J30" s="59" t="s">
        <v>28</v>
      </c>
      <c r="K30" t="s">
        <v>29</v>
      </c>
      <c r="M30" s="85" t="s">
        <v>28</v>
      </c>
      <c r="N30" s="85" t="s">
        <v>39</v>
      </c>
      <c r="O30" t="s">
        <v>90</v>
      </c>
      <c r="P30" s="129" t="s">
        <v>86</v>
      </c>
      <c r="Q30" s="129" t="s">
        <v>87</v>
      </c>
      <c r="R30" s="140" t="s">
        <v>4465</v>
      </c>
      <c r="S30" s="129"/>
    </row>
    <row r="31" spans="1:25">
      <c r="A31" s="77">
        <v>9</v>
      </c>
      <c r="B31" t="s">
        <v>38</v>
      </c>
      <c r="C31" t="s">
        <v>48</v>
      </c>
      <c r="D31" s="81" t="s">
        <v>4444</v>
      </c>
      <c r="E31" s="97">
        <v>1</v>
      </c>
      <c r="F31" s="97" t="s">
        <v>26</v>
      </c>
      <c r="G31" t="s">
        <v>28</v>
      </c>
      <c r="H31" t="s">
        <v>28</v>
      </c>
      <c r="I31" t="s">
        <v>28</v>
      </c>
      <c r="J31" s="59" t="s">
        <v>28</v>
      </c>
      <c r="K31" t="s">
        <v>29</v>
      </c>
      <c r="M31" s="85" t="s">
        <v>28</v>
      </c>
      <c r="N31" s="85" t="s">
        <v>39</v>
      </c>
      <c r="O31" t="s">
        <v>91</v>
      </c>
      <c r="P31" s="129" t="s">
        <v>86</v>
      </c>
      <c r="Q31" s="129" t="s">
        <v>87</v>
      </c>
      <c r="R31" s="140" t="s">
        <v>4465</v>
      </c>
      <c r="S31" s="129"/>
    </row>
    <row r="32" spans="1:25">
      <c r="A32" s="77">
        <v>10</v>
      </c>
      <c r="B32" t="s">
        <v>38</v>
      </c>
      <c r="C32" t="s">
        <v>48</v>
      </c>
      <c r="D32" s="81" t="s">
        <v>4445</v>
      </c>
      <c r="E32" s="97">
        <v>2</v>
      </c>
      <c r="F32" s="97" t="s">
        <v>54</v>
      </c>
      <c r="G32" t="s">
        <v>27</v>
      </c>
      <c r="H32" t="s">
        <v>28</v>
      </c>
      <c r="I32" t="s">
        <v>28</v>
      </c>
      <c r="J32" s="59" t="s">
        <v>28</v>
      </c>
      <c r="K32" t="s">
        <v>29</v>
      </c>
      <c r="M32" s="85" t="s">
        <v>28</v>
      </c>
      <c r="N32" s="85" t="s">
        <v>39</v>
      </c>
      <c r="O32" t="s">
        <v>92</v>
      </c>
      <c r="P32" s="129" t="s">
        <v>93</v>
      </c>
      <c r="Q32" s="129" t="s">
        <v>94</v>
      </c>
      <c r="R32" s="140" t="s">
        <v>4463</v>
      </c>
      <c r="S32" s="129"/>
    </row>
    <row r="33" spans="1:25">
      <c r="A33" s="77">
        <v>10</v>
      </c>
      <c r="B33" t="s">
        <v>38</v>
      </c>
      <c r="C33" t="s">
        <v>48</v>
      </c>
      <c r="D33" s="81" t="s">
        <v>4445</v>
      </c>
      <c r="E33" s="97">
        <v>2</v>
      </c>
      <c r="F33" s="97" t="s">
        <v>54</v>
      </c>
      <c r="G33" t="s">
        <v>27</v>
      </c>
      <c r="H33" t="s">
        <v>28</v>
      </c>
      <c r="I33" t="s">
        <v>28</v>
      </c>
      <c r="J33" s="59" t="s">
        <v>28</v>
      </c>
      <c r="K33" t="s">
        <v>29</v>
      </c>
      <c r="M33" s="85" t="s">
        <v>28</v>
      </c>
      <c r="N33" s="85" t="s">
        <v>39</v>
      </c>
      <c r="O33" t="s">
        <v>95</v>
      </c>
      <c r="P33" s="129" t="s">
        <v>93</v>
      </c>
      <c r="Q33" s="129" t="s">
        <v>94</v>
      </c>
      <c r="R33" s="140" t="s">
        <v>4463</v>
      </c>
      <c r="S33" s="129"/>
    </row>
    <row r="34" spans="1:25">
      <c r="A34" s="77">
        <v>10</v>
      </c>
      <c r="B34" t="s">
        <v>38</v>
      </c>
      <c r="C34" t="s">
        <v>48</v>
      </c>
      <c r="D34" s="81" t="s">
        <v>4445</v>
      </c>
      <c r="E34" s="97">
        <v>2</v>
      </c>
      <c r="F34" s="97" t="s">
        <v>54</v>
      </c>
      <c r="G34" t="s">
        <v>27</v>
      </c>
      <c r="H34" t="s">
        <v>28</v>
      </c>
      <c r="I34" t="s">
        <v>28</v>
      </c>
      <c r="J34" s="59" t="s">
        <v>28</v>
      </c>
      <c r="K34" t="s">
        <v>29</v>
      </c>
      <c r="M34" s="85" t="s">
        <v>28</v>
      </c>
      <c r="N34" s="85" t="s">
        <v>39</v>
      </c>
      <c r="O34" s="60" t="s">
        <v>96</v>
      </c>
      <c r="P34" s="129" t="s">
        <v>93</v>
      </c>
      <c r="Q34" s="129" t="s">
        <v>94</v>
      </c>
      <c r="R34" s="140" t="s">
        <v>4463</v>
      </c>
      <c r="S34" s="129"/>
    </row>
    <row r="35" spans="1:25">
      <c r="A35" s="77">
        <v>10</v>
      </c>
      <c r="B35" t="s">
        <v>38</v>
      </c>
      <c r="C35" t="s">
        <v>48</v>
      </c>
      <c r="D35" s="81" t="s">
        <v>4445</v>
      </c>
      <c r="E35" s="97">
        <v>2</v>
      </c>
      <c r="F35" s="97" t="s">
        <v>54</v>
      </c>
      <c r="G35" t="s">
        <v>27</v>
      </c>
      <c r="H35" t="s">
        <v>28</v>
      </c>
      <c r="I35" t="s">
        <v>28</v>
      </c>
      <c r="J35" s="59" t="s">
        <v>28</v>
      </c>
      <c r="K35" t="s">
        <v>29</v>
      </c>
      <c r="M35" s="85" t="s">
        <v>28</v>
      </c>
      <c r="N35" s="85" t="s">
        <v>39</v>
      </c>
      <c r="O35" t="s">
        <v>97</v>
      </c>
      <c r="P35" s="129" t="s">
        <v>98</v>
      </c>
      <c r="Q35" s="129" t="s">
        <v>94</v>
      </c>
      <c r="R35" s="140" t="s">
        <v>4463</v>
      </c>
      <c r="S35" s="129"/>
    </row>
    <row r="36" spans="1:25">
      <c r="A36" s="77">
        <v>10</v>
      </c>
      <c r="B36" t="s">
        <v>38</v>
      </c>
      <c r="C36" t="s">
        <v>48</v>
      </c>
      <c r="D36" s="81" t="s">
        <v>4445</v>
      </c>
      <c r="E36" s="97">
        <v>2</v>
      </c>
      <c r="F36" s="97" t="s">
        <v>54</v>
      </c>
      <c r="G36" t="s">
        <v>27</v>
      </c>
      <c r="H36" t="s">
        <v>28</v>
      </c>
      <c r="I36" t="s">
        <v>28</v>
      </c>
      <c r="J36" s="59" t="s">
        <v>28</v>
      </c>
      <c r="K36" t="s">
        <v>29</v>
      </c>
      <c r="M36" s="85" t="s">
        <v>28</v>
      </c>
      <c r="N36" s="85" t="s">
        <v>39</v>
      </c>
      <c r="O36" t="s">
        <v>99</v>
      </c>
      <c r="P36" s="129" t="s">
        <v>98</v>
      </c>
      <c r="Q36" s="129" t="s">
        <v>94</v>
      </c>
      <c r="R36" s="140" t="s">
        <v>4463</v>
      </c>
      <c r="S36" s="129"/>
    </row>
    <row r="37" spans="1:25">
      <c r="A37" s="77">
        <v>10</v>
      </c>
      <c r="B37" t="s">
        <v>38</v>
      </c>
      <c r="C37" t="s">
        <v>48</v>
      </c>
      <c r="D37" s="81" t="s">
        <v>4445</v>
      </c>
      <c r="E37" s="97">
        <v>2</v>
      </c>
      <c r="F37" s="97" t="s">
        <v>54</v>
      </c>
      <c r="G37" t="s">
        <v>27</v>
      </c>
      <c r="H37" t="s">
        <v>28</v>
      </c>
      <c r="I37" t="s">
        <v>28</v>
      </c>
      <c r="J37" s="59" t="s">
        <v>28</v>
      </c>
      <c r="K37" t="s">
        <v>29</v>
      </c>
      <c r="M37" s="85" t="s">
        <v>28</v>
      </c>
      <c r="N37" s="85" t="s">
        <v>39</v>
      </c>
      <c r="O37" t="s">
        <v>100</v>
      </c>
      <c r="P37" s="129" t="s">
        <v>98</v>
      </c>
      <c r="Q37" s="129" t="s">
        <v>94</v>
      </c>
      <c r="R37" s="140" t="s">
        <v>4463</v>
      </c>
      <c r="S37" s="129"/>
    </row>
    <row r="38" spans="1:25">
      <c r="A38" s="77">
        <v>10</v>
      </c>
      <c r="B38" t="s">
        <v>38</v>
      </c>
      <c r="C38" t="s">
        <v>48</v>
      </c>
      <c r="D38" s="81" t="s">
        <v>4445</v>
      </c>
      <c r="E38" s="97">
        <v>2</v>
      </c>
      <c r="F38" s="97" t="s">
        <v>54</v>
      </c>
      <c r="G38" t="s">
        <v>28</v>
      </c>
      <c r="H38" t="s">
        <v>28</v>
      </c>
      <c r="I38" t="s">
        <v>28</v>
      </c>
      <c r="J38" s="59" t="s">
        <v>28</v>
      </c>
      <c r="K38" t="s">
        <v>29</v>
      </c>
      <c r="M38" s="85" t="s">
        <v>28</v>
      </c>
      <c r="N38" s="85" t="s">
        <v>39</v>
      </c>
      <c r="O38" t="s">
        <v>101</v>
      </c>
      <c r="P38" s="129" t="s">
        <v>102</v>
      </c>
      <c r="Q38" s="129" t="s">
        <v>103</v>
      </c>
      <c r="R38" s="140" t="s">
        <v>4463</v>
      </c>
      <c r="S38" s="129"/>
    </row>
    <row r="39" spans="1:25" s="130" customFormat="1">
      <c r="A39" s="77">
        <v>10</v>
      </c>
      <c r="B39" t="s">
        <v>38</v>
      </c>
      <c r="C39" t="s">
        <v>48</v>
      </c>
      <c r="D39" s="81" t="s">
        <v>4445</v>
      </c>
      <c r="E39" s="97">
        <v>2</v>
      </c>
      <c r="F39" s="97" t="s">
        <v>54</v>
      </c>
      <c r="G39" t="s">
        <v>28</v>
      </c>
      <c r="H39" t="s">
        <v>28</v>
      </c>
      <c r="I39" t="s">
        <v>28</v>
      </c>
      <c r="J39" s="59" t="s">
        <v>28</v>
      </c>
      <c r="K39" t="s">
        <v>29</v>
      </c>
      <c r="M39" s="85" t="s">
        <v>28</v>
      </c>
      <c r="N39" s="85" t="s">
        <v>39</v>
      </c>
      <c r="O39" s="60" t="s">
        <v>104</v>
      </c>
      <c r="P39" s="129" t="s">
        <v>102</v>
      </c>
      <c r="Q39" s="129" t="s">
        <v>103</v>
      </c>
      <c r="R39" s="140" t="s">
        <v>4463</v>
      </c>
      <c r="S39" s="129"/>
    </row>
    <row r="40" spans="1:25" hidden="1">
      <c r="A40" s="78">
        <v>10</v>
      </c>
      <c r="B40" s="130" t="s">
        <v>38</v>
      </c>
      <c r="C40" s="130" t="s">
        <v>48</v>
      </c>
      <c r="D40" s="81" t="s">
        <v>4445</v>
      </c>
      <c r="E40" s="97">
        <v>2</v>
      </c>
      <c r="F40" s="97" t="s">
        <v>54</v>
      </c>
      <c r="G40" s="130" t="s">
        <v>28</v>
      </c>
      <c r="H40" s="130" t="s">
        <v>28</v>
      </c>
      <c r="I40" t="s">
        <v>28</v>
      </c>
      <c r="J40" s="130" t="s">
        <v>27</v>
      </c>
      <c r="K40" s="130" t="s">
        <v>29</v>
      </c>
      <c r="L40" s="137" t="s">
        <v>105</v>
      </c>
      <c r="M40" s="130" t="s">
        <v>27</v>
      </c>
      <c r="N40" s="123" t="s">
        <v>31</v>
      </c>
      <c r="O40" s="61" t="s">
        <v>106</v>
      </c>
      <c r="P40" s="131" t="s">
        <v>102</v>
      </c>
      <c r="Q40" s="131"/>
      <c r="R40" s="131"/>
      <c r="S40" s="131"/>
      <c r="T40" s="130"/>
      <c r="U40" s="130"/>
      <c r="V40" s="130"/>
      <c r="W40" s="130"/>
      <c r="X40" s="130"/>
      <c r="Y40" s="130"/>
    </row>
    <row r="41" spans="1:25">
      <c r="A41" s="77">
        <v>10</v>
      </c>
      <c r="B41" t="s">
        <v>38</v>
      </c>
      <c r="C41" t="s">
        <v>48</v>
      </c>
      <c r="D41" s="81" t="s">
        <v>4445</v>
      </c>
      <c r="E41" s="97">
        <v>2</v>
      </c>
      <c r="F41" s="97" t="s">
        <v>54</v>
      </c>
      <c r="G41" t="s">
        <v>28</v>
      </c>
      <c r="H41" t="s">
        <v>28</v>
      </c>
      <c r="I41" t="s">
        <v>28</v>
      </c>
      <c r="J41" s="59" t="s">
        <v>28</v>
      </c>
      <c r="K41" t="s">
        <v>29</v>
      </c>
      <c r="M41" s="85" t="s">
        <v>28</v>
      </c>
      <c r="N41" s="85" t="s">
        <v>39</v>
      </c>
      <c r="O41" s="60" t="s">
        <v>107</v>
      </c>
      <c r="P41" s="129" t="s">
        <v>102</v>
      </c>
      <c r="Q41" s="129" t="s">
        <v>103</v>
      </c>
      <c r="R41" s="140" t="s">
        <v>4463</v>
      </c>
      <c r="S41" s="129"/>
    </row>
    <row r="42" spans="1:25">
      <c r="A42" s="77">
        <v>10</v>
      </c>
      <c r="B42" t="s">
        <v>38</v>
      </c>
      <c r="C42" t="s">
        <v>48</v>
      </c>
      <c r="D42" s="81" t="s">
        <v>4445</v>
      </c>
      <c r="E42" s="97">
        <v>2</v>
      </c>
      <c r="F42" s="97" t="s">
        <v>54</v>
      </c>
      <c r="G42" t="s">
        <v>28</v>
      </c>
      <c r="H42" t="s">
        <v>28</v>
      </c>
      <c r="I42" t="s">
        <v>28</v>
      </c>
      <c r="J42" s="59" t="s">
        <v>28</v>
      </c>
      <c r="K42" t="s">
        <v>29</v>
      </c>
      <c r="M42" s="85" t="s">
        <v>28</v>
      </c>
      <c r="N42" s="85" t="s">
        <v>39</v>
      </c>
      <c r="O42" t="s">
        <v>108</v>
      </c>
      <c r="P42" s="129" t="s">
        <v>102</v>
      </c>
      <c r="Q42" s="129" t="s">
        <v>103</v>
      </c>
      <c r="R42" s="140" t="s">
        <v>4463</v>
      </c>
      <c r="S42" s="129"/>
    </row>
    <row r="43" spans="1:25">
      <c r="A43" s="77">
        <v>10</v>
      </c>
      <c r="B43" t="s">
        <v>38</v>
      </c>
      <c r="C43" t="s">
        <v>48</v>
      </c>
      <c r="D43" s="81" t="s">
        <v>4445</v>
      </c>
      <c r="E43" s="97">
        <v>2</v>
      </c>
      <c r="F43" s="97" t="s">
        <v>54</v>
      </c>
      <c r="G43" t="s">
        <v>27</v>
      </c>
      <c r="H43" t="s">
        <v>28</v>
      </c>
      <c r="I43" t="s">
        <v>28</v>
      </c>
      <c r="J43" s="59" t="s">
        <v>28</v>
      </c>
      <c r="K43" t="s">
        <v>29</v>
      </c>
      <c r="M43" s="85" t="s">
        <v>28</v>
      </c>
      <c r="N43" s="85" t="s">
        <v>39</v>
      </c>
      <c r="O43" s="132" t="s">
        <v>109</v>
      </c>
      <c r="P43" s="129" t="s">
        <v>41</v>
      </c>
      <c r="Q43" s="129" t="s">
        <v>110</v>
      </c>
      <c r="R43" s="140" t="s">
        <v>4463</v>
      </c>
      <c r="S43" s="129"/>
    </row>
    <row r="44" spans="1:25" s="130" customFormat="1" hidden="1">
      <c r="A44" s="78">
        <v>102</v>
      </c>
      <c r="B44" t="s">
        <v>111</v>
      </c>
      <c r="D44" s="81">
        <v>0</v>
      </c>
      <c r="E44" s="97">
        <v>1</v>
      </c>
      <c r="F44" s="97" t="s">
        <v>112</v>
      </c>
      <c r="G44" s="130" t="s">
        <v>27</v>
      </c>
      <c r="H44" s="130" t="s">
        <v>28</v>
      </c>
      <c r="I44" s="130" t="s">
        <v>27</v>
      </c>
      <c r="J44" s="130" t="s">
        <v>27</v>
      </c>
      <c r="K44" s="130" t="s">
        <v>113</v>
      </c>
      <c r="M44" s="130" t="s">
        <v>28</v>
      </c>
      <c r="N44" s="130" t="s">
        <v>51</v>
      </c>
      <c r="O44" s="136" t="s">
        <v>114</v>
      </c>
      <c r="P44" s="136" t="s">
        <v>64</v>
      </c>
      <c r="Q44" s="136"/>
      <c r="R44" s="136"/>
      <c r="S44" s="136"/>
    </row>
    <row r="45" spans="1:25" s="130" customFormat="1">
      <c r="A45" s="77">
        <v>11</v>
      </c>
      <c r="B45" t="s">
        <v>38</v>
      </c>
      <c r="C45" t="s">
        <v>48</v>
      </c>
      <c r="D45" s="81" t="s">
        <v>4444</v>
      </c>
      <c r="E45" s="97">
        <v>2</v>
      </c>
      <c r="F45" s="97" t="s">
        <v>49</v>
      </c>
      <c r="G45" t="s">
        <v>28</v>
      </c>
      <c r="H45" t="s">
        <v>28</v>
      </c>
      <c r="I45" t="s">
        <v>28</v>
      </c>
      <c r="J45" s="59" t="s">
        <v>28</v>
      </c>
      <c r="K45" t="s">
        <v>29</v>
      </c>
      <c r="M45" s="85" t="s">
        <v>28</v>
      </c>
      <c r="N45" s="85" t="s">
        <v>39</v>
      </c>
      <c r="O45" t="s">
        <v>115</v>
      </c>
      <c r="P45" s="129" t="s">
        <v>116</v>
      </c>
      <c r="Q45" s="129" t="s">
        <v>117</v>
      </c>
      <c r="R45" s="140" t="s">
        <v>4465</v>
      </c>
      <c r="S45" s="129"/>
    </row>
    <row r="46" spans="1:25" hidden="1">
      <c r="A46" s="78">
        <v>11</v>
      </c>
      <c r="B46" s="130" t="s">
        <v>38</v>
      </c>
      <c r="C46" s="130" t="s">
        <v>48</v>
      </c>
      <c r="D46" s="81" t="s">
        <v>4444</v>
      </c>
      <c r="E46" s="97">
        <v>2</v>
      </c>
      <c r="F46" s="97" t="s">
        <v>49</v>
      </c>
      <c r="G46" s="130" t="s">
        <v>28</v>
      </c>
      <c r="H46" s="130" t="s">
        <v>28</v>
      </c>
      <c r="I46" t="s">
        <v>28</v>
      </c>
      <c r="J46" s="130" t="s">
        <v>27</v>
      </c>
      <c r="K46" s="130" t="s">
        <v>29</v>
      </c>
      <c r="L46" s="137" t="s">
        <v>105</v>
      </c>
      <c r="M46" s="130" t="s">
        <v>27</v>
      </c>
      <c r="N46" s="123" t="s">
        <v>31</v>
      </c>
      <c r="O46" s="130" t="s">
        <v>118</v>
      </c>
      <c r="P46" s="131" t="s">
        <v>116</v>
      </c>
      <c r="Q46" s="131"/>
      <c r="R46" s="131"/>
      <c r="S46" s="131"/>
      <c r="T46" s="130"/>
      <c r="U46" s="130"/>
      <c r="V46" s="130"/>
      <c r="W46" s="130"/>
      <c r="X46" s="130"/>
      <c r="Y46" s="130"/>
    </row>
    <row r="47" spans="1:25" hidden="1">
      <c r="A47" s="78">
        <v>11</v>
      </c>
      <c r="B47" s="130" t="s">
        <v>38</v>
      </c>
      <c r="C47" s="130" t="s">
        <v>48</v>
      </c>
      <c r="D47" s="81" t="s">
        <v>4444</v>
      </c>
      <c r="E47" s="97">
        <v>2</v>
      </c>
      <c r="F47" s="97" t="s">
        <v>49</v>
      </c>
      <c r="G47" s="130" t="s">
        <v>28</v>
      </c>
      <c r="H47" s="130" t="s">
        <v>28</v>
      </c>
      <c r="I47" t="s">
        <v>28</v>
      </c>
      <c r="J47" s="130" t="s">
        <v>27</v>
      </c>
      <c r="K47" s="130" t="s">
        <v>29</v>
      </c>
      <c r="L47" s="137" t="s">
        <v>105</v>
      </c>
      <c r="M47" s="130" t="s">
        <v>27</v>
      </c>
      <c r="N47" s="123" t="s">
        <v>31</v>
      </c>
      <c r="O47" s="130" t="s">
        <v>119</v>
      </c>
      <c r="P47" s="131" t="s">
        <v>116</v>
      </c>
      <c r="Q47" s="131"/>
      <c r="R47" s="131"/>
      <c r="S47" s="131"/>
      <c r="T47" s="130"/>
      <c r="U47" s="130"/>
      <c r="V47" s="130"/>
      <c r="W47" s="130"/>
      <c r="X47" s="130"/>
      <c r="Y47" s="130"/>
    </row>
    <row r="48" spans="1:25">
      <c r="A48" s="77">
        <v>11</v>
      </c>
      <c r="B48" t="s">
        <v>38</v>
      </c>
      <c r="C48" t="s">
        <v>48</v>
      </c>
      <c r="D48" s="81" t="s">
        <v>4444</v>
      </c>
      <c r="E48" s="97">
        <v>2</v>
      </c>
      <c r="F48" s="97" t="s">
        <v>49</v>
      </c>
      <c r="G48" t="s">
        <v>28</v>
      </c>
      <c r="H48" t="s">
        <v>28</v>
      </c>
      <c r="I48" t="s">
        <v>28</v>
      </c>
      <c r="J48" s="59" t="s">
        <v>28</v>
      </c>
      <c r="K48" t="s">
        <v>29</v>
      </c>
      <c r="M48" s="85" t="s">
        <v>28</v>
      </c>
      <c r="N48" s="85" t="s">
        <v>39</v>
      </c>
      <c r="O48" t="s">
        <v>120</v>
      </c>
      <c r="P48" s="129" t="s">
        <v>116</v>
      </c>
      <c r="Q48" s="129" t="s">
        <v>117</v>
      </c>
      <c r="R48" s="140" t="s">
        <v>4465</v>
      </c>
      <c r="S48" s="129"/>
    </row>
    <row r="49" spans="1:25">
      <c r="A49" s="77">
        <v>11</v>
      </c>
      <c r="B49" t="s">
        <v>38</v>
      </c>
      <c r="C49" t="s">
        <v>48</v>
      </c>
      <c r="D49" s="81" t="s">
        <v>4444</v>
      </c>
      <c r="E49" s="97">
        <v>2</v>
      </c>
      <c r="F49" s="97" t="s">
        <v>49</v>
      </c>
      <c r="G49" t="s">
        <v>27</v>
      </c>
      <c r="H49" t="s">
        <v>28</v>
      </c>
      <c r="I49" t="s">
        <v>28</v>
      </c>
      <c r="J49" s="59" t="s">
        <v>28</v>
      </c>
      <c r="K49" t="s">
        <v>29</v>
      </c>
      <c r="M49" s="85" t="s">
        <v>28</v>
      </c>
      <c r="N49" s="85" t="s">
        <v>39</v>
      </c>
      <c r="O49" s="132" t="s">
        <v>121</v>
      </c>
      <c r="P49" s="129" t="s">
        <v>41</v>
      </c>
      <c r="Q49" s="129" t="s">
        <v>122</v>
      </c>
      <c r="R49" s="140" t="s">
        <v>4464</v>
      </c>
      <c r="S49" s="129"/>
    </row>
    <row r="50" spans="1:25">
      <c r="A50" s="77">
        <v>11</v>
      </c>
      <c r="B50" t="s">
        <v>38</v>
      </c>
      <c r="C50" t="s">
        <v>48</v>
      </c>
      <c r="D50" s="81" t="s">
        <v>4444</v>
      </c>
      <c r="E50" s="97">
        <v>2</v>
      </c>
      <c r="F50" s="97" t="s">
        <v>49</v>
      </c>
      <c r="G50" t="s">
        <v>27</v>
      </c>
      <c r="H50" t="s">
        <v>28</v>
      </c>
      <c r="I50" t="s">
        <v>28</v>
      </c>
      <c r="J50" s="59" t="s">
        <v>28</v>
      </c>
      <c r="K50" t="s">
        <v>29</v>
      </c>
      <c r="M50" s="85" t="s">
        <v>28</v>
      </c>
      <c r="N50" s="85" t="s">
        <v>39</v>
      </c>
      <c r="O50" s="132" t="s">
        <v>123</v>
      </c>
      <c r="P50" s="129" t="s">
        <v>64</v>
      </c>
      <c r="Q50" s="129" t="s">
        <v>122</v>
      </c>
      <c r="R50" s="140" t="s">
        <v>4464</v>
      </c>
      <c r="S50" s="129"/>
    </row>
    <row r="51" spans="1:25" s="130" customFormat="1" hidden="1">
      <c r="A51" s="78">
        <v>240</v>
      </c>
      <c r="B51" s="130" t="s">
        <v>124</v>
      </c>
      <c r="C51" s="130" t="s">
        <v>66</v>
      </c>
      <c r="D51" s="81" t="s">
        <v>4445</v>
      </c>
      <c r="E51" s="97" t="s">
        <v>125</v>
      </c>
      <c r="F51" s="98" t="s">
        <v>126</v>
      </c>
      <c r="G51" s="130" t="s">
        <v>28</v>
      </c>
      <c r="H51" s="130" t="s">
        <v>28</v>
      </c>
      <c r="I51" s="130" t="s">
        <v>28</v>
      </c>
      <c r="J51" s="130" t="s">
        <v>27</v>
      </c>
      <c r="K51" s="130" t="s">
        <v>127</v>
      </c>
      <c r="L51" s="130" t="s">
        <v>127</v>
      </c>
      <c r="M51" s="88" t="s">
        <v>28</v>
      </c>
      <c r="N51" s="88" t="s">
        <v>51</v>
      </c>
      <c r="O51" s="130" t="s">
        <v>128</v>
      </c>
      <c r="P51" s="130" t="s">
        <v>86</v>
      </c>
    </row>
    <row r="52" spans="1:25">
      <c r="A52" s="77">
        <v>11</v>
      </c>
      <c r="B52" t="s">
        <v>38</v>
      </c>
      <c r="C52" t="s">
        <v>48</v>
      </c>
      <c r="D52" s="81" t="s">
        <v>4444</v>
      </c>
      <c r="E52" s="97">
        <v>2</v>
      </c>
      <c r="F52" s="97" t="s">
        <v>49</v>
      </c>
      <c r="G52" t="s">
        <v>28</v>
      </c>
      <c r="H52" t="s">
        <v>28</v>
      </c>
      <c r="I52" t="s">
        <v>28</v>
      </c>
      <c r="J52" s="59" t="s">
        <v>28</v>
      </c>
      <c r="K52" t="s">
        <v>29</v>
      </c>
      <c r="M52" s="85" t="s">
        <v>27</v>
      </c>
      <c r="N52" s="85" t="s">
        <v>62</v>
      </c>
      <c r="O52" s="60" t="s">
        <v>129</v>
      </c>
      <c r="P52" s="129" t="s">
        <v>130</v>
      </c>
      <c r="Q52" s="129" t="s">
        <v>131</v>
      </c>
      <c r="R52" s="140" t="s">
        <v>4465</v>
      </c>
      <c r="S52" s="129"/>
    </row>
    <row r="53" spans="1:25">
      <c r="A53" s="77">
        <v>12</v>
      </c>
      <c r="B53" t="s">
        <v>38</v>
      </c>
      <c r="C53" t="s">
        <v>48</v>
      </c>
      <c r="D53" s="81" t="s">
        <v>4445</v>
      </c>
      <c r="E53" s="97">
        <v>2</v>
      </c>
      <c r="F53" s="97" t="s">
        <v>49</v>
      </c>
      <c r="G53" t="s">
        <v>27</v>
      </c>
      <c r="H53" t="s">
        <v>28</v>
      </c>
      <c r="I53" t="s">
        <v>28</v>
      </c>
      <c r="J53" s="59" t="s">
        <v>28</v>
      </c>
      <c r="K53" t="s">
        <v>29</v>
      </c>
      <c r="M53" s="85" t="s">
        <v>28</v>
      </c>
      <c r="N53" s="85" t="s">
        <v>39</v>
      </c>
      <c r="O53" s="60" t="s">
        <v>132</v>
      </c>
      <c r="P53" s="129" t="s">
        <v>93</v>
      </c>
      <c r="Q53" s="129" t="s">
        <v>133</v>
      </c>
      <c r="R53" s="140" t="s">
        <v>4463</v>
      </c>
      <c r="S53" s="129"/>
    </row>
    <row r="54" spans="1:25">
      <c r="A54" s="77">
        <v>12</v>
      </c>
      <c r="B54" t="s">
        <v>38</v>
      </c>
      <c r="C54" t="s">
        <v>48</v>
      </c>
      <c r="D54" s="81" t="s">
        <v>4445</v>
      </c>
      <c r="E54" s="97">
        <v>2</v>
      </c>
      <c r="F54" s="97" t="s">
        <v>49</v>
      </c>
      <c r="G54" t="s">
        <v>27</v>
      </c>
      <c r="H54" t="s">
        <v>28</v>
      </c>
      <c r="I54" t="s">
        <v>28</v>
      </c>
      <c r="J54" s="59" t="s">
        <v>28</v>
      </c>
      <c r="K54" t="s">
        <v>29</v>
      </c>
      <c r="M54" s="85" t="s">
        <v>28</v>
      </c>
      <c r="N54" s="85" t="s">
        <v>39</v>
      </c>
      <c r="O54" s="60" t="s">
        <v>134</v>
      </c>
      <c r="P54" s="129" t="s">
        <v>98</v>
      </c>
      <c r="Q54" s="129" t="s">
        <v>133</v>
      </c>
      <c r="R54" s="140" t="s">
        <v>4463</v>
      </c>
      <c r="S54" s="129"/>
    </row>
    <row r="55" spans="1:25">
      <c r="A55" s="77">
        <v>12</v>
      </c>
      <c r="B55" t="s">
        <v>38</v>
      </c>
      <c r="C55" t="s">
        <v>48</v>
      </c>
      <c r="D55" s="81" t="s">
        <v>4445</v>
      </c>
      <c r="E55" s="97">
        <v>2</v>
      </c>
      <c r="F55" s="97" t="s">
        <v>49</v>
      </c>
      <c r="G55" t="s">
        <v>27</v>
      </c>
      <c r="H55" t="s">
        <v>28</v>
      </c>
      <c r="I55" t="s">
        <v>28</v>
      </c>
      <c r="J55" s="59" t="s">
        <v>28</v>
      </c>
      <c r="K55" t="s">
        <v>29</v>
      </c>
      <c r="M55" s="85" t="s">
        <v>28</v>
      </c>
      <c r="N55" s="85" t="s">
        <v>39</v>
      </c>
      <c r="O55" s="60" t="s">
        <v>135</v>
      </c>
      <c r="P55" s="129" t="s">
        <v>98</v>
      </c>
      <c r="Q55" s="129" t="s">
        <v>133</v>
      </c>
      <c r="R55" s="140" t="s">
        <v>4463</v>
      </c>
      <c r="S55" s="129"/>
    </row>
    <row r="56" spans="1:25" s="130" customFormat="1" hidden="1">
      <c r="A56" s="78">
        <v>244</v>
      </c>
      <c r="B56" s="130" t="s">
        <v>124</v>
      </c>
      <c r="C56" s="130" t="s">
        <v>66</v>
      </c>
      <c r="D56" s="81" t="s">
        <v>4445</v>
      </c>
      <c r="E56" s="97" t="s">
        <v>136</v>
      </c>
      <c r="F56" s="98" t="s">
        <v>137</v>
      </c>
      <c r="G56" s="130" t="s">
        <v>28</v>
      </c>
      <c r="H56" s="130" t="s">
        <v>28</v>
      </c>
      <c r="I56" s="130" t="s">
        <v>28</v>
      </c>
      <c r="J56" s="130" t="s">
        <v>27</v>
      </c>
      <c r="K56" s="130" t="s">
        <v>127</v>
      </c>
      <c r="L56" s="130" t="s">
        <v>127</v>
      </c>
      <c r="M56" s="88" t="s">
        <v>28</v>
      </c>
      <c r="N56" s="88" t="s">
        <v>51</v>
      </c>
      <c r="O56" s="130" t="s">
        <v>138</v>
      </c>
      <c r="P56" s="130" t="s">
        <v>86</v>
      </c>
    </row>
    <row r="57" spans="1:25">
      <c r="A57" s="77">
        <v>12</v>
      </c>
      <c r="B57" t="s">
        <v>38</v>
      </c>
      <c r="C57" t="s">
        <v>48</v>
      </c>
      <c r="D57" s="81" t="s">
        <v>4445</v>
      </c>
      <c r="E57" s="97">
        <v>2</v>
      </c>
      <c r="F57" s="97" t="s">
        <v>49</v>
      </c>
      <c r="G57" t="s">
        <v>28</v>
      </c>
      <c r="H57" t="s">
        <v>28</v>
      </c>
      <c r="I57" t="s">
        <v>28</v>
      </c>
      <c r="J57" s="59" t="s">
        <v>28</v>
      </c>
      <c r="K57" t="s">
        <v>29</v>
      </c>
      <c r="M57" s="85" t="s">
        <v>28</v>
      </c>
      <c r="N57" s="85" t="s">
        <v>39</v>
      </c>
      <c r="O57" t="s">
        <v>139</v>
      </c>
      <c r="P57" s="129" t="s">
        <v>102</v>
      </c>
      <c r="Q57" s="129" t="s">
        <v>140</v>
      </c>
      <c r="R57" s="140" t="s">
        <v>4463</v>
      </c>
      <c r="S57" s="129"/>
    </row>
    <row r="58" spans="1:25" s="130" customFormat="1">
      <c r="A58" s="77">
        <v>12</v>
      </c>
      <c r="B58" t="s">
        <v>38</v>
      </c>
      <c r="C58" t="s">
        <v>48</v>
      </c>
      <c r="D58" s="81" t="s">
        <v>4445</v>
      </c>
      <c r="E58" s="97">
        <v>2</v>
      </c>
      <c r="F58" s="97" t="s">
        <v>49</v>
      </c>
      <c r="G58" t="s">
        <v>28</v>
      </c>
      <c r="H58" t="s">
        <v>28</v>
      </c>
      <c r="I58" t="s">
        <v>28</v>
      </c>
      <c r="J58" s="59" t="s">
        <v>28</v>
      </c>
      <c r="K58" t="s">
        <v>29</v>
      </c>
      <c r="M58" s="85" t="s">
        <v>28</v>
      </c>
      <c r="N58" s="85" t="s">
        <v>39</v>
      </c>
      <c r="O58" t="s">
        <v>141</v>
      </c>
      <c r="P58" s="129" t="s">
        <v>102</v>
      </c>
      <c r="Q58" s="129" t="s">
        <v>140</v>
      </c>
      <c r="R58" s="140" t="s">
        <v>4463</v>
      </c>
      <c r="S58" s="129"/>
    </row>
    <row r="59" spans="1:25">
      <c r="A59" s="77">
        <v>12</v>
      </c>
      <c r="B59" t="s">
        <v>38</v>
      </c>
      <c r="C59" t="s">
        <v>48</v>
      </c>
      <c r="D59" s="81" t="s">
        <v>4445</v>
      </c>
      <c r="E59" s="97">
        <v>2</v>
      </c>
      <c r="F59" s="97" t="s">
        <v>49</v>
      </c>
      <c r="G59" t="s">
        <v>28</v>
      </c>
      <c r="H59" t="s">
        <v>28</v>
      </c>
      <c r="I59" t="s">
        <v>28</v>
      </c>
      <c r="J59" s="59" t="s">
        <v>28</v>
      </c>
      <c r="K59" t="s">
        <v>29</v>
      </c>
      <c r="M59" s="85" t="s">
        <v>28</v>
      </c>
      <c r="N59" s="85" t="s">
        <v>39</v>
      </c>
      <c r="O59" t="s">
        <v>142</v>
      </c>
      <c r="P59" s="129" t="s">
        <v>102</v>
      </c>
      <c r="Q59" s="129" t="s">
        <v>140</v>
      </c>
      <c r="R59" s="140" t="s">
        <v>4463</v>
      </c>
      <c r="S59" s="129"/>
    </row>
    <row r="60" spans="1:25" hidden="1">
      <c r="A60" s="78">
        <v>12</v>
      </c>
      <c r="B60" s="130" t="s">
        <v>38</v>
      </c>
      <c r="C60" s="130" t="s">
        <v>48</v>
      </c>
      <c r="D60" s="81" t="s">
        <v>4445</v>
      </c>
      <c r="E60" s="97">
        <v>2</v>
      </c>
      <c r="F60" s="97" t="s">
        <v>49</v>
      </c>
      <c r="G60" s="130" t="s">
        <v>28</v>
      </c>
      <c r="H60" s="130" t="s">
        <v>28</v>
      </c>
      <c r="I60" s="130" t="s">
        <v>28</v>
      </c>
      <c r="J60" s="130" t="s">
        <v>27</v>
      </c>
      <c r="K60" s="130" t="s">
        <v>29</v>
      </c>
      <c r="L60" s="137" t="s">
        <v>105</v>
      </c>
      <c r="M60" s="130" t="s">
        <v>27</v>
      </c>
      <c r="N60" s="123" t="s">
        <v>31</v>
      </c>
      <c r="O60" s="130" t="s">
        <v>143</v>
      </c>
      <c r="P60" s="131" t="s">
        <v>102</v>
      </c>
      <c r="Q60" s="131"/>
      <c r="R60" s="131"/>
      <c r="S60" s="131"/>
      <c r="T60" s="130"/>
      <c r="U60" s="130"/>
      <c r="V60" s="130"/>
      <c r="W60" s="130"/>
      <c r="X60" s="130"/>
      <c r="Y60" s="130"/>
    </row>
    <row r="61" spans="1:25">
      <c r="A61" s="77">
        <v>12</v>
      </c>
      <c r="B61" t="s">
        <v>38</v>
      </c>
      <c r="C61" t="s">
        <v>48</v>
      </c>
      <c r="D61" s="81" t="s">
        <v>4445</v>
      </c>
      <c r="E61" s="97">
        <v>2</v>
      </c>
      <c r="F61" s="97" t="s">
        <v>49</v>
      </c>
      <c r="G61" t="s">
        <v>28</v>
      </c>
      <c r="H61" t="s">
        <v>28</v>
      </c>
      <c r="I61" t="s">
        <v>28</v>
      </c>
      <c r="J61" s="59" t="s">
        <v>28</v>
      </c>
      <c r="K61" t="s">
        <v>29</v>
      </c>
      <c r="M61" s="85" t="s">
        <v>28</v>
      </c>
      <c r="N61" s="85" t="s">
        <v>39</v>
      </c>
      <c r="O61" t="s">
        <v>144</v>
      </c>
      <c r="P61" s="129" t="s">
        <v>102</v>
      </c>
      <c r="Q61" s="129" t="s">
        <v>140</v>
      </c>
      <c r="R61" s="140" t="s">
        <v>4463</v>
      </c>
      <c r="S61" s="129"/>
    </row>
    <row r="62" spans="1:25">
      <c r="A62" s="77">
        <v>12</v>
      </c>
      <c r="B62" t="s">
        <v>38</v>
      </c>
      <c r="C62" t="s">
        <v>48</v>
      </c>
      <c r="D62" s="81" t="s">
        <v>4445</v>
      </c>
      <c r="E62" s="97">
        <v>2</v>
      </c>
      <c r="F62" s="97" t="s">
        <v>49</v>
      </c>
      <c r="G62" t="s">
        <v>27</v>
      </c>
      <c r="H62" t="s">
        <v>28</v>
      </c>
      <c r="I62" t="s">
        <v>28</v>
      </c>
      <c r="J62" s="59" t="s">
        <v>28</v>
      </c>
      <c r="K62" t="s">
        <v>29</v>
      </c>
      <c r="M62" s="85" t="s">
        <v>28</v>
      </c>
      <c r="N62" s="85" t="s">
        <v>39</v>
      </c>
      <c r="O62" s="132" t="s">
        <v>145</v>
      </c>
      <c r="P62" s="129" t="s">
        <v>41</v>
      </c>
      <c r="Q62" s="129" t="s">
        <v>146</v>
      </c>
      <c r="R62" s="140" t="s">
        <v>4463</v>
      </c>
      <c r="S62" s="129"/>
    </row>
    <row r="63" spans="1:25">
      <c r="A63" s="77">
        <v>12</v>
      </c>
      <c r="B63" t="s">
        <v>38</v>
      </c>
      <c r="C63" t="s">
        <v>48</v>
      </c>
      <c r="D63" s="81" t="s">
        <v>4445</v>
      </c>
      <c r="E63" s="97">
        <v>2</v>
      </c>
      <c r="F63" s="97" t="s">
        <v>49</v>
      </c>
      <c r="G63" t="s">
        <v>27</v>
      </c>
      <c r="H63" t="s">
        <v>28</v>
      </c>
      <c r="I63" t="s">
        <v>28</v>
      </c>
      <c r="J63" s="59" t="s">
        <v>28</v>
      </c>
      <c r="K63" t="s">
        <v>29</v>
      </c>
      <c r="M63" s="85" t="s">
        <v>28</v>
      </c>
      <c r="N63" s="85" t="s">
        <v>39</v>
      </c>
      <c r="O63" s="132" t="s">
        <v>147</v>
      </c>
      <c r="P63" s="129" t="s">
        <v>64</v>
      </c>
      <c r="Q63" s="129" t="s">
        <v>146</v>
      </c>
      <c r="R63" s="140" t="s">
        <v>4463</v>
      </c>
      <c r="S63" s="129"/>
    </row>
    <row r="64" spans="1:25">
      <c r="A64" s="77">
        <v>12</v>
      </c>
      <c r="B64" t="s">
        <v>38</v>
      </c>
      <c r="C64" t="s">
        <v>48</v>
      </c>
      <c r="D64" s="81" t="s">
        <v>4445</v>
      </c>
      <c r="E64" s="97">
        <v>2</v>
      </c>
      <c r="F64" s="97" t="s">
        <v>49</v>
      </c>
      <c r="G64" t="s">
        <v>27</v>
      </c>
      <c r="H64" t="s">
        <v>28</v>
      </c>
      <c r="I64" t="s">
        <v>28</v>
      </c>
      <c r="J64" s="59" t="s">
        <v>28</v>
      </c>
      <c r="K64" t="s">
        <v>29</v>
      </c>
      <c r="M64" s="85" t="s">
        <v>28</v>
      </c>
      <c r="N64" s="85" t="s">
        <v>39</v>
      </c>
      <c r="O64" s="132" t="s">
        <v>148</v>
      </c>
      <c r="P64" s="129" t="s">
        <v>53</v>
      </c>
      <c r="Q64" s="129" t="s">
        <v>140</v>
      </c>
      <c r="R64" s="140" t="s">
        <v>4463</v>
      </c>
      <c r="S64" s="129"/>
    </row>
    <row r="65" spans="1:25">
      <c r="A65" s="77">
        <v>12</v>
      </c>
      <c r="B65" t="s">
        <v>38</v>
      </c>
      <c r="C65" t="s">
        <v>48</v>
      </c>
      <c r="D65" s="81" t="s">
        <v>4445</v>
      </c>
      <c r="E65" s="97">
        <v>2</v>
      </c>
      <c r="F65" s="97" t="s">
        <v>49</v>
      </c>
      <c r="G65" t="s">
        <v>27</v>
      </c>
      <c r="H65" t="s">
        <v>28</v>
      </c>
      <c r="I65" t="s">
        <v>28</v>
      </c>
      <c r="J65" s="59" t="s">
        <v>28</v>
      </c>
      <c r="K65" t="s">
        <v>29</v>
      </c>
      <c r="M65" s="85" t="s">
        <v>28</v>
      </c>
      <c r="N65" s="85" t="s">
        <v>39</v>
      </c>
      <c r="O65" s="132" t="s">
        <v>149</v>
      </c>
      <c r="P65" s="129" t="s">
        <v>53</v>
      </c>
      <c r="Q65" s="129" t="s">
        <v>140</v>
      </c>
      <c r="R65" s="140" t="s">
        <v>4463</v>
      </c>
      <c r="S65" s="129"/>
    </row>
    <row r="66" spans="1:25">
      <c r="A66" s="77">
        <v>12</v>
      </c>
      <c r="B66" t="s">
        <v>38</v>
      </c>
      <c r="C66" t="s">
        <v>48</v>
      </c>
      <c r="D66" s="81" t="s">
        <v>4445</v>
      </c>
      <c r="E66" s="97">
        <v>2</v>
      </c>
      <c r="F66" s="97" t="s">
        <v>49</v>
      </c>
      <c r="G66" t="s">
        <v>27</v>
      </c>
      <c r="H66" t="s">
        <v>28</v>
      </c>
      <c r="I66" t="s">
        <v>28</v>
      </c>
      <c r="J66" s="59" t="s">
        <v>28</v>
      </c>
      <c r="K66" t="s">
        <v>29</v>
      </c>
      <c r="M66" s="85" t="s">
        <v>27</v>
      </c>
      <c r="N66" s="85" t="s">
        <v>62</v>
      </c>
      <c r="O66" t="s">
        <v>150</v>
      </c>
      <c r="P66" s="129" t="s">
        <v>130</v>
      </c>
      <c r="Q66" s="129" t="s">
        <v>151</v>
      </c>
      <c r="R66" s="140" t="s">
        <v>4463</v>
      </c>
      <c r="S66" s="129"/>
    </row>
    <row r="67" spans="1:25" s="130" customFormat="1" hidden="1">
      <c r="A67" s="78">
        <v>244</v>
      </c>
      <c r="B67" s="130" t="s">
        <v>124</v>
      </c>
      <c r="C67" s="130" t="s">
        <v>66</v>
      </c>
      <c r="D67" s="81" t="s">
        <v>4445</v>
      </c>
      <c r="E67" s="97" t="s">
        <v>136</v>
      </c>
      <c r="F67" s="97" t="s">
        <v>137</v>
      </c>
      <c r="G67" s="130" t="s">
        <v>28</v>
      </c>
      <c r="H67" s="130" t="s">
        <v>28</v>
      </c>
      <c r="I67" s="130" t="s">
        <v>28</v>
      </c>
      <c r="J67" s="130" t="s">
        <v>27</v>
      </c>
      <c r="K67" s="130" t="s">
        <v>124</v>
      </c>
      <c r="L67" s="130" t="s">
        <v>124</v>
      </c>
      <c r="M67" s="88" t="s">
        <v>28</v>
      </c>
      <c r="N67" s="88" t="s">
        <v>51</v>
      </c>
      <c r="O67" s="130" t="s">
        <v>152</v>
      </c>
      <c r="P67" s="130" t="s">
        <v>86</v>
      </c>
    </row>
    <row r="68" spans="1:25">
      <c r="A68" s="77">
        <v>13</v>
      </c>
      <c r="B68" t="s">
        <v>38</v>
      </c>
      <c r="C68" t="s">
        <v>48</v>
      </c>
      <c r="D68" s="81" t="s">
        <v>4444</v>
      </c>
      <c r="E68" s="97">
        <v>2</v>
      </c>
      <c r="F68" s="97" t="s">
        <v>67</v>
      </c>
      <c r="G68" t="s">
        <v>28</v>
      </c>
      <c r="H68" t="s">
        <v>28</v>
      </c>
      <c r="I68" t="s">
        <v>28</v>
      </c>
      <c r="J68" s="59" t="s">
        <v>28</v>
      </c>
      <c r="K68" t="s">
        <v>29</v>
      </c>
      <c r="M68" s="85" t="s">
        <v>28</v>
      </c>
      <c r="N68" s="85" t="s">
        <v>39</v>
      </c>
      <c r="O68" t="s">
        <v>153</v>
      </c>
      <c r="P68" s="129" t="s">
        <v>116</v>
      </c>
      <c r="Q68" s="129" t="s">
        <v>154</v>
      </c>
      <c r="R68" s="140" t="s">
        <v>4465</v>
      </c>
      <c r="S68" s="129"/>
    </row>
    <row r="69" spans="1:25">
      <c r="A69" s="77">
        <v>13</v>
      </c>
      <c r="B69" t="s">
        <v>38</v>
      </c>
      <c r="C69" t="s">
        <v>48</v>
      </c>
      <c r="D69" s="81" t="s">
        <v>4444</v>
      </c>
      <c r="E69" s="97">
        <v>2</v>
      </c>
      <c r="F69" s="97" t="s">
        <v>67</v>
      </c>
      <c r="G69" t="s">
        <v>28</v>
      </c>
      <c r="H69" t="s">
        <v>28</v>
      </c>
      <c r="I69" t="s">
        <v>28</v>
      </c>
      <c r="J69" s="59" t="s">
        <v>28</v>
      </c>
      <c r="K69" t="s">
        <v>29</v>
      </c>
      <c r="M69" s="85" t="s">
        <v>28</v>
      </c>
      <c r="N69" s="85" t="s">
        <v>39</v>
      </c>
      <c r="O69" t="s">
        <v>155</v>
      </c>
      <c r="P69" s="129" t="s">
        <v>116</v>
      </c>
      <c r="Q69" s="129" t="s">
        <v>154</v>
      </c>
      <c r="R69" s="140" t="s">
        <v>4465</v>
      </c>
      <c r="S69" s="129"/>
    </row>
    <row r="70" spans="1:25" hidden="1">
      <c r="A70" s="78">
        <v>13</v>
      </c>
      <c r="B70" s="130" t="s">
        <v>38</v>
      </c>
      <c r="C70" s="130" t="s">
        <v>48</v>
      </c>
      <c r="D70" s="81" t="s">
        <v>4444</v>
      </c>
      <c r="E70" s="97">
        <v>2</v>
      </c>
      <c r="F70" s="97" t="s">
        <v>67</v>
      </c>
      <c r="G70" s="130" t="s">
        <v>28</v>
      </c>
      <c r="H70" s="130" t="s">
        <v>28</v>
      </c>
      <c r="I70" s="130" t="s">
        <v>28</v>
      </c>
      <c r="J70" s="130" t="s">
        <v>27</v>
      </c>
      <c r="K70" s="130" t="s">
        <v>29</v>
      </c>
      <c r="L70" s="137" t="s">
        <v>105</v>
      </c>
      <c r="M70" s="130" t="s">
        <v>27</v>
      </c>
      <c r="N70" s="123" t="s">
        <v>31</v>
      </c>
      <c r="O70" s="130" t="s">
        <v>156</v>
      </c>
      <c r="P70" s="131" t="s">
        <v>116</v>
      </c>
      <c r="Q70" s="131"/>
      <c r="R70" s="131"/>
      <c r="S70" s="131"/>
      <c r="T70" s="130"/>
      <c r="U70" s="130"/>
      <c r="V70" s="130"/>
      <c r="W70" s="130"/>
      <c r="X70" s="130"/>
      <c r="Y70" s="130"/>
    </row>
    <row r="71" spans="1:25" s="130" customFormat="1" hidden="1">
      <c r="A71" s="78">
        <v>13</v>
      </c>
      <c r="B71" s="130" t="s">
        <v>38</v>
      </c>
      <c r="C71" s="130" t="s">
        <v>48</v>
      </c>
      <c r="D71" s="81" t="s">
        <v>4444</v>
      </c>
      <c r="E71" s="98">
        <v>2</v>
      </c>
      <c r="F71" s="98" t="s">
        <v>67</v>
      </c>
      <c r="G71" s="130" t="s">
        <v>28</v>
      </c>
      <c r="H71" s="130" t="s">
        <v>28</v>
      </c>
      <c r="I71" s="130" t="s">
        <v>28</v>
      </c>
      <c r="J71" s="130" t="s">
        <v>27</v>
      </c>
      <c r="K71" s="130" t="s">
        <v>29</v>
      </c>
      <c r="L71" s="130" t="s">
        <v>157</v>
      </c>
      <c r="M71" s="130" t="s">
        <v>28</v>
      </c>
      <c r="N71" s="130" t="s">
        <v>158</v>
      </c>
      <c r="O71" s="130" t="s">
        <v>159</v>
      </c>
      <c r="P71" s="131" t="s">
        <v>116</v>
      </c>
      <c r="Q71" s="131"/>
      <c r="R71" s="131"/>
      <c r="S71" s="131"/>
    </row>
    <row r="72" spans="1:25">
      <c r="A72" s="77">
        <v>13</v>
      </c>
      <c r="B72" t="s">
        <v>38</v>
      </c>
      <c r="C72" t="s">
        <v>48</v>
      </c>
      <c r="D72" s="81" t="s">
        <v>4444</v>
      </c>
      <c r="E72" s="97">
        <v>2</v>
      </c>
      <c r="F72" s="97" t="s">
        <v>67</v>
      </c>
      <c r="G72" t="s">
        <v>28</v>
      </c>
      <c r="H72" t="s">
        <v>28</v>
      </c>
      <c r="I72" t="s">
        <v>28</v>
      </c>
      <c r="J72" s="59" t="s">
        <v>28</v>
      </c>
      <c r="K72" t="s">
        <v>29</v>
      </c>
      <c r="M72" s="85" t="s">
        <v>28</v>
      </c>
      <c r="N72" s="85" t="s">
        <v>39</v>
      </c>
      <c r="O72" t="s">
        <v>160</v>
      </c>
      <c r="P72" s="129" t="s">
        <v>116</v>
      </c>
      <c r="Q72" s="129" t="s">
        <v>154</v>
      </c>
      <c r="R72" s="140" t="s">
        <v>4465</v>
      </c>
      <c r="S72" s="129"/>
    </row>
    <row r="73" spans="1:25">
      <c r="A73" s="77">
        <v>14</v>
      </c>
      <c r="B73" t="s">
        <v>38</v>
      </c>
      <c r="C73" t="s">
        <v>48</v>
      </c>
      <c r="D73" s="81" t="s">
        <v>4445</v>
      </c>
      <c r="E73" s="97">
        <v>3</v>
      </c>
      <c r="F73" s="97" t="s">
        <v>74</v>
      </c>
      <c r="G73" t="s">
        <v>27</v>
      </c>
      <c r="H73" t="s">
        <v>28</v>
      </c>
      <c r="I73" t="s">
        <v>28</v>
      </c>
      <c r="J73" s="59" t="s">
        <v>28</v>
      </c>
      <c r="K73" t="s">
        <v>29</v>
      </c>
      <c r="M73" s="85" t="s">
        <v>28</v>
      </c>
      <c r="N73" s="85" t="s">
        <v>39</v>
      </c>
      <c r="O73" t="s">
        <v>161</v>
      </c>
      <c r="P73" s="129" t="s">
        <v>93</v>
      </c>
      <c r="Q73" s="129" t="s">
        <v>162</v>
      </c>
      <c r="R73" s="140" t="s">
        <v>4463</v>
      </c>
      <c r="S73" s="129"/>
    </row>
    <row r="74" spans="1:25">
      <c r="A74" s="77">
        <v>14</v>
      </c>
      <c r="B74" t="s">
        <v>38</v>
      </c>
      <c r="C74" t="s">
        <v>48</v>
      </c>
      <c r="D74" s="81" t="s">
        <v>4445</v>
      </c>
      <c r="E74" s="97">
        <v>3</v>
      </c>
      <c r="F74" s="97" t="s">
        <v>74</v>
      </c>
      <c r="G74" t="s">
        <v>27</v>
      </c>
      <c r="H74" t="s">
        <v>28</v>
      </c>
      <c r="I74" t="s">
        <v>28</v>
      </c>
      <c r="J74" s="59" t="s">
        <v>28</v>
      </c>
      <c r="K74" t="s">
        <v>29</v>
      </c>
      <c r="M74" s="85" t="s">
        <v>28</v>
      </c>
      <c r="N74" s="85" t="s">
        <v>39</v>
      </c>
      <c r="O74" t="s">
        <v>163</v>
      </c>
      <c r="P74" s="129" t="s">
        <v>98</v>
      </c>
      <c r="Q74" s="129" t="s">
        <v>162</v>
      </c>
      <c r="R74" s="140" t="s">
        <v>4463</v>
      </c>
      <c r="S74" s="129"/>
    </row>
    <row r="75" spans="1:25">
      <c r="A75" s="77">
        <v>14</v>
      </c>
      <c r="B75" t="s">
        <v>38</v>
      </c>
      <c r="C75" t="s">
        <v>48</v>
      </c>
      <c r="D75" s="81" t="s">
        <v>4445</v>
      </c>
      <c r="E75" s="97">
        <v>3</v>
      </c>
      <c r="F75" s="97" t="s">
        <v>74</v>
      </c>
      <c r="G75" t="s">
        <v>27</v>
      </c>
      <c r="H75" t="s">
        <v>28</v>
      </c>
      <c r="I75" t="s">
        <v>28</v>
      </c>
      <c r="J75" s="59" t="s">
        <v>28</v>
      </c>
      <c r="K75" t="s">
        <v>29</v>
      </c>
      <c r="M75" s="85" t="s">
        <v>28</v>
      </c>
      <c r="N75" s="85" t="s">
        <v>39</v>
      </c>
      <c r="O75" t="s">
        <v>164</v>
      </c>
      <c r="P75" s="129" t="s">
        <v>98</v>
      </c>
      <c r="Q75" s="129" t="s">
        <v>162</v>
      </c>
      <c r="R75" s="140" t="s">
        <v>4463</v>
      </c>
      <c r="S75" s="129"/>
    </row>
    <row r="76" spans="1:25">
      <c r="A76" s="77">
        <v>14</v>
      </c>
      <c r="B76" t="s">
        <v>38</v>
      </c>
      <c r="C76" t="s">
        <v>48</v>
      </c>
      <c r="D76" s="81" t="s">
        <v>4445</v>
      </c>
      <c r="E76" s="97">
        <v>3</v>
      </c>
      <c r="F76" s="97" t="s">
        <v>74</v>
      </c>
      <c r="G76" t="s">
        <v>27</v>
      </c>
      <c r="H76" t="s">
        <v>28</v>
      </c>
      <c r="I76" t="s">
        <v>28</v>
      </c>
      <c r="J76" s="59" t="s">
        <v>28</v>
      </c>
      <c r="K76" t="s">
        <v>29</v>
      </c>
      <c r="M76" s="85" t="s">
        <v>28</v>
      </c>
      <c r="N76" s="85" t="s">
        <v>39</v>
      </c>
      <c r="O76" t="s">
        <v>165</v>
      </c>
      <c r="P76" s="129" t="s">
        <v>98</v>
      </c>
      <c r="Q76" s="129" t="s">
        <v>162</v>
      </c>
      <c r="R76" s="140" t="s">
        <v>4463</v>
      </c>
      <c r="S76" s="129"/>
    </row>
    <row r="77" spans="1:25">
      <c r="A77" s="77">
        <v>14</v>
      </c>
      <c r="B77" t="s">
        <v>38</v>
      </c>
      <c r="C77" t="s">
        <v>48</v>
      </c>
      <c r="D77" s="81" t="s">
        <v>4445</v>
      </c>
      <c r="E77" s="97">
        <v>3</v>
      </c>
      <c r="F77" s="97" t="s">
        <v>74</v>
      </c>
      <c r="G77" t="s">
        <v>28</v>
      </c>
      <c r="H77" t="s">
        <v>28</v>
      </c>
      <c r="I77" t="s">
        <v>28</v>
      </c>
      <c r="J77" s="59" t="s">
        <v>28</v>
      </c>
      <c r="K77" t="s">
        <v>29</v>
      </c>
      <c r="M77" s="85" t="s">
        <v>28</v>
      </c>
      <c r="N77" s="85" t="s">
        <v>39</v>
      </c>
      <c r="O77" t="s">
        <v>166</v>
      </c>
      <c r="P77" s="129" t="s">
        <v>116</v>
      </c>
      <c r="Q77" s="129" t="s">
        <v>167</v>
      </c>
      <c r="R77" s="140" t="s">
        <v>4463</v>
      </c>
      <c r="S77" s="129"/>
    </row>
    <row r="78" spans="1:25">
      <c r="A78" s="77">
        <v>14</v>
      </c>
      <c r="B78" t="s">
        <v>38</v>
      </c>
      <c r="C78" t="s">
        <v>48</v>
      </c>
      <c r="D78" s="81" t="s">
        <v>4445</v>
      </c>
      <c r="E78" s="97">
        <v>3</v>
      </c>
      <c r="F78" s="97" t="s">
        <v>74</v>
      </c>
      <c r="G78" t="s">
        <v>28</v>
      </c>
      <c r="H78" t="s">
        <v>28</v>
      </c>
      <c r="I78" t="s">
        <v>28</v>
      </c>
      <c r="J78" s="59" t="s">
        <v>28</v>
      </c>
      <c r="K78" t="s">
        <v>29</v>
      </c>
      <c r="M78" s="85" t="s">
        <v>28</v>
      </c>
      <c r="N78" s="85" t="s">
        <v>39</v>
      </c>
      <c r="O78" t="s">
        <v>168</v>
      </c>
      <c r="P78" s="129" t="s">
        <v>116</v>
      </c>
      <c r="Q78" s="129" t="s">
        <v>167</v>
      </c>
      <c r="R78" s="140" t="s">
        <v>4463</v>
      </c>
      <c r="S78" s="129"/>
    </row>
    <row r="79" spans="1:25">
      <c r="A79" s="77">
        <v>14</v>
      </c>
      <c r="B79" t="s">
        <v>38</v>
      </c>
      <c r="C79" t="s">
        <v>48</v>
      </c>
      <c r="D79" s="81" t="s">
        <v>4445</v>
      </c>
      <c r="E79" s="97">
        <v>3</v>
      </c>
      <c r="F79" s="97" t="s">
        <v>74</v>
      </c>
      <c r="G79" t="s">
        <v>28</v>
      </c>
      <c r="H79" t="s">
        <v>28</v>
      </c>
      <c r="I79" t="s">
        <v>28</v>
      </c>
      <c r="J79" s="59" t="s">
        <v>28</v>
      </c>
      <c r="K79" t="s">
        <v>29</v>
      </c>
      <c r="M79" s="85" t="s">
        <v>28</v>
      </c>
      <c r="N79" s="85" t="s">
        <v>39</v>
      </c>
      <c r="O79" s="60" t="s">
        <v>169</v>
      </c>
      <c r="P79" s="129" t="s">
        <v>116</v>
      </c>
      <c r="Q79" s="129" t="s">
        <v>167</v>
      </c>
      <c r="R79" s="140" t="s">
        <v>4463</v>
      </c>
      <c r="S79" s="129"/>
    </row>
    <row r="80" spans="1:25">
      <c r="A80" s="77">
        <v>14</v>
      </c>
      <c r="B80" t="s">
        <v>38</v>
      </c>
      <c r="C80" t="s">
        <v>48</v>
      </c>
      <c r="D80" s="81" t="s">
        <v>4445</v>
      </c>
      <c r="E80" s="97">
        <v>3</v>
      </c>
      <c r="F80" s="97" t="s">
        <v>74</v>
      </c>
      <c r="G80" t="s">
        <v>28</v>
      </c>
      <c r="H80" t="s">
        <v>28</v>
      </c>
      <c r="I80" t="s">
        <v>28</v>
      </c>
      <c r="J80" s="59" t="s">
        <v>28</v>
      </c>
      <c r="K80" t="s">
        <v>29</v>
      </c>
      <c r="M80" s="85" t="s">
        <v>28</v>
      </c>
      <c r="N80" s="85" t="s">
        <v>39</v>
      </c>
      <c r="O80" s="60" t="s">
        <v>170</v>
      </c>
      <c r="P80" s="129" t="s">
        <v>116</v>
      </c>
      <c r="Q80" s="129" t="s">
        <v>167</v>
      </c>
      <c r="R80" s="140" t="s">
        <v>4463</v>
      </c>
      <c r="S80" s="129"/>
    </row>
    <row r="81" spans="1:25">
      <c r="A81" s="77">
        <v>14</v>
      </c>
      <c r="B81" t="s">
        <v>38</v>
      </c>
      <c r="C81" t="s">
        <v>48</v>
      </c>
      <c r="D81" s="81" t="s">
        <v>4445</v>
      </c>
      <c r="E81" s="97">
        <v>3</v>
      </c>
      <c r="F81" s="97" t="s">
        <v>74</v>
      </c>
      <c r="G81" t="s">
        <v>28</v>
      </c>
      <c r="H81" t="s">
        <v>28</v>
      </c>
      <c r="I81" t="s">
        <v>28</v>
      </c>
      <c r="J81" s="59" t="s">
        <v>28</v>
      </c>
      <c r="K81" t="s">
        <v>29</v>
      </c>
      <c r="M81" s="85" t="s">
        <v>28</v>
      </c>
      <c r="N81" s="85" t="s">
        <v>39</v>
      </c>
      <c r="O81" t="s">
        <v>171</v>
      </c>
      <c r="P81" s="129" t="s">
        <v>116</v>
      </c>
      <c r="Q81" s="129" t="s">
        <v>167</v>
      </c>
      <c r="R81" s="140" t="s">
        <v>4463</v>
      </c>
      <c r="S81" s="129"/>
    </row>
    <row r="82" spans="1:25" s="130" customFormat="1" hidden="1">
      <c r="A82" s="78">
        <v>182</v>
      </c>
      <c r="B82" s="130" t="s">
        <v>38</v>
      </c>
      <c r="C82" s="130" t="s">
        <v>43</v>
      </c>
      <c r="D82" s="81" t="s">
        <v>4444</v>
      </c>
      <c r="E82" s="97">
        <v>1</v>
      </c>
      <c r="F82" s="97" t="s">
        <v>26</v>
      </c>
      <c r="G82" s="130" t="s">
        <v>27</v>
      </c>
      <c r="H82" s="130" t="s">
        <v>28</v>
      </c>
      <c r="I82" s="130" t="s">
        <v>28</v>
      </c>
      <c r="J82" s="130" t="s">
        <v>27</v>
      </c>
      <c r="K82" t="s">
        <v>29</v>
      </c>
      <c r="L82" s="130" t="s">
        <v>30</v>
      </c>
      <c r="M82" s="137" t="s">
        <v>28</v>
      </c>
      <c r="N82" s="137" t="s">
        <v>51</v>
      </c>
      <c r="O82" s="130" t="s">
        <v>172</v>
      </c>
      <c r="P82" s="130" t="s">
        <v>173</v>
      </c>
    </row>
    <row r="83" spans="1:25">
      <c r="A83" s="77">
        <v>15</v>
      </c>
      <c r="B83" t="s">
        <v>38</v>
      </c>
      <c r="C83" t="s">
        <v>48</v>
      </c>
      <c r="D83" s="81" t="s">
        <v>4444</v>
      </c>
      <c r="E83" s="97">
        <v>3</v>
      </c>
      <c r="F83" s="97" t="s">
        <v>74</v>
      </c>
      <c r="G83" t="s">
        <v>28</v>
      </c>
      <c r="H83" t="s">
        <v>28</v>
      </c>
      <c r="I83" t="s">
        <v>28</v>
      </c>
      <c r="J83" s="59" t="s">
        <v>28</v>
      </c>
      <c r="K83" t="s">
        <v>29</v>
      </c>
      <c r="M83" s="85" t="s">
        <v>28</v>
      </c>
      <c r="N83" s="85" t="s">
        <v>39</v>
      </c>
      <c r="O83" t="s">
        <v>174</v>
      </c>
      <c r="P83" s="129" t="s">
        <v>116</v>
      </c>
      <c r="Q83" s="129" t="s">
        <v>175</v>
      </c>
      <c r="R83" s="140" t="s">
        <v>4465</v>
      </c>
      <c r="S83" s="129"/>
    </row>
    <row r="84" spans="1:25">
      <c r="A84" s="77">
        <v>15</v>
      </c>
      <c r="B84" t="s">
        <v>38</v>
      </c>
      <c r="C84" t="s">
        <v>48</v>
      </c>
      <c r="D84" s="81" t="s">
        <v>4444</v>
      </c>
      <c r="E84" s="97">
        <v>3</v>
      </c>
      <c r="F84" s="97" t="s">
        <v>74</v>
      </c>
      <c r="G84" t="s">
        <v>28</v>
      </c>
      <c r="H84" t="s">
        <v>28</v>
      </c>
      <c r="I84" t="s">
        <v>28</v>
      </c>
      <c r="J84" s="59" t="s">
        <v>28</v>
      </c>
      <c r="K84" t="s">
        <v>29</v>
      </c>
      <c r="M84" s="85" t="s">
        <v>28</v>
      </c>
      <c r="N84" s="85" t="s">
        <v>39</v>
      </c>
      <c r="O84" s="60" t="s">
        <v>176</v>
      </c>
      <c r="P84" s="66" t="s">
        <v>116</v>
      </c>
      <c r="Q84" s="129" t="s">
        <v>175</v>
      </c>
      <c r="R84" s="140" t="s">
        <v>4465</v>
      </c>
      <c r="S84" s="129"/>
    </row>
    <row r="85" spans="1:25">
      <c r="A85" s="77">
        <v>15</v>
      </c>
      <c r="B85" t="s">
        <v>38</v>
      </c>
      <c r="C85" t="s">
        <v>48</v>
      </c>
      <c r="D85" s="81" t="s">
        <v>4444</v>
      </c>
      <c r="E85" s="97">
        <v>3</v>
      </c>
      <c r="F85" s="97" t="s">
        <v>74</v>
      </c>
      <c r="G85" t="s">
        <v>28</v>
      </c>
      <c r="H85" t="s">
        <v>28</v>
      </c>
      <c r="I85" t="s">
        <v>28</v>
      </c>
      <c r="J85" s="59" t="s">
        <v>28</v>
      </c>
      <c r="K85" t="s">
        <v>29</v>
      </c>
      <c r="M85" s="85" t="s">
        <v>28</v>
      </c>
      <c r="N85" s="85" t="s">
        <v>39</v>
      </c>
      <c r="O85" s="60" t="s">
        <v>177</v>
      </c>
      <c r="P85" s="66" t="s">
        <v>116</v>
      </c>
      <c r="Q85" s="129" t="s">
        <v>175</v>
      </c>
      <c r="R85" s="140" t="s">
        <v>4465</v>
      </c>
      <c r="S85" s="129"/>
    </row>
    <row r="86" spans="1:25">
      <c r="A86" s="77">
        <v>15</v>
      </c>
      <c r="B86" t="s">
        <v>38</v>
      </c>
      <c r="C86" t="s">
        <v>48</v>
      </c>
      <c r="D86" s="81" t="s">
        <v>4444</v>
      </c>
      <c r="E86" s="97">
        <v>3</v>
      </c>
      <c r="F86" s="97" t="s">
        <v>74</v>
      </c>
      <c r="G86" t="s">
        <v>28</v>
      </c>
      <c r="H86" t="s">
        <v>28</v>
      </c>
      <c r="I86" t="s">
        <v>28</v>
      </c>
      <c r="J86" s="59" t="s">
        <v>28</v>
      </c>
      <c r="K86" t="s">
        <v>29</v>
      </c>
      <c r="M86" s="85" t="s">
        <v>28</v>
      </c>
      <c r="N86" s="85" t="s">
        <v>39</v>
      </c>
      <c r="O86" t="s">
        <v>178</v>
      </c>
      <c r="P86" s="129" t="s">
        <v>116</v>
      </c>
      <c r="Q86" s="129" t="s">
        <v>175</v>
      </c>
      <c r="R86" s="140" t="s">
        <v>4465</v>
      </c>
      <c r="S86" s="129"/>
    </row>
    <row r="87" spans="1:25">
      <c r="A87" s="77">
        <v>15</v>
      </c>
      <c r="B87" t="s">
        <v>38</v>
      </c>
      <c r="C87" t="s">
        <v>48</v>
      </c>
      <c r="D87" s="81" t="s">
        <v>4444</v>
      </c>
      <c r="E87" s="97">
        <v>3</v>
      </c>
      <c r="F87" s="97" t="s">
        <v>74</v>
      </c>
      <c r="G87" t="s">
        <v>28</v>
      </c>
      <c r="H87" t="s">
        <v>28</v>
      </c>
      <c r="I87" t="s">
        <v>28</v>
      </c>
      <c r="J87" s="59" t="s">
        <v>28</v>
      </c>
      <c r="K87" t="s">
        <v>29</v>
      </c>
      <c r="M87" s="85" t="s">
        <v>28</v>
      </c>
      <c r="N87" s="85" t="s">
        <v>39</v>
      </c>
      <c r="O87" t="s">
        <v>179</v>
      </c>
      <c r="P87" s="129" t="s">
        <v>116</v>
      </c>
      <c r="Q87" s="129" t="s">
        <v>175</v>
      </c>
      <c r="R87" s="140" t="s">
        <v>4465</v>
      </c>
      <c r="S87" s="129"/>
    </row>
    <row r="88" spans="1:25">
      <c r="A88" s="77">
        <v>16</v>
      </c>
      <c r="B88" t="s">
        <v>38</v>
      </c>
      <c r="C88" t="s">
        <v>48</v>
      </c>
      <c r="D88" s="81" t="s">
        <v>4445</v>
      </c>
      <c r="E88" s="97">
        <v>3</v>
      </c>
      <c r="F88" s="97" t="s">
        <v>180</v>
      </c>
      <c r="G88" t="s">
        <v>27</v>
      </c>
      <c r="H88" t="s">
        <v>28</v>
      </c>
      <c r="I88" t="s">
        <v>28</v>
      </c>
      <c r="J88" s="59" t="s">
        <v>28</v>
      </c>
      <c r="K88" t="s">
        <v>29</v>
      </c>
      <c r="M88" s="85" t="s">
        <v>27</v>
      </c>
      <c r="N88" s="85" t="s">
        <v>62</v>
      </c>
      <c r="O88" s="11" t="s">
        <v>181</v>
      </c>
      <c r="P88" s="66" t="s">
        <v>98</v>
      </c>
      <c r="Q88" s="129" t="s">
        <v>182</v>
      </c>
      <c r="R88" s="140" t="s">
        <v>4464</v>
      </c>
      <c r="S88" s="129"/>
    </row>
    <row r="89" spans="1:25">
      <c r="A89" s="77">
        <v>16</v>
      </c>
      <c r="B89" t="s">
        <v>38</v>
      </c>
      <c r="C89" t="s">
        <v>48</v>
      </c>
      <c r="D89" s="81" t="s">
        <v>4445</v>
      </c>
      <c r="E89" s="97">
        <v>3</v>
      </c>
      <c r="F89" s="97" t="s">
        <v>180</v>
      </c>
      <c r="G89" t="s">
        <v>27</v>
      </c>
      <c r="H89" t="s">
        <v>28</v>
      </c>
      <c r="I89" t="s">
        <v>28</v>
      </c>
      <c r="J89" s="59" t="s">
        <v>28</v>
      </c>
      <c r="K89" t="s">
        <v>29</v>
      </c>
      <c r="M89" s="85" t="s">
        <v>27</v>
      </c>
      <c r="N89" s="85" t="s">
        <v>62</v>
      </c>
      <c r="O89" s="11" t="s">
        <v>183</v>
      </c>
      <c r="P89" s="66" t="s">
        <v>98</v>
      </c>
      <c r="Q89" s="129" t="s">
        <v>182</v>
      </c>
      <c r="R89" s="140" t="s">
        <v>4464</v>
      </c>
      <c r="S89" s="129"/>
    </row>
    <row r="90" spans="1:25">
      <c r="A90" s="77">
        <v>16</v>
      </c>
      <c r="B90" t="s">
        <v>38</v>
      </c>
      <c r="C90" t="s">
        <v>48</v>
      </c>
      <c r="D90" s="81" t="s">
        <v>4445</v>
      </c>
      <c r="E90" s="97">
        <v>3</v>
      </c>
      <c r="F90" s="97" t="s">
        <v>180</v>
      </c>
      <c r="G90" t="s">
        <v>27</v>
      </c>
      <c r="H90" t="s">
        <v>28</v>
      </c>
      <c r="I90" t="s">
        <v>28</v>
      </c>
      <c r="J90" s="59" t="s">
        <v>28</v>
      </c>
      <c r="K90" t="s">
        <v>29</v>
      </c>
      <c r="M90" s="85" t="s">
        <v>28</v>
      </c>
      <c r="N90" s="85" t="s">
        <v>39</v>
      </c>
      <c r="O90" s="60" t="s">
        <v>184</v>
      </c>
      <c r="P90" s="66" t="s">
        <v>93</v>
      </c>
      <c r="Q90" s="129" t="s">
        <v>185</v>
      </c>
      <c r="R90" s="140" t="s">
        <v>4463</v>
      </c>
      <c r="S90" s="129"/>
    </row>
    <row r="91" spans="1:25" s="130" customFormat="1">
      <c r="A91" s="77">
        <v>16</v>
      </c>
      <c r="B91" t="s">
        <v>38</v>
      </c>
      <c r="C91" t="s">
        <v>48</v>
      </c>
      <c r="D91" s="81" t="s">
        <v>4445</v>
      </c>
      <c r="E91" s="97">
        <v>3</v>
      </c>
      <c r="F91" s="97" t="s">
        <v>180</v>
      </c>
      <c r="G91" t="s">
        <v>27</v>
      </c>
      <c r="H91" t="s">
        <v>28</v>
      </c>
      <c r="I91" t="s">
        <v>28</v>
      </c>
      <c r="J91" s="59" t="s">
        <v>28</v>
      </c>
      <c r="K91" t="s">
        <v>29</v>
      </c>
      <c r="M91" s="85" t="s">
        <v>28</v>
      </c>
      <c r="N91" s="85" t="s">
        <v>39</v>
      </c>
      <c r="O91" s="60" t="s">
        <v>181</v>
      </c>
      <c r="P91" s="66" t="s">
        <v>93</v>
      </c>
      <c r="Q91" s="129" t="s">
        <v>182</v>
      </c>
      <c r="R91" s="140" t="s">
        <v>4464</v>
      </c>
      <c r="S91" s="129"/>
    </row>
    <row r="92" spans="1:25">
      <c r="A92" s="77">
        <v>16</v>
      </c>
      <c r="B92" t="s">
        <v>38</v>
      </c>
      <c r="C92" t="s">
        <v>48</v>
      </c>
      <c r="D92" s="81" t="s">
        <v>4445</v>
      </c>
      <c r="E92" s="97">
        <v>3</v>
      </c>
      <c r="F92" s="97" t="s">
        <v>180</v>
      </c>
      <c r="G92" t="s">
        <v>27</v>
      </c>
      <c r="H92" t="s">
        <v>28</v>
      </c>
      <c r="I92" t="s">
        <v>28</v>
      </c>
      <c r="J92" s="59" t="s">
        <v>28</v>
      </c>
      <c r="K92" t="s">
        <v>29</v>
      </c>
      <c r="M92" s="85" t="s">
        <v>28</v>
      </c>
      <c r="N92" s="85" t="s">
        <v>39</v>
      </c>
      <c r="O92" s="60" t="s">
        <v>183</v>
      </c>
      <c r="P92" s="66" t="s">
        <v>93</v>
      </c>
      <c r="Q92" s="129" t="s">
        <v>182</v>
      </c>
      <c r="R92" s="140" t="s">
        <v>4464</v>
      </c>
      <c r="S92" s="129"/>
    </row>
    <row r="93" spans="1:25">
      <c r="A93" s="77">
        <v>16</v>
      </c>
      <c r="B93" t="s">
        <v>38</v>
      </c>
      <c r="C93" t="s">
        <v>48</v>
      </c>
      <c r="D93" s="81" t="s">
        <v>4445</v>
      </c>
      <c r="E93" s="97">
        <v>3</v>
      </c>
      <c r="F93" s="97" t="s">
        <v>180</v>
      </c>
      <c r="G93" t="s">
        <v>27</v>
      </c>
      <c r="H93" t="s">
        <v>28</v>
      </c>
      <c r="I93" t="s">
        <v>28</v>
      </c>
      <c r="J93" s="59" t="s">
        <v>28</v>
      </c>
      <c r="K93" t="s">
        <v>29</v>
      </c>
      <c r="M93" s="85" t="s">
        <v>28</v>
      </c>
      <c r="N93" s="85" t="s">
        <v>39</v>
      </c>
      <c r="O93" s="11" t="s">
        <v>186</v>
      </c>
      <c r="P93" s="66" t="s">
        <v>41</v>
      </c>
      <c r="Q93" s="129" t="s">
        <v>187</v>
      </c>
      <c r="R93" s="140" t="s">
        <v>4463</v>
      </c>
      <c r="S93" s="129"/>
    </row>
    <row r="94" spans="1:25" s="130" customFormat="1">
      <c r="A94" s="77">
        <v>16</v>
      </c>
      <c r="B94" t="s">
        <v>38</v>
      </c>
      <c r="C94" t="s">
        <v>48</v>
      </c>
      <c r="D94" s="81" t="s">
        <v>4445</v>
      </c>
      <c r="E94" s="97">
        <v>3</v>
      </c>
      <c r="F94" s="97" t="s">
        <v>180</v>
      </c>
      <c r="G94" t="s">
        <v>27</v>
      </c>
      <c r="H94" t="s">
        <v>28</v>
      </c>
      <c r="I94" t="s">
        <v>28</v>
      </c>
      <c r="J94" s="59" t="s">
        <v>28</v>
      </c>
      <c r="K94" t="s">
        <v>29</v>
      </c>
      <c r="M94" s="85" t="s">
        <v>28</v>
      </c>
      <c r="N94" s="85" t="s">
        <v>39</v>
      </c>
      <c r="O94" s="11" t="s">
        <v>188</v>
      </c>
      <c r="P94" s="66" t="s">
        <v>98</v>
      </c>
      <c r="Q94" s="129" t="s">
        <v>185</v>
      </c>
      <c r="R94" s="140" t="s">
        <v>4463</v>
      </c>
      <c r="S94" s="129"/>
    </row>
    <row r="95" spans="1:25" hidden="1">
      <c r="A95" s="78">
        <v>182</v>
      </c>
      <c r="B95" s="130" t="s">
        <v>38</v>
      </c>
      <c r="C95" s="130" t="s">
        <v>43</v>
      </c>
      <c r="D95" s="81" t="s">
        <v>4444</v>
      </c>
      <c r="E95" s="97">
        <v>1</v>
      </c>
      <c r="F95" s="97" t="s">
        <v>26</v>
      </c>
      <c r="G95" s="130" t="s">
        <v>27</v>
      </c>
      <c r="H95" s="130" t="s">
        <v>28</v>
      </c>
      <c r="I95" s="130" t="s">
        <v>28</v>
      </c>
      <c r="J95" s="130" t="s">
        <v>27</v>
      </c>
      <c r="K95" t="s">
        <v>29</v>
      </c>
      <c r="L95" s="130" t="s">
        <v>30</v>
      </c>
      <c r="M95" s="137" t="s">
        <v>28</v>
      </c>
      <c r="N95" s="137" t="s">
        <v>51</v>
      </c>
      <c r="O95" s="61" t="s">
        <v>189</v>
      </c>
      <c r="P95" s="61" t="s">
        <v>173</v>
      </c>
      <c r="Q95" s="130"/>
      <c r="R95" s="130"/>
      <c r="S95" s="130"/>
      <c r="T95" s="130"/>
      <c r="U95" s="130"/>
      <c r="V95" s="130"/>
      <c r="W95" s="130"/>
      <c r="X95" s="130"/>
      <c r="Y95" s="130"/>
    </row>
    <row r="96" spans="1:25" s="130" customFormat="1" hidden="1">
      <c r="A96" s="78">
        <v>16</v>
      </c>
      <c r="B96" s="130" t="s">
        <v>38</v>
      </c>
      <c r="C96" s="130" t="s">
        <v>48</v>
      </c>
      <c r="D96" s="81" t="s">
        <v>4445</v>
      </c>
      <c r="E96" s="97">
        <v>3</v>
      </c>
      <c r="F96" s="98" t="s">
        <v>180</v>
      </c>
      <c r="G96" s="130" t="s">
        <v>28</v>
      </c>
      <c r="H96" s="130" t="s">
        <v>28</v>
      </c>
      <c r="I96" s="130" t="s">
        <v>28</v>
      </c>
      <c r="J96" s="130" t="s">
        <v>27</v>
      </c>
      <c r="K96" s="130" t="s">
        <v>29</v>
      </c>
      <c r="L96" s="130" t="s">
        <v>105</v>
      </c>
      <c r="M96" s="137" t="s">
        <v>27</v>
      </c>
      <c r="N96" s="123" t="s">
        <v>31</v>
      </c>
      <c r="O96" s="61" t="s">
        <v>190</v>
      </c>
      <c r="P96" s="67" t="s">
        <v>191</v>
      </c>
      <c r="Q96" s="131"/>
      <c r="R96" s="131"/>
      <c r="S96" s="131"/>
    </row>
    <row r="97" spans="1:25">
      <c r="A97" s="77">
        <v>16</v>
      </c>
      <c r="B97" t="s">
        <v>38</v>
      </c>
      <c r="C97" t="s">
        <v>48</v>
      </c>
      <c r="D97" s="81" t="s">
        <v>4445</v>
      </c>
      <c r="E97" s="97">
        <v>3</v>
      </c>
      <c r="F97" s="97" t="s">
        <v>180</v>
      </c>
      <c r="G97" t="s">
        <v>28</v>
      </c>
      <c r="H97" t="s">
        <v>28</v>
      </c>
      <c r="I97" t="s">
        <v>28</v>
      </c>
      <c r="J97" s="59" t="s">
        <v>28</v>
      </c>
      <c r="K97" t="s">
        <v>29</v>
      </c>
      <c r="M97" s="85" t="s">
        <v>28</v>
      </c>
      <c r="N97" s="85" t="s">
        <v>39</v>
      </c>
      <c r="O97" s="60" t="s">
        <v>192</v>
      </c>
      <c r="P97" s="66" t="s">
        <v>191</v>
      </c>
      <c r="Q97" s="129" t="s">
        <v>187</v>
      </c>
      <c r="R97" s="140" t="s">
        <v>4463</v>
      </c>
      <c r="S97" s="129"/>
    </row>
    <row r="98" spans="1:25" hidden="1">
      <c r="A98" s="78">
        <v>182</v>
      </c>
      <c r="B98" s="130" t="s">
        <v>38</v>
      </c>
      <c r="C98" s="130" t="s">
        <v>43</v>
      </c>
      <c r="D98" s="81" t="s">
        <v>4444</v>
      </c>
      <c r="E98" s="97">
        <v>1</v>
      </c>
      <c r="F98" s="97" t="s">
        <v>26</v>
      </c>
      <c r="G98" s="130" t="s">
        <v>27</v>
      </c>
      <c r="H98" s="130" t="s">
        <v>28</v>
      </c>
      <c r="I98" s="130" t="s">
        <v>28</v>
      </c>
      <c r="J98" s="130" t="s">
        <v>27</v>
      </c>
      <c r="K98" t="s">
        <v>29</v>
      </c>
      <c r="L98" s="130" t="s">
        <v>30</v>
      </c>
      <c r="M98" s="137" t="s">
        <v>28</v>
      </c>
      <c r="N98" s="137" t="s">
        <v>51</v>
      </c>
      <c r="O98" s="61" t="s">
        <v>193</v>
      </c>
      <c r="P98" s="61" t="s">
        <v>173</v>
      </c>
      <c r="Q98" s="130"/>
      <c r="R98" s="130"/>
      <c r="S98" s="130"/>
      <c r="T98" s="130"/>
      <c r="U98" s="130"/>
      <c r="V98" s="130"/>
      <c r="W98" s="130"/>
      <c r="X98" s="130"/>
      <c r="Y98" s="130"/>
    </row>
    <row r="99" spans="1:25">
      <c r="A99" s="77">
        <v>16</v>
      </c>
      <c r="B99" t="s">
        <v>38</v>
      </c>
      <c r="C99" t="s">
        <v>48</v>
      </c>
      <c r="D99" s="81" t="s">
        <v>4445</v>
      </c>
      <c r="E99" s="97">
        <v>3</v>
      </c>
      <c r="F99" s="97" t="s">
        <v>180</v>
      </c>
      <c r="G99" t="s">
        <v>28</v>
      </c>
      <c r="H99" t="s">
        <v>28</v>
      </c>
      <c r="I99" t="s">
        <v>28</v>
      </c>
      <c r="J99" s="59" t="s">
        <v>28</v>
      </c>
      <c r="K99" t="s">
        <v>29</v>
      </c>
      <c r="M99" s="85" t="s">
        <v>28</v>
      </c>
      <c r="N99" s="85" t="s">
        <v>39</v>
      </c>
      <c r="O99" s="60" t="s">
        <v>194</v>
      </c>
      <c r="P99" s="66" t="s">
        <v>191</v>
      </c>
      <c r="Q99" s="129" t="s">
        <v>187</v>
      </c>
      <c r="R99" s="140" t="s">
        <v>4463</v>
      </c>
      <c r="S99" s="129"/>
    </row>
    <row r="100" spans="1:25">
      <c r="A100" s="77">
        <v>17</v>
      </c>
      <c r="B100" t="s">
        <v>38</v>
      </c>
      <c r="C100" t="s">
        <v>66</v>
      </c>
      <c r="D100" s="81" t="s">
        <v>4445</v>
      </c>
      <c r="E100" s="97">
        <v>1</v>
      </c>
      <c r="F100" s="97" t="s">
        <v>26</v>
      </c>
      <c r="G100" t="s">
        <v>28</v>
      </c>
      <c r="H100" t="s">
        <v>28</v>
      </c>
      <c r="I100" t="s">
        <v>28</v>
      </c>
      <c r="J100" s="59" t="s">
        <v>28</v>
      </c>
      <c r="K100" t="s">
        <v>29</v>
      </c>
      <c r="M100" s="85" t="s">
        <v>28</v>
      </c>
      <c r="N100" s="85" t="s">
        <v>39</v>
      </c>
      <c r="O100" s="11" t="s">
        <v>195</v>
      </c>
      <c r="P100" s="11" t="s">
        <v>86</v>
      </c>
      <c r="Q100" s="132" t="s">
        <v>196</v>
      </c>
      <c r="R100" s="140" t="s">
        <v>4463</v>
      </c>
      <c r="S100" s="132"/>
    </row>
    <row r="101" spans="1:25">
      <c r="A101" s="77">
        <v>17</v>
      </c>
      <c r="B101" t="s">
        <v>38</v>
      </c>
      <c r="C101" t="s">
        <v>66</v>
      </c>
      <c r="D101" s="81" t="s">
        <v>4445</v>
      </c>
      <c r="E101" s="97">
        <v>1</v>
      </c>
      <c r="F101" s="97" t="s">
        <v>26</v>
      </c>
      <c r="G101" t="s">
        <v>28</v>
      </c>
      <c r="H101" t="s">
        <v>28</v>
      </c>
      <c r="I101" t="s">
        <v>28</v>
      </c>
      <c r="J101" s="59" t="s">
        <v>28</v>
      </c>
      <c r="K101" t="s">
        <v>29</v>
      </c>
      <c r="M101" s="85" t="s">
        <v>28</v>
      </c>
      <c r="N101" s="85" t="s">
        <v>39</v>
      </c>
      <c r="O101" s="11" t="s">
        <v>197</v>
      </c>
      <c r="P101" s="11" t="s">
        <v>86</v>
      </c>
      <c r="Q101" s="132" t="s">
        <v>196</v>
      </c>
      <c r="R101" s="140" t="s">
        <v>4463</v>
      </c>
      <c r="S101" s="132"/>
    </row>
    <row r="102" spans="1:25">
      <c r="A102" s="77">
        <v>17</v>
      </c>
      <c r="B102" t="s">
        <v>38</v>
      </c>
      <c r="C102" t="s">
        <v>66</v>
      </c>
      <c r="D102" s="81" t="s">
        <v>4445</v>
      </c>
      <c r="E102" s="97">
        <v>1</v>
      </c>
      <c r="F102" s="97" t="s">
        <v>26</v>
      </c>
      <c r="G102" t="s">
        <v>28</v>
      </c>
      <c r="H102" t="s">
        <v>28</v>
      </c>
      <c r="I102" t="s">
        <v>28</v>
      </c>
      <c r="J102" s="59" t="s">
        <v>28</v>
      </c>
      <c r="K102" t="s">
        <v>29</v>
      </c>
      <c r="M102" s="85" t="s">
        <v>28</v>
      </c>
      <c r="N102" s="85" t="s">
        <v>39</v>
      </c>
      <c r="O102" s="11" t="s">
        <v>198</v>
      </c>
      <c r="P102" s="11" t="s">
        <v>86</v>
      </c>
      <c r="Q102" s="132" t="s">
        <v>196</v>
      </c>
      <c r="R102" s="140" t="s">
        <v>4463</v>
      </c>
      <c r="S102" s="132"/>
    </row>
    <row r="103" spans="1:25">
      <c r="A103" s="77">
        <v>17</v>
      </c>
      <c r="B103" t="s">
        <v>38</v>
      </c>
      <c r="C103" t="s">
        <v>66</v>
      </c>
      <c r="D103" s="81" t="s">
        <v>4445</v>
      </c>
      <c r="E103" s="97">
        <v>1</v>
      </c>
      <c r="F103" s="97" t="s">
        <v>26</v>
      </c>
      <c r="G103" t="s">
        <v>28</v>
      </c>
      <c r="H103" t="s">
        <v>28</v>
      </c>
      <c r="I103" t="s">
        <v>28</v>
      </c>
      <c r="J103" s="59" t="s">
        <v>28</v>
      </c>
      <c r="K103" t="s">
        <v>29</v>
      </c>
      <c r="M103" s="85" t="s">
        <v>28</v>
      </c>
      <c r="N103" s="85" t="s">
        <v>39</v>
      </c>
      <c r="O103" s="132" t="s">
        <v>199</v>
      </c>
      <c r="P103" s="132" t="s">
        <v>86</v>
      </c>
      <c r="Q103" s="132" t="s">
        <v>196</v>
      </c>
      <c r="R103" s="140" t="s">
        <v>4463</v>
      </c>
      <c r="S103" s="132"/>
    </row>
    <row r="104" spans="1:25">
      <c r="A104" s="77">
        <v>17</v>
      </c>
      <c r="B104" t="s">
        <v>38</v>
      </c>
      <c r="C104" t="s">
        <v>66</v>
      </c>
      <c r="D104" s="81" t="s">
        <v>4445</v>
      </c>
      <c r="E104" s="97">
        <v>1</v>
      </c>
      <c r="F104" s="97" t="s">
        <v>26</v>
      </c>
      <c r="G104" t="s">
        <v>28</v>
      </c>
      <c r="H104" t="s">
        <v>28</v>
      </c>
      <c r="I104" t="s">
        <v>28</v>
      </c>
      <c r="J104" s="59" t="s">
        <v>28</v>
      </c>
      <c r="K104" t="s">
        <v>29</v>
      </c>
      <c r="M104" s="85" t="s">
        <v>28</v>
      </c>
      <c r="N104" s="85" t="s">
        <v>39</v>
      </c>
      <c r="O104" s="132" t="s">
        <v>200</v>
      </c>
      <c r="P104" s="132" t="s">
        <v>86</v>
      </c>
      <c r="Q104" s="132" t="s">
        <v>196</v>
      </c>
      <c r="R104" s="140" t="s">
        <v>4463</v>
      </c>
      <c r="S104" s="132"/>
    </row>
    <row r="105" spans="1:25">
      <c r="A105" s="77">
        <v>17</v>
      </c>
      <c r="B105" t="s">
        <v>38</v>
      </c>
      <c r="C105" t="s">
        <v>66</v>
      </c>
      <c r="D105" s="81" t="s">
        <v>4445</v>
      </c>
      <c r="E105" s="97">
        <v>1</v>
      </c>
      <c r="F105" s="97" t="s">
        <v>26</v>
      </c>
      <c r="G105" t="s">
        <v>28</v>
      </c>
      <c r="H105" t="s">
        <v>28</v>
      </c>
      <c r="I105" t="s">
        <v>28</v>
      </c>
      <c r="J105" s="59" t="s">
        <v>28</v>
      </c>
      <c r="K105" t="s">
        <v>29</v>
      </c>
      <c r="M105" s="85" t="s">
        <v>28</v>
      </c>
      <c r="N105" s="85" t="s">
        <v>39</v>
      </c>
      <c r="O105" s="132" t="s">
        <v>201</v>
      </c>
      <c r="P105" s="132" t="s">
        <v>202</v>
      </c>
      <c r="Q105" s="132" t="s">
        <v>196</v>
      </c>
      <c r="R105" s="140" t="s">
        <v>4463</v>
      </c>
      <c r="S105" s="132"/>
    </row>
    <row r="106" spans="1:25">
      <c r="A106" s="77">
        <v>17</v>
      </c>
      <c r="B106" t="s">
        <v>38</v>
      </c>
      <c r="C106" t="s">
        <v>66</v>
      </c>
      <c r="D106" s="81" t="s">
        <v>4445</v>
      </c>
      <c r="E106" s="97">
        <v>1</v>
      </c>
      <c r="F106" s="97" t="s">
        <v>26</v>
      </c>
      <c r="G106" t="s">
        <v>28</v>
      </c>
      <c r="H106" t="s">
        <v>28</v>
      </c>
      <c r="I106" t="s">
        <v>28</v>
      </c>
      <c r="J106" s="59" t="s">
        <v>28</v>
      </c>
      <c r="K106" t="s">
        <v>29</v>
      </c>
      <c r="M106" s="85" t="s">
        <v>28</v>
      </c>
      <c r="N106" s="85" t="s">
        <v>39</v>
      </c>
      <c r="O106" s="132" t="s">
        <v>203</v>
      </c>
      <c r="P106" s="132" t="s">
        <v>202</v>
      </c>
      <c r="Q106" s="132" t="s">
        <v>196</v>
      </c>
      <c r="R106" s="140" t="s">
        <v>4463</v>
      </c>
      <c r="S106" s="132"/>
    </row>
    <row r="107" spans="1:25">
      <c r="A107" s="77">
        <v>17</v>
      </c>
      <c r="B107" t="s">
        <v>38</v>
      </c>
      <c r="C107" t="s">
        <v>66</v>
      </c>
      <c r="D107" s="81" t="s">
        <v>4445</v>
      </c>
      <c r="E107" s="97">
        <v>1</v>
      </c>
      <c r="F107" s="97" t="s">
        <v>26</v>
      </c>
      <c r="G107" t="s">
        <v>28</v>
      </c>
      <c r="H107" t="s">
        <v>28</v>
      </c>
      <c r="I107" t="s">
        <v>28</v>
      </c>
      <c r="J107" s="59" t="s">
        <v>28</v>
      </c>
      <c r="K107" t="s">
        <v>29</v>
      </c>
      <c r="M107" s="85" t="s">
        <v>28</v>
      </c>
      <c r="N107" s="85" t="s">
        <v>39</v>
      </c>
      <c r="O107" s="132" t="s">
        <v>204</v>
      </c>
      <c r="P107" s="132" t="s">
        <v>202</v>
      </c>
      <c r="Q107" s="132" t="s">
        <v>196</v>
      </c>
      <c r="R107" s="140" t="s">
        <v>4463</v>
      </c>
      <c r="S107" s="132"/>
    </row>
    <row r="108" spans="1:25">
      <c r="A108" s="77">
        <v>17</v>
      </c>
      <c r="B108" t="s">
        <v>38</v>
      </c>
      <c r="C108" t="s">
        <v>66</v>
      </c>
      <c r="D108" s="81" t="s">
        <v>4445</v>
      </c>
      <c r="E108" s="97">
        <v>1</v>
      </c>
      <c r="F108" s="97" t="s">
        <v>26</v>
      </c>
      <c r="G108" t="s">
        <v>28</v>
      </c>
      <c r="H108" t="s">
        <v>28</v>
      </c>
      <c r="I108" t="s">
        <v>28</v>
      </c>
      <c r="J108" s="59" t="s">
        <v>28</v>
      </c>
      <c r="K108" t="s">
        <v>29</v>
      </c>
      <c r="M108" s="85" t="s">
        <v>28</v>
      </c>
      <c r="N108" s="85" t="s">
        <v>39</v>
      </c>
      <c r="O108" s="132" t="s">
        <v>205</v>
      </c>
      <c r="P108" s="132" t="s">
        <v>202</v>
      </c>
      <c r="Q108" s="132" t="s">
        <v>196</v>
      </c>
      <c r="R108" s="140" t="s">
        <v>4463</v>
      </c>
      <c r="S108" s="132"/>
    </row>
    <row r="109" spans="1:25">
      <c r="A109" s="77">
        <v>17</v>
      </c>
      <c r="B109" t="s">
        <v>38</v>
      </c>
      <c r="C109" t="s">
        <v>66</v>
      </c>
      <c r="D109" s="81" t="s">
        <v>4445</v>
      </c>
      <c r="E109" s="97">
        <v>1</v>
      </c>
      <c r="F109" s="97" t="s">
        <v>26</v>
      </c>
      <c r="G109" t="s">
        <v>28</v>
      </c>
      <c r="H109" t="s">
        <v>28</v>
      </c>
      <c r="I109" t="s">
        <v>28</v>
      </c>
      <c r="J109" s="59" t="s">
        <v>28</v>
      </c>
      <c r="K109" t="s">
        <v>29</v>
      </c>
      <c r="M109" s="85" t="s">
        <v>28</v>
      </c>
      <c r="N109" s="85" t="s">
        <v>39</v>
      </c>
      <c r="O109" s="132" t="s">
        <v>206</v>
      </c>
      <c r="P109" s="132" t="s">
        <v>202</v>
      </c>
      <c r="Q109" s="132" t="s">
        <v>196</v>
      </c>
      <c r="R109" s="140" t="s">
        <v>4463</v>
      </c>
      <c r="S109" s="132"/>
    </row>
    <row r="110" spans="1:25">
      <c r="A110" s="77">
        <v>17</v>
      </c>
      <c r="B110" t="s">
        <v>38</v>
      </c>
      <c r="C110" t="s">
        <v>66</v>
      </c>
      <c r="D110" s="81" t="s">
        <v>4445</v>
      </c>
      <c r="E110" s="97">
        <v>1</v>
      </c>
      <c r="F110" s="97" t="s">
        <v>26</v>
      </c>
      <c r="G110" t="s">
        <v>28</v>
      </c>
      <c r="H110" t="s">
        <v>28</v>
      </c>
      <c r="I110" t="s">
        <v>28</v>
      </c>
      <c r="J110" s="59" t="s">
        <v>28</v>
      </c>
      <c r="K110" t="s">
        <v>29</v>
      </c>
      <c r="M110" s="85" t="s">
        <v>28</v>
      </c>
      <c r="N110" s="85" t="s">
        <v>39</v>
      </c>
      <c r="O110" s="132" t="s">
        <v>207</v>
      </c>
      <c r="P110" s="132" t="s">
        <v>202</v>
      </c>
      <c r="Q110" s="132" t="s">
        <v>196</v>
      </c>
      <c r="R110" s="140" t="s">
        <v>4463</v>
      </c>
      <c r="S110" s="132"/>
    </row>
    <row r="111" spans="1:25">
      <c r="A111" s="77">
        <v>17</v>
      </c>
      <c r="B111" t="s">
        <v>38</v>
      </c>
      <c r="C111" t="s">
        <v>66</v>
      </c>
      <c r="D111" s="81" t="s">
        <v>4445</v>
      </c>
      <c r="E111" s="97">
        <v>1</v>
      </c>
      <c r="F111" s="97" t="s">
        <v>26</v>
      </c>
      <c r="G111" t="s">
        <v>28</v>
      </c>
      <c r="H111" t="s">
        <v>28</v>
      </c>
      <c r="I111" t="s">
        <v>28</v>
      </c>
      <c r="J111" s="59" t="s">
        <v>28</v>
      </c>
      <c r="K111" t="s">
        <v>29</v>
      </c>
      <c r="M111" s="85" t="s">
        <v>28</v>
      </c>
      <c r="N111" s="85" t="s">
        <v>39</v>
      </c>
      <c r="O111" s="132" t="s">
        <v>208</v>
      </c>
      <c r="P111" s="132" t="s">
        <v>202</v>
      </c>
      <c r="Q111" s="132" t="s">
        <v>196</v>
      </c>
      <c r="R111" s="140" t="s">
        <v>4463</v>
      </c>
      <c r="S111" s="132"/>
    </row>
    <row r="112" spans="1:25">
      <c r="A112" s="77">
        <v>17</v>
      </c>
      <c r="B112" t="s">
        <v>38</v>
      </c>
      <c r="C112" t="s">
        <v>66</v>
      </c>
      <c r="D112" s="81" t="s">
        <v>4445</v>
      </c>
      <c r="E112" s="97">
        <v>1</v>
      </c>
      <c r="F112" s="97" t="s">
        <v>26</v>
      </c>
      <c r="G112" t="s">
        <v>28</v>
      </c>
      <c r="H112" t="s">
        <v>28</v>
      </c>
      <c r="I112" t="s">
        <v>28</v>
      </c>
      <c r="J112" s="59" t="s">
        <v>28</v>
      </c>
      <c r="K112" t="s">
        <v>29</v>
      </c>
      <c r="M112" s="85" t="s">
        <v>28</v>
      </c>
      <c r="N112" s="85" t="s">
        <v>39</v>
      </c>
      <c r="O112" s="132" t="s">
        <v>209</v>
      </c>
      <c r="P112" s="132" t="s">
        <v>202</v>
      </c>
      <c r="Q112" s="132" t="s">
        <v>196</v>
      </c>
      <c r="R112" s="140" t="s">
        <v>4463</v>
      </c>
      <c r="S112" s="132"/>
    </row>
    <row r="113" spans="1:25">
      <c r="A113" s="77">
        <v>17</v>
      </c>
      <c r="B113" t="s">
        <v>38</v>
      </c>
      <c r="C113" t="s">
        <v>66</v>
      </c>
      <c r="D113" s="81" t="s">
        <v>4445</v>
      </c>
      <c r="E113" s="97">
        <v>1</v>
      </c>
      <c r="F113" s="97" t="s">
        <v>26</v>
      </c>
      <c r="G113" t="s">
        <v>28</v>
      </c>
      <c r="H113" t="s">
        <v>28</v>
      </c>
      <c r="I113" t="s">
        <v>28</v>
      </c>
      <c r="J113" s="59" t="s">
        <v>28</v>
      </c>
      <c r="K113" t="s">
        <v>29</v>
      </c>
      <c r="M113" s="85" t="s">
        <v>28</v>
      </c>
      <c r="N113" s="85" t="s">
        <v>39</v>
      </c>
      <c r="O113" s="132" t="s">
        <v>210</v>
      </c>
      <c r="P113" s="132" t="s">
        <v>202</v>
      </c>
      <c r="Q113" s="132" t="s">
        <v>196</v>
      </c>
      <c r="R113" s="140" t="s">
        <v>4463</v>
      </c>
      <c r="S113" s="132"/>
    </row>
    <row r="114" spans="1:25">
      <c r="A114" s="77">
        <v>17</v>
      </c>
      <c r="B114" t="s">
        <v>38</v>
      </c>
      <c r="C114" t="s">
        <v>66</v>
      </c>
      <c r="D114" s="81" t="s">
        <v>4445</v>
      </c>
      <c r="E114" s="97">
        <v>1</v>
      </c>
      <c r="F114" s="97" t="s">
        <v>26</v>
      </c>
      <c r="G114" t="s">
        <v>28</v>
      </c>
      <c r="H114" t="s">
        <v>28</v>
      </c>
      <c r="I114" t="s">
        <v>28</v>
      </c>
      <c r="J114" s="59" t="s">
        <v>28</v>
      </c>
      <c r="K114" t="s">
        <v>29</v>
      </c>
      <c r="M114" s="85" t="s">
        <v>28</v>
      </c>
      <c r="N114" s="85" t="s">
        <v>39</v>
      </c>
      <c r="O114" s="132" t="s">
        <v>211</v>
      </c>
      <c r="P114" s="132" t="s">
        <v>202</v>
      </c>
      <c r="Q114" s="132" t="s">
        <v>196</v>
      </c>
      <c r="R114" s="140" t="s">
        <v>4463</v>
      </c>
      <c r="S114" s="132"/>
    </row>
    <row r="115" spans="1:25">
      <c r="A115" s="77">
        <v>17</v>
      </c>
      <c r="B115" t="s">
        <v>38</v>
      </c>
      <c r="C115" t="s">
        <v>66</v>
      </c>
      <c r="D115" s="81" t="s">
        <v>4445</v>
      </c>
      <c r="E115" s="97">
        <v>1</v>
      </c>
      <c r="F115" s="97" t="s">
        <v>26</v>
      </c>
      <c r="G115" t="s">
        <v>28</v>
      </c>
      <c r="H115" t="s">
        <v>28</v>
      </c>
      <c r="I115" t="s">
        <v>28</v>
      </c>
      <c r="J115" t="s">
        <v>28</v>
      </c>
      <c r="K115" t="s">
        <v>29</v>
      </c>
      <c r="M115" s="85" t="s">
        <v>28</v>
      </c>
      <c r="N115" s="85" t="s">
        <v>39</v>
      </c>
      <c r="O115" t="s">
        <v>212</v>
      </c>
      <c r="P115" t="s">
        <v>213</v>
      </c>
      <c r="Q115" t="s">
        <v>196</v>
      </c>
      <c r="R115" s="140" t="s">
        <v>4463</v>
      </c>
      <c r="T115" t="s">
        <v>29</v>
      </c>
      <c r="U115">
        <v>1</v>
      </c>
      <c r="X115">
        <v>0</v>
      </c>
      <c r="Y115">
        <v>0</v>
      </c>
    </row>
    <row r="116" spans="1:25" s="130" customFormat="1" hidden="1">
      <c r="A116" s="78">
        <v>182</v>
      </c>
      <c r="B116" s="130" t="s">
        <v>38</v>
      </c>
      <c r="C116" s="130" t="s">
        <v>43</v>
      </c>
      <c r="D116" s="81" t="s">
        <v>4444</v>
      </c>
      <c r="E116" s="97">
        <v>1</v>
      </c>
      <c r="F116" s="97" t="s">
        <v>26</v>
      </c>
      <c r="G116" s="130" t="s">
        <v>27</v>
      </c>
      <c r="H116" s="130" t="s">
        <v>28</v>
      </c>
      <c r="I116" s="130" t="s">
        <v>28</v>
      </c>
      <c r="J116" s="130" t="s">
        <v>27</v>
      </c>
      <c r="K116" t="s">
        <v>29</v>
      </c>
      <c r="L116" s="130" t="s">
        <v>30</v>
      </c>
      <c r="M116" s="137" t="s">
        <v>28</v>
      </c>
      <c r="N116" s="137" t="s">
        <v>51</v>
      </c>
      <c r="O116" s="61" t="s">
        <v>214</v>
      </c>
      <c r="P116" s="130" t="s">
        <v>173</v>
      </c>
    </row>
    <row r="117" spans="1:25" hidden="1">
      <c r="A117" s="78">
        <v>17</v>
      </c>
      <c r="B117" s="137" t="s">
        <v>105</v>
      </c>
      <c r="C117" t="s">
        <v>66</v>
      </c>
      <c r="D117" s="81" t="s">
        <v>4445</v>
      </c>
      <c r="E117" s="97">
        <v>1</v>
      </c>
      <c r="F117" s="97" t="s">
        <v>26</v>
      </c>
      <c r="G117" t="s">
        <v>28</v>
      </c>
      <c r="H117" t="s">
        <v>28</v>
      </c>
      <c r="I117" t="s">
        <v>28</v>
      </c>
      <c r="J117" s="137" t="s">
        <v>27</v>
      </c>
      <c r="K117" s="137" t="s">
        <v>105</v>
      </c>
      <c r="L117" s="137" t="s">
        <v>105</v>
      </c>
      <c r="M117" s="137" t="s">
        <v>27</v>
      </c>
      <c r="N117" s="122" t="s">
        <v>31</v>
      </c>
      <c r="O117" s="68" t="s">
        <v>215</v>
      </c>
      <c r="P117" s="137" t="s">
        <v>213</v>
      </c>
      <c r="Q117" s="137"/>
      <c r="R117" s="137"/>
      <c r="S117" s="137"/>
      <c r="T117" s="137" t="s">
        <v>105</v>
      </c>
      <c r="U117" s="137" t="s">
        <v>105</v>
      </c>
      <c r="V117" s="137"/>
      <c r="W117" s="137"/>
      <c r="X117" s="137" t="s">
        <v>105</v>
      </c>
      <c r="Y117" s="137" t="s">
        <v>105</v>
      </c>
    </row>
    <row r="118" spans="1:25">
      <c r="A118" s="77">
        <v>18</v>
      </c>
      <c r="B118" t="s">
        <v>38</v>
      </c>
      <c r="C118" t="s">
        <v>66</v>
      </c>
      <c r="D118" s="81" t="s">
        <v>4444</v>
      </c>
      <c r="E118" s="97">
        <v>2</v>
      </c>
      <c r="F118" s="97" t="s">
        <v>54</v>
      </c>
      <c r="G118" t="s">
        <v>28</v>
      </c>
      <c r="H118" t="s">
        <v>28</v>
      </c>
      <c r="I118" t="s">
        <v>28</v>
      </c>
      <c r="J118" t="s">
        <v>28</v>
      </c>
      <c r="K118" t="s">
        <v>29</v>
      </c>
      <c r="M118" s="85" t="s">
        <v>28</v>
      </c>
      <c r="N118" s="85" t="s">
        <v>39</v>
      </c>
      <c r="O118" t="s">
        <v>216</v>
      </c>
      <c r="P118" s="129" t="s">
        <v>217</v>
      </c>
      <c r="Q118" s="129" t="s">
        <v>218</v>
      </c>
      <c r="R118" s="140" t="s">
        <v>4465</v>
      </c>
      <c r="S118" s="129"/>
    </row>
    <row r="119" spans="1:25">
      <c r="A119" s="77">
        <v>18</v>
      </c>
      <c r="B119" t="s">
        <v>38</v>
      </c>
      <c r="C119" t="s">
        <v>66</v>
      </c>
      <c r="D119" s="81" t="s">
        <v>4444</v>
      </c>
      <c r="E119" s="97">
        <v>2</v>
      </c>
      <c r="F119" s="97" t="s">
        <v>54</v>
      </c>
      <c r="G119" t="s">
        <v>28</v>
      </c>
      <c r="H119" t="s">
        <v>28</v>
      </c>
      <c r="I119" t="s">
        <v>28</v>
      </c>
      <c r="J119" t="s">
        <v>28</v>
      </c>
      <c r="K119" t="s">
        <v>29</v>
      </c>
      <c r="M119" s="85" t="s">
        <v>28</v>
      </c>
      <c r="N119" s="85" t="s">
        <v>39</v>
      </c>
      <c r="O119" t="s">
        <v>219</v>
      </c>
      <c r="P119" s="129" t="s">
        <v>217</v>
      </c>
      <c r="Q119" s="129" t="s">
        <v>218</v>
      </c>
      <c r="R119" s="140" t="s">
        <v>4465</v>
      </c>
      <c r="S119" s="129"/>
    </row>
    <row r="120" spans="1:25">
      <c r="A120" s="77">
        <v>18</v>
      </c>
      <c r="B120" t="s">
        <v>38</v>
      </c>
      <c r="C120" t="s">
        <v>66</v>
      </c>
      <c r="D120" s="81" t="s">
        <v>4444</v>
      </c>
      <c r="E120" s="97">
        <v>2</v>
      </c>
      <c r="F120" s="97" t="s">
        <v>54</v>
      </c>
      <c r="G120" t="s">
        <v>28</v>
      </c>
      <c r="H120" t="s">
        <v>28</v>
      </c>
      <c r="I120" t="s">
        <v>28</v>
      </c>
      <c r="J120" t="s">
        <v>28</v>
      </c>
      <c r="K120" t="s">
        <v>29</v>
      </c>
      <c r="M120" s="85" t="s">
        <v>28</v>
      </c>
      <c r="N120" s="85" t="s">
        <v>39</v>
      </c>
      <c r="O120" t="s">
        <v>220</v>
      </c>
      <c r="P120" s="129" t="s">
        <v>217</v>
      </c>
      <c r="Q120" s="129" t="s">
        <v>218</v>
      </c>
      <c r="R120" s="140" t="s">
        <v>4465</v>
      </c>
      <c r="S120" s="129"/>
    </row>
    <row r="121" spans="1:25">
      <c r="A121" s="77">
        <v>18</v>
      </c>
      <c r="B121" t="s">
        <v>38</v>
      </c>
      <c r="C121" t="s">
        <v>66</v>
      </c>
      <c r="D121" s="81" t="s">
        <v>4444</v>
      </c>
      <c r="E121" s="97">
        <v>2</v>
      </c>
      <c r="F121" s="97" t="s">
        <v>54</v>
      </c>
      <c r="G121" t="s">
        <v>28</v>
      </c>
      <c r="H121" t="s">
        <v>28</v>
      </c>
      <c r="I121" t="s">
        <v>28</v>
      </c>
      <c r="J121" t="s">
        <v>28</v>
      </c>
      <c r="K121" t="s">
        <v>29</v>
      </c>
      <c r="M121" s="85" t="s">
        <v>28</v>
      </c>
      <c r="N121" s="85" t="s">
        <v>39</v>
      </c>
      <c r="O121" t="s">
        <v>221</v>
      </c>
      <c r="P121" s="129" t="s">
        <v>217</v>
      </c>
      <c r="Q121" s="129" t="s">
        <v>218</v>
      </c>
      <c r="R121" s="140" t="s">
        <v>4465</v>
      </c>
      <c r="S121" s="129"/>
    </row>
    <row r="122" spans="1:25">
      <c r="A122" s="77">
        <v>18</v>
      </c>
      <c r="B122" t="s">
        <v>38</v>
      </c>
      <c r="C122" t="s">
        <v>66</v>
      </c>
      <c r="D122" s="81" t="s">
        <v>4444</v>
      </c>
      <c r="E122" s="97">
        <v>2</v>
      </c>
      <c r="F122" s="97" t="s">
        <v>54</v>
      </c>
      <c r="G122" t="s">
        <v>28</v>
      </c>
      <c r="H122" t="s">
        <v>28</v>
      </c>
      <c r="I122" t="s">
        <v>28</v>
      </c>
      <c r="J122" t="s">
        <v>28</v>
      </c>
      <c r="K122" t="s">
        <v>29</v>
      </c>
      <c r="M122" s="85" t="s">
        <v>28</v>
      </c>
      <c r="N122" s="85" t="s">
        <v>39</v>
      </c>
      <c r="O122" t="s">
        <v>222</v>
      </c>
      <c r="P122" s="129" t="s">
        <v>217</v>
      </c>
      <c r="Q122" s="129" t="s">
        <v>218</v>
      </c>
      <c r="R122" s="140" t="s">
        <v>4465</v>
      </c>
      <c r="S122" s="129"/>
    </row>
    <row r="123" spans="1:25">
      <c r="A123" s="77">
        <v>19</v>
      </c>
      <c r="B123" t="s">
        <v>38</v>
      </c>
      <c r="C123" t="s">
        <v>66</v>
      </c>
      <c r="D123" s="81" t="s">
        <v>4445</v>
      </c>
      <c r="E123" s="97">
        <v>2</v>
      </c>
      <c r="F123" s="97" t="s">
        <v>49</v>
      </c>
      <c r="G123" t="s">
        <v>27</v>
      </c>
      <c r="H123" t="s">
        <v>28</v>
      </c>
      <c r="I123" t="s">
        <v>28</v>
      </c>
      <c r="J123" t="s">
        <v>28</v>
      </c>
      <c r="K123" t="s">
        <v>29</v>
      </c>
      <c r="M123" s="85" t="s">
        <v>28</v>
      </c>
      <c r="N123" s="85" t="s">
        <v>39</v>
      </c>
      <c r="O123" t="s">
        <v>223</v>
      </c>
      <c r="P123" s="129" t="s">
        <v>224</v>
      </c>
      <c r="Q123" s="129" t="s">
        <v>225</v>
      </c>
      <c r="R123" s="140" t="s">
        <v>4463</v>
      </c>
      <c r="S123" s="129"/>
    </row>
    <row r="124" spans="1:25" s="130" customFormat="1">
      <c r="A124" s="77">
        <v>19</v>
      </c>
      <c r="B124" t="s">
        <v>38</v>
      </c>
      <c r="C124" t="s">
        <v>66</v>
      </c>
      <c r="D124" s="81" t="s">
        <v>4445</v>
      </c>
      <c r="E124" s="97">
        <v>2</v>
      </c>
      <c r="F124" s="97" t="s">
        <v>49</v>
      </c>
      <c r="G124" t="s">
        <v>27</v>
      </c>
      <c r="H124" t="s">
        <v>28</v>
      </c>
      <c r="I124" t="s">
        <v>28</v>
      </c>
      <c r="J124" t="s">
        <v>28</v>
      </c>
      <c r="K124" t="s">
        <v>29</v>
      </c>
      <c r="M124" s="85" t="s">
        <v>28</v>
      </c>
      <c r="N124" s="85" t="s">
        <v>39</v>
      </c>
      <c r="O124" t="s">
        <v>226</v>
      </c>
      <c r="P124" s="129" t="s">
        <v>224</v>
      </c>
      <c r="Q124" s="129" t="s">
        <v>225</v>
      </c>
      <c r="R124" s="140" t="s">
        <v>4463</v>
      </c>
      <c r="S124" s="129"/>
    </row>
    <row r="125" spans="1:25">
      <c r="A125" s="77">
        <v>19</v>
      </c>
      <c r="B125" t="s">
        <v>38</v>
      </c>
      <c r="C125" t="s">
        <v>66</v>
      </c>
      <c r="D125" s="81" t="s">
        <v>4445</v>
      </c>
      <c r="E125" s="97">
        <v>2</v>
      </c>
      <c r="F125" s="97" t="s">
        <v>49</v>
      </c>
      <c r="G125" t="s">
        <v>27</v>
      </c>
      <c r="H125" t="s">
        <v>28</v>
      </c>
      <c r="I125" t="s">
        <v>28</v>
      </c>
      <c r="J125" t="s">
        <v>28</v>
      </c>
      <c r="K125" t="s">
        <v>29</v>
      </c>
      <c r="M125" s="85" t="s">
        <v>28</v>
      </c>
      <c r="N125" s="85" t="s">
        <v>39</v>
      </c>
      <c r="O125" t="s">
        <v>227</v>
      </c>
      <c r="P125" s="129" t="s">
        <v>224</v>
      </c>
      <c r="Q125" s="129" t="s">
        <v>225</v>
      </c>
      <c r="R125" s="140" t="s">
        <v>4463</v>
      </c>
      <c r="S125" s="129"/>
    </row>
    <row r="126" spans="1:25">
      <c r="A126" s="77">
        <v>20</v>
      </c>
      <c r="B126" t="s">
        <v>38</v>
      </c>
      <c r="C126" t="s">
        <v>66</v>
      </c>
      <c r="D126" s="81" t="s">
        <v>4444</v>
      </c>
      <c r="E126" s="97">
        <v>2</v>
      </c>
      <c r="F126" s="97" t="s">
        <v>67</v>
      </c>
      <c r="G126" t="s">
        <v>28</v>
      </c>
      <c r="H126" t="s">
        <v>28</v>
      </c>
      <c r="I126" t="s">
        <v>28</v>
      </c>
      <c r="J126" t="s">
        <v>28</v>
      </c>
      <c r="K126" t="s">
        <v>29</v>
      </c>
      <c r="M126" s="85" t="s">
        <v>28</v>
      </c>
      <c r="N126" s="85" t="s">
        <v>39</v>
      </c>
      <c r="O126" t="s">
        <v>228</v>
      </c>
      <c r="P126" s="129" t="s">
        <v>217</v>
      </c>
      <c r="Q126" s="129" t="s">
        <v>229</v>
      </c>
      <c r="R126" s="140" t="s">
        <v>4465</v>
      </c>
      <c r="S126" s="129"/>
    </row>
    <row r="127" spans="1:25" s="130" customFormat="1">
      <c r="A127" s="77">
        <v>20</v>
      </c>
      <c r="B127" t="s">
        <v>38</v>
      </c>
      <c r="C127" t="s">
        <v>66</v>
      </c>
      <c r="D127" s="81" t="s">
        <v>4444</v>
      </c>
      <c r="E127" s="97">
        <v>2</v>
      </c>
      <c r="F127" s="97" t="s">
        <v>67</v>
      </c>
      <c r="G127" t="s">
        <v>28</v>
      </c>
      <c r="H127" t="s">
        <v>28</v>
      </c>
      <c r="I127" t="s">
        <v>28</v>
      </c>
      <c r="J127" t="s">
        <v>28</v>
      </c>
      <c r="K127" t="s">
        <v>29</v>
      </c>
      <c r="M127" s="85" t="s">
        <v>28</v>
      </c>
      <c r="N127" s="85" t="s">
        <v>39</v>
      </c>
      <c r="O127" t="s">
        <v>230</v>
      </c>
      <c r="P127" s="129" t="s">
        <v>217</v>
      </c>
      <c r="Q127" s="129" t="s">
        <v>229</v>
      </c>
      <c r="R127" s="140" t="s">
        <v>4465</v>
      </c>
      <c r="S127" s="129"/>
    </row>
    <row r="128" spans="1:25" s="130" customFormat="1" hidden="1">
      <c r="A128" s="78">
        <v>20</v>
      </c>
      <c r="B128" s="130" t="s">
        <v>38</v>
      </c>
      <c r="C128" s="130" t="s">
        <v>66</v>
      </c>
      <c r="D128" s="81" t="s">
        <v>4444</v>
      </c>
      <c r="E128" s="97">
        <v>2</v>
      </c>
      <c r="F128" s="97" t="s">
        <v>67</v>
      </c>
      <c r="G128" s="130" t="s">
        <v>28</v>
      </c>
      <c r="H128" s="130" t="s">
        <v>28</v>
      </c>
      <c r="I128" s="130" t="s">
        <v>28</v>
      </c>
      <c r="J128" s="130" t="s">
        <v>27</v>
      </c>
      <c r="K128" s="130" t="s">
        <v>29</v>
      </c>
      <c r="L128" s="137" t="s">
        <v>105</v>
      </c>
      <c r="M128" s="130" t="s">
        <v>27</v>
      </c>
      <c r="N128" s="123" t="s">
        <v>31</v>
      </c>
      <c r="O128" s="130" t="s">
        <v>231</v>
      </c>
      <c r="P128" s="131" t="s">
        <v>217</v>
      </c>
      <c r="Q128" s="131"/>
      <c r="R128" s="131"/>
      <c r="S128" s="131"/>
    </row>
    <row r="129" spans="1:25" s="130" customFormat="1">
      <c r="A129" s="77">
        <v>20</v>
      </c>
      <c r="B129" t="s">
        <v>38</v>
      </c>
      <c r="C129" t="s">
        <v>66</v>
      </c>
      <c r="D129" s="81" t="s">
        <v>4444</v>
      </c>
      <c r="E129" s="97">
        <v>2</v>
      </c>
      <c r="F129" s="97" t="s">
        <v>67</v>
      </c>
      <c r="G129" t="s">
        <v>28</v>
      </c>
      <c r="H129" t="s">
        <v>28</v>
      </c>
      <c r="I129" t="s">
        <v>28</v>
      </c>
      <c r="J129" t="s">
        <v>28</v>
      </c>
      <c r="K129" t="s">
        <v>29</v>
      </c>
      <c r="M129" s="85" t="s">
        <v>28</v>
      </c>
      <c r="N129" s="85" t="s">
        <v>39</v>
      </c>
      <c r="O129" t="s">
        <v>232</v>
      </c>
      <c r="P129" s="129" t="s">
        <v>217</v>
      </c>
      <c r="Q129" s="129" t="s">
        <v>229</v>
      </c>
      <c r="R129" s="140" t="s">
        <v>4465</v>
      </c>
      <c r="S129" s="129"/>
    </row>
    <row r="130" spans="1:25">
      <c r="A130" s="77">
        <v>20</v>
      </c>
      <c r="B130" t="s">
        <v>38</v>
      </c>
      <c r="C130" t="s">
        <v>66</v>
      </c>
      <c r="D130" s="81" t="s">
        <v>4444</v>
      </c>
      <c r="E130" s="97">
        <v>2</v>
      </c>
      <c r="F130" s="97" t="s">
        <v>67</v>
      </c>
      <c r="G130" t="s">
        <v>28</v>
      </c>
      <c r="H130" t="s">
        <v>28</v>
      </c>
      <c r="I130" t="s">
        <v>28</v>
      </c>
      <c r="J130" t="s">
        <v>28</v>
      </c>
      <c r="K130" t="s">
        <v>29</v>
      </c>
      <c r="M130" s="85" t="s">
        <v>28</v>
      </c>
      <c r="N130" s="85" t="s">
        <v>39</v>
      </c>
      <c r="O130" t="s">
        <v>233</v>
      </c>
      <c r="P130" s="129" t="s">
        <v>217</v>
      </c>
      <c r="Q130" s="129" t="s">
        <v>229</v>
      </c>
      <c r="R130" s="140" t="s">
        <v>4465</v>
      </c>
      <c r="S130" s="129"/>
    </row>
    <row r="131" spans="1:25" hidden="1">
      <c r="A131" s="38">
        <v>139</v>
      </c>
      <c r="B131" t="s">
        <v>234</v>
      </c>
      <c r="D131" s="81">
        <v>0</v>
      </c>
      <c r="E131" s="97">
        <v>1</v>
      </c>
      <c r="F131" s="97" t="s">
        <v>235</v>
      </c>
      <c r="G131" t="s">
        <v>27</v>
      </c>
      <c r="H131" t="s">
        <v>236</v>
      </c>
      <c r="I131" t="s">
        <v>236</v>
      </c>
      <c r="J131" s="137" t="s">
        <v>27</v>
      </c>
      <c r="K131" s="130" t="s">
        <v>237</v>
      </c>
      <c r="L131" s="130" t="s">
        <v>237</v>
      </c>
      <c r="M131" s="130" t="s">
        <v>28</v>
      </c>
      <c r="N131" s="130" t="s">
        <v>51</v>
      </c>
      <c r="O131" s="137" t="s">
        <v>238</v>
      </c>
      <c r="P131" s="134" t="s">
        <v>239</v>
      </c>
      <c r="Q131" s="134"/>
      <c r="R131" s="134"/>
      <c r="S131" s="134"/>
    </row>
    <row r="132" spans="1:25" hidden="1">
      <c r="A132" s="78">
        <v>20</v>
      </c>
      <c r="B132" s="130" t="s">
        <v>38</v>
      </c>
      <c r="C132" s="130" t="s">
        <v>66</v>
      </c>
      <c r="D132" s="81" t="s">
        <v>4444</v>
      </c>
      <c r="E132" s="97">
        <v>2</v>
      </c>
      <c r="F132" s="97" t="s">
        <v>67</v>
      </c>
      <c r="G132" s="130" t="s">
        <v>27</v>
      </c>
      <c r="H132" s="130" t="s">
        <v>28</v>
      </c>
      <c r="I132" s="130" t="s">
        <v>28</v>
      </c>
      <c r="J132" s="130" t="s">
        <v>27</v>
      </c>
      <c r="K132" s="137" t="s">
        <v>68</v>
      </c>
      <c r="L132" s="137" t="s">
        <v>68</v>
      </c>
      <c r="M132" s="137" t="s">
        <v>240</v>
      </c>
      <c r="N132" s="122" t="s">
        <v>31</v>
      </c>
      <c r="O132" s="136" t="s">
        <v>241</v>
      </c>
      <c r="P132" s="131" t="s">
        <v>41</v>
      </c>
      <c r="Q132" s="131"/>
      <c r="R132" s="131"/>
      <c r="S132" s="131"/>
      <c r="T132" s="130"/>
      <c r="U132" s="130"/>
      <c r="V132" s="130"/>
      <c r="W132" s="130"/>
      <c r="X132" s="130"/>
      <c r="Y132" s="130"/>
    </row>
    <row r="133" spans="1:25" hidden="1">
      <c r="A133" s="78">
        <v>20</v>
      </c>
      <c r="B133" s="130" t="s">
        <v>38</v>
      </c>
      <c r="C133" s="130" t="s">
        <v>66</v>
      </c>
      <c r="D133" s="81" t="s">
        <v>4444</v>
      </c>
      <c r="E133" s="97">
        <v>2</v>
      </c>
      <c r="F133" s="97" t="s">
        <v>67</v>
      </c>
      <c r="G133" s="130" t="s">
        <v>27</v>
      </c>
      <c r="H133" s="130" t="s">
        <v>28</v>
      </c>
      <c r="I133" s="130" t="s">
        <v>28</v>
      </c>
      <c r="J133" s="130" t="s">
        <v>27</v>
      </c>
      <c r="K133" s="137" t="s">
        <v>68</v>
      </c>
      <c r="L133" s="137" t="s">
        <v>68</v>
      </c>
      <c r="M133" s="137" t="s">
        <v>240</v>
      </c>
      <c r="N133" s="122" t="s">
        <v>31</v>
      </c>
      <c r="O133" s="130" t="s">
        <v>242</v>
      </c>
      <c r="P133" s="130" t="s">
        <v>130</v>
      </c>
      <c r="Q133" s="130"/>
      <c r="R133" s="130"/>
      <c r="S133" s="130"/>
      <c r="T133" s="130"/>
      <c r="U133" s="130"/>
      <c r="V133" s="130"/>
      <c r="W133" s="130"/>
      <c r="X133" s="130"/>
      <c r="Y133" s="130"/>
    </row>
    <row r="134" spans="1:25">
      <c r="A134" s="77">
        <v>21</v>
      </c>
      <c r="B134" t="s">
        <v>38</v>
      </c>
      <c r="C134" t="s">
        <v>66</v>
      </c>
      <c r="D134" s="81" t="s">
        <v>4445</v>
      </c>
      <c r="E134" s="97">
        <v>3</v>
      </c>
      <c r="F134" s="97" t="s">
        <v>74</v>
      </c>
      <c r="G134" t="s">
        <v>27</v>
      </c>
      <c r="H134" t="s">
        <v>28</v>
      </c>
      <c r="I134" t="s">
        <v>28</v>
      </c>
      <c r="J134" t="s">
        <v>28</v>
      </c>
      <c r="K134" t="s">
        <v>29</v>
      </c>
      <c r="M134" s="85" t="s">
        <v>28</v>
      </c>
      <c r="N134" s="85" t="s">
        <v>39</v>
      </c>
      <c r="O134" s="60" t="s">
        <v>243</v>
      </c>
      <c r="P134" s="129" t="s">
        <v>244</v>
      </c>
      <c r="Q134" s="129" t="s">
        <v>245</v>
      </c>
      <c r="R134" s="140" t="s">
        <v>4463</v>
      </c>
      <c r="S134" s="129"/>
    </row>
    <row r="135" spans="1:25">
      <c r="A135" s="77">
        <v>21</v>
      </c>
      <c r="B135" t="s">
        <v>38</v>
      </c>
      <c r="C135" t="s">
        <v>66</v>
      </c>
      <c r="D135" s="81" t="s">
        <v>4445</v>
      </c>
      <c r="E135" s="97">
        <v>3</v>
      </c>
      <c r="F135" s="97" t="s">
        <v>74</v>
      </c>
      <c r="G135" t="s">
        <v>27</v>
      </c>
      <c r="H135" t="s">
        <v>28</v>
      </c>
      <c r="I135" t="s">
        <v>28</v>
      </c>
      <c r="J135" t="s">
        <v>28</v>
      </c>
      <c r="K135" t="s">
        <v>29</v>
      </c>
      <c r="M135" s="85" t="s">
        <v>28</v>
      </c>
      <c r="N135" s="85" t="s">
        <v>39</v>
      </c>
      <c r="O135" s="60" t="s">
        <v>246</v>
      </c>
      <c r="P135" s="129" t="s">
        <v>244</v>
      </c>
      <c r="Q135" s="129" t="s">
        <v>245</v>
      </c>
      <c r="R135" s="140" t="s">
        <v>4463</v>
      </c>
      <c r="S135" s="129"/>
    </row>
    <row r="136" spans="1:25">
      <c r="A136" s="77">
        <v>21</v>
      </c>
      <c r="B136" t="s">
        <v>38</v>
      </c>
      <c r="C136" t="s">
        <v>66</v>
      </c>
      <c r="D136" s="81" t="s">
        <v>4445</v>
      </c>
      <c r="E136" s="97">
        <v>3</v>
      </c>
      <c r="F136" s="97" t="s">
        <v>74</v>
      </c>
      <c r="G136" t="s">
        <v>27</v>
      </c>
      <c r="H136" t="s">
        <v>28</v>
      </c>
      <c r="I136" t="s">
        <v>28</v>
      </c>
      <c r="J136" t="s">
        <v>28</v>
      </c>
      <c r="K136" t="s">
        <v>29</v>
      </c>
      <c r="M136" s="85" t="s">
        <v>28</v>
      </c>
      <c r="N136" s="85" t="s">
        <v>39</v>
      </c>
      <c r="O136" s="60" t="s">
        <v>247</v>
      </c>
      <c r="P136" s="129" t="s">
        <v>244</v>
      </c>
      <c r="Q136" s="129" t="s">
        <v>245</v>
      </c>
      <c r="R136" s="140" t="s">
        <v>4463</v>
      </c>
      <c r="S136" s="129"/>
    </row>
    <row r="137" spans="1:25">
      <c r="A137" s="77">
        <v>22</v>
      </c>
      <c r="B137" t="s">
        <v>38</v>
      </c>
      <c r="C137" t="s">
        <v>66</v>
      </c>
      <c r="D137" s="81" t="s">
        <v>4444</v>
      </c>
      <c r="E137" s="97">
        <v>3</v>
      </c>
      <c r="F137" s="97" t="s">
        <v>180</v>
      </c>
      <c r="G137" t="s">
        <v>28</v>
      </c>
      <c r="H137" t="s">
        <v>28</v>
      </c>
      <c r="I137" t="s">
        <v>28</v>
      </c>
      <c r="J137" t="s">
        <v>28</v>
      </c>
      <c r="K137" t="s">
        <v>29</v>
      </c>
      <c r="M137" s="85" t="s">
        <v>28</v>
      </c>
      <c r="N137" s="85" t="s">
        <v>39</v>
      </c>
      <c r="O137" t="s">
        <v>248</v>
      </c>
      <c r="P137" s="129" t="s">
        <v>217</v>
      </c>
      <c r="Q137" s="129" t="s">
        <v>249</v>
      </c>
      <c r="R137" s="140" t="s">
        <v>4465</v>
      </c>
      <c r="S137" s="129"/>
    </row>
    <row r="138" spans="1:25">
      <c r="A138" s="77">
        <v>22</v>
      </c>
      <c r="B138" t="s">
        <v>38</v>
      </c>
      <c r="C138" t="s">
        <v>66</v>
      </c>
      <c r="D138" s="81" t="s">
        <v>4444</v>
      </c>
      <c r="E138" s="97">
        <v>3</v>
      </c>
      <c r="F138" s="97" t="s">
        <v>180</v>
      </c>
      <c r="G138" t="s">
        <v>28</v>
      </c>
      <c r="H138" t="s">
        <v>28</v>
      </c>
      <c r="I138" t="s">
        <v>28</v>
      </c>
      <c r="J138" t="s">
        <v>28</v>
      </c>
      <c r="K138" t="s">
        <v>29</v>
      </c>
      <c r="M138" s="85" t="s">
        <v>28</v>
      </c>
      <c r="N138" s="85" t="s">
        <v>39</v>
      </c>
      <c r="O138" t="s">
        <v>250</v>
      </c>
      <c r="P138" s="129" t="s">
        <v>217</v>
      </c>
      <c r="Q138" s="129" t="s">
        <v>249</v>
      </c>
      <c r="R138" s="140" t="s">
        <v>4465</v>
      </c>
      <c r="S138" s="129"/>
    </row>
    <row r="139" spans="1:25">
      <c r="A139" s="77">
        <v>22</v>
      </c>
      <c r="B139" t="s">
        <v>38</v>
      </c>
      <c r="C139" t="s">
        <v>66</v>
      </c>
      <c r="D139" s="81" t="s">
        <v>4444</v>
      </c>
      <c r="E139" s="97">
        <v>3</v>
      </c>
      <c r="F139" s="97" t="s">
        <v>180</v>
      </c>
      <c r="G139" t="s">
        <v>28</v>
      </c>
      <c r="H139" t="s">
        <v>28</v>
      </c>
      <c r="I139" t="s">
        <v>28</v>
      </c>
      <c r="J139" t="s">
        <v>28</v>
      </c>
      <c r="K139" t="s">
        <v>29</v>
      </c>
      <c r="M139" s="85" t="s">
        <v>28</v>
      </c>
      <c r="N139" s="85" t="s">
        <v>39</v>
      </c>
      <c r="O139" t="s">
        <v>251</v>
      </c>
      <c r="P139" s="129" t="s">
        <v>217</v>
      </c>
      <c r="Q139" s="129" t="s">
        <v>249</v>
      </c>
      <c r="R139" s="140" t="s">
        <v>4465</v>
      </c>
      <c r="S139" s="129"/>
    </row>
    <row r="140" spans="1:25">
      <c r="A140" s="77">
        <v>22</v>
      </c>
      <c r="B140" t="s">
        <v>38</v>
      </c>
      <c r="C140" t="s">
        <v>66</v>
      </c>
      <c r="D140" s="81" t="s">
        <v>4444</v>
      </c>
      <c r="E140" s="97">
        <v>3</v>
      </c>
      <c r="F140" s="97" t="s">
        <v>180</v>
      </c>
      <c r="G140" t="s">
        <v>28</v>
      </c>
      <c r="H140" t="s">
        <v>28</v>
      </c>
      <c r="I140" t="s">
        <v>28</v>
      </c>
      <c r="J140" t="s">
        <v>28</v>
      </c>
      <c r="K140" t="s">
        <v>29</v>
      </c>
      <c r="M140" s="85" t="s">
        <v>28</v>
      </c>
      <c r="N140" s="85" t="s">
        <v>39</v>
      </c>
      <c r="O140" s="60" t="s">
        <v>252</v>
      </c>
      <c r="P140" s="129" t="s">
        <v>217</v>
      </c>
      <c r="Q140" s="129" t="s">
        <v>249</v>
      </c>
      <c r="R140" s="140" t="s">
        <v>4465</v>
      </c>
      <c r="S140" s="129"/>
    </row>
    <row r="141" spans="1:25">
      <c r="A141" s="77">
        <v>22</v>
      </c>
      <c r="B141" t="s">
        <v>38</v>
      </c>
      <c r="C141" t="s">
        <v>253</v>
      </c>
      <c r="D141" s="81" t="s">
        <v>4444</v>
      </c>
      <c r="E141" s="97">
        <v>3</v>
      </c>
      <c r="F141" s="97" t="s">
        <v>180</v>
      </c>
      <c r="G141" t="s">
        <v>28</v>
      </c>
      <c r="H141" t="s">
        <v>28</v>
      </c>
      <c r="I141" t="s">
        <v>28</v>
      </c>
      <c r="J141" t="s">
        <v>28</v>
      </c>
      <c r="K141" t="s">
        <v>29</v>
      </c>
      <c r="M141" s="85" t="s">
        <v>28</v>
      </c>
      <c r="N141" s="85" t="s">
        <v>39</v>
      </c>
      <c r="O141" s="60" t="s">
        <v>254</v>
      </c>
      <c r="P141" s="129" t="s">
        <v>217</v>
      </c>
      <c r="Q141" s="129" t="s">
        <v>249</v>
      </c>
      <c r="R141" s="140" t="s">
        <v>4465</v>
      </c>
      <c r="S141" s="129"/>
    </row>
    <row r="142" spans="1:25">
      <c r="A142" s="77">
        <v>23</v>
      </c>
      <c r="B142" t="s">
        <v>38</v>
      </c>
      <c r="C142" t="s">
        <v>253</v>
      </c>
      <c r="D142" s="81" t="s">
        <v>4445</v>
      </c>
      <c r="E142" s="97">
        <v>1</v>
      </c>
      <c r="F142" s="97" t="s">
        <v>26</v>
      </c>
      <c r="G142" t="s">
        <v>28</v>
      </c>
      <c r="H142" t="s">
        <v>28</v>
      </c>
      <c r="I142" t="s">
        <v>28</v>
      </c>
      <c r="J142" t="s">
        <v>28</v>
      </c>
      <c r="K142" t="s">
        <v>29</v>
      </c>
      <c r="M142" s="85" t="s">
        <v>28</v>
      </c>
      <c r="N142" s="85" t="s">
        <v>39</v>
      </c>
      <c r="O142" s="60" t="s">
        <v>255</v>
      </c>
      <c r="P142" s="129" t="s">
        <v>217</v>
      </c>
      <c r="Q142" s="129" t="s">
        <v>256</v>
      </c>
      <c r="R142" s="140" t="s">
        <v>4463</v>
      </c>
      <c r="S142" s="129"/>
    </row>
    <row r="143" spans="1:25">
      <c r="A143" s="77">
        <v>23</v>
      </c>
      <c r="B143" t="s">
        <v>38</v>
      </c>
      <c r="C143" t="s">
        <v>253</v>
      </c>
      <c r="D143" s="81" t="s">
        <v>4445</v>
      </c>
      <c r="E143" s="97">
        <v>1</v>
      </c>
      <c r="F143" s="97" t="s">
        <v>26</v>
      </c>
      <c r="G143" t="s">
        <v>28</v>
      </c>
      <c r="H143" t="s">
        <v>28</v>
      </c>
      <c r="I143" t="s">
        <v>28</v>
      </c>
      <c r="J143" t="s">
        <v>28</v>
      </c>
      <c r="K143" t="s">
        <v>29</v>
      </c>
      <c r="M143" s="85" t="s">
        <v>28</v>
      </c>
      <c r="N143" s="85" t="s">
        <v>39</v>
      </c>
      <c r="O143" s="60" t="s">
        <v>257</v>
      </c>
      <c r="P143" s="129" t="s">
        <v>217</v>
      </c>
      <c r="Q143" s="129" t="s">
        <v>256</v>
      </c>
      <c r="R143" s="140" t="s">
        <v>4463</v>
      </c>
      <c r="S143" s="129"/>
    </row>
    <row r="144" spans="1:25" s="130" customFormat="1">
      <c r="A144" s="77">
        <v>23</v>
      </c>
      <c r="B144" t="s">
        <v>38</v>
      </c>
      <c r="C144" t="s">
        <v>253</v>
      </c>
      <c r="D144" s="81" t="s">
        <v>4445</v>
      </c>
      <c r="E144" s="97">
        <v>1</v>
      </c>
      <c r="F144" s="97" t="s">
        <v>26</v>
      </c>
      <c r="G144" t="s">
        <v>28</v>
      </c>
      <c r="H144" t="s">
        <v>28</v>
      </c>
      <c r="I144" t="s">
        <v>28</v>
      </c>
      <c r="J144" t="s">
        <v>28</v>
      </c>
      <c r="K144" t="s">
        <v>29</v>
      </c>
      <c r="M144" s="85" t="s">
        <v>28</v>
      </c>
      <c r="N144" s="85" t="s">
        <v>39</v>
      </c>
      <c r="O144" s="60" t="s">
        <v>258</v>
      </c>
      <c r="P144" s="129" t="s">
        <v>217</v>
      </c>
      <c r="Q144" s="129" t="s">
        <v>256</v>
      </c>
      <c r="R144" s="140" t="s">
        <v>4463</v>
      </c>
      <c r="S144" s="129"/>
    </row>
    <row r="145" spans="1:25" s="130" customFormat="1">
      <c r="A145" s="77">
        <v>23</v>
      </c>
      <c r="B145" t="s">
        <v>38</v>
      </c>
      <c r="C145" t="s">
        <v>253</v>
      </c>
      <c r="D145" s="81" t="s">
        <v>4445</v>
      </c>
      <c r="E145" s="97">
        <v>1</v>
      </c>
      <c r="F145" s="97" t="s">
        <v>26</v>
      </c>
      <c r="G145" t="s">
        <v>28</v>
      </c>
      <c r="H145" t="s">
        <v>28</v>
      </c>
      <c r="I145" t="s">
        <v>28</v>
      </c>
      <c r="J145" t="s">
        <v>28</v>
      </c>
      <c r="K145" t="s">
        <v>29</v>
      </c>
      <c r="M145" s="85" t="s">
        <v>28</v>
      </c>
      <c r="N145" s="85" t="s">
        <v>39</v>
      </c>
      <c r="O145" s="60" t="s">
        <v>259</v>
      </c>
      <c r="P145" s="129" t="s">
        <v>217</v>
      </c>
      <c r="Q145" s="129" t="s">
        <v>256</v>
      </c>
      <c r="R145" s="140" t="s">
        <v>4463</v>
      </c>
      <c r="S145" s="129"/>
    </row>
    <row r="146" spans="1:25" s="130" customFormat="1">
      <c r="A146" s="77">
        <v>23</v>
      </c>
      <c r="B146" t="s">
        <v>38</v>
      </c>
      <c r="C146" t="s">
        <v>253</v>
      </c>
      <c r="D146" s="81" t="s">
        <v>4445</v>
      </c>
      <c r="E146" s="97">
        <v>1</v>
      </c>
      <c r="F146" s="97" t="s">
        <v>26</v>
      </c>
      <c r="G146" t="s">
        <v>28</v>
      </c>
      <c r="H146" t="s">
        <v>28</v>
      </c>
      <c r="I146" t="s">
        <v>28</v>
      </c>
      <c r="J146" t="s">
        <v>28</v>
      </c>
      <c r="K146" t="s">
        <v>29</v>
      </c>
      <c r="M146" s="85" t="s">
        <v>28</v>
      </c>
      <c r="N146" s="85" t="s">
        <v>39</v>
      </c>
      <c r="O146" s="60" t="s">
        <v>260</v>
      </c>
      <c r="P146" s="129" t="s">
        <v>217</v>
      </c>
      <c r="Q146" s="129" t="s">
        <v>256</v>
      </c>
      <c r="R146" s="140" t="s">
        <v>4463</v>
      </c>
      <c r="S146" s="129"/>
    </row>
    <row r="147" spans="1:25" s="130" customFormat="1">
      <c r="A147" s="77">
        <v>23</v>
      </c>
      <c r="B147" t="s">
        <v>38</v>
      </c>
      <c r="C147" t="s">
        <v>253</v>
      </c>
      <c r="D147" s="81" t="s">
        <v>4445</v>
      </c>
      <c r="E147" s="97">
        <v>1</v>
      </c>
      <c r="F147" s="97" t="s">
        <v>26</v>
      </c>
      <c r="G147" t="s">
        <v>28</v>
      </c>
      <c r="H147" t="s">
        <v>28</v>
      </c>
      <c r="I147" t="s">
        <v>28</v>
      </c>
      <c r="J147" t="s">
        <v>28</v>
      </c>
      <c r="K147" t="s">
        <v>29</v>
      </c>
      <c r="M147" s="85" t="s">
        <v>28</v>
      </c>
      <c r="N147" s="85" t="s">
        <v>39</v>
      </c>
      <c r="O147" t="s">
        <v>261</v>
      </c>
      <c r="P147" s="129" t="s">
        <v>217</v>
      </c>
      <c r="Q147" s="129" t="s">
        <v>256</v>
      </c>
      <c r="R147" s="140" t="s">
        <v>4463</v>
      </c>
      <c r="S147" s="129"/>
    </row>
    <row r="148" spans="1:25" hidden="1">
      <c r="A148" s="78">
        <v>23</v>
      </c>
      <c r="B148" s="130" t="s">
        <v>38</v>
      </c>
      <c r="C148" s="130" t="s">
        <v>253</v>
      </c>
      <c r="D148" s="81" t="s">
        <v>4445</v>
      </c>
      <c r="E148" s="97">
        <v>1</v>
      </c>
      <c r="F148" s="97" t="s">
        <v>26</v>
      </c>
      <c r="G148" s="130" t="s">
        <v>28</v>
      </c>
      <c r="H148" s="130" t="s">
        <v>28</v>
      </c>
      <c r="I148" s="130" t="s">
        <v>28</v>
      </c>
      <c r="J148" s="130" t="s">
        <v>27</v>
      </c>
      <c r="K148" s="137" t="s">
        <v>262</v>
      </c>
      <c r="L148" s="137" t="s">
        <v>262</v>
      </c>
      <c r="M148" s="137" t="s">
        <v>27</v>
      </c>
      <c r="N148" s="122" t="s">
        <v>31</v>
      </c>
      <c r="O148" s="130" t="s">
        <v>263</v>
      </c>
      <c r="P148" s="131" t="s">
        <v>217</v>
      </c>
      <c r="Q148" s="131"/>
      <c r="R148" s="131"/>
      <c r="S148" s="131"/>
      <c r="T148" s="130"/>
      <c r="U148" s="130"/>
      <c r="V148" s="130"/>
      <c r="W148" s="130"/>
      <c r="X148" s="130"/>
      <c r="Y148" s="130"/>
    </row>
    <row r="149" spans="1:25" hidden="1">
      <c r="A149" s="78">
        <v>23</v>
      </c>
      <c r="B149" s="130" t="s">
        <v>38</v>
      </c>
      <c r="C149" s="130" t="s">
        <v>253</v>
      </c>
      <c r="D149" s="81" t="s">
        <v>4445</v>
      </c>
      <c r="E149" s="97">
        <v>1</v>
      </c>
      <c r="F149" s="97" t="s">
        <v>26</v>
      </c>
      <c r="G149" s="130" t="s">
        <v>27</v>
      </c>
      <c r="H149" s="130" t="s">
        <v>28</v>
      </c>
      <c r="I149" s="130" t="s">
        <v>28</v>
      </c>
      <c r="J149" s="130" t="s">
        <v>27</v>
      </c>
      <c r="K149" s="137" t="s">
        <v>68</v>
      </c>
      <c r="L149" s="137" t="s">
        <v>68</v>
      </c>
      <c r="M149" s="137" t="s">
        <v>27</v>
      </c>
      <c r="N149" s="122" t="s">
        <v>31</v>
      </c>
      <c r="O149" s="136" t="s">
        <v>264</v>
      </c>
      <c r="P149" s="131" t="s">
        <v>202</v>
      </c>
      <c r="Q149" s="131"/>
      <c r="R149" s="131"/>
      <c r="S149" s="131"/>
      <c r="T149" s="130"/>
      <c r="U149" s="130"/>
      <c r="V149" s="130"/>
      <c r="W149" s="130"/>
      <c r="X149" s="130"/>
      <c r="Y149" s="130"/>
    </row>
    <row r="150" spans="1:25" hidden="1">
      <c r="A150" s="78">
        <v>23</v>
      </c>
      <c r="B150" s="130" t="s">
        <v>38</v>
      </c>
      <c r="C150" s="130" t="s">
        <v>253</v>
      </c>
      <c r="D150" s="81" t="s">
        <v>4445</v>
      </c>
      <c r="E150" s="97">
        <v>1</v>
      </c>
      <c r="F150" s="97" t="s">
        <v>26</v>
      </c>
      <c r="G150" s="130" t="s">
        <v>27</v>
      </c>
      <c r="H150" s="130" t="s">
        <v>28</v>
      </c>
      <c r="I150" s="130" t="s">
        <v>28</v>
      </c>
      <c r="J150" s="130" t="s">
        <v>27</v>
      </c>
      <c r="K150" s="137" t="s">
        <v>68</v>
      </c>
      <c r="L150" s="137" t="s">
        <v>68</v>
      </c>
      <c r="M150" s="137" t="s">
        <v>27</v>
      </c>
      <c r="N150" s="122" t="s">
        <v>31</v>
      </c>
      <c r="O150" s="136" t="s">
        <v>265</v>
      </c>
      <c r="P150" s="131" t="s">
        <v>202</v>
      </c>
      <c r="Q150" s="131"/>
      <c r="R150" s="131"/>
      <c r="S150" s="131"/>
      <c r="T150" s="130"/>
      <c r="U150" s="130"/>
      <c r="V150" s="130"/>
      <c r="W150" s="130"/>
      <c r="X150" s="130"/>
      <c r="Y150" s="130"/>
    </row>
    <row r="151" spans="1:25" hidden="1">
      <c r="A151" s="78">
        <v>23</v>
      </c>
      <c r="B151" s="130" t="s">
        <v>38</v>
      </c>
      <c r="C151" s="130" t="s">
        <v>253</v>
      </c>
      <c r="D151" s="81" t="s">
        <v>4445</v>
      </c>
      <c r="E151" s="97">
        <v>1</v>
      </c>
      <c r="F151" s="97" t="s">
        <v>26</v>
      </c>
      <c r="G151" s="130" t="s">
        <v>27</v>
      </c>
      <c r="H151" s="130" t="s">
        <v>28</v>
      </c>
      <c r="I151" s="130" t="s">
        <v>28</v>
      </c>
      <c r="J151" s="130" t="s">
        <v>27</v>
      </c>
      <c r="K151" s="137" t="s">
        <v>68</v>
      </c>
      <c r="L151" s="137" t="s">
        <v>68</v>
      </c>
      <c r="M151" s="137" t="s">
        <v>27</v>
      </c>
      <c r="N151" s="122" t="s">
        <v>31</v>
      </c>
      <c r="O151" s="136" t="s">
        <v>266</v>
      </c>
      <c r="P151" s="131" t="s">
        <v>202</v>
      </c>
      <c r="Q151" s="131"/>
      <c r="R151" s="131"/>
      <c r="S151" s="131"/>
      <c r="T151" s="130"/>
      <c r="U151" s="130"/>
      <c r="V151" s="130"/>
      <c r="W151" s="130"/>
      <c r="X151" s="130"/>
      <c r="Y151" s="130"/>
    </row>
    <row r="152" spans="1:25">
      <c r="A152" s="77">
        <v>23</v>
      </c>
      <c r="B152" t="s">
        <v>38</v>
      </c>
      <c r="C152" t="s">
        <v>253</v>
      </c>
      <c r="D152" s="81" t="s">
        <v>4445</v>
      </c>
      <c r="E152" s="97">
        <v>1</v>
      </c>
      <c r="F152" s="97" t="s">
        <v>26</v>
      </c>
      <c r="G152" t="s">
        <v>28</v>
      </c>
      <c r="H152" t="s">
        <v>28</v>
      </c>
      <c r="I152" t="s">
        <v>28</v>
      </c>
      <c r="J152" t="s">
        <v>28</v>
      </c>
      <c r="K152" t="s">
        <v>29</v>
      </c>
      <c r="M152" s="85" t="s">
        <v>28</v>
      </c>
      <c r="N152" s="85" t="s">
        <v>39</v>
      </c>
      <c r="O152" s="60" t="s">
        <v>267</v>
      </c>
      <c r="P152" t="s">
        <v>213</v>
      </c>
      <c r="Q152" t="s">
        <v>268</v>
      </c>
      <c r="R152" s="140" t="s">
        <v>4463</v>
      </c>
      <c r="T152" t="s">
        <v>29</v>
      </c>
      <c r="U152">
        <v>1</v>
      </c>
      <c r="X152">
        <v>0</v>
      </c>
      <c r="Y152">
        <v>0</v>
      </c>
    </row>
    <row r="153" spans="1:25">
      <c r="A153" s="77">
        <v>23</v>
      </c>
      <c r="B153" t="s">
        <v>38</v>
      </c>
      <c r="C153" t="s">
        <v>253</v>
      </c>
      <c r="D153" s="81" t="s">
        <v>4445</v>
      </c>
      <c r="E153" s="97">
        <v>1</v>
      </c>
      <c r="F153" s="97" t="s">
        <v>26</v>
      </c>
      <c r="G153" t="s">
        <v>28</v>
      </c>
      <c r="H153" t="s">
        <v>28</v>
      </c>
      <c r="I153" t="s">
        <v>28</v>
      </c>
      <c r="J153" t="s">
        <v>28</v>
      </c>
      <c r="K153" t="s">
        <v>29</v>
      </c>
      <c r="M153" s="85" t="s">
        <v>28</v>
      </c>
      <c r="N153" s="85" t="s">
        <v>39</v>
      </c>
      <c r="O153" s="60" t="s">
        <v>269</v>
      </c>
      <c r="P153" t="s">
        <v>213</v>
      </c>
      <c r="Q153" t="s">
        <v>268</v>
      </c>
      <c r="R153" s="140" t="s">
        <v>4463</v>
      </c>
      <c r="T153" t="s">
        <v>29</v>
      </c>
      <c r="U153">
        <v>1</v>
      </c>
      <c r="X153">
        <v>0</v>
      </c>
      <c r="Y153">
        <v>0</v>
      </c>
    </row>
    <row r="154" spans="1:25" s="130" customFormat="1">
      <c r="A154" s="77">
        <v>23</v>
      </c>
      <c r="B154" t="s">
        <v>38</v>
      </c>
      <c r="C154" t="s">
        <v>253</v>
      </c>
      <c r="D154" s="81" t="s">
        <v>4445</v>
      </c>
      <c r="E154" s="97">
        <v>1</v>
      </c>
      <c r="F154" s="97" t="s">
        <v>26</v>
      </c>
      <c r="G154" t="s">
        <v>28</v>
      </c>
      <c r="H154" t="s">
        <v>28</v>
      </c>
      <c r="I154" t="s">
        <v>28</v>
      </c>
      <c r="J154" t="s">
        <v>28</v>
      </c>
      <c r="K154" t="s">
        <v>29</v>
      </c>
      <c r="M154" s="85" t="s">
        <v>28</v>
      </c>
      <c r="N154" s="85" t="s">
        <v>39</v>
      </c>
      <c r="O154" s="60" t="s">
        <v>270</v>
      </c>
      <c r="P154" t="s">
        <v>271</v>
      </c>
      <c r="Q154" t="s">
        <v>272</v>
      </c>
      <c r="R154" s="140" t="s">
        <v>4463</v>
      </c>
      <c r="T154" t="s">
        <v>29</v>
      </c>
      <c r="U154">
        <v>1</v>
      </c>
      <c r="X154">
        <v>0</v>
      </c>
      <c r="Y154">
        <v>0</v>
      </c>
    </row>
    <row r="155" spans="1:25" s="130" customFormat="1">
      <c r="A155" s="77">
        <v>23</v>
      </c>
      <c r="B155" t="s">
        <v>38</v>
      </c>
      <c r="C155" t="s">
        <v>253</v>
      </c>
      <c r="D155" s="81" t="s">
        <v>4445</v>
      </c>
      <c r="E155" s="97">
        <v>1</v>
      </c>
      <c r="F155" s="97" t="s">
        <v>26</v>
      </c>
      <c r="G155" t="s">
        <v>28</v>
      </c>
      <c r="H155" t="s">
        <v>28</v>
      </c>
      <c r="I155" t="s">
        <v>28</v>
      </c>
      <c r="J155" t="s">
        <v>28</v>
      </c>
      <c r="K155" t="s">
        <v>29</v>
      </c>
      <c r="M155" s="85" t="s">
        <v>28</v>
      </c>
      <c r="N155" s="85" t="s">
        <v>39</v>
      </c>
      <c r="O155" t="s">
        <v>273</v>
      </c>
      <c r="P155" t="s">
        <v>271</v>
      </c>
      <c r="Q155" t="s">
        <v>272</v>
      </c>
      <c r="R155" s="140" t="s">
        <v>4463</v>
      </c>
      <c r="T155" t="s">
        <v>29</v>
      </c>
      <c r="U155">
        <v>1</v>
      </c>
      <c r="X155">
        <v>0</v>
      </c>
      <c r="Y155">
        <v>0</v>
      </c>
    </row>
    <row r="156" spans="1:25" s="130" customFormat="1">
      <c r="A156" s="77">
        <v>23</v>
      </c>
      <c r="B156" t="s">
        <v>38</v>
      </c>
      <c r="C156" t="s">
        <v>253</v>
      </c>
      <c r="D156" s="81" t="s">
        <v>4445</v>
      </c>
      <c r="E156" s="97">
        <v>1</v>
      </c>
      <c r="F156" s="97" t="s">
        <v>26</v>
      </c>
      <c r="G156" t="s">
        <v>28</v>
      </c>
      <c r="H156" t="s">
        <v>28</v>
      </c>
      <c r="I156" t="s">
        <v>28</v>
      </c>
      <c r="J156" t="s">
        <v>28</v>
      </c>
      <c r="K156" t="s">
        <v>29</v>
      </c>
      <c r="M156" s="85" t="s">
        <v>28</v>
      </c>
      <c r="N156" s="85" t="s">
        <v>39</v>
      </c>
      <c r="O156" t="s">
        <v>274</v>
      </c>
      <c r="P156" t="s">
        <v>271</v>
      </c>
      <c r="Q156" t="s">
        <v>272</v>
      </c>
      <c r="R156" s="140" t="s">
        <v>4463</v>
      </c>
      <c r="T156" t="s">
        <v>29</v>
      </c>
      <c r="U156">
        <v>1</v>
      </c>
      <c r="X156">
        <v>0</v>
      </c>
      <c r="Y156">
        <v>0</v>
      </c>
    </row>
    <row r="157" spans="1:25" s="130" customFormat="1">
      <c r="A157" s="77">
        <v>23</v>
      </c>
      <c r="B157" t="s">
        <v>38</v>
      </c>
      <c r="C157" t="s">
        <v>253</v>
      </c>
      <c r="D157" s="81" t="s">
        <v>4445</v>
      </c>
      <c r="E157" s="97">
        <v>1</v>
      </c>
      <c r="F157" s="97" t="s">
        <v>26</v>
      </c>
      <c r="G157" t="s">
        <v>28</v>
      </c>
      <c r="H157" t="s">
        <v>28</v>
      </c>
      <c r="I157" t="s">
        <v>28</v>
      </c>
      <c r="J157" t="s">
        <v>28</v>
      </c>
      <c r="K157" t="s">
        <v>29</v>
      </c>
      <c r="M157" s="85" t="s">
        <v>28</v>
      </c>
      <c r="N157" s="85" t="s">
        <v>39</v>
      </c>
      <c r="O157" t="s">
        <v>275</v>
      </c>
      <c r="P157" t="s">
        <v>271</v>
      </c>
      <c r="Q157" t="s">
        <v>272</v>
      </c>
      <c r="R157" s="140" t="s">
        <v>4463</v>
      </c>
      <c r="T157" t="s">
        <v>29</v>
      </c>
      <c r="U157">
        <v>1</v>
      </c>
      <c r="X157">
        <v>0</v>
      </c>
      <c r="Y157">
        <v>0</v>
      </c>
    </row>
    <row r="158" spans="1:25">
      <c r="A158" s="59">
        <v>23</v>
      </c>
      <c r="B158" t="s">
        <v>38</v>
      </c>
      <c r="C158" t="s">
        <v>253</v>
      </c>
      <c r="D158" s="81" t="s">
        <v>4445</v>
      </c>
      <c r="E158" s="97">
        <v>1</v>
      </c>
      <c r="F158" s="97" t="s">
        <v>26</v>
      </c>
      <c r="G158" t="s">
        <v>28</v>
      </c>
      <c r="H158" t="s">
        <v>28</v>
      </c>
      <c r="I158" t="s">
        <v>28</v>
      </c>
      <c r="J158" t="s">
        <v>28</v>
      </c>
      <c r="K158" s="85" t="s">
        <v>29</v>
      </c>
      <c r="L158" s="85"/>
      <c r="M158" s="85" t="s">
        <v>27</v>
      </c>
      <c r="N158" s="85" t="s">
        <v>62</v>
      </c>
      <c r="O158" s="59" t="s">
        <v>276</v>
      </c>
      <c r="P158" t="s">
        <v>277</v>
      </c>
      <c r="Q158" t="s">
        <v>272</v>
      </c>
      <c r="R158" s="140" t="s">
        <v>4463</v>
      </c>
    </row>
    <row r="159" spans="1:25">
      <c r="A159" s="59">
        <v>23</v>
      </c>
      <c r="B159" t="s">
        <v>38</v>
      </c>
      <c r="C159" t="s">
        <v>253</v>
      </c>
      <c r="D159" s="81" t="s">
        <v>4445</v>
      </c>
      <c r="E159" s="97">
        <v>1</v>
      </c>
      <c r="F159" s="97" t="s">
        <v>26</v>
      </c>
      <c r="G159" t="s">
        <v>28</v>
      </c>
      <c r="H159" t="s">
        <v>28</v>
      </c>
      <c r="I159" t="s">
        <v>28</v>
      </c>
      <c r="J159" t="s">
        <v>28</v>
      </c>
      <c r="K159" s="85" t="s">
        <v>29</v>
      </c>
      <c r="L159" s="85"/>
      <c r="M159" s="85" t="s">
        <v>27</v>
      </c>
      <c r="N159" s="85" t="s">
        <v>62</v>
      </c>
      <c r="O159" s="59" t="s">
        <v>278</v>
      </c>
      <c r="P159" t="s">
        <v>277</v>
      </c>
      <c r="Q159" t="s">
        <v>272</v>
      </c>
      <c r="R159" s="140" t="s">
        <v>4463</v>
      </c>
    </row>
    <row r="160" spans="1:25">
      <c r="A160" s="59">
        <v>23</v>
      </c>
      <c r="B160" t="s">
        <v>38</v>
      </c>
      <c r="C160" t="s">
        <v>253</v>
      </c>
      <c r="D160" s="81" t="s">
        <v>4445</v>
      </c>
      <c r="E160" s="97">
        <v>1</v>
      </c>
      <c r="F160" s="97" t="s">
        <v>26</v>
      </c>
      <c r="G160" t="s">
        <v>28</v>
      </c>
      <c r="H160" t="s">
        <v>28</v>
      </c>
      <c r="I160" t="s">
        <v>28</v>
      </c>
      <c r="J160" t="s">
        <v>28</v>
      </c>
      <c r="K160" s="85" t="s">
        <v>29</v>
      </c>
      <c r="L160" s="85"/>
      <c r="M160" s="85" t="s">
        <v>27</v>
      </c>
      <c r="N160" s="85" t="s">
        <v>62</v>
      </c>
      <c r="O160" s="59" t="s">
        <v>279</v>
      </c>
      <c r="P160" t="s">
        <v>277</v>
      </c>
      <c r="Q160" t="s">
        <v>272</v>
      </c>
      <c r="R160" s="140" t="s">
        <v>4463</v>
      </c>
    </row>
    <row r="161" spans="1:25" hidden="1">
      <c r="A161" s="78">
        <v>24</v>
      </c>
      <c r="B161" s="130" t="s">
        <v>38</v>
      </c>
      <c r="C161" s="130" t="s">
        <v>253</v>
      </c>
      <c r="D161" s="81" t="s">
        <v>4444</v>
      </c>
      <c r="E161" s="97">
        <v>2</v>
      </c>
      <c r="F161" s="97" t="s">
        <v>54</v>
      </c>
      <c r="G161" s="130" t="s">
        <v>27</v>
      </c>
      <c r="H161" s="130" t="s">
        <v>28</v>
      </c>
      <c r="I161" s="130" t="s">
        <v>28</v>
      </c>
      <c r="J161" s="130" t="s">
        <v>27</v>
      </c>
      <c r="K161" s="137" t="s">
        <v>68</v>
      </c>
      <c r="L161" s="137" t="s">
        <v>68</v>
      </c>
      <c r="M161" s="137" t="s">
        <v>27</v>
      </c>
      <c r="N161" s="122" t="s">
        <v>31</v>
      </c>
      <c r="O161" s="130" t="s">
        <v>280</v>
      </c>
      <c r="P161" s="131" t="s">
        <v>281</v>
      </c>
      <c r="Q161" s="131"/>
      <c r="R161" s="131"/>
      <c r="S161" s="131"/>
      <c r="T161" s="130"/>
      <c r="U161" s="130"/>
      <c r="V161" s="130"/>
      <c r="W161" s="130"/>
      <c r="X161" s="130"/>
      <c r="Y161" s="130"/>
    </row>
    <row r="162" spans="1:25" hidden="1">
      <c r="A162" s="78">
        <v>24</v>
      </c>
      <c r="B162" s="130" t="s">
        <v>38</v>
      </c>
      <c r="C162" s="130" t="s">
        <v>253</v>
      </c>
      <c r="D162" s="81" t="s">
        <v>4444</v>
      </c>
      <c r="E162" s="97">
        <v>2</v>
      </c>
      <c r="F162" s="97" t="s">
        <v>54</v>
      </c>
      <c r="G162" s="130" t="s">
        <v>27</v>
      </c>
      <c r="H162" s="130" t="s">
        <v>28</v>
      </c>
      <c r="I162" s="130" t="s">
        <v>28</v>
      </c>
      <c r="J162" s="130" t="s">
        <v>27</v>
      </c>
      <c r="K162" s="137" t="s">
        <v>68</v>
      </c>
      <c r="L162" s="137" t="s">
        <v>68</v>
      </c>
      <c r="M162" s="137" t="s">
        <v>27</v>
      </c>
      <c r="N162" s="122" t="s">
        <v>31</v>
      </c>
      <c r="O162" s="130" t="s">
        <v>282</v>
      </c>
      <c r="P162" s="131" t="s">
        <v>281</v>
      </c>
      <c r="Q162" s="131"/>
      <c r="R162" s="131"/>
      <c r="S162" s="131"/>
      <c r="T162" s="130"/>
      <c r="U162" s="130"/>
      <c r="V162" s="130"/>
      <c r="W162" s="130"/>
      <c r="X162" s="130"/>
      <c r="Y162" s="130"/>
    </row>
    <row r="163" spans="1:25" s="130" customFormat="1" hidden="1">
      <c r="A163" s="78">
        <v>24</v>
      </c>
      <c r="B163" s="130" t="s">
        <v>38</v>
      </c>
      <c r="C163" s="130" t="s">
        <v>253</v>
      </c>
      <c r="D163" s="81" t="s">
        <v>4444</v>
      </c>
      <c r="E163" s="97">
        <v>2</v>
      </c>
      <c r="F163" s="97" t="s">
        <v>54</v>
      </c>
      <c r="G163" s="130" t="s">
        <v>27</v>
      </c>
      <c r="H163" s="130" t="s">
        <v>28</v>
      </c>
      <c r="I163" s="130" t="s">
        <v>28</v>
      </c>
      <c r="J163" s="130" t="s">
        <v>27</v>
      </c>
      <c r="K163" s="137" t="s">
        <v>68</v>
      </c>
      <c r="L163" s="137" t="s">
        <v>68</v>
      </c>
      <c r="M163" s="137" t="s">
        <v>27</v>
      </c>
      <c r="N163" s="122" t="s">
        <v>31</v>
      </c>
      <c r="O163" s="61" t="s">
        <v>283</v>
      </c>
      <c r="P163" s="131" t="s">
        <v>281</v>
      </c>
      <c r="Q163" s="131"/>
      <c r="R163" s="131"/>
      <c r="S163" s="131"/>
    </row>
    <row r="164" spans="1:25" hidden="1">
      <c r="A164" s="78">
        <v>24</v>
      </c>
      <c r="B164" s="130" t="s">
        <v>38</v>
      </c>
      <c r="C164" s="130" t="s">
        <v>253</v>
      </c>
      <c r="D164" s="81" t="s">
        <v>4444</v>
      </c>
      <c r="E164" s="97">
        <v>2</v>
      </c>
      <c r="F164" s="97" t="s">
        <v>54</v>
      </c>
      <c r="G164" s="130" t="s">
        <v>27</v>
      </c>
      <c r="H164" s="130" t="s">
        <v>28</v>
      </c>
      <c r="I164" s="130" t="s">
        <v>28</v>
      </c>
      <c r="J164" s="130" t="s">
        <v>27</v>
      </c>
      <c r="K164" s="137" t="s">
        <v>68</v>
      </c>
      <c r="L164" s="137" t="s">
        <v>68</v>
      </c>
      <c r="M164" s="137" t="s">
        <v>27</v>
      </c>
      <c r="N164" s="122" t="s">
        <v>31</v>
      </c>
      <c r="O164" s="62" t="s">
        <v>284</v>
      </c>
      <c r="P164" s="131" t="s">
        <v>41</v>
      </c>
      <c r="Q164" s="131"/>
      <c r="R164" s="131"/>
      <c r="S164" s="131"/>
      <c r="T164" s="130"/>
      <c r="U164" s="130"/>
      <c r="V164" s="130"/>
      <c r="W164" s="130"/>
      <c r="X164" s="130"/>
      <c r="Y164" s="130"/>
    </row>
    <row r="165" spans="1:25">
      <c r="A165" s="77">
        <v>24</v>
      </c>
      <c r="B165" t="s">
        <v>38</v>
      </c>
      <c r="C165" t="s">
        <v>253</v>
      </c>
      <c r="D165" s="81" t="s">
        <v>4444</v>
      </c>
      <c r="E165" s="97">
        <v>2</v>
      </c>
      <c r="F165" s="97" t="s">
        <v>54</v>
      </c>
      <c r="G165" t="s">
        <v>28</v>
      </c>
      <c r="H165" t="s">
        <v>28</v>
      </c>
      <c r="I165" t="s">
        <v>28</v>
      </c>
      <c r="J165" t="s">
        <v>28</v>
      </c>
      <c r="K165" t="s">
        <v>29</v>
      </c>
      <c r="M165" s="85" t="s">
        <v>28</v>
      </c>
      <c r="N165" s="85" t="s">
        <v>39</v>
      </c>
      <c r="O165" s="11" t="s">
        <v>285</v>
      </c>
      <c r="P165" s="129" t="s">
        <v>86</v>
      </c>
      <c r="Q165" s="129" t="s">
        <v>286</v>
      </c>
      <c r="R165" s="140" t="s">
        <v>4465</v>
      </c>
      <c r="S165" s="129"/>
    </row>
    <row r="166" spans="1:25">
      <c r="A166" s="77">
        <v>24</v>
      </c>
      <c r="B166" t="s">
        <v>38</v>
      </c>
      <c r="C166" t="s">
        <v>253</v>
      </c>
      <c r="D166" s="81" t="s">
        <v>4444</v>
      </c>
      <c r="E166" s="97">
        <v>2</v>
      </c>
      <c r="F166" s="97" t="s">
        <v>54</v>
      </c>
      <c r="G166" t="s">
        <v>28</v>
      </c>
      <c r="H166" t="s">
        <v>28</v>
      </c>
      <c r="I166" t="s">
        <v>28</v>
      </c>
      <c r="J166" t="s">
        <v>28</v>
      </c>
      <c r="K166" t="s">
        <v>29</v>
      </c>
      <c r="M166" s="85" t="s">
        <v>28</v>
      </c>
      <c r="N166" s="85" t="s">
        <v>39</v>
      </c>
      <c r="O166" s="132" t="s">
        <v>287</v>
      </c>
      <c r="P166" s="129" t="s">
        <v>86</v>
      </c>
      <c r="Q166" s="129" t="s">
        <v>286</v>
      </c>
      <c r="R166" s="140" t="s">
        <v>4465</v>
      </c>
      <c r="S166" s="129"/>
    </row>
    <row r="167" spans="1:25">
      <c r="A167" s="77">
        <v>24</v>
      </c>
      <c r="B167" t="s">
        <v>38</v>
      </c>
      <c r="C167" t="s">
        <v>253</v>
      </c>
      <c r="D167" s="81" t="s">
        <v>4444</v>
      </c>
      <c r="E167" s="97">
        <v>2</v>
      </c>
      <c r="F167" s="97" t="s">
        <v>54</v>
      </c>
      <c r="G167" t="s">
        <v>28</v>
      </c>
      <c r="H167" t="s">
        <v>28</v>
      </c>
      <c r="I167" t="s">
        <v>28</v>
      </c>
      <c r="J167" t="s">
        <v>28</v>
      </c>
      <c r="K167" t="s">
        <v>29</v>
      </c>
      <c r="M167" s="85" t="s">
        <v>28</v>
      </c>
      <c r="N167" s="85" t="s">
        <v>39</v>
      </c>
      <c r="O167" s="132" t="s">
        <v>288</v>
      </c>
      <c r="P167" s="129" t="s">
        <v>86</v>
      </c>
      <c r="Q167" s="129" t="s">
        <v>286</v>
      </c>
      <c r="R167" s="140" t="s">
        <v>4465</v>
      </c>
      <c r="S167" s="129"/>
    </row>
    <row r="168" spans="1:25">
      <c r="A168" s="77">
        <v>24</v>
      </c>
      <c r="B168" t="s">
        <v>38</v>
      </c>
      <c r="C168" t="s">
        <v>253</v>
      </c>
      <c r="D168" s="81" t="s">
        <v>4444</v>
      </c>
      <c r="E168" s="97">
        <v>2</v>
      </c>
      <c r="F168" s="97" t="s">
        <v>54</v>
      </c>
      <c r="G168" t="s">
        <v>28</v>
      </c>
      <c r="H168" t="s">
        <v>28</v>
      </c>
      <c r="I168" t="s">
        <v>28</v>
      </c>
      <c r="J168" t="s">
        <v>28</v>
      </c>
      <c r="K168" t="s">
        <v>29</v>
      </c>
      <c r="M168" s="85" t="s">
        <v>28</v>
      </c>
      <c r="N168" s="85" t="s">
        <v>39</v>
      </c>
      <c r="O168" s="132" t="s">
        <v>289</v>
      </c>
      <c r="P168" s="129" t="s">
        <v>86</v>
      </c>
      <c r="Q168" s="129" t="s">
        <v>286</v>
      </c>
      <c r="R168" s="140" t="s">
        <v>4465</v>
      </c>
      <c r="S168" s="129"/>
    </row>
    <row r="169" spans="1:25">
      <c r="A169" s="77">
        <v>24</v>
      </c>
      <c r="B169" t="s">
        <v>38</v>
      </c>
      <c r="C169" t="s">
        <v>253</v>
      </c>
      <c r="D169" s="81" t="s">
        <v>4444</v>
      </c>
      <c r="E169" s="97">
        <v>2</v>
      </c>
      <c r="F169" s="97" t="s">
        <v>54</v>
      </c>
      <c r="G169" t="s">
        <v>28</v>
      </c>
      <c r="H169" t="s">
        <v>28</v>
      </c>
      <c r="I169" t="s">
        <v>28</v>
      </c>
      <c r="J169" t="s">
        <v>28</v>
      </c>
      <c r="K169" t="s">
        <v>29</v>
      </c>
      <c r="M169" s="85" t="s">
        <v>28</v>
      </c>
      <c r="N169" s="85" t="s">
        <v>39</v>
      </c>
      <c r="O169" s="132" t="s">
        <v>290</v>
      </c>
      <c r="P169" s="129" t="s">
        <v>86</v>
      </c>
      <c r="Q169" s="129" t="s">
        <v>286</v>
      </c>
      <c r="R169" s="140" t="s">
        <v>4465</v>
      </c>
      <c r="S169" s="129"/>
    </row>
    <row r="170" spans="1:25" hidden="1">
      <c r="A170" s="78">
        <v>24</v>
      </c>
      <c r="B170" s="130" t="s">
        <v>38</v>
      </c>
      <c r="C170" s="130" t="s">
        <v>253</v>
      </c>
      <c r="D170" s="81" t="s">
        <v>4444</v>
      </c>
      <c r="E170" s="97">
        <v>2</v>
      </c>
      <c r="F170" s="97" t="s">
        <v>54</v>
      </c>
      <c r="G170" s="130" t="s">
        <v>27</v>
      </c>
      <c r="H170" s="130" t="s">
        <v>28</v>
      </c>
      <c r="I170" s="130" t="s">
        <v>28</v>
      </c>
      <c r="J170" s="130" t="s">
        <v>27</v>
      </c>
      <c r="K170" s="137" t="s">
        <v>68</v>
      </c>
      <c r="L170" s="137" t="s">
        <v>68</v>
      </c>
      <c r="M170" s="137" t="s">
        <v>27</v>
      </c>
      <c r="N170" s="122" t="s">
        <v>31</v>
      </c>
      <c r="O170" s="136" t="s">
        <v>291</v>
      </c>
      <c r="P170" s="131" t="s">
        <v>64</v>
      </c>
      <c r="Q170" s="131"/>
      <c r="R170" s="131"/>
      <c r="S170" s="131"/>
      <c r="T170" s="130"/>
      <c r="U170" s="130"/>
      <c r="V170" s="130"/>
      <c r="W170" s="130"/>
      <c r="X170" s="130"/>
      <c r="Y170" s="130"/>
    </row>
    <row r="171" spans="1:25">
      <c r="A171" s="77">
        <v>24</v>
      </c>
      <c r="B171" t="s">
        <v>38</v>
      </c>
      <c r="C171" t="s">
        <v>253</v>
      </c>
      <c r="D171" s="81" t="s">
        <v>4444</v>
      </c>
      <c r="E171" s="97">
        <v>2</v>
      </c>
      <c r="F171" s="97" t="s">
        <v>54</v>
      </c>
      <c r="G171" t="s">
        <v>28</v>
      </c>
      <c r="H171" t="s">
        <v>28</v>
      </c>
      <c r="I171" t="s">
        <v>28</v>
      </c>
      <c r="J171" t="s">
        <v>28</v>
      </c>
      <c r="K171" t="s">
        <v>29</v>
      </c>
      <c r="M171" s="85" t="s">
        <v>28</v>
      </c>
      <c r="N171" s="85" t="s">
        <v>39</v>
      </c>
      <c r="O171" t="s">
        <v>292</v>
      </c>
      <c r="P171" t="s">
        <v>213</v>
      </c>
      <c r="Q171" t="s">
        <v>286</v>
      </c>
      <c r="R171" s="140" t="s">
        <v>4465</v>
      </c>
      <c r="T171" t="s">
        <v>29</v>
      </c>
      <c r="U171">
        <v>1</v>
      </c>
      <c r="X171">
        <v>0</v>
      </c>
      <c r="Y171">
        <v>0</v>
      </c>
    </row>
    <row r="172" spans="1:25" s="130" customFormat="1">
      <c r="A172" s="77">
        <v>24</v>
      </c>
      <c r="B172" t="s">
        <v>38</v>
      </c>
      <c r="C172" t="s">
        <v>253</v>
      </c>
      <c r="D172" s="81" t="s">
        <v>4444</v>
      </c>
      <c r="E172" s="97">
        <v>2</v>
      </c>
      <c r="F172" s="97" t="s">
        <v>54</v>
      </c>
      <c r="G172" t="s">
        <v>28</v>
      </c>
      <c r="H172" t="s">
        <v>28</v>
      </c>
      <c r="I172" t="s">
        <v>28</v>
      </c>
      <c r="J172" t="s">
        <v>28</v>
      </c>
      <c r="K172" t="s">
        <v>29</v>
      </c>
      <c r="M172" s="85" t="s">
        <v>28</v>
      </c>
      <c r="N172" s="85" t="s">
        <v>39</v>
      </c>
      <c r="O172" t="s">
        <v>293</v>
      </c>
      <c r="P172" t="s">
        <v>213</v>
      </c>
      <c r="Q172" t="s">
        <v>286</v>
      </c>
      <c r="R172" s="140" t="s">
        <v>4465</v>
      </c>
      <c r="T172" t="s">
        <v>29</v>
      </c>
      <c r="U172">
        <v>1</v>
      </c>
      <c r="X172">
        <v>0</v>
      </c>
      <c r="Y172">
        <v>0</v>
      </c>
    </row>
    <row r="173" spans="1:25" s="130" customFormat="1">
      <c r="A173" s="77">
        <v>24</v>
      </c>
      <c r="B173" t="s">
        <v>38</v>
      </c>
      <c r="C173" t="s">
        <v>253</v>
      </c>
      <c r="D173" s="81" t="s">
        <v>4444</v>
      </c>
      <c r="E173" s="97">
        <v>2</v>
      </c>
      <c r="F173" s="97" t="s">
        <v>54</v>
      </c>
      <c r="G173" t="s">
        <v>28</v>
      </c>
      <c r="H173" t="s">
        <v>28</v>
      </c>
      <c r="I173" t="s">
        <v>28</v>
      </c>
      <c r="J173" t="s">
        <v>28</v>
      </c>
      <c r="K173" t="s">
        <v>29</v>
      </c>
      <c r="M173" s="85" t="s">
        <v>28</v>
      </c>
      <c r="N173" s="85" t="s">
        <v>39</v>
      </c>
      <c r="O173" t="s">
        <v>294</v>
      </c>
      <c r="P173" t="s">
        <v>213</v>
      </c>
      <c r="Q173" t="s">
        <v>286</v>
      </c>
      <c r="R173" s="140" t="s">
        <v>4465</v>
      </c>
      <c r="T173" t="s">
        <v>29</v>
      </c>
      <c r="U173">
        <v>1</v>
      </c>
      <c r="X173">
        <v>0</v>
      </c>
      <c r="Y173">
        <v>0</v>
      </c>
    </row>
    <row r="174" spans="1:25" s="130" customFormat="1">
      <c r="A174" s="77">
        <v>25</v>
      </c>
      <c r="B174" t="s">
        <v>38</v>
      </c>
      <c r="C174" t="s">
        <v>253</v>
      </c>
      <c r="D174" s="81" t="s">
        <v>4445</v>
      </c>
      <c r="E174" s="97">
        <v>2</v>
      </c>
      <c r="F174" s="97" t="s">
        <v>49</v>
      </c>
      <c r="G174" t="s">
        <v>28</v>
      </c>
      <c r="H174" t="s">
        <v>28</v>
      </c>
      <c r="I174" t="s">
        <v>28</v>
      </c>
      <c r="J174" t="s">
        <v>28</v>
      </c>
      <c r="K174" t="s">
        <v>29</v>
      </c>
      <c r="M174" s="85" t="s">
        <v>28</v>
      </c>
      <c r="N174" s="85" t="s">
        <v>39</v>
      </c>
      <c r="O174" t="s">
        <v>295</v>
      </c>
      <c r="P174" s="129" t="s">
        <v>217</v>
      </c>
      <c r="Q174" s="129" t="s">
        <v>296</v>
      </c>
      <c r="R174" s="140" t="s">
        <v>4463</v>
      </c>
      <c r="S174" s="129"/>
    </row>
    <row r="175" spans="1:25">
      <c r="A175" s="77">
        <v>25</v>
      </c>
      <c r="B175" t="s">
        <v>38</v>
      </c>
      <c r="C175" t="s">
        <v>253</v>
      </c>
      <c r="D175" s="81" t="s">
        <v>4445</v>
      </c>
      <c r="E175" s="97">
        <v>2</v>
      </c>
      <c r="F175" s="97" t="s">
        <v>49</v>
      </c>
      <c r="G175" t="s">
        <v>28</v>
      </c>
      <c r="H175" t="s">
        <v>28</v>
      </c>
      <c r="I175" t="s">
        <v>28</v>
      </c>
      <c r="J175" t="s">
        <v>28</v>
      </c>
      <c r="K175" t="s">
        <v>29</v>
      </c>
      <c r="M175" s="85" t="s">
        <v>28</v>
      </c>
      <c r="N175" s="85" t="s">
        <v>39</v>
      </c>
      <c r="O175" t="s">
        <v>297</v>
      </c>
      <c r="P175" s="129" t="s">
        <v>217</v>
      </c>
      <c r="Q175" s="129" t="s">
        <v>296</v>
      </c>
      <c r="R175" s="140" t="s">
        <v>4463</v>
      </c>
      <c r="S175" s="129"/>
    </row>
    <row r="176" spans="1:25">
      <c r="A176" s="77">
        <v>25</v>
      </c>
      <c r="B176" t="s">
        <v>38</v>
      </c>
      <c r="C176" t="s">
        <v>253</v>
      </c>
      <c r="D176" s="81" t="s">
        <v>4445</v>
      </c>
      <c r="E176" s="97">
        <v>2</v>
      </c>
      <c r="F176" s="97" t="s">
        <v>49</v>
      </c>
      <c r="G176" t="s">
        <v>28</v>
      </c>
      <c r="H176" t="s">
        <v>28</v>
      </c>
      <c r="I176" t="s">
        <v>28</v>
      </c>
      <c r="J176" t="s">
        <v>28</v>
      </c>
      <c r="K176" t="s">
        <v>29</v>
      </c>
      <c r="M176" s="85" t="s">
        <v>28</v>
      </c>
      <c r="N176" s="85" t="s">
        <v>39</v>
      </c>
      <c r="O176" t="s">
        <v>298</v>
      </c>
      <c r="P176" s="129" t="s">
        <v>217</v>
      </c>
      <c r="Q176" s="129" t="s">
        <v>296</v>
      </c>
      <c r="R176" s="140" t="s">
        <v>4463</v>
      </c>
      <c r="S176" s="129"/>
    </row>
    <row r="177" spans="1:25">
      <c r="A177" s="77">
        <v>25</v>
      </c>
      <c r="B177" t="s">
        <v>38</v>
      </c>
      <c r="C177" t="s">
        <v>253</v>
      </c>
      <c r="D177" s="81" t="s">
        <v>4445</v>
      </c>
      <c r="E177" s="97">
        <v>2</v>
      </c>
      <c r="F177" s="97" t="s">
        <v>49</v>
      </c>
      <c r="G177" t="s">
        <v>28</v>
      </c>
      <c r="H177" t="s">
        <v>28</v>
      </c>
      <c r="I177" t="s">
        <v>28</v>
      </c>
      <c r="J177" t="s">
        <v>28</v>
      </c>
      <c r="K177" t="s">
        <v>29</v>
      </c>
      <c r="M177" s="85" t="s">
        <v>28</v>
      </c>
      <c r="N177" s="85" t="s">
        <v>39</v>
      </c>
      <c r="O177" s="60" t="s">
        <v>299</v>
      </c>
      <c r="P177" s="129" t="s">
        <v>217</v>
      </c>
      <c r="Q177" s="129" t="s">
        <v>296</v>
      </c>
      <c r="R177" s="140" t="s">
        <v>4463</v>
      </c>
      <c r="S177" s="129"/>
    </row>
    <row r="178" spans="1:25">
      <c r="A178" s="77">
        <v>25</v>
      </c>
      <c r="B178" t="s">
        <v>38</v>
      </c>
      <c r="C178" t="s">
        <v>253</v>
      </c>
      <c r="D178" s="81" t="s">
        <v>4445</v>
      </c>
      <c r="E178" s="97">
        <v>2</v>
      </c>
      <c r="F178" s="97" t="s">
        <v>49</v>
      </c>
      <c r="G178" t="s">
        <v>28</v>
      </c>
      <c r="H178" t="s">
        <v>28</v>
      </c>
      <c r="I178" t="s">
        <v>28</v>
      </c>
      <c r="J178" t="s">
        <v>28</v>
      </c>
      <c r="K178" t="s">
        <v>29</v>
      </c>
      <c r="M178" s="85" t="s">
        <v>28</v>
      </c>
      <c r="N178" s="85" t="s">
        <v>39</v>
      </c>
      <c r="O178" s="60" t="s">
        <v>300</v>
      </c>
      <c r="P178" s="129" t="s">
        <v>217</v>
      </c>
      <c r="Q178" s="129" t="s">
        <v>296</v>
      </c>
      <c r="R178" s="140" t="s">
        <v>4463</v>
      </c>
      <c r="S178" s="129"/>
    </row>
    <row r="179" spans="1:25" hidden="1">
      <c r="A179" s="78">
        <v>25</v>
      </c>
      <c r="B179" s="130" t="s">
        <v>38</v>
      </c>
      <c r="C179" s="130" t="s">
        <v>253</v>
      </c>
      <c r="D179" s="81" t="s">
        <v>4445</v>
      </c>
      <c r="E179" s="97">
        <v>2</v>
      </c>
      <c r="F179" s="97" t="s">
        <v>49</v>
      </c>
      <c r="G179" s="130" t="s">
        <v>27</v>
      </c>
      <c r="H179" s="130" t="s">
        <v>28</v>
      </c>
      <c r="I179" s="130" t="s">
        <v>28</v>
      </c>
      <c r="J179" s="130" t="s">
        <v>27</v>
      </c>
      <c r="K179" s="137" t="s">
        <v>68</v>
      </c>
      <c r="L179" s="137" t="s">
        <v>68</v>
      </c>
      <c r="M179" s="137" t="s">
        <v>27</v>
      </c>
      <c r="N179" s="122" t="s">
        <v>31</v>
      </c>
      <c r="O179" s="136" t="s">
        <v>301</v>
      </c>
      <c r="P179" s="131" t="s">
        <v>202</v>
      </c>
      <c r="Q179" s="131"/>
      <c r="R179" s="131"/>
      <c r="S179" s="131"/>
      <c r="T179" s="130"/>
      <c r="U179" s="130"/>
      <c r="V179" s="130"/>
      <c r="W179" s="130"/>
      <c r="X179" s="130"/>
      <c r="Y179" s="130"/>
    </row>
    <row r="180" spans="1:25" hidden="1">
      <c r="A180" s="78">
        <v>25</v>
      </c>
      <c r="B180" s="130" t="s">
        <v>38</v>
      </c>
      <c r="C180" s="130" t="s">
        <v>253</v>
      </c>
      <c r="D180" s="81" t="s">
        <v>4445</v>
      </c>
      <c r="E180" s="97">
        <v>2</v>
      </c>
      <c r="F180" s="97" t="s">
        <v>49</v>
      </c>
      <c r="G180" s="130" t="s">
        <v>27</v>
      </c>
      <c r="H180" s="130" t="s">
        <v>28</v>
      </c>
      <c r="I180" s="130" t="s">
        <v>28</v>
      </c>
      <c r="J180" s="130" t="s">
        <v>27</v>
      </c>
      <c r="K180" s="137" t="s">
        <v>68</v>
      </c>
      <c r="L180" s="137" t="s">
        <v>68</v>
      </c>
      <c r="M180" s="137" t="s">
        <v>27</v>
      </c>
      <c r="N180" s="122" t="s">
        <v>31</v>
      </c>
      <c r="O180" s="136" t="s">
        <v>302</v>
      </c>
      <c r="P180" s="131" t="s">
        <v>202</v>
      </c>
      <c r="Q180" s="131"/>
      <c r="R180" s="131"/>
      <c r="S180" s="131"/>
      <c r="T180" s="130"/>
      <c r="U180" s="130"/>
      <c r="V180" s="130"/>
      <c r="W180" s="130"/>
      <c r="X180" s="130"/>
      <c r="Y180" s="130"/>
    </row>
    <row r="181" spans="1:25" s="130" customFormat="1" hidden="1">
      <c r="A181" s="78">
        <v>25</v>
      </c>
      <c r="B181" s="130" t="s">
        <v>38</v>
      </c>
      <c r="C181" s="130" t="s">
        <v>253</v>
      </c>
      <c r="D181" s="81" t="s">
        <v>4445</v>
      </c>
      <c r="E181" s="97">
        <v>2</v>
      </c>
      <c r="F181" s="97" t="s">
        <v>49</v>
      </c>
      <c r="G181" s="130" t="s">
        <v>27</v>
      </c>
      <c r="H181" s="130" t="s">
        <v>28</v>
      </c>
      <c r="I181" s="130" t="s">
        <v>28</v>
      </c>
      <c r="J181" s="130" t="s">
        <v>27</v>
      </c>
      <c r="K181" s="137" t="s">
        <v>68</v>
      </c>
      <c r="L181" s="137" t="s">
        <v>68</v>
      </c>
      <c r="M181" s="137" t="s">
        <v>27</v>
      </c>
      <c r="N181" s="122" t="s">
        <v>31</v>
      </c>
      <c r="O181" s="136" t="s">
        <v>303</v>
      </c>
      <c r="P181" s="131" t="s">
        <v>202</v>
      </c>
      <c r="Q181" s="131"/>
      <c r="R181" s="131"/>
      <c r="S181" s="131"/>
    </row>
    <row r="182" spans="1:25" s="130" customFormat="1">
      <c r="A182" s="77">
        <v>25</v>
      </c>
      <c r="B182" t="s">
        <v>38</v>
      </c>
      <c r="C182" t="s">
        <v>253</v>
      </c>
      <c r="D182" s="81" t="s">
        <v>4445</v>
      </c>
      <c r="E182" s="97">
        <v>2</v>
      </c>
      <c r="F182" s="97" t="s">
        <v>49</v>
      </c>
      <c r="G182" t="s">
        <v>28</v>
      </c>
      <c r="H182" t="s">
        <v>28</v>
      </c>
      <c r="I182" t="s">
        <v>28</v>
      </c>
      <c r="J182" t="s">
        <v>28</v>
      </c>
      <c r="K182" t="s">
        <v>29</v>
      </c>
      <c r="M182" s="85" t="s">
        <v>28</v>
      </c>
      <c r="N182" s="85" t="s">
        <v>39</v>
      </c>
      <c r="O182" s="60" t="s">
        <v>304</v>
      </c>
      <c r="P182" t="s">
        <v>213</v>
      </c>
      <c r="Q182" t="s">
        <v>305</v>
      </c>
      <c r="R182" s="140" t="s">
        <v>4463</v>
      </c>
      <c r="T182" t="s">
        <v>29</v>
      </c>
      <c r="U182">
        <v>1</v>
      </c>
      <c r="X182">
        <v>0</v>
      </c>
      <c r="Y182">
        <v>0</v>
      </c>
    </row>
    <row r="183" spans="1:25" s="130" customFormat="1">
      <c r="A183" s="77">
        <v>25</v>
      </c>
      <c r="B183" t="s">
        <v>38</v>
      </c>
      <c r="C183" t="s">
        <v>253</v>
      </c>
      <c r="D183" s="81" t="s">
        <v>4445</v>
      </c>
      <c r="E183" s="97">
        <v>2</v>
      </c>
      <c r="F183" s="97" t="s">
        <v>49</v>
      </c>
      <c r="G183" t="s">
        <v>28</v>
      </c>
      <c r="H183" t="s">
        <v>28</v>
      </c>
      <c r="I183" t="s">
        <v>28</v>
      </c>
      <c r="J183" t="s">
        <v>28</v>
      </c>
      <c r="K183" t="s">
        <v>29</v>
      </c>
      <c r="M183" s="85" t="s">
        <v>28</v>
      </c>
      <c r="N183" s="85" t="s">
        <v>39</v>
      </c>
      <c r="O183" s="60" t="s">
        <v>306</v>
      </c>
      <c r="P183" t="s">
        <v>213</v>
      </c>
      <c r="Q183" t="s">
        <v>305</v>
      </c>
      <c r="R183" s="140" t="s">
        <v>4463</v>
      </c>
      <c r="T183" t="s">
        <v>29</v>
      </c>
      <c r="U183">
        <v>1</v>
      </c>
      <c r="X183">
        <v>0</v>
      </c>
      <c r="Y183">
        <v>0</v>
      </c>
    </row>
    <row r="184" spans="1:25" s="130" customFormat="1">
      <c r="A184" s="77">
        <v>25</v>
      </c>
      <c r="B184" t="s">
        <v>38</v>
      </c>
      <c r="C184" t="s">
        <v>253</v>
      </c>
      <c r="D184" s="81" t="s">
        <v>4445</v>
      </c>
      <c r="E184" s="97">
        <v>2</v>
      </c>
      <c r="F184" s="97" t="s">
        <v>49</v>
      </c>
      <c r="G184" t="s">
        <v>28</v>
      </c>
      <c r="H184" t="s">
        <v>28</v>
      </c>
      <c r="I184" t="s">
        <v>28</v>
      </c>
      <c r="J184" t="s">
        <v>28</v>
      </c>
      <c r="K184" t="s">
        <v>29</v>
      </c>
      <c r="M184" s="85" t="s">
        <v>28</v>
      </c>
      <c r="N184" s="85" t="s">
        <v>39</v>
      </c>
      <c r="O184" s="60" t="s">
        <v>307</v>
      </c>
      <c r="P184" t="s">
        <v>213</v>
      </c>
      <c r="Q184" t="s">
        <v>305</v>
      </c>
      <c r="R184" s="140" t="s">
        <v>4463</v>
      </c>
      <c r="T184" t="s">
        <v>29</v>
      </c>
      <c r="U184">
        <v>1</v>
      </c>
      <c r="X184">
        <v>0</v>
      </c>
      <c r="Y184">
        <v>0</v>
      </c>
    </row>
    <row r="185" spans="1:25">
      <c r="A185" s="77">
        <v>25</v>
      </c>
      <c r="B185" t="s">
        <v>38</v>
      </c>
      <c r="C185" t="s">
        <v>253</v>
      </c>
      <c r="D185" s="81" t="s">
        <v>4445</v>
      </c>
      <c r="E185" s="97">
        <v>2</v>
      </c>
      <c r="F185" s="97" t="s">
        <v>49</v>
      </c>
      <c r="G185" t="s">
        <v>28</v>
      </c>
      <c r="H185" t="s">
        <v>28</v>
      </c>
      <c r="I185" t="s">
        <v>28</v>
      </c>
      <c r="J185" t="s">
        <v>28</v>
      </c>
      <c r="K185" t="s">
        <v>29</v>
      </c>
      <c r="M185" s="85" t="s">
        <v>28</v>
      </c>
      <c r="N185" s="85" t="s">
        <v>39</v>
      </c>
      <c r="O185" s="60" t="s">
        <v>308</v>
      </c>
      <c r="P185" t="s">
        <v>271</v>
      </c>
      <c r="Q185" t="s">
        <v>296</v>
      </c>
      <c r="R185" s="140" t="s">
        <v>4463</v>
      </c>
      <c r="T185" t="s">
        <v>29</v>
      </c>
      <c r="U185">
        <v>1</v>
      </c>
      <c r="X185">
        <v>0</v>
      </c>
      <c r="Y185">
        <v>0</v>
      </c>
    </row>
    <row r="186" spans="1:25" hidden="1">
      <c r="A186" s="38">
        <v>139</v>
      </c>
      <c r="B186" t="s">
        <v>234</v>
      </c>
      <c r="D186" s="81">
        <v>0</v>
      </c>
      <c r="E186" s="97">
        <v>1</v>
      </c>
      <c r="F186" s="97" t="s">
        <v>235</v>
      </c>
      <c r="G186" t="s">
        <v>27</v>
      </c>
      <c r="H186" t="s">
        <v>236</v>
      </c>
      <c r="I186" t="s">
        <v>236</v>
      </c>
      <c r="J186" s="137" t="s">
        <v>27</v>
      </c>
      <c r="K186" s="130" t="s">
        <v>237</v>
      </c>
      <c r="L186" s="130" t="s">
        <v>237</v>
      </c>
      <c r="M186" s="130" t="s">
        <v>28</v>
      </c>
      <c r="N186" s="130" t="s">
        <v>51</v>
      </c>
      <c r="O186" s="68" t="s">
        <v>309</v>
      </c>
      <c r="P186" s="134" t="s">
        <v>239</v>
      </c>
      <c r="Q186" s="134"/>
      <c r="R186" s="134"/>
      <c r="S186" s="134"/>
    </row>
    <row r="187" spans="1:25">
      <c r="A187" s="77">
        <v>25</v>
      </c>
      <c r="B187" t="s">
        <v>38</v>
      </c>
      <c r="C187" t="s">
        <v>253</v>
      </c>
      <c r="D187" s="81" t="s">
        <v>4445</v>
      </c>
      <c r="E187" s="97">
        <v>2</v>
      </c>
      <c r="F187" s="97" t="s">
        <v>49</v>
      </c>
      <c r="G187" t="s">
        <v>28</v>
      </c>
      <c r="H187" t="s">
        <v>28</v>
      </c>
      <c r="I187" t="s">
        <v>28</v>
      </c>
      <c r="J187" t="s">
        <v>28</v>
      </c>
      <c r="K187" t="s">
        <v>29</v>
      </c>
      <c r="M187" s="85" t="s">
        <v>28</v>
      </c>
      <c r="N187" s="85" t="s">
        <v>39</v>
      </c>
      <c r="O187" s="60" t="s">
        <v>310</v>
      </c>
      <c r="P187" t="s">
        <v>271</v>
      </c>
      <c r="Q187" t="s">
        <v>296</v>
      </c>
      <c r="R187" s="140" t="s">
        <v>4463</v>
      </c>
      <c r="T187" t="s">
        <v>29</v>
      </c>
      <c r="U187">
        <v>1</v>
      </c>
      <c r="X187">
        <v>0</v>
      </c>
      <c r="Y187">
        <v>0</v>
      </c>
    </row>
    <row r="188" spans="1:25">
      <c r="A188" s="59">
        <v>25</v>
      </c>
      <c r="B188" t="s">
        <v>38</v>
      </c>
      <c r="C188" t="s">
        <v>253</v>
      </c>
      <c r="D188" s="81" t="s">
        <v>4445</v>
      </c>
      <c r="E188" s="97">
        <v>2</v>
      </c>
      <c r="F188" s="97" t="s">
        <v>49</v>
      </c>
      <c r="G188" t="s">
        <v>28</v>
      </c>
      <c r="H188" t="s">
        <v>28</v>
      </c>
      <c r="I188" t="s">
        <v>28</v>
      </c>
      <c r="J188" t="s">
        <v>28</v>
      </c>
      <c r="K188" s="85" t="s">
        <v>29</v>
      </c>
      <c r="L188" s="85"/>
      <c r="M188" s="85" t="s">
        <v>27</v>
      </c>
      <c r="N188" s="85" t="s">
        <v>62</v>
      </c>
      <c r="O188" s="109" t="s">
        <v>311</v>
      </c>
      <c r="P188" t="s">
        <v>277</v>
      </c>
      <c r="Q188" t="s">
        <v>296</v>
      </c>
      <c r="R188" s="140" t="s">
        <v>4463</v>
      </c>
    </row>
    <row r="189" spans="1:25">
      <c r="A189" s="59">
        <v>25</v>
      </c>
      <c r="B189" t="s">
        <v>38</v>
      </c>
      <c r="C189" t="s">
        <v>253</v>
      </c>
      <c r="D189" s="81" t="s">
        <v>4445</v>
      </c>
      <c r="E189" s="97">
        <v>2</v>
      </c>
      <c r="F189" s="97" t="s">
        <v>49</v>
      </c>
      <c r="G189" t="s">
        <v>28</v>
      </c>
      <c r="H189" t="s">
        <v>28</v>
      </c>
      <c r="I189" t="s">
        <v>28</v>
      </c>
      <c r="J189" t="s">
        <v>28</v>
      </c>
      <c r="K189" s="85" t="s">
        <v>29</v>
      </c>
      <c r="L189" s="85"/>
      <c r="M189" s="85" t="s">
        <v>27</v>
      </c>
      <c r="N189" s="85" t="s">
        <v>62</v>
      </c>
      <c r="O189" s="109" t="s">
        <v>312</v>
      </c>
      <c r="P189" t="s">
        <v>277</v>
      </c>
      <c r="Q189" t="s">
        <v>296</v>
      </c>
      <c r="R189" s="140" t="s">
        <v>4463</v>
      </c>
    </row>
    <row r="190" spans="1:25">
      <c r="A190" s="59">
        <v>25</v>
      </c>
      <c r="B190" t="s">
        <v>38</v>
      </c>
      <c r="C190" t="s">
        <v>253</v>
      </c>
      <c r="D190" s="81" t="s">
        <v>4445</v>
      </c>
      <c r="E190" s="97">
        <v>2</v>
      </c>
      <c r="F190" s="97" t="s">
        <v>49</v>
      </c>
      <c r="G190" t="s">
        <v>28</v>
      </c>
      <c r="H190" t="s">
        <v>28</v>
      </c>
      <c r="I190" t="s">
        <v>28</v>
      </c>
      <c r="J190" t="s">
        <v>28</v>
      </c>
      <c r="K190" s="85" t="s">
        <v>29</v>
      </c>
      <c r="L190" s="85"/>
      <c r="M190" s="85" t="s">
        <v>27</v>
      </c>
      <c r="N190" s="85" t="s">
        <v>62</v>
      </c>
      <c r="O190" s="59" t="s">
        <v>313</v>
      </c>
      <c r="P190" t="s">
        <v>277</v>
      </c>
      <c r="Q190" t="s">
        <v>296</v>
      </c>
      <c r="R190" s="140" t="s">
        <v>4463</v>
      </c>
    </row>
    <row r="191" spans="1:25" hidden="1">
      <c r="A191" s="78">
        <v>26</v>
      </c>
      <c r="B191" s="130" t="s">
        <v>38</v>
      </c>
      <c r="C191" s="130" t="s">
        <v>253</v>
      </c>
      <c r="D191" s="81" t="s">
        <v>4444</v>
      </c>
      <c r="E191" s="97">
        <v>2</v>
      </c>
      <c r="F191" s="97" t="s">
        <v>67</v>
      </c>
      <c r="G191" s="130" t="s">
        <v>27</v>
      </c>
      <c r="H191" s="130" t="s">
        <v>28</v>
      </c>
      <c r="I191" s="130" t="s">
        <v>28</v>
      </c>
      <c r="J191" s="130" t="s">
        <v>27</v>
      </c>
      <c r="K191" s="137" t="s">
        <v>68</v>
      </c>
      <c r="L191" s="137" t="s">
        <v>68</v>
      </c>
      <c r="M191" s="137" t="s">
        <v>27</v>
      </c>
      <c r="N191" s="122" t="s">
        <v>31</v>
      </c>
      <c r="O191" s="130" t="s">
        <v>314</v>
      </c>
      <c r="P191" s="131" t="s">
        <v>281</v>
      </c>
      <c r="Q191" s="131"/>
      <c r="R191" s="131"/>
      <c r="S191" s="131"/>
      <c r="T191" s="130"/>
      <c r="U191" s="130"/>
      <c r="V191" s="130"/>
      <c r="W191" s="130"/>
      <c r="X191" s="130"/>
      <c r="Y191" s="130"/>
    </row>
    <row r="192" spans="1:25" hidden="1">
      <c r="A192" s="78">
        <v>26</v>
      </c>
      <c r="B192" s="130" t="s">
        <v>38</v>
      </c>
      <c r="C192" s="130" t="s">
        <v>253</v>
      </c>
      <c r="D192" s="81" t="s">
        <v>4444</v>
      </c>
      <c r="E192" s="97">
        <v>2</v>
      </c>
      <c r="F192" s="97" t="s">
        <v>67</v>
      </c>
      <c r="G192" s="130" t="s">
        <v>27</v>
      </c>
      <c r="H192" s="130" t="s">
        <v>28</v>
      </c>
      <c r="I192" s="130" t="s">
        <v>28</v>
      </c>
      <c r="J192" s="130" t="s">
        <v>27</v>
      </c>
      <c r="K192" s="137" t="s">
        <v>68</v>
      </c>
      <c r="L192" s="137" t="s">
        <v>68</v>
      </c>
      <c r="M192" s="137" t="s">
        <v>27</v>
      </c>
      <c r="N192" s="122" t="s">
        <v>31</v>
      </c>
      <c r="O192" s="130" t="s">
        <v>315</v>
      </c>
      <c r="P192" s="131" t="s">
        <v>281</v>
      </c>
      <c r="Q192" s="131"/>
      <c r="R192" s="131"/>
      <c r="S192" s="131"/>
      <c r="T192" s="130"/>
      <c r="U192" s="130"/>
      <c r="V192" s="130"/>
      <c r="W192" s="130"/>
      <c r="X192" s="130"/>
      <c r="Y192" s="130"/>
    </row>
    <row r="193" spans="1:25" hidden="1">
      <c r="A193" s="78">
        <v>26</v>
      </c>
      <c r="B193" s="130" t="s">
        <v>38</v>
      </c>
      <c r="C193" s="130" t="s">
        <v>253</v>
      </c>
      <c r="D193" s="81" t="s">
        <v>4444</v>
      </c>
      <c r="E193" s="97">
        <v>2</v>
      </c>
      <c r="F193" s="97" t="s">
        <v>67</v>
      </c>
      <c r="G193" s="130" t="s">
        <v>27</v>
      </c>
      <c r="H193" s="130" t="s">
        <v>28</v>
      </c>
      <c r="I193" s="130" t="s">
        <v>28</v>
      </c>
      <c r="J193" s="130" t="s">
        <v>27</v>
      </c>
      <c r="K193" s="137" t="s">
        <v>68</v>
      </c>
      <c r="L193" s="137" t="s">
        <v>68</v>
      </c>
      <c r="M193" s="137" t="s">
        <v>27</v>
      </c>
      <c r="N193" s="122" t="s">
        <v>31</v>
      </c>
      <c r="O193" s="61" t="s">
        <v>316</v>
      </c>
      <c r="P193" s="131" t="s">
        <v>281</v>
      </c>
      <c r="Q193" s="131"/>
      <c r="R193" s="131"/>
      <c r="S193" s="131"/>
      <c r="T193" s="130"/>
      <c r="U193" s="130"/>
      <c r="V193" s="130"/>
      <c r="W193" s="130"/>
      <c r="X193" s="130"/>
      <c r="Y193" s="130"/>
    </row>
    <row r="194" spans="1:25" s="130" customFormat="1" hidden="1">
      <c r="A194" s="38">
        <v>139</v>
      </c>
      <c r="B194" t="s">
        <v>234</v>
      </c>
      <c r="D194" s="81">
        <v>0</v>
      </c>
      <c r="E194" s="97">
        <v>1</v>
      </c>
      <c r="F194" s="97" t="s">
        <v>235</v>
      </c>
      <c r="G194" t="s">
        <v>27</v>
      </c>
      <c r="H194" t="s">
        <v>236</v>
      </c>
      <c r="I194" t="s">
        <v>236</v>
      </c>
      <c r="J194" s="137" t="s">
        <v>27</v>
      </c>
      <c r="K194" s="130" t="s">
        <v>237</v>
      </c>
      <c r="L194" s="130" t="s">
        <v>237</v>
      </c>
      <c r="M194" s="130" t="s">
        <v>28</v>
      </c>
      <c r="N194" s="130" t="s">
        <v>51</v>
      </c>
      <c r="O194" s="68" t="s">
        <v>317</v>
      </c>
      <c r="P194" s="134" t="s">
        <v>239</v>
      </c>
      <c r="Q194" s="134"/>
      <c r="R194" s="134"/>
      <c r="S194" s="134"/>
    </row>
    <row r="195" spans="1:25" s="130" customFormat="1">
      <c r="A195" s="77">
        <v>26</v>
      </c>
      <c r="B195" t="s">
        <v>38</v>
      </c>
      <c r="C195" t="s">
        <v>253</v>
      </c>
      <c r="D195" s="81" t="s">
        <v>4444</v>
      </c>
      <c r="E195" s="97">
        <v>2</v>
      </c>
      <c r="F195" s="97" t="s">
        <v>67</v>
      </c>
      <c r="G195" t="s">
        <v>28</v>
      </c>
      <c r="H195" t="s">
        <v>28</v>
      </c>
      <c r="I195" t="s">
        <v>28</v>
      </c>
      <c r="J195" t="s">
        <v>28</v>
      </c>
      <c r="K195" t="s">
        <v>29</v>
      </c>
      <c r="M195" s="85" t="s">
        <v>28</v>
      </c>
      <c r="N195" s="85" t="s">
        <v>39</v>
      </c>
      <c r="O195" s="60" t="s">
        <v>318</v>
      </c>
      <c r="P195" t="s">
        <v>213</v>
      </c>
      <c r="Q195" t="s">
        <v>319</v>
      </c>
      <c r="R195" s="140" t="s">
        <v>4465</v>
      </c>
      <c r="T195" t="s">
        <v>29</v>
      </c>
      <c r="U195">
        <v>1</v>
      </c>
      <c r="X195">
        <v>0</v>
      </c>
      <c r="Y195">
        <v>0</v>
      </c>
    </row>
    <row r="196" spans="1:25" s="130" customFormat="1">
      <c r="A196" s="77">
        <v>26</v>
      </c>
      <c r="B196" t="s">
        <v>38</v>
      </c>
      <c r="C196" t="s">
        <v>253</v>
      </c>
      <c r="D196" s="81" t="s">
        <v>4444</v>
      </c>
      <c r="E196" s="97">
        <v>2</v>
      </c>
      <c r="F196" s="97" t="s">
        <v>67</v>
      </c>
      <c r="G196" t="s">
        <v>28</v>
      </c>
      <c r="H196" t="s">
        <v>28</v>
      </c>
      <c r="I196" t="s">
        <v>28</v>
      </c>
      <c r="J196" t="s">
        <v>28</v>
      </c>
      <c r="K196" t="s">
        <v>29</v>
      </c>
      <c r="M196" s="85" t="s">
        <v>28</v>
      </c>
      <c r="N196" s="85" t="s">
        <v>39</v>
      </c>
      <c r="O196" s="60" t="s">
        <v>320</v>
      </c>
      <c r="P196" t="s">
        <v>213</v>
      </c>
      <c r="Q196" t="s">
        <v>319</v>
      </c>
      <c r="R196" s="140" t="s">
        <v>4465</v>
      </c>
      <c r="T196" t="s">
        <v>29</v>
      </c>
      <c r="U196">
        <v>1</v>
      </c>
      <c r="X196">
        <v>0</v>
      </c>
      <c r="Y196">
        <v>0</v>
      </c>
    </row>
    <row r="197" spans="1:25">
      <c r="A197" s="77">
        <v>26</v>
      </c>
      <c r="B197" t="s">
        <v>38</v>
      </c>
      <c r="C197" t="s">
        <v>253</v>
      </c>
      <c r="D197" s="81" t="s">
        <v>4444</v>
      </c>
      <c r="E197" s="97">
        <v>2</v>
      </c>
      <c r="F197" s="97" t="s">
        <v>67</v>
      </c>
      <c r="G197" t="s">
        <v>28</v>
      </c>
      <c r="H197" t="s">
        <v>28</v>
      </c>
      <c r="I197" t="s">
        <v>28</v>
      </c>
      <c r="J197" t="s">
        <v>28</v>
      </c>
      <c r="K197" t="s">
        <v>29</v>
      </c>
      <c r="M197" s="85" t="s">
        <v>28</v>
      </c>
      <c r="N197" s="85" t="s">
        <v>39</v>
      </c>
      <c r="O197" s="60" t="s">
        <v>321</v>
      </c>
      <c r="P197" t="s">
        <v>213</v>
      </c>
      <c r="Q197" t="s">
        <v>319</v>
      </c>
      <c r="R197" s="140" t="s">
        <v>4465</v>
      </c>
      <c r="T197" t="s">
        <v>29</v>
      </c>
      <c r="U197">
        <v>1</v>
      </c>
      <c r="X197">
        <v>0</v>
      </c>
      <c r="Y197">
        <v>0</v>
      </c>
    </row>
    <row r="198" spans="1:25">
      <c r="A198" s="77">
        <v>26</v>
      </c>
      <c r="B198" t="s">
        <v>38</v>
      </c>
      <c r="C198" t="s">
        <v>253</v>
      </c>
      <c r="D198" s="81" t="s">
        <v>4444</v>
      </c>
      <c r="E198" s="97">
        <v>2</v>
      </c>
      <c r="F198" s="97" t="s">
        <v>67</v>
      </c>
      <c r="G198" t="s">
        <v>28</v>
      </c>
      <c r="H198" t="s">
        <v>28</v>
      </c>
      <c r="I198" t="s">
        <v>28</v>
      </c>
      <c r="J198" t="s">
        <v>28</v>
      </c>
      <c r="K198" t="s">
        <v>29</v>
      </c>
      <c r="M198" s="85" t="s">
        <v>28</v>
      </c>
      <c r="N198" s="85" t="s">
        <v>39</v>
      </c>
      <c r="O198" s="60" t="s">
        <v>322</v>
      </c>
      <c r="P198" t="s">
        <v>213</v>
      </c>
      <c r="Q198" t="s">
        <v>319</v>
      </c>
      <c r="R198" s="140" t="s">
        <v>4465</v>
      </c>
      <c r="T198" t="s">
        <v>29</v>
      </c>
      <c r="U198">
        <v>1</v>
      </c>
      <c r="X198">
        <v>0</v>
      </c>
      <c r="Y198">
        <v>0</v>
      </c>
    </row>
    <row r="199" spans="1:25">
      <c r="A199" s="77">
        <v>27</v>
      </c>
      <c r="B199" t="s">
        <v>38</v>
      </c>
      <c r="C199" t="s">
        <v>253</v>
      </c>
      <c r="D199" s="81" t="s">
        <v>4445</v>
      </c>
      <c r="E199" s="97">
        <v>3</v>
      </c>
      <c r="F199" s="97" t="s">
        <v>74</v>
      </c>
      <c r="G199" t="s">
        <v>28</v>
      </c>
      <c r="H199" t="s">
        <v>28</v>
      </c>
      <c r="I199" t="s">
        <v>28</v>
      </c>
      <c r="J199" t="s">
        <v>28</v>
      </c>
      <c r="K199" t="s">
        <v>29</v>
      </c>
      <c r="M199" s="85" t="s">
        <v>28</v>
      </c>
      <c r="N199" s="85" t="s">
        <v>39</v>
      </c>
      <c r="O199" s="60" t="s">
        <v>323</v>
      </c>
      <c r="P199" s="129" t="s">
        <v>217</v>
      </c>
      <c r="Q199" s="129" t="s">
        <v>324</v>
      </c>
      <c r="R199" s="140" t="s">
        <v>4463</v>
      </c>
      <c r="S199" s="129"/>
    </row>
    <row r="200" spans="1:25">
      <c r="A200" s="77">
        <v>27</v>
      </c>
      <c r="B200" t="s">
        <v>38</v>
      </c>
      <c r="C200" t="s">
        <v>253</v>
      </c>
      <c r="D200" s="81" t="s">
        <v>4445</v>
      </c>
      <c r="E200" s="97">
        <v>3</v>
      </c>
      <c r="F200" s="97" t="s">
        <v>74</v>
      </c>
      <c r="G200" t="s">
        <v>28</v>
      </c>
      <c r="H200" t="s">
        <v>28</v>
      </c>
      <c r="I200" t="s">
        <v>28</v>
      </c>
      <c r="J200" t="s">
        <v>28</v>
      </c>
      <c r="K200" t="s">
        <v>29</v>
      </c>
      <c r="M200" s="85" t="s">
        <v>28</v>
      </c>
      <c r="N200" s="85" t="s">
        <v>39</v>
      </c>
      <c r="O200" s="60" t="s">
        <v>325</v>
      </c>
      <c r="P200" s="129" t="s">
        <v>217</v>
      </c>
      <c r="Q200" s="129" t="s">
        <v>324</v>
      </c>
      <c r="R200" s="140" t="s">
        <v>4463</v>
      </c>
      <c r="S200" s="129"/>
    </row>
    <row r="201" spans="1:25">
      <c r="A201" s="77">
        <v>27</v>
      </c>
      <c r="B201" t="s">
        <v>38</v>
      </c>
      <c r="C201" t="s">
        <v>253</v>
      </c>
      <c r="D201" s="81" t="s">
        <v>4445</v>
      </c>
      <c r="E201" s="97">
        <v>3</v>
      </c>
      <c r="F201" s="97" t="s">
        <v>74</v>
      </c>
      <c r="G201" t="s">
        <v>28</v>
      </c>
      <c r="H201" t="s">
        <v>28</v>
      </c>
      <c r="I201" t="s">
        <v>28</v>
      </c>
      <c r="J201" t="s">
        <v>28</v>
      </c>
      <c r="K201" t="s">
        <v>29</v>
      </c>
      <c r="M201" s="85" t="s">
        <v>28</v>
      </c>
      <c r="N201" s="85" t="s">
        <v>39</v>
      </c>
      <c r="O201" s="60" t="s">
        <v>326</v>
      </c>
      <c r="P201" s="129" t="s">
        <v>217</v>
      </c>
      <c r="Q201" s="129" t="s">
        <v>324</v>
      </c>
      <c r="R201" s="140" t="s">
        <v>4463</v>
      </c>
      <c r="S201" s="129"/>
    </row>
    <row r="202" spans="1:25">
      <c r="A202" s="77">
        <v>27</v>
      </c>
      <c r="B202" t="s">
        <v>38</v>
      </c>
      <c r="C202" t="s">
        <v>253</v>
      </c>
      <c r="D202" s="81" t="s">
        <v>4445</v>
      </c>
      <c r="E202" s="97">
        <v>3</v>
      </c>
      <c r="F202" s="97" t="s">
        <v>74</v>
      </c>
      <c r="G202" t="s">
        <v>28</v>
      </c>
      <c r="H202" t="s">
        <v>28</v>
      </c>
      <c r="I202" t="s">
        <v>28</v>
      </c>
      <c r="J202" t="s">
        <v>28</v>
      </c>
      <c r="K202" t="s">
        <v>29</v>
      </c>
      <c r="M202" s="85" t="s">
        <v>28</v>
      </c>
      <c r="N202" s="85" t="s">
        <v>39</v>
      </c>
      <c r="O202" s="60" t="s">
        <v>327</v>
      </c>
      <c r="P202" s="129" t="s">
        <v>217</v>
      </c>
      <c r="Q202" s="129" t="s">
        <v>324</v>
      </c>
      <c r="R202" s="140" t="s">
        <v>4463</v>
      </c>
      <c r="S202" s="129"/>
    </row>
    <row r="203" spans="1:25" s="130" customFormat="1">
      <c r="A203" s="77">
        <v>27</v>
      </c>
      <c r="B203" t="s">
        <v>38</v>
      </c>
      <c r="C203" t="s">
        <v>253</v>
      </c>
      <c r="D203" s="81" t="s">
        <v>4445</v>
      </c>
      <c r="E203" s="97">
        <v>3</v>
      </c>
      <c r="F203" s="97" t="s">
        <v>74</v>
      </c>
      <c r="G203" t="s">
        <v>28</v>
      </c>
      <c r="H203" t="s">
        <v>28</v>
      </c>
      <c r="I203" t="s">
        <v>28</v>
      </c>
      <c r="J203" t="s">
        <v>28</v>
      </c>
      <c r="K203" t="s">
        <v>29</v>
      </c>
      <c r="M203" s="85" t="s">
        <v>28</v>
      </c>
      <c r="N203" s="85" t="s">
        <v>39</v>
      </c>
      <c r="O203" t="s">
        <v>328</v>
      </c>
      <c r="P203" s="129" t="s">
        <v>217</v>
      </c>
      <c r="Q203" s="129" t="s">
        <v>324</v>
      </c>
      <c r="R203" s="140" t="s">
        <v>4463</v>
      </c>
      <c r="S203" s="129"/>
    </row>
    <row r="204" spans="1:25" s="130" customFormat="1" hidden="1">
      <c r="A204" s="78">
        <v>27</v>
      </c>
      <c r="B204" s="130" t="s">
        <v>38</v>
      </c>
      <c r="C204" s="130" t="s">
        <v>253</v>
      </c>
      <c r="D204" s="81" t="s">
        <v>4445</v>
      </c>
      <c r="E204" s="97">
        <v>3</v>
      </c>
      <c r="F204" s="97" t="s">
        <v>74</v>
      </c>
      <c r="G204" s="130" t="s">
        <v>27</v>
      </c>
      <c r="H204" s="130" t="s">
        <v>28</v>
      </c>
      <c r="I204" s="130" t="s">
        <v>28</v>
      </c>
      <c r="J204" s="130" t="s">
        <v>27</v>
      </c>
      <c r="K204" s="137" t="s">
        <v>68</v>
      </c>
      <c r="L204" s="137" t="s">
        <v>68</v>
      </c>
      <c r="M204" s="137" t="s">
        <v>27</v>
      </c>
      <c r="N204" s="122" t="s">
        <v>31</v>
      </c>
      <c r="O204" s="136" t="s">
        <v>329</v>
      </c>
      <c r="P204" s="131" t="s">
        <v>202</v>
      </c>
      <c r="Q204" s="131"/>
      <c r="R204" s="131"/>
      <c r="S204" s="131"/>
    </row>
    <row r="205" spans="1:25" s="130" customFormat="1" hidden="1">
      <c r="A205" s="78">
        <v>27</v>
      </c>
      <c r="B205" s="130" t="s">
        <v>38</v>
      </c>
      <c r="C205" s="130" t="s">
        <v>253</v>
      </c>
      <c r="D205" s="81" t="s">
        <v>4445</v>
      </c>
      <c r="E205" s="97">
        <v>3</v>
      </c>
      <c r="F205" s="97" t="s">
        <v>74</v>
      </c>
      <c r="G205" s="130" t="s">
        <v>27</v>
      </c>
      <c r="H205" s="130" t="s">
        <v>28</v>
      </c>
      <c r="I205" s="130" t="s">
        <v>28</v>
      </c>
      <c r="J205" s="130" t="s">
        <v>27</v>
      </c>
      <c r="K205" s="137" t="s">
        <v>68</v>
      </c>
      <c r="L205" s="137" t="s">
        <v>68</v>
      </c>
      <c r="M205" s="137" t="s">
        <v>27</v>
      </c>
      <c r="N205" s="122" t="s">
        <v>31</v>
      </c>
      <c r="O205" s="136" t="s">
        <v>330</v>
      </c>
      <c r="P205" s="131" t="s">
        <v>202</v>
      </c>
      <c r="Q205" s="131"/>
      <c r="R205" s="131"/>
      <c r="S205" s="131"/>
    </row>
    <row r="206" spans="1:25" hidden="1">
      <c r="A206" s="78">
        <v>27</v>
      </c>
      <c r="B206" s="130" t="s">
        <v>38</v>
      </c>
      <c r="C206" s="130" t="s">
        <v>253</v>
      </c>
      <c r="D206" s="81" t="s">
        <v>4445</v>
      </c>
      <c r="E206" s="97">
        <v>3</v>
      </c>
      <c r="F206" s="97" t="s">
        <v>74</v>
      </c>
      <c r="G206" s="130" t="s">
        <v>27</v>
      </c>
      <c r="H206" s="130" t="s">
        <v>28</v>
      </c>
      <c r="I206" s="130" t="s">
        <v>28</v>
      </c>
      <c r="J206" s="130" t="s">
        <v>27</v>
      </c>
      <c r="K206" s="137" t="s">
        <v>68</v>
      </c>
      <c r="L206" s="137" t="s">
        <v>68</v>
      </c>
      <c r="M206" s="137" t="s">
        <v>27</v>
      </c>
      <c r="N206" s="122" t="s">
        <v>31</v>
      </c>
      <c r="O206" s="62" t="s">
        <v>331</v>
      </c>
      <c r="P206" s="131" t="s">
        <v>202</v>
      </c>
      <c r="Q206" s="131"/>
      <c r="R206" s="131"/>
      <c r="S206" s="131"/>
      <c r="T206" s="130"/>
      <c r="U206" s="130"/>
      <c r="V206" s="130"/>
      <c r="W206" s="130"/>
      <c r="X206" s="130"/>
      <c r="Y206" s="130"/>
    </row>
    <row r="207" spans="1:25">
      <c r="A207" s="77">
        <v>27</v>
      </c>
      <c r="B207" t="s">
        <v>38</v>
      </c>
      <c r="C207" t="s">
        <v>253</v>
      </c>
      <c r="D207" s="81" t="s">
        <v>4445</v>
      </c>
      <c r="E207" s="97">
        <v>3</v>
      </c>
      <c r="F207" s="97" t="s">
        <v>74</v>
      </c>
      <c r="G207" t="s">
        <v>28</v>
      </c>
      <c r="H207" t="s">
        <v>28</v>
      </c>
      <c r="I207" t="s">
        <v>28</v>
      </c>
      <c r="J207" t="s">
        <v>28</v>
      </c>
      <c r="K207" t="s">
        <v>29</v>
      </c>
      <c r="M207" s="85" t="s">
        <v>28</v>
      </c>
      <c r="N207" s="85" t="s">
        <v>39</v>
      </c>
      <c r="O207" s="60" t="s">
        <v>332</v>
      </c>
      <c r="P207" t="s">
        <v>213</v>
      </c>
      <c r="Q207" t="s">
        <v>333</v>
      </c>
      <c r="R207" s="140" t="s">
        <v>4463</v>
      </c>
      <c r="T207" t="s">
        <v>29</v>
      </c>
      <c r="U207">
        <v>1</v>
      </c>
      <c r="X207">
        <v>0</v>
      </c>
      <c r="Y207">
        <v>0</v>
      </c>
    </row>
    <row r="208" spans="1:25">
      <c r="A208" s="77">
        <v>27</v>
      </c>
      <c r="B208" t="s">
        <v>38</v>
      </c>
      <c r="C208" t="s">
        <v>253</v>
      </c>
      <c r="D208" s="81" t="s">
        <v>4445</v>
      </c>
      <c r="E208" s="97">
        <v>3</v>
      </c>
      <c r="F208" s="97" t="s">
        <v>74</v>
      </c>
      <c r="G208" t="s">
        <v>28</v>
      </c>
      <c r="H208" t="s">
        <v>28</v>
      </c>
      <c r="I208" t="s">
        <v>28</v>
      </c>
      <c r="J208" t="s">
        <v>28</v>
      </c>
      <c r="K208" t="s">
        <v>29</v>
      </c>
      <c r="M208" s="85" t="s">
        <v>28</v>
      </c>
      <c r="N208" s="85" t="s">
        <v>39</v>
      </c>
      <c r="O208" s="60" t="s">
        <v>334</v>
      </c>
      <c r="P208" t="s">
        <v>213</v>
      </c>
      <c r="Q208" t="s">
        <v>333</v>
      </c>
      <c r="R208" s="140" t="s">
        <v>4463</v>
      </c>
      <c r="T208" t="s">
        <v>29</v>
      </c>
      <c r="U208">
        <v>1</v>
      </c>
      <c r="X208">
        <v>0</v>
      </c>
      <c r="Y208">
        <v>0</v>
      </c>
    </row>
    <row r="209" spans="1:25">
      <c r="A209" s="77">
        <v>27</v>
      </c>
      <c r="B209" t="s">
        <v>38</v>
      </c>
      <c r="C209" t="s">
        <v>253</v>
      </c>
      <c r="D209" s="81" t="s">
        <v>4445</v>
      </c>
      <c r="E209" s="97">
        <v>3</v>
      </c>
      <c r="F209" s="97" t="s">
        <v>74</v>
      </c>
      <c r="G209" t="s">
        <v>28</v>
      </c>
      <c r="H209" t="s">
        <v>28</v>
      </c>
      <c r="I209" t="s">
        <v>28</v>
      </c>
      <c r="J209" t="s">
        <v>28</v>
      </c>
      <c r="K209" t="s">
        <v>29</v>
      </c>
      <c r="M209" s="85" t="s">
        <v>28</v>
      </c>
      <c r="N209" s="85" t="s">
        <v>39</v>
      </c>
      <c r="O209" s="60" t="s">
        <v>335</v>
      </c>
      <c r="P209" t="s">
        <v>213</v>
      </c>
      <c r="Q209" t="s">
        <v>333</v>
      </c>
      <c r="R209" s="140" t="s">
        <v>4463</v>
      </c>
      <c r="T209" t="s">
        <v>29</v>
      </c>
      <c r="U209">
        <v>1</v>
      </c>
      <c r="X209">
        <v>0</v>
      </c>
      <c r="Y209">
        <v>0</v>
      </c>
    </row>
    <row r="210" spans="1:25">
      <c r="A210" s="77">
        <v>27</v>
      </c>
      <c r="B210" t="s">
        <v>38</v>
      </c>
      <c r="C210" t="s">
        <v>253</v>
      </c>
      <c r="D210" s="81" t="s">
        <v>4445</v>
      </c>
      <c r="E210" s="97">
        <v>3</v>
      </c>
      <c r="F210" s="97" t="s">
        <v>74</v>
      </c>
      <c r="G210" t="s">
        <v>28</v>
      </c>
      <c r="H210" t="s">
        <v>28</v>
      </c>
      <c r="I210" t="s">
        <v>28</v>
      </c>
      <c r="J210" t="s">
        <v>28</v>
      </c>
      <c r="K210" t="s">
        <v>29</v>
      </c>
      <c r="M210" s="85" t="s">
        <v>28</v>
      </c>
      <c r="N210" s="85" t="s">
        <v>39</v>
      </c>
      <c r="O210" s="60" t="s">
        <v>336</v>
      </c>
      <c r="P210" t="s">
        <v>271</v>
      </c>
      <c r="Q210" t="s">
        <v>324</v>
      </c>
      <c r="R210" s="140" t="s">
        <v>4463</v>
      </c>
      <c r="T210" t="s">
        <v>29</v>
      </c>
      <c r="U210">
        <v>1</v>
      </c>
      <c r="X210">
        <v>0</v>
      </c>
      <c r="Y210">
        <v>0</v>
      </c>
    </row>
    <row r="211" spans="1:25">
      <c r="A211" s="77">
        <v>27</v>
      </c>
      <c r="B211" t="s">
        <v>38</v>
      </c>
      <c r="C211" t="s">
        <v>253</v>
      </c>
      <c r="D211" s="81" t="s">
        <v>4445</v>
      </c>
      <c r="E211" s="97">
        <v>3</v>
      </c>
      <c r="F211" s="97" t="s">
        <v>74</v>
      </c>
      <c r="G211" t="s">
        <v>28</v>
      </c>
      <c r="H211" t="s">
        <v>28</v>
      </c>
      <c r="I211" t="s">
        <v>28</v>
      </c>
      <c r="J211" t="s">
        <v>28</v>
      </c>
      <c r="K211" t="s">
        <v>29</v>
      </c>
      <c r="M211" s="85" t="s">
        <v>28</v>
      </c>
      <c r="N211" s="85" t="s">
        <v>39</v>
      </c>
      <c r="O211" s="60" t="s">
        <v>337</v>
      </c>
      <c r="P211" s="60" t="s">
        <v>271</v>
      </c>
      <c r="Q211" t="s">
        <v>324</v>
      </c>
      <c r="R211" s="140" t="s">
        <v>4463</v>
      </c>
      <c r="T211" t="s">
        <v>29</v>
      </c>
      <c r="U211">
        <v>1</v>
      </c>
      <c r="X211">
        <v>0</v>
      </c>
      <c r="Y211">
        <v>0</v>
      </c>
    </row>
    <row r="212" spans="1:25">
      <c r="A212" s="77">
        <v>27</v>
      </c>
      <c r="B212" t="s">
        <v>38</v>
      </c>
      <c r="C212" t="s">
        <v>253</v>
      </c>
      <c r="D212" s="81" t="s">
        <v>4445</v>
      </c>
      <c r="E212" s="97">
        <v>3</v>
      </c>
      <c r="F212" s="97" t="s">
        <v>74</v>
      </c>
      <c r="G212" t="s">
        <v>28</v>
      </c>
      <c r="H212" t="s">
        <v>28</v>
      </c>
      <c r="I212" t="s">
        <v>28</v>
      </c>
      <c r="J212" t="s">
        <v>28</v>
      </c>
      <c r="K212" t="s">
        <v>29</v>
      </c>
      <c r="M212" s="85" t="s">
        <v>28</v>
      </c>
      <c r="N212" s="85" t="s">
        <v>39</v>
      </c>
      <c r="O212" s="60" t="s">
        <v>338</v>
      </c>
      <c r="P212" s="60" t="s">
        <v>271</v>
      </c>
      <c r="Q212" t="s">
        <v>324</v>
      </c>
      <c r="R212" s="140" t="s">
        <v>4463</v>
      </c>
      <c r="T212" t="s">
        <v>29</v>
      </c>
      <c r="U212">
        <v>1</v>
      </c>
      <c r="X212">
        <v>0</v>
      </c>
      <c r="Y212">
        <v>0</v>
      </c>
    </row>
    <row r="213" spans="1:25">
      <c r="A213" s="59">
        <v>27</v>
      </c>
      <c r="B213" t="s">
        <v>38</v>
      </c>
      <c r="C213" t="s">
        <v>253</v>
      </c>
      <c r="D213" s="81" t="s">
        <v>4445</v>
      </c>
      <c r="E213" s="97">
        <v>3</v>
      </c>
      <c r="F213" s="97" t="s">
        <v>74</v>
      </c>
      <c r="G213" t="s">
        <v>28</v>
      </c>
      <c r="H213" t="s">
        <v>28</v>
      </c>
      <c r="I213" t="s">
        <v>28</v>
      </c>
      <c r="J213" t="s">
        <v>28</v>
      </c>
      <c r="K213" s="85" t="s">
        <v>29</v>
      </c>
      <c r="L213" s="85"/>
      <c r="M213" s="85" t="s">
        <v>27</v>
      </c>
      <c r="N213" s="85" t="s">
        <v>62</v>
      </c>
      <c r="O213" s="109" t="s">
        <v>339</v>
      </c>
      <c r="P213" s="60" t="s">
        <v>277</v>
      </c>
      <c r="Q213" t="s">
        <v>324</v>
      </c>
      <c r="R213" s="140" t="s">
        <v>4463</v>
      </c>
    </row>
    <row r="214" spans="1:25">
      <c r="A214" s="59">
        <v>27</v>
      </c>
      <c r="B214" t="s">
        <v>38</v>
      </c>
      <c r="C214" t="s">
        <v>253</v>
      </c>
      <c r="D214" s="81" t="s">
        <v>4445</v>
      </c>
      <c r="E214" s="97">
        <v>3</v>
      </c>
      <c r="F214" s="97" t="s">
        <v>74</v>
      </c>
      <c r="G214" t="s">
        <v>28</v>
      </c>
      <c r="H214" t="s">
        <v>28</v>
      </c>
      <c r="I214" t="s">
        <v>28</v>
      </c>
      <c r="J214" t="s">
        <v>28</v>
      </c>
      <c r="K214" s="85" t="s">
        <v>29</v>
      </c>
      <c r="L214" s="85"/>
      <c r="M214" s="85" t="s">
        <v>27</v>
      </c>
      <c r="N214" s="85" t="s">
        <v>62</v>
      </c>
      <c r="O214" s="59" t="s">
        <v>340</v>
      </c>
      <c r="P214" t="s">
        <v>277</v>
      </c>
      <c r="Q214" t="s">
        <v>324</v>
      </c>
      <c r="R214" s="140" t="s">
        <v>4463</v>
      </c>
    </row>
    <row r="215" spans="1:25">
      <c r="A215" s="59">
        <v>27</v>
      </c>
      <c r="B215" t="s">
        <v>38</v>
      </c>
      <c r="C215" t="s">
        <v>253</v>
      </c>
      <c r="D215" s="81" t="s">
        <v>4445</v>
      </c>
      <c r="E215" s="97">
        <v>3</v>
      </c>
      <c r="F215" s="97" t="s">
        <v>74</v>
      </c>
      <c r="G215" t="s">
        <v>28</v>
      </c>
      <c r="H215" t="s">
        <v>28</v>
      </c>
      <c r="I215" t="s">
        <v>28</v>
      </c>
      <c r="J215" t="s">
        <v>28</v>
      </c>
      <c r="K215" s="85" t="s">
        <v>29</v>
      </c>
      <c r="L215" s="85"/>
      <c r="M215" s="85" t="s">
        <v>27</v>
      </c>
      <c r="N215" s="85" t="s">
        <v>62</v>
      </c>
      <c r="O215" s="59" t="s">
        <v>341</v>
      </c>
      <c r="P215" t="s">
        <v>277</v>
      </c>
      <c r="Q215" t="s">
        <v>324</v>
      </c>
      <c r="R215" s="140" t="s">
        <v>4463</v>
      </c>
    </row>
    <row r="216" spans="1:25" hidden="1">
      <c r="A216" s="78">
        <v>28</v>
      </c>
      <c r="B216" s="130" t="s">
        <v>38</v>
      </c>
      <c r="C216" s="130" t="s">
        <v>253</v>
      </c>
      <c r="D216" s="81" t="s">
        <v>4444</v>
      </c>
      <c r="E216" s="97">
        <v>3</v>
      </c>
      <c r="F216" s="97" t="s">
        <v>180</v>
      </c>
      <c r="G216" s="130" t="s">
        <v>27</v>
      </c>
      <c r="H216" s="130" t="s">
        <v>28</v>
      </c>
      <c r="I216" s="130" t="s">
        <v>28</v>
      </c>
      <c r="J216" s="130" t="s">
        <v>27</v>
      </c>
      <c r="K216" s="137" t="s">
        <v>68</v>
      </c>
      <c r="L216" s="137" t="s">
        <v>68</v>
      </c>
      <c r="M216" s="137" t="s">
        <v>27</v>
      </c>
      <c r="N216" s="122" t="s">
        <v>31</v>
      </c>
      <c r="O216" s="130" t="s">
        <v>342</v>
      </c>
      <c r="P216" s="131" t="s">
        <v>281</v>
      </c>
      <c r="Q216" s="131"/>
      <c r="R216" s="131"/>
      <c r="S216" s="131"/>
      <c r="T216" s="130"/>
      <c r="U216" s="130"/>
      <c r="V216" s="130"/>
      <c r="W216" s="130"/>
      <c r="X216" s="130"/>
      <c r="Y216" s="130"/>
    </row>
    <row r="217" spans="1:25" s="59" customFormat="1" hidden="1">
      <c r="A217" s="78">
        <v>28</v>
      </c>
      <c r="B217" s="130" t="s">
        <v>38</v>
      </c>
      <c r="C217" s="130" t="s">
        <v>253</v>
      </c>
      <c r="D217" s="81" t="s">
        <v>4444</v>
      </c>
      <c r="E217" s="97">
        <v>3</v>
      </c>
      <c r="F217" s="97" t="s">
        <v>180</v>
      </c>
      <c r="G217" s="130" t="s">
        <v>27</v>
      </c>
      <c r="H217" s="130" t="s">
        <v>28</v>
      </c>
      <c r="I217" s="130" t="s">
        <v>28</v>
      </c>
      <c r="J217" s="130" t="s">
        <v>27</v>
      </c>
      <c r="K217" s="137" t="s">
        <v>68</v>
      </c>
      <c r="L217" s="137" t="s">
        <v>68</v>
      </c>
      <c r="M217" s="137" t="s">
        <v>27</v>
      </c>
      <c r="N217" s="122" t="s">
        <v>31</v>
      </c>
      <c r="O217" s="130" t="s">
        <v>343</v>
      </c>
      <c r="P217" s="131" t="s">
        <v>281</v>
      </c>
      <c r="Q217" s="131"/>
      <c r="R217" s="131"/>
      <c r="S217" s="131"/>
      <c r="T217" s="130"/>
      <c r="U217" s="130"/>
      <c r="V217" s="130"/>
      <c r="W217" s="130"/>
      <c r="X217" s="130"/>
      <c r="Y217" s="130"/>
    </row>
    <row r="218" spans="1:25" hidden="1">
      <c r="A218" s="78">
        <v>28</v>
      </c>
      <c r="B218" s="130" t="s">
        <v>38</v>
      </c>
      <c r="C218" s="130" t="s">
        <v>253</v>
      </c>
      <c r="D218" s="81" t="s">
        <v>4444</v>
      </c>
      <c r="E218" s="97">
        <v>3</v>
      </c>
      <c r="F218" s="97" t="s">
        <v>180</v>
      </c>
      <c r="G218" s="130" t="s">
        <v>27</v>
      </c>
      <c r="H218" s="130" t="s">
        <v>28</v>
      </c>
      <c r="I218" s="130" t="s">
        <v>28</v>
      </c>
      <c r="J218" s="130" t="s">
        <v>27</v>
      </c>
      <c r="K218" s="137" t="s">
        <v>68</v>
      </c>
      <c r="L218" s="137" t="s">
        <v>68</v>
      </c>
      <c r="M218" s="137" t="s">
        <v>27</v>
      </c>
      <c r="N218" s="122" t="s">
        <v>31</v>
      </c>
      <c r="O218" s="130" t="s">
        <v>344</v>
      </c>
      <c r="P218" s="131" t="s">
        <v>281</v>
      </c>
      <c r="Q218" s="131"/>
      <c r="R218" s="131"/>
      <c r="S218" s="131"/>
      <c r="T218" s="130"/>
      <c r="U218" s="130"/>
      <c r="V218" s="130"/>
      <c r="W218" s="130"/>
      <c r="X218" s="130"/>
      <c r="Y218" s="130"/>
    </row>
    <row r="219" spans="1:25">
      <c r="A219" s="77">
        <v>28</v>
      </c>
      <c r="B219" t="s">
        <v>38</v>
      </c>
      <c r="C219" t="s">
        <v>253</v>
      </c>
      <c r="D219" s="81" t="s">
        <v>4444</v>
      </c>
      <c r="E219" s="97">
        <v>3</v>
      </c>
      <c r="F219" s="97" t="s">
        <v>180</v>
      </c>
      <c r="G219" t="s">
        <v>28</v>
      </c>
      <c r="H219" t="s">
        <v>28</v>
      </c>
      <c r="I219" t="s">
        <v>28</v>
      </c>
      <c r="J219" t="s">
        <v>28</v>
      </c>
      <c r="K219" t="s">
        <v>29</v>
      </c>
      <c r="M219" s="85" t="s">
        <v>28</v>
      </c>
      <c r="N219" s="85" t="s">
        <v>39</v>
      </c>
      <c r="O219" t="s">
        <v>345</v>
      </c>
      <c r="P219" t="s">
        <v>213</v>
      </c>
      <c r="Q219" t="s">
        <v>346</v>
      </c>
      <c r="R219" s="140" t="s">
        <v>4465</v>
      </c>
      <c r="T219" t="s">
        <v>29</v>
      </c>
      <c r="U219">
        <v>1</v>
      </c>
      <c r="X219">
        <v>0</v>
      </c>
      <c r="Y219">
        <v>0</v>
      </c>
    </row>
    <row r="220" spans="1:25">
      <c r="A220" s="77">
        <v>28</v>
      </c>
      <c r="B220" t="s">
        <v>38</v>
      </c>
      <c r="C220" t="s">
        <v>253</v>
      </c>
      <c r="D220" s="81" t="s">
        <v>4444</v>
      </c>
      <c r="E220" s="97">
        <v>3</v>
      </c>
      <c r="F220" s="97" t="s">
        <v>180</v>
      </c>
      <c r="G220" t="s">
        <v>28</v>
      </c>
      <c r="H220" t="s">
        <v>28</v>
      </c>
      <c r="I220" t="s">
        <v>28</v>
      </c>
      <c r="J220" t="s">
        <v>28</v>
      </c>
      <c r="K220" t="s">
        <v>29</v>
      </c>
      <c r="M220" s="85" t="s">
        <v>28</v>
      </c>
      <c r="N220" s="85" t="s">
        <v>39</v>
      </c>
      <c r="O220" t="s">
        <v>347</v>
      </c>
      <c r="P220" t="s">
        <v>213</v>
      </c>
      <c r="Q220" t="s">
        <v>346</v>
      </c>
      <c r="R220" s="140" t="s">
        <v>4465</v>
      </c>
      <c r="T220" t="s">
        <v>29</v>
      </c>
      <c r="U220">
        <v>1</v>
      </c>
      <c r="X220">
        <v>0</v>
      </c>
      <c r="Y220">
        <v>0</v>
      </c>
    </row>
    <row r="221" spans="1:25">
      <c r="A221" s="77">
        <v>28</v>
      </c>
      <c r="B221" t="s">
        <v>38</v>
      </c>
      <c r="C221" t="s">
        <v>253</v>
      </c>
      <c r="D221" s="81" t="s">
        <v>4444</v>
      </c>
      <c r="E221" s="97">
        <v>3</v>
      </c>
      <c r="F221" s="97" t="s">
        <v>180</v>
      </c>
      <c r="G221" t="s">
        <v>28</v>
      </c>
      <c r="H221" t="s">
        <v>28</v>
      </c>
      <c r="I221" t="s">
        <v>28</v>
      </c>
      <c r="J221" t="s">
        <v>28</v>
      </c>
      <c r="K221" t="s">
        <v>29</v>
      </c>
      <c r="M221" s="85" t="s">
        <v>28</v>
      </c>
      <c r="N221" s="85" t="s">
        <v>39</v>
      </c>
      <c r="O221" t="s">
        <v>348</v>
      </c>
      <c r="P221" t="s">
        <v>213</v>
      </c>
      <c r="Q221" t="s">
        <v>346</v>
      </c>
      <c r="R221" s="140" t="s">
        <v>4465</v>
      </c>
      <c r="T221" t="s">
        <v>29</v>
      </c>
      <c r="U221">
        <v>1</v>
      </c>
      <c r="X221">
        <v>0</v>
      </c>
      <c r="Y221">
        <v>0</v>
      </c>
    </row>
    <row r="222" spans="1:25">
      <c r="A222" s="77">
        <v>30</v>
      </c>
      <c r="B222" t="s">
        <v>38</v>
      </c>
      <c r="C222" t="s">
        <v>349</v>
      </c>
      <c r="D222" s="81" t="s">
        <v>4444</v>
      </c>
      <c r="E222" s="97" t="s">
        <v>350</v>
      </c>
      <c r="F222" s="97" t="s">
        <v>351</v>
      </c>
      <c r="G222" t="s">
        <v>27</v>
      </c>
      <c r="H222" t="s">
        <v>27</v>
      </c>
      <c r="I222" t="s">
        <v>27</v>
      </c>
      <c r="J222" t="s">
        <v>28</v>
      </c>
      <c r="K222" t="s">
        <v>29</v>
      </c>
      <c r="M222" s="85" t="s">
        <v>28</v>
      </c>
      <c r="N222" s="85" t="s">
        <v>39</v>
      </c>
      <c r="O222" t="s">
        <v>352</v>
      </c>
      <c r="P222" t="s">
        <v>353</v>
      </c>
      <c r="Q222" t="s">
        <v>354</v>
      </c>
      <c r="R222" s="140" t="s">
        <v>4465</v>
      </c>
      <c r="T222" t="s">
        <v>29</v>
      </c>
      <c r="U222">
        <v>2</v>
      </c>
      <c r="X222">
        <v>0</v>
      </c>
      <c r="Y222">
        <v>0</v>
      </c>
    </row>
    <row r="223" spans="1:25">
      <c r="A223" s="77">
        <v>30</v>
      </c>
      <c r="B223" t="s">
        <v>38</v>
      </c>
      <c r="C223" t="s">
        <v>349</v>
      </c>
      <c r="D223" s="81" t="s">
        <v>4444</v>
      </c>
      <c r="E223" s="97" t="s">
        <v>350</v>
      </c>
      <c r="F223" s="97" t="s">
        <v>351</v>
      </c>
      <c r="G223" t="s">
        <v>27</v>
      </c>
      <c r="H223" t="s">
        <v>27</v>
      </c>
      <c r="I223" t="s">
        <v>27</v>
      </c>
      <c r="J223" t="s">
        <v>28</v>
      </c>
      <c r="K223" t="s">
        <v>29</v>
      </c>
      <c r="M223" s="85" t="s">
        <v>28</v>
      </c>
      <c r="N223" s="85" t="s">
        <v>39</v>
      </c>
      <c r="O223" t="s">
        <v>355</v>
      </c>
      <c r="P223" t="s">
        <v>353</v>
      </c>
      <c r="Q223" t="s">
        <v>354</v>
      </c>
      <c r="R223" s="140" t="s">
        <v>4465</v>
      </c>
      <c r="T223" t="s">
        <v>29</v>
      </c>
      <c r="U223">
        <v>2</v>
      </c>
      <c r="X223">
        <v>0</v>
      </c>
      <c r="Y223">
        <v>0</v>
      </c>
    </row>
    <row r="224" spans="1:25">
      <c r="A224" s="77">
        <v>30</v>
      </c>
      <c r="B224" t="s">
        <v>38</v>
      </c>
      <c r="C224" t="s">
        <v>349</v>
      </c>
      <c r="D224" s="81" t="s">
        <v>4444</v>
      </c>
      <c r="E224" s="97" t="s">
        <v>350</v>
      </c>
      <c r="F224" s="97" t="s">
        <v>351</v>
      </c>
      <c r="G224" t="s">
        <v>27</v>
      </c>
      <c r="H224" t="s">
        <v>27</v>
      </c>
      <c r="I224" t="s">
        <v>27</v>
      </c>
      <c r="J224" t="s">
        <v>28</v>
      </c>
      <c r="K224" t="s">
        <v>29</v>
      </c>
      <c r="M224" s="85" t="s">
        <v>28</v>
      </c>
      <c r="N224" s="85" t="s">
        <v>39</v>
      </c>
      <c r="O224" t="s">
        <v>356</v>
      </c>
      <c r="P224" t="s">
        <v>353</v>
      </c>
      <c r="Q224" t="s">
        <v>354</v>
      </c>
      <c r="R224" s="140" t="s">
        <v>4465</v>
      </c>
      <c r="T224" t="s">
        <v>29</v>
      </c>
      <c r="U224">
        <v>2</v>
      </c>
      <c r="X224">
        <v>0</v>
      </c>
      <c r="Y224">
        <v>0</v>
      </c>
    </row>
    <row r="225" spans="1:25">
      <c r="A225" s="77">
        <v>30</v>
      </c>
      <c r="B225" t="s">
        <v>38</v>
      </c>
      <c r="C225" t="s">
        <v>349</v>
      </c>
      <c r="D225" s="81" t="s">
        <v>4444</v>
      </c>
      <c r="E225" s="97" t="s">
        <v>350</v>
      </c>
      <c r="F225" s="97" t="s">
        <v>351</v>
      </c>
      <c r="G225" t="s">
        <v>27</v>
      </c>
      <c r="H225" t="s">
        <v>27</v>
      </c>
      <c r="I225" t="s">
        <v>27</v>
      </c>
      <c r="J225" t="s">
        <v>28</v>
      </c>
      <c r="K225" t="s">
        <v>29</v>
      </c>
      <c r="M225" s="85" t="s">
        <v>28</v>
      </c>
      <c r="N225" s="85" t="s">
        <v>39</v>
      </c>
      <c r="O225" t="s">
        <v>357</v>
      </c>
      <c r="P225" t="s">
        <v>353</v>
      </c>
      <c r="Q225" t="s">
        <v>354</v>
      </c>
      <c r="R225" s="140" t="s">
        <v>4465</v>
      </c>
      <c r="T225" t="s">
        <v>29</v>
      </c>
      <c r="U225">
        <v>2</v>
      </c>
      <c r="X225">
        <v>0</v>
      </c>
      <c r="Y225">
        <v>0</v>
      </c>
    </row>
    <row r="226" spans="1:25">
      <c r="A226" s="77">
        <v>30</v>
      </c>
      <c r="B226" t="s">
        <v>38</v>
      </c>
      <c r="C226" t="s">
        <v>349</v>
      </c>
      <c r="D226" s="81" t="s">
        <v>4444</v>
      </c>
      <c r="E226" s="97" t="s">
        <v>350</v>
      </c>
      <c r="F226" s="97" t="s">
        <v>351</v>
      </c>
      <c r="G226" t="s">
        <v>27</v>
      </c>
      <c r="H226" t="s">
        <v>27</v>
      </c>
      <c r="I226" t="s">
        <v>27</v>
      </c>
      <c r="J226" t="s">
        <v>28</v>
      </c>
      <c r="K226" t="s">
        <v>29</v>
      </c>
      <c r="M226" s="85" t="s">
        <v>28</v>
      </c>
      <c r="N226" s="85" t="s">
        <v>39</v>
      </c>
      <c r="O226" t="s">
        <v>358</v>
      </c>
      <c r="P226" t="s">
        <v>353</v>
      </c>
      <c r="Q226" t="s">
        <v>354</v>
      </c>
      <c r="R226" s="140" t="s">
        <v>4465</v>
      </c>
      <c r="T226" t="s">
        <v>29</v>
      </c>
      <c r="U226">
        <v>2</v>
      </c>
      <c r="X226">
        <v>0</v>
      </c>
      <c r="Y226">
        <v>0</v>
      </c>
    </row>
    <row r="227" spans="1:25">
      <c r="A227" s="59">
        <v>30</v>
      </c>
      <c r="B227" t="s">
        <v>359</v>
      </c>
      <c r="C227" t="s">
        <v>360</v>
      </c>
      <c r="D227" s="81" t="s">
        <v>4444</v>
      </c>
      <c r="E227" s="97" t="s">
        <v>350</v>
      </c>
      <c r="F227" s="97" t="s">
        <v>351</v>
      </c>
      <c r="G227" t="s">
        <v>28</v>
      </c>
      <c r="H227" t="s">
        <v>27</v>
      </c>
      <c r="I227" t="s">
        <v>27</v>
      </c>
      <c r="J227" t="s">
        <v>28</v>
      </c>
      <c r="K227" s="85" t="s">
        <v>29</v>
      </c>
      <c r="L227" s="85"/>
      <c r="M227" s="85" t="s">
        <v>27</v>
      </c>
      <c r="N227" s="85" t="s">
        <v>62</v>
      </c>
      <c r="O227" s="59" t="s">
        <v>361</v>
      </c>
      <c r="P227" t="s">
        <v>277</v>
      </c>
      <c r="Q227" t="s">
        <v>354</v>
      </c>
      <c r="R227" s="140" t="s">
        <v>4464</v>
      </c>
    </row>
    <row r="228" spans="1:25">
      <c r="A228" s="59">
        <v>30</v>
      </c>
      <c r="B228" t="s">
        <v>359</v>
      </c>
      <c r="C228" t="s">
        <v>360</v>
      </c>
      <c r="D228" s="81" t="s">
        <v>4444</v>
      </c>
      <c r="E228" s="97" t="s">
        <v>350</v>
      </c>
      <c r="F228" s="97" t="s">
        <v>351</v>
      </c>
      <c r="G228" t="s">
        <v>28</v>
      </c>
      <c r="H228" t="s">
        <v>27</v>
      </c>
      <c r="I228" t="s">
        <v>27</v>
      </c>
      <c r="J228" t="s">
        <v>28</v>
      </c>
      <c r="K228" s="85" t="s">
        <v>29</v>
      </c>
      <c r="L228" s="85"/>
      <c r="M228" s="85" t="s">
        <v>27</v>
      </c>
      <c r="N228" s="85" t="s">
        <v>62</v>
      </c>
      <c r="O228" s="59" t="s">
        <v>362</v>
      </c>
      <c r="P228" t="s">
        <v>277</v>
      </c>
      <c r="Q228" t="s">
        <v>354</v>
      </c>
      <c r="R228" s="140" t="s">
        <v>4464</v>
      </c>
    </row>
    <row r="229" spans="1:25">
      <c r="A229" s="59">
        <v>30</v>
      </c>
      <c r="B229" t="s">
        <v>359</v>
      </c>
      <c r="C229" t="s">
        <v>360</v>
      </c>
      <c r="D229" s="81" t="s">
        <v>4444</v>
      </c>
      <c r="E229" s="97" t="s">
        <v>350</v>
      </c>
      <c r="F229" s="97" t="s">
        <v>351</v>
      </c>
      <c r="G229" t="s">
        <v>28</v>
      </c>
      <c r="H229" t="s">
        <v>27</v>
      </c>
      <c r="I229" t="s">
        <v>27</v>
      </c>
      <c r="J229" t="s">
        <v>28</v>
      </c>
      <c r="K229" s="85" t="s">
        <v>29</v>
      </c>
      <c r="L229" s="85"/>
      <c r="M229" s="85" t="s">
        <v>27</v>
      </c>
      <c r="N229" s="85" t="s">
        <v>62</v>
      </c>
      <c r="O229" s="59" t="s">
        <v>363</v>
      </c>
      <c r="P229" t="s">
        <v>277</v>
      </c>
      <c r="Q229" t="s">
        <v>354</v>
      </c>
      <c r="R229" s="140" t="s">
        <v>4464</v>
      </c>
    </row>
    <row r="230" spans="1:25">
      <c r="A230" s="77">
        <v>31</v>
      </c>
      <c r="B230" t="s">
        <v>124</v>
      </c>
      <c r="C230" t="s">
        <v>66</v>
      </c>
      <c r="D230" s="81" t="s">
        <v>4445</v>
      </c>
      <c r="E230" s="97">
        <v>1</v>
      </c>
      <c r="F230" s="97" t="s">
        <v>112</v>
      </c>
      <c r="G230" t="s">
        <v>28</v>
      </c>
      <c r="H230" t="s">
        <v>28</v>
      </c>
      <c r="I230" t="s">
        <v>27</v>
      </c>
      <c r="J230" t="s">
        <v>28</v>
      </c>
      <c r="K230" t="s">
        <v>124</v>
      </c>
      <c r="M230" s="85" t="s">
        <v>28</v>
      </c>
      <c r="N230" s="85" t="s">
        <v>39</v>
      </c>
      <c r="O230" t="s">
        <v>364</v>
      </c>
      <c r="P230" s="132" t="s">
        <v>217</v>
      </c>
      <c r="Q230" s="132" t="s">
        <v>365</v>
      </c>
      <c r="R230" s="140" t="s">
        <v>4448</v>
      </c>
      <c r="S230" s="132"/>
    </row>
    <row r="231" spans="1:25">
      <c r="A231" s="77">
        <v>31</v>
      </c>
      <c r="B231" t="s">
        <v>124</v>
      </c>
      <c r="C231" t="s">
        <v>66</v>
      </c>
      <c r="D231" s="81" t="s">
        <v>4445</v>
      </c>
      <c r="E231" s="97">
        <v>1</v>
      </c>
      <c r="F231" s="97" t="s">
        <v>112</v>
      </c>
      <c r="G231" t="s">
        <v>28</v>
      </c>
      <c r="H231" t="s">
        <v>28</v>
      </c>
      <c r="I231" t="s">
        <v>27</v>
      </c>
      <c r="J231" t="s">
        <v>28</v>
      </c>
      <c r="K231" t="s">
        <v>124</v>
      </c>
      <c r="M231" s="85" t="s">
        <v>28</v>
      </c>
      <c r="N231" s="85" t="s">
        <v>39</v>
      </c>
      <c r="O231" t="s">
        <v>366</v>
      </c>
      <c r="P231" s="132" t="s">
        <v>217</v>
      </c>
      <c r="Q231" s="132" t="s">
        <v>365</v>
      </c>
      <c r="R231" s="140" t="s">
        <v>4448</v>
      </c>
      <c r="S231" s="132"/>
    </row>
    <row r="232" spans="1:25">
      <c r="A232" s="77">
        <v>31</v>
      </c>
      <c r="B232" t="s">
        <v>124</v>
      </c>
      <c r="C232" t="s">
        <v>66</v>
      </c>
      <c r="D232" s="81" t="s">
        <v>4445</v>
      </c>
      <c r="E232" s="97">
        <v>1</v>
      </c>
      <c r="F232" s="97" t="s">
        <v>112</v>
      </c>
      <c r="G232" t="s">
        <v>28</v>
      </c>
      <c r="H232" t="s">
        <v>28</v>
      </c>
      <c r="I232" t="s">
        <v>27</v>
      </c>
      <c r="J232" t="s">
        <v>28</v>
      </c>
      <c r="K232" t="s">
        <v>124</v>
      </c>
      <c r="M232" s="85" t="s">
        <v>28</v>
      </c>
      <c r="N232" s="85" t="s">
        <v>39</v>
      </c>
      <c r="O232" t="s">
        <v>367</v>
      </c>
      <c r="P232" s="132" t="s">
        <v>217</v>
      </c>
      <c r="Q232" s="132" t="s">
        <v>365</v>
      </c>
      <c r="R232" s="140" t="s">
        <v>4448</v>
      </c>
      <c r="S232" s="132"/>
    </row>
    <row r="233" spans="1:25">
      <c r="A233" s="77">
        <v>31</v>
      </c>
      <c r="B233" s="59" t="s">
        <v>124</v>
      </c>
      <c r="C233" s="59" t="s">
        <v>66</v>
      </c>
      <c r="D233" s="81" t="s">
        <v>4445</v>
      </c>
      <c r="E233" s="97">
        <v>1</v>
      </c>
      <c r="F233" s="97" t="s">
        <v>112</v>
      </c>
      <c r="G233" s="59" t="s">
        <v>28</v>
      </c>
      <c r="H233" s="59" t="s">
        <v>28</v>
      </c>
      <c r="I233" s="59" t="s">
        <v>27</v>
      </c>
      <c r="J233" s="59" t="s">
        <v>28</v>
      </c>
      <c r="K233" s="59" t="s">
        <v>124</v>
      </c>
      <c r="L233" s="59"/>
      <c r="M233" s="85" t="s">
        <v>28</v>
      </c>
      <c r="N233" s="85" t="s">
        <v>39</v>
      </c>
      <c r="O233" s="59" t="s">
        <v>368</v>
      </c>
      <c r="P233" s="91" t="s">
        <v>217</v>
      </c>
      <c r="Q233" s="91" t="s">
        <v>365</v>
      </c>
      <c r="R233" s="140" t="s">
        <v>4448</v>
      </c>
      <c r="S233" s="91"/>
      <c r="T233" s="59"/>
      <c r="U233" s="59"/>
      <c r="V233" s="59"/>
      <c r="W233" s="59"/>
      <c r="X233" s="59"/>
      <c r="Y233" s="59"/>
    </row>
    <row r="234" spans="1:25" s="130" customFormat="1">
      <c r="A234" s="77">
        <v>31</v>
      </c>
      <c r="B234" t="s">
        <v>124</v>
      </c>
      <c r="C234" t="s">
        <v>66</v>
      </c>
      <c r="D234" s="81" t="s">
        <v>4445</v>
      </c>
      <c r="E234" s="97">
        <v>1</v>
      </c>
      <c r="F234" s="97" t="s">
        <v>112</v>
      </c>
      <c r="G234" t="s">
        <v>28</v>
      </c>
      <c r="H234" t="s">
        <v>28</v>
      </c>
      <c r="I234" t="s">
        <v>27</v>
      </c>
      <c r="J234" t="s">
        <v>28</v>
      </c>
      <c r="K234" t="s">
        <v>124</v>
      </c>
      <c r="M234" s="85" t="s">
        <v>28</v>
      </c>
      <c r="N234" s="85" t="s">
        <v>39</v>
      </c>
      <c r="O234" t="s">
        <v>369</v>
      </c>
      <c r="P234" s="132" t="s">
        <v>217</v>
      </c>
      <c r="Q234" s="132" t="s">
        <v>365</v>
      </c>
      <c r="R234" s="140" t="s">
        <v>4448</v>
      </c>
      <c r="S234" s="132"/>
    </row>
    <row r="235" spans="1:25">
      <c r="A235" s="38">
        <v>32</v>
      </c>
      <c r="B235" t="s">
        <v>124</v>
      </c>
      <c r="C235" t="s">
        <v>66</v>
      </c>
      <c r="D235" s="81" t="s">
        <v>4445</v>
      </c>
      <c r="E235" s="97">
        <v>1</v>
      </c>
      <c r="F235" s="97" t="s">
        <v>112</v>
      </c>
      <c r="G235" t="s">
        <v>27</v>
      </c>
      <c r="H235" t="s">
        <v>27</v>
      </c>
      <c r="I235" t="s">
        <v>27</v>
      </c>
      <c r="J235" t="s">
        <v>28</v>
      </c>
      <c r="K235" t="s">
        <v>124</v>
      </c>
      <c r="M235" s="85" t="s">
        <v>27</v>
      </c>
      <c r="N235" s="85" t="s">
        <v>62</v>
      </c>
      <c r="O235" t="s">
        <v>370</v>
      </c>
      <c r="P235" t="s">
        <v>371</v>
      </c>
      <c r="Q235" t="s">
        <v>372</v>
      </c>
      <c r="R235" s="140" t="s">
        <v>4448</v>
      </c>
    </row>
    <row r="236" spans="1:25" s="130" customFormat="1">
      <c r="A236" s="38">
        <v>32</v>
      </c>
      <c r="B236" t="s">
        <v>124</v>
      </c>
      <c r="C236" t="s">
        <v>66</v>
      </c>
      <c r="D236" s="81" t="s">
        <v>4445</v>
      </c>
      <c r="E236" s="97">
        <v>1</v>
      </c>
      <c r="F236" s="97" t="s">
        <v>112</v>
      </c>
      <c r="G236" t="s">
        <v>27</v>
      </c>
      <c r="H236" t="s">
        <v>27</v>
      </c>
      <c r="I236" t="s">
        <v>27</v>
      </c>
      <c r="J236" t="s">
        <v>28</v>
      </c>
      <c r="K236" t="s">
        <v>124</v>
      </c>
      <c r="M236" s="85" t="s">
        <v>27</v>
      </c>
      <c r="N236" s="85" t="s">
        <v>62</v>
      </c>
      <c r="O236" t="s">
        <v>373</v>
      </c>
      <c r="P236" t="s">
        <v>371</v>
      </c>
      <c r="Q236" t="s">
        <v>372</v>
      </c>
      <c r="R236" s="140" t="s">
        <v>4448</v>
      </c>
    </row>
    <row r="237" spans="1:25">
      <c r="A237" s="38">
        <v>32</v>
      </c>
      <c r="B237" t="s">
        <v>124</v>
      </c>
      <c r="C237" t="s">
        <v>66</v>
      </c>
      <c r="D237" s="81" t="s">
        <v>4445</v>
      </c>
      <c r="E237" s="97">
        <v>1</v>
      </c>
      <c r="F237" s="97" t="s">
        <v>112</v>
      </c>
      <c r="G237" t="s">
        <v>27</v>
      </c>
      <c r="H237" t="s">
        <v>27</v>
      </c>
      <c r="I237" t="s">
        <v>27</v>
      </c>
      <c r="J237" t="s">
        <v>28</v>
      </c>
      <c r="K237" t="s">
        <v>124</v>
      </c>
      <c r="M237" s="85" t="s">
        <v>27</v>
      </c>
      <c r="N237" s="85" t="s">
        <v>62</v>
      </c>
      <c r="O237" t="s">
        <v>374</v>
      </c>
      <c r="P237" t="s">
        <v>371</v>
      </c>
      <c r="Q237" t="s">
        <v>372</v>
      </c>
      <c r="R237" s="140" t="s">
        <v>4448</v>
      </c>
    </row>
    <row r="238" spans="1:25">
      <c r="A238" s="38">
        <v>33</v>
      </c>
      <c r="B238" t="s">
        <v>124</v>
      </c>
      <c r="C238" t="s">
        <v>66</v>
      </c>
      <c r="D238" s="81" t="s">
        <v>4445</v>
      </c>
      <c r="E238" s="97">
        <v>1</v>
      </c>
      <c r="F238" s="97" t="s">
        <v>112</v>
      </c>
      <c r="G238" t="s">
        <v>27</v>
      </c>
      <c r="H238" t="s">
        <v>27</v>
      </c>
      <c r="I238" t="s">
        <v>27</v>
      </c>
      <c r="J238" t="s">
        <v>28</v>
      </c>
      <c r="K238" t="s">
        <v>124</v>
      </c>
      <c r="M238" s="85" t="s">
        <v>27</v>
      </c>
      <c r="N238" s="85" t="s">
        <v>62</v>
      </c>
      <c r="O238" s="60" t="s">
        <v>375</v>
      </c>
      <c r="P238" t="s">
        <v>371</v>
      </c>
      <c r="Q238" t="s">
        <v>376</v>
      </c>
      <c r="R238" s="140" t="s">
        <v>4448</v>
      </c>
    </row>
    <row r="239" spans="1:25">
      <c r="A239" s="38">
        <v>33</v>
      </c>
      <c r="B239" t="s">
        <v>124</v>
      </c>
      <c r="C239" t="s">
        <v>66</v>
      </c>
      <c r="D239" s="81" t="s">
        <v>4445</v>
      </c>
      <c r="E239" s="97">
        <v>1</v>
      </c>
      <c r="F239" s="97" t="s">
        <v>112</v>
      </c>
      <c r="G239" t="s">
        <v>27</v>
      </c>
      <c r="H239" t="s">
        <v>27</v>
      </c>
      <c r="I239" t="s">
        <v>27</v>
      </c>
      <c r="J239" t="s">
        <v>28</v>
      </c>
      <c r="K239" t="s">
        <v>124</v>
      </c>
      <c r="M239" s="85" t="s">
        <v>27</v>
      </c>
      <c r="N239" s="85" t="s">
        <v>62</v>
      </c>
      <c r="O239" s="60" t="s">
        <v>377</v>
      </c>
      <c r="P239" t="s">
        <v>371</v>
      </c>
      <c r="Q239" t="s">
        <v>376</v>
      </c>
      <c r="R239" s="140" t="s">
        <v>4448</v>
      </c>
    </row>
    <row r="240" spans="1:25">
      <c r="A240" s="38">
        <v>33</v>
      </c>
      <c r="B240" t="s">
        <v>124</v>
      </c>
      <c r="C240" t="s">
        <v>66</v>
      </c>
      <c r="D240" s="81" t="s">
        <v>4445</v>
      </c>
      <c r="E240" s="97">
        <v>1</v>
      </c>
      <c r="F240" s="97" t="s">
        <v>112</v>
      </c>
      <c r="G240" t="s">
        <v>27</v>
      </c>
      <c r="H240" t="s">
        <v>27</v>
      </c>
      <c r="I240" t="s">
        <v>27</v>
      </c>
      <c r="J240" t="s">
        <v>28</v>
      </c>
      <c r="K240" t="s">
        <v>124</v>
      </c>
      <c r="M240" s="85" t="s">
        <v>27</v>
      </c>
      <c r="N240" s="85" t="s">
        <v>62</v>
      </c>
      <c r="O240" t="s">
        <v>378</v>
      </c>
      <c r="P240" t="s">
        <v>371</v>
      </c>
      <c r="Q240" t="s">
        <v>376</v>
      </c>
      <c r="R240" s="140" t="s">
        <v>4448</v>
      </c>
    </row>
    <row r="241" spans="1:25">
      <c r="A241" s="38">
        <v>34</v>
      </c>
      <c r="B241" t="s">
        <v>124</v>
      </c>
      <c r="C241" t="s">
        <v>66</v>
      </c>
      <c r="D241" s="81" t="s">
        <v>4444</v>
      </c>
      <c r="E241" s="97">
        <v>1</v>
      </c>
      <c r="F241" s="97" t="s">
        <v>112</v>
      </c>
      <c r="G241" t="s">
        <v>27</v>
      </c>
      <c r="H241" t="s">
        <v>27</v>
      </c>
      <c r="I241" t="s">
        <v>27</v>
      </c>
      <c r="J241" t="s">
        <v>28</v>
      </c>
      <c r="K241" t="s">
        <v>124</v>
      </c>
      <c r="M241" s="85" t="s">
        <v>27</v>
      </c>
      <c r="N241" s="85" t="s">
        <v>62</v>
      </c>
      <c r="O241" t="s">
        <v>379</v>
      </c>
      <c r="P241" t="s">
        <v>380</v>
      </c>
      <c r="Q241" t="s">
        <v>381</v>
      </c>
      <c r="R241" s="140" t="s">
        <v>4448</v>
      </c>
    </row>
    <row r="242" spans="1:25">
      <c r="A242" s="38">
        <v>34</v>
      </c>
      <c r="B242" t="s">
        <v>124</v>
      </c>
      <c r="C242" t="s">
        <v>66</v>
      </c>
      <c r="D242" s="81" t="s">
        <v>4444</v>
      </c>
      <c r="E242" s="97">
        <v>1</v>
      </c>
      <c r="F242" s="97" t="s">
        <v>112</v>
      </c>
      <c r="G242" t="s">
        <v>27</v>
      </c>
      <c r="H242" t="s">
        <v>27</v>
      </c>
      <c r="I242" t="s">
        <v>27</v>
      </c>
      <c r="J242" t="s">
        <v>28</v>
      </c>
      <c r="K242" t="s">
        <v>124</v>
      </c>
      <c r="M242" s="85" t="s">
        <v>27</v>
      </c>
      <c r="N242" s="85" t="s">
        <v>62</v>
      </c>
      <c r="O242" t="s">
        <v>382</v>
      </c>
      <c r="P242" t="s">
        <v>380</v>
      </c>
      <c r="Q242" t="s">
        <v>381</v>
      </c>
      <c r="R242" s="140" t="s">
        <v>4448</v>
      </c>
    </row>
    <row r="243" spans="1:25">
      <c r="A243" s="38">
        <v>34</v>
      </c>
      <c r="B243" t="s">
        <v>124</v>
      </c>
      <c r="C243" t="s">
        <v>66</v>
      </c>
      <c r="D243" s="81" t="s">
        <v>4444</v>
      </c>
      <c r="E243" s="97">
        <v>1</v>
      </c>
      <c r="F243" s="97" t="s">
        <v>112</v>
      </c>
      <c r="G243" t="s">
        <v>27</v>
      </c>
      <c r="H243" t="s">
        <v>27</v>
      </c>
      <c r="I243" t="s">
        <v>27</v>
      </c>
      <c r="J243" t="s">
        <v>28</v>
      </c>
      <c r="K243" t="s">
        <v>124</v>
      </c>
      <c r="M243" s="85" t="s">
        <v>27</v>
      </c>
      <c r="N243" s="85" t="s">
        <v>62</v>
      </c>
      <c r="O243" t="s">
        <v>383</v>
      </c>
      <c r="P243" t="s">
        <v>380</v>
      </c>
      <c r="Q243" t="s">
        <v>381</v>
      </c>
      <c r="R243" s="140" t="s">
        <v>4448</v>
      </c>
    </row>
    <row r="244" spans="1:25">
      <c r="A244" s="38">
        <v>35</v>
      </c>
      <c r="B244" t="s">
        <v>124</v>
      </c>
      <c r="C244" t="s">
        <v>66</v>
      </c>
      <c r="D244" s="81" t="s">
        <v>4445</v>
      </c>
      <c r="E244" s="97">
        <v>1</v>
      </c>
      <c r="F244" s="97" t="s">
        <v>112</v>
      </c>
      <c r="G244" t="s">
        <v>27</v>
      </c>
      <c r="H244" t="s">
        <v>27</v>
      </c>
      <c r="I244" t="s">
        <v>27</v>
      </c>
      <c r="J244" t="s">
        <v>28</v>
      </c>
      <c r="K244" t="s">
        <v>124</v>
      </c>
      <c r="M244" s="85" t="s">
        <v>27</v>
      </c>
      <c r="N244" s="85" t="s">
        <v>62</v>
      </c>
      <c r="O244" t="s">
        <v>384</v>
      </c>
      <c r="P244" t="s">
        <v>371</v>
      </c>
      <c r="Q244" t="s">
        <v>376</v>
      </c>
      <c r="R244" s="140" t="s">
        <v>4448</v>
      </c>
    </row>
    <row r="245" spans="1:25">
      <c r="A245" s="38">
        <v>35</v>
      </c>
      <c r="B245" t="s">
        <v>124</v>
      </c>
      <c r="C245" t="s">
        <v>66</v>
      </c>
      <c r="D245" s="81" t="s">
        <v>4445</v>
      </c>
      <c r="E245" s="97">
        <v>1</v>
      </c>
      <c r="F245" s="97" t="s">
        <v>112</v>
      </c>
      <c r="G245" t="s">
        <v>27</v>
      </c>
      <c r="H245" t="s">
        <v>27</v>
      </c>
      <c r="I245" t="s">
        <v>27</v>
      </c>
      <c r="J245" t="s">
        <v>28</v>
      </c>
      <c r="K245" t="s">
        <v>124</v>
      </c>
      <c r="M245" s="85" t="s">
        <v>27</v>
      </c>
      <c r="N245" s="85" t="s">
        <v>62</v>
      </c>
      <c r="O245" t="s">
        <v>385</v>
      </c>
      <c r="P245" t="s">
        <v>371</v>
      </c>
      <c r="Q245" t="s">
        <v>376</v>
      </c>
      <c r="R245" s="140" t="s">
        <v>4448</v>
      </c>
    </row>
    <row r="246" spans="1:25">
      <c r="A246" s="38">
        <v>35</v>
      </c>
      <c r="B246" t="s">
        <v>124</v>
      </c>
      <c r="C246" t="s">
        <v>66</v>
      </c>
      <c r="D246" s="81" t="s">
        <v>4445</v>
      </c>
      <c r="E246" s="97">
        <v>1</v>
      </c>
      <c r="F246" s="97" t="s">
        <v>112</v>
      </c>
      <c r="G246" t="s">
        <v>27</v>
      </c>
      <c r="H246" t="s">
        <v>27</v>
      </c>
      <c r="I246" t="s">
        <v>27</v>
      </c>
      <c r="J246" t="s">
        <v>28</v>
      </c>
      <c r="K246" t="s">
        <v>124</v>
      </c>
      <c r="M246" s="85" t="s">
        <v>27</v>
      </c>
      <c r="N246" s="85" t="s">
        <v>62</v>
      </c>
      <c r="O246" t="s">
        <v>386</v>
      </c>
      <c r="P246" t="s">
        <v>371</v>
      </c>
      <c r="Q246" t="s">
        <v>376</v>
      </c>
      <c r="R246" s="140" t="s">
        <v>4448</v>
      </c>
    </row>
    <row r="247" spans="1:25">
      <c r="A247" s="38">
        <v>36</v>
      </c>
      <c r="B247" t="s">
        <v>124</v>
      </c>
      <c r="C247" t="s">
        <v>66</v>
      </c>
      <c r="D247" s="81" t="s">
        <v>4445</v>
      </c>
      <c r="E247" s="97">
        <v>1</v>
      </c>
      <c r="F247" s="97" t="s">
        <v>112</v>
      </c>
      <c r="G247" t="s">
        <v>27</v>
      </c>
      <c r="H247" t="s">
        <v>27</v>
      </c>
      <c r="I247" t="s">
        <v>27</v>
      </c>
      <c r="J247" t="s">
        <v>28</v>
      </c>
      <c r="K247" t="s">
        <v>124</v>
      </c>
      <c r="M247" s="85" t="s">
        <v>27</v>
      </c>
      <c r="N247" s="85" t="s">
        <v>62</v>
      </c>
      <c r="O247" t="s">
        <v>387</v>
      </c>
      <c r="P247" t="s">
        <v>371</v>
      </c>
      <c r="Q247" t="s">
        <v>372</v>
      </c>
      <c r="R247" s="140" t="s">
        <v>4448</v>
      </c>
    </row>
    <row r="248" spans="1:25">
      <c r="A248" s="38">
        <v>36</v>
      </c>
      <c r="B248" t="s">
        <v>124</v>
      </c>
      <c r="C248" t="s">
        <v>66</v>
      </c>
      <c r="D248" s="81" t="s">
        <v>4445</v>
      </c>
      <c r="E248" s="97">
        <v>1</v>
      </c>
      <c r="F248" s="97" t="s">
        <v>112</v>
      </c>
      <c r="G248" t="s">
        <v>27</v>
      </c>
      <c r="H248" t="s">
        <v>27</v>
      </c>
      <c r="I248" t="s">
        <v>27</v>
      </c>
      <c r="J248" t="s">
        <v>28</v>
      </c>
      <c r="K248" t="s">
        <v>124</v>
      </c>
      <c r="M248" s="85" t="s">
        <v>27</v>
      </c>
      <c r="N248" s="85" t="s">
        <v>62</v>
      </c>
      <c r="O248" t="s">
        <v>388</v>
      </c>
      <c r="P248" t="s">
        <v>371</v>
      </c>
      <c r="Q248" t="s">
        <v>372</v>
      </c>
      <c r="R248" s="140" t="s">
        <v>4448</v>
      </c>
    </row>
    <row r="249" spans="1:25">
      <c r="A249" s="38">
        <v>36</v>
      </c>
      <c r="B249" t="s">
        <v>124</v>
      </c>
      <c r="C249" t="s">
        <v>66</v>
      </c>
      <c r="D249" s="81" t="s">
        <v>4445</v>
      </c>
      <c r="E249" s="97">
        <v>1</v>
      </c>
      <c r="F249" s="97" t="s">
        <v>112</v>
      </c>
      <c r="G249" t="s">
        <v>27</v>
      </c>
      <c r="H249" t="s">
        <v>27</v>
      </c>
      <c r="I249" t="s">
        <v>27</v>
      </c>
      <c r="J249" t="s">
        <v>28</v>
      </c>
      <c r="K249" t="s">
        <v>124</v>
      </c>
      <c r="M249" s="85" t="s">
        <v>27</v>
      </c>
      <c r="N249" s="85" t="s">
        <v>62</v>
      </c>
      <c r="O249" t="s">
        <v>389</v>
      </c>
      <c r="P249" t="s">
        <v>371</v>
      </c>
      <c r="Q249" t="s">
        <v>372</v>
      </c>
      <c r="R249" s="140" t="s">
        <v>4448</v>
      </c>
    </row>
    <row r="250" spans="1:25" hidden="1">
      <c r="A250" s="78">
        <v>37</v>
      </c>
      <c r="B250" s="130" t="s">
        <v>124</v>
      </c>
      <c r="C250" s="130" t="s">
        <v>66</v>
      </c>
      <c r="D250" s="81" t="s">
        <v>4444</v>
      </c>
      <c r="E250" s="97">
        <v>1</v>
      </c>
      <c r="F250" s="97" t="s">
        <v>112</v>
      </c>
      <c r="G250" s="130" t="s">
        <v>28</v>
      </c>
      <c r="H250" s="130" t="s">
        <v>27</v>
      </c>
      <c r="I250" s="130" t="s">
        <v>27</v>
      </c>
      <c r="J250" s="130" t="s">
        <v>27</v>
      </c>
      <c r="K250" s="130" t="s">
        <v>105</v>
      </c>
      <c r="L250" s="130" t="s">
        <v>105</v>
      </c>
      <c r="M250" s="130" t="s">
        <v>27</v>
      </c>
      <c r="N250" s="123" t="s">
        <v>31</v>
      </c>
      <c r="O250" s="130" t="s">
        <v>390</v>
      </c>
      <c r="P250" s="130" t="s">
        <v>391</v>
      </c>
      <c r="Q250" s="130"/>
      <c r="R250" s="130"/>
      <c r="S250" s="130"/>
      <c r="T250" s="130" t="s">
        <v>105</v>
      </c>
      <c r="U250" s="130" t="s">
        <v>105</v>
      </c>
      <c r="V250" s="130"/>
      <c r="W250" s="130"/>
      <c r="X250" s="130" t="s">
        <v>105</v>
      </c>
      <c r="Y250" s="130" t="s">
        <v>105</v>
      </c>
    </row>
    <row r="251" spans="1:25">
      <c r="A251" s="77">
        <v>37</v>
      </c>
      <c r="B251" t="s">
        <v>124</v>
      </c>
      <c r="C251" t="s">
        <v>66</v>
      </c>
      <c r="D251" s="81" t="s">
        <v>4444</v>
      </c>
      <c r="E251" s="97">
        <v>1</v>
      </c>
      <c r="F251" s="97" t="s">
        <v>112</v>
      </c>
      <c r="G251" t="s">
        <v>28</v>
      </c>
      <c r="H251" t="s">
        <v>27</v>
      </c>
      <c r="I251" t="s">
        <v>27</v>
      </c>
      <c r="J251" t="s">
        <v>28</v>
      </c>
      <c r="K251" t="s">
        <v>124</v>
      </c>
      <c r="M251" s="85" t="s">
        <v>28</v>
      </c>
      <c r="N251" s="85" t="s">
        <v>39</v>
      </c>
      <c r="O251" t="s">
        <v>392</v>
      </c>
      <c r="P251" t="s">
        <v>391</v>
      </c>
      <c r="Q251" t="s">
        <v>393</v>
      </c>
      <c r="R251" s="140" t="s">
        <v>4448</v>
      </c>
      <c r="T251" t="s">
        <v>29</v>
      </c>
      <c r="U251">
        <v>1</v>
      </c>
      <c r="X251">
        <v>0</v>
      </c>
      <c r="Y251">
        <v>0</v>
      </c>
    </row>
    <row r="252" spans="1:25" hidden="1">
      <c r="A252" s="78">
        <v>37</v>
      </c>
      <c r="B252" s="130" t="s">
        <v>124</v>
      </c>
      <c r="C252" s="130" t="s">
        <v>66</v>
      </c>
      <c r="D252" s="81" t="s">
        <v>4444</v>
      </c>
      <c r="E252" s="97">
        <v>1</v>
      </c>
      <c r="F252" s="97" t="s">
        <v>112</v>
      </c>
      <c r="G252" s="130" t="s">
        <v>28</v>
      </c>
      <c r="H252" s="130" t="s">
        <v>27</v>
      </c>
      <c r="I252" s="130" t="s">
        <v>27</v>
      </c>
      <c r="J252" s="130" t="s">
        <v>27</v>
      </c>
      <c r="K252" s="130" t="s">
        <v>105</v>
      </c>
      <c r="L252" s="130" t="s">
        <v>105</v>
      </c>
      <c r="M252" s="130" t="s">
        <v>27</v>
      </c>
      <c r="N252" s="123" t="s">
        <v>31</v>
      </c>
      <c r="O252" s="130" t="s">
        <v>394</v>
      </c>
      <c r="P252" s="130" t="s">
        <v>391</v>
      </c>
      <c r="Q252" s="130"/>
      <c r="R252" s="130"/>
      <c r="S252" s="130"/>
      <c r="T252" s="130" t="s">
        <v>105</v>
      </c>
      <c r="U252" s="130" t="s">
        <v>105</v>
      </c>
      <c r="V252" s="130"/>
      <c r="W252" s="130"/>
      <c r="X252" s="130" t="s">
        <v>105</v>
      </c>
      <c r="Y252" s="130" t="s">
        <v>105</v>
      </c>
    </row>
    <row r="253" spans="1:25">
      <c r="A253" s="77">
        <v>37</v>
      </c>
      <c r="B253" t="s">
        <v>124</v>
      </c>
      <c r="C253" t="s">
        <v>66</v>
      </c>
      <c r="D253" s="81" t="s">
        <v>4444</v>
      </c>
      <c r="E253" s="97">
        <v>1</v>
      </c>
      <c r="F253" s="97" t="s">
        <v>112</v>
      </c>
      <c r="G253" t="s">
        <v>28</v>
      </c>
      <c r="H253" t="s">
        <v>27</v>
      </c>
      <c r="I253" t="s">
        <v>27</v>
      </c>
      <c r="J253" t="s">
        <v>28</v>
      </c>
      <c r="K253" t="s">
        <v>124</v>
      </c>
      <c r="M253" s="85" t="s">
        <v>28</v>
      </c>
      <c r="N253" s="85" t="s">
        <v>39</v>
      </c>
      <c r="O253" t="s">
        <v>395</v>
      </c>
      <c r="P253" t="s">
        <v>391</v>
      </c>
      <c r="Q253" t="s">
        <v>393</v>
      </c>
      <c r="R253" s="140" t="s">
        <v>4448</v>
      </c>
      <c r="T253" t="s">
        <v>29</v>
      </c>
      <c r="U253">
        <v>1</v>
      </c>
      <c r="X253">
        <v>0</v>
      </c>
      <c r="Y253">
        <v>0</v>
      </c>
    </row>
    <row r="254" spans="1:25">
      <c r="A254" s="77">
        <v>37</v>
      </c>
      <c r="B254" t="s">
        <v>124</v>
      </c>
      <c r="C254" t="s">
        <v>66</v>
      </c>
      <c r="D254" s="81" t="s">
        <v>4444</v>
      </c>
      <c r="E254" s="97">
        <v>1</v>
      </c>
      <c r="F254" s="97" t="s">
        <v>112</v>
      </c>
      <c r="G254" t="s">
        <v>28</v>
      </c>
      <c r="H254" t="s">
        <v>27</v>
      </c>
      <c r="I254" t="s">
        <v>27</v>
      </c>
      <c r="J254" t="s">
        <v>28</v>
      </c>
      <c r="K254" t="s">
        <v>124</v>
      </c>
      <c r="M254" s="85" t="s">
        <v>28</v>
      </c>
      <c r="N254" s="85" t="s">
        <v>39</v>
      </c>
      <c r="O254" t="s">
        <v>396</v>
      </c>
      <c r="P254" t="s">
        <v>391</v>
      </c>
      <c r="Q254" t="s">
        <v>393</v>
      </c>
      <c r="R254" s="140" t="s">
        <v>4448</v>
      </c>
      <c r="T254" t="s">
        <v>29</v>
      </c>
      <c r="U254">
        <v>1</v>
      </c>
      <c r="X254">
        <v>0</v>
      </c>
      <c r="Y254">
        <v>0</v>
      </c>
    </row>
    <row r="255" spans="1:25">
      <c r="A255" s="77">
        <v>37</v>
      </c>
      <c r="B255" t="s">
        <v>124</v>
      </c>
      <c r="C255" t="s">
        <v>66</v>
      </c>
      <c r="D255" s="81" t="s">
        <v>4444</v>
      </c>
      <c r="E255" s="97">
        <v>1</v>
      </c>
      <c r="F255" s="97" t="s">
        <v>112</v>
      </c>
      <c r="G255" t="s">
        <v>28</v>
      </c>
      <c r="H255" t="s">
        <v>27</v>
      </c>
      <c r="I255" t="s">
        <v>27</v>
      </c>
      <c r="J255" t="s">
        <v>28</v>
      </c>
      <c r="K255" t="s">
        <v>124</v>
      </c>
      <c r="M255" s="85" t="s">
        <v>28</v>
      </c>
      <c r="N255" s="85" t="s">
        <v>39</v>
      </c>
      <c r="O255" t="s">
        <v>397</v>
      </c>
      <c r="P255" t="s">
        <v>391</v>
      </c>
      <c r="Q255" t="s">
        <v>393</v>
      </c>
      <c r="R255" s="140" t="s">
        <v>4448</v>
      </c>
      <c r="T255" t="s">
        <v>29</v>
      </c>
      <c r="U255">
        <v>1</v>
      </c>
      <c r="X255">
        <v>0</v>
      </c>
      <c r="Y255">
        <v>0</v>
      </c>
    </row>
    <row r="256" spans="1:25">
      <c r="A256" s="38">
        <v>38</v>
      </c>
      <c r="B256" t="s">
        <v>124</v>
      </c>
      <c r="C256" t="s">
        <v>66</v>
      </c>
      <c r="D256" s="81" t="s">
        <v>4444</v>
      </c>
      <c r="E256" s="97">
        <v>1</v>
      </c>
      <c r="F256" s="97" t="s">
        <v>112</v>
      </c>
      <c r="G256" t="s">
        <v>27</v>
      </c>
      <c r="H256" t="s">
        <v>27</v>
      </c>
      <c r="I256" t="s">
        <v>27</v>
      </c>
      <c r="J256" t="s">
        <v>28</v>
      </c>
      <c r="K256" t="s">
        <v>124</v>
      </c>
      <c r="M256" s="85" t="s">
        <v>27</v>
      </c>
      <c r="N256" s="85" t="s">
        <v>62</v>
      </c>
      <c r="O256" t="s">
        <v>398</v>
      </c>
      <c r="P256" t="s">
        <v>380</v>
      </c>
      <c r="Q256" t="s">
        <v>381</v>
      </c>
      <c r="R256" s="140" t="s">
        <v>4448</v>
      </c>
    </row>
    <row r="257" spans="1:19">
      <c r="A257" s="38">
        <v>38</v>
      </c>
      <c r="B257" t="s">
        <v>124</v>
      </c>
      <c r="C257" t="s">
        <v>66</v>
      </c>
      <c r="D257" s="81" t="s">
        <v>4444</v>
      </c>
      <c r="E257" s="97">
        <v>1</v>
      </c>
      <c r="F257" s="97" t="s">
        <v>112</v>
      </c>
      <c r="G257" t="s">
        <v>27</v>
      </c>
      <c r="H257" t="s">
        <v>27</v>
      </c>
      <c r="I257" t="s">
        <v>27</v>
      </c>
      <c r="J257" t="s">
        <v>28</v>
      </c>
      <c r="K257" t="s">
        <v>124</v>
      </c>
      <c r="M257" s="85" t="s">
        <v>27</v>
      </c>
      <c r="N257" s="85" t="s">
        <v>62</v>
      </c>
      <c r="O257" t="s">
        <v>399</v>
      </c>
      <c r="P257" t="s">
        <v>380</v>
      </c>
      <c r="Q257" t="s">
        <v>381</v>
      </c>
      <c r="R257" s="140" t="s">
        <v>4448</v>
      </c>
    </row>
    <row r="258" spans="1:19">
      <c r="A258" s="38">
        <v>38</v>
      </c>
      <c r="B258" t="s">
        <v>124</v>
      </c>
      <c r="C258" t="s">
        <v>66</v>
      </c>
      <c r="D258" s="81" t="s">
        <v>4444</v>
      </c>
      <c r="E258" s="97">
        <v>1</v>
      </c>
      <c r="F258" s="97" t="s">
        <v>112</v>
      </c>
      <c r="G258" t="s">
        <v>27</v>
      </c>
      <c r="H258" t="s">
        <v>27</v>
      </c>
      <c r="I258" t="s">
        <v>27</v>
      </c>
      <c r="J258" t="s">
        <v>28</v>
      </c>
      <c r="K258" t="s">
        <v>124</v>
      </c>
      <c r="M258" s="85" t="s">
        <v>27</v>
      </c>
      <c r="N258" s="85" t="s">
        <v>62</v>
      </c>
      <c r="O258" t="s">
        <v>400</v>
      </c>
      <c r="P258" t="s">
        <v>380</v>
      </c>
      <c r="Q258" t="s">
        <v>381</v>
      </c>
      <c r="R258" s="140" t="s">
        <v>4448</v>
      </c>
    </row>
    <row r="259" spans="1:19">
      <c r="A259" s="38">
        <v>39</v>
      </c>
      <c r="B259" t="s">
        <v>124</v>
      </c>
      <c r="C259" t="s">
        <v>253</v>
      </c>
      <c r="D259" s="81" t="s">
        <v>4444</v>
      </c>
      <c r="E259" s="97">
        <v>1</v>
      </c>
      <c r="F259" s="97" t="s">
        <v>26</v>
      </c>
      <c r="G259" t="s">
        <v>27</v>
      </c>
      <c r="H259" t="s">
        <v>27</v>
      </c>
      <c r="I259" t="s">
        <v>27</v>
      </c>
      <c r="J259" t="s">
        <v>28</v>
      </c>
      <c r="K259" t="s">
        <v>124</v>
      </c>
      <c r="M259" s="85" t="s">
        <v>27</v>
      </c>
      <c r="N259" s="85" t="s">
        <v>62</v>
      </c>
      <c r="O259" s="60" t="s">
        <v>401</v>
      </c>
      <c r="P259" t="s">
        <v>380</v>
      </c>
      <c r="Q259" t="s">
        <v>402</v>
      </c>
      <c r="R259" s="140" t="s">
        <v>4448</v>
      </c>
    </row>
    <row r="260" spans="1:19">
      <c r="A260" s="38">
        <v>39</v>
      </c>
      <c r="B260" t="s">
        <v>124</v>
      </c>
      <c r="C260" t="s">
        <v>253</v>
      </c>
      <c r="D260" s="81" t="s">
        <v>4444</v>
      </c>
      <c r="E260" s="97">
        <v>1</v>
      </c>
      <c r="F260" s="97" t="s">
        <v>26</v>
      </c>
      <c r="G260" t="s">
        <v>27</v>
      </c>
      <c r="H260" t="s">
        <v>27</v>
      </c>
      <c r="I260" t="s">
        <v>27</v>
      </c>
      <c r="J260" t="s">
        <v>28</v>
      </c>
      <c r="K260" t="s">
        <v>124</v>
      </c>
      <c r="M260" s="85" t="s">
        <v>27</v>
      </c>
      <c r="N260" s="85" t="s">
        <v>62</v>
      </c>
      <c r="O260" s="60" t="s">
        <v>403</v>
      </c>
      <c r="P260" t="s">
        <v>380</v>
      </c>
      <c r="Q260" t="s">
        <v>402</v>
      </c>
      <c r="R260" s="140" t="s">
        <v>4448</v>
      </c>
    </row>
    <row r="261" spans="1:19">
      <c r="A261" s="38">
        <v>39</v>
      </c>
      <c r="B261" t="s">
        <v>124</v>
      </c>
      <c r="C261" t="s">
        <v>253</v>
      </c>
      <c r="D261" s="81" t="s">
        <v>4444</v>
      </c>
      <c r="E261" s="97">
        <v>1</v>
      </c>
      <c r="F261" s="97" t="s">
        <v>26</v>
      </c>
      <c r="G261" t="s">
        <v>27</v>
      </c>
      <c r="H261" t="s">
        <v>27</v>
      </c>
      <c r="I261" t="s">
        <v>27</v>
      </c>
      <c r="J261" t="s">
        <v>28</v>
      </c>
      <c r="K261" t="s">
        <v>124</v>
      </c>
      <c r="M261" s="85" t="s">
        <v>27</v>
      </c>
      <c r="N261" s="85" t="s">
        <v>62</v>
      </c>
      <c r="O261" s="60" t="s">
        <v>404</v>
      </c>
      <c r="P261" s="60" t="s">
        <v>380</v>
      </c>
      <c r="Q261" t="s">
        <v>402</v>
      </c>
      <c r="R261" s="140" t="s">
        <v>4448</v>
      </c>
    </row>
    <row r="262" spans="1:19" s="130" customFormat="1" hidden="1">
      <c r="A262" s="38">
        <v>161</v>
      </c>
      <c r="B262" t="s">
        <v>405</v>
      </c>
      <c r="D262" s="81">
        <v>0</v>
      </c>
      <c r="E262" s="97">
        <v>1</v>
      </c>
      <c r="F262" s="97" t="s">
        <v>112</v>
      </c>
      <c r="G262" t="s">
        <v>27</v>
      </c>
      <c r="H262" t="s">
        <v>28</v>
      </c>
      <c r="I262" t="s">
        <v>28</v>
      </c>
      <c r="J262" s="130" t="s">
        <v>27</v>
      </c>
      <c r="K262" s="130" t="s">
        <v>237</v>
      </c>
      <c r="L262" s="130" t="s">
        <v>237</v>
      </c>
      <c r="M262" s="130" t="s">
        <v>28</v>
      </c>
      <c r="N262" s="130" t="s">
        <v>51</v>
      </c>
      <c r="O262" s="68" t="s">
        <v>406</v>
      </c>
      <c r="P262" s="106" t="s">
        <v>239</v>
      </c>
      <c r="Q262" s="134"/>
      <c r="R262" s="134"/>
      <c r="S262" s="134"/>
    </row>
    <row r="263" spans="1:19" s="130" customFormat="1" hidden="1">
      <c r="A263" s="38">
        <v>161</v>
      </c>
      <c r="B263" t="s">
        <v>405</v>
      </c>
      <c r="D263" s="81">
        <v>0</v>
      </c>
      <c r="E263" s="97">
        <v>1</v>
      </c>
      <c r="F263" s="97" t="s">
        <v>112</v>
      </c>
      <c r="G263" t="s">
        <v>27</v>
      </c>
      <c r="H263" t="s">
        <v>28</v>
      </c>
      <c r="I263" t="s">
        <v>28</v>
      </c>
      <c r="J263" s="130" t="s">
        <v>27</v>
      </c>
      <c r="K263" s="130" t="s">
        <v>237</v>
      </c>
      <c r="L263" s="130" t="s">
        <v>237</v>
      </c>
      <c r="M263" s="130" t="s">
        <v>28</v>
      </c>
      <c r="N263" s="130" t="s">
        <v>51</v>
      </c>
      <c r="O263" s="68" t="s">
        <v>407</v>
      </c>
      <c r="P263" s="106" t="s">
        <v>239</v>
      </c>
      <c r="Q263" s="134"/>
      <c r="R263" s="134"/>
      <c r="S263" s="134"/>
    </row>
    <row r="264" spans="1:19" s="130" customFormat="1" hidden="1">
      <c r="A264" s="38">
        <v>161</v>
      </c>
      <c r="B264" t="s">
        <v>405</v>
      </c>
      <c r="D264" s="81">
        <v>0</v>
      </c>
      <c r="E264" s="97">
        <v>1</v>
      </c>
      <c r="F264" s="97" t="s">
        <v>112</v>
      </c>
      <c r="G264" t="s">
        <v>27</v>
      </c>
      <c r="H264" t="s">
        <v>28</v>
      </c>
      <c r="I264" t="s">
        <v>28</v>
      </c>
      <c r="J264" s="130" t="s">
        <v>27</v>
      </c>
      <c r="K264" s="130" t="s">
        <v>237</v>
      </c>
      <c r="L264" s="130" t="s">
        <v>237</v>
      </c>
      <c r="M264" s="130" t="s">
        <v>28</v>
      </c>
      <c r="N264" s="130" t="s">
        <v>51</v>
      </c>
      <c r="O264" s="137" t="s">
        <v>408</v>
      </c>
      <c r="P264" s="134" t="s">
        <v>239</v>
      </c>
      <c r="Q264" s="134"/>
      <c r="R264" s="134"/>
      <c r="S264" s="134"/>
    </row>
    <row r="265" spans="1:19">
      <c r="A265" s="38">
        <v>40</v>
      </c>
      <c r="B265" t="s">
        <v>124</v>
      </c>
      <c r="C265" t="s">
        <v>66</v>
      </c>
      <c r="D265" s="81" t="s">
        <v>4445</v>
      </c>
      <c r="E265" s="97">
        <v>1</v>
      </c>
      <c r="F265" s="97" t="s">
        <v>112</v>
      </c>
      <c r="G265" t="s">
        <v>28</v>
      </c>
      <c r="H265" t="s">
        <v>27</v>
      </c>
      <c r="I265" t="s">
        <v>27</v>
      </c>
      <c r="J265" t="s">
        <v>28</v>
      </c>
      <c r="K265" t="s">
        <v>124</v>
      </c>
      <c r="O265" t="s">
        <v>409</v>
      </c>
      <c r="P265" t="s">
        <v>86</v>
      </c>
      <c r="R265" s="140" t="s">
        <v>4448</v>
      </c>
    </row>
    <row r="266" spans="1:19">
      <c r="A266" s="38">
        <v>40</v>
      </c>
      <c r="B266" t="s">
        <v>124</v>
      </c>
      <c r="C266" t="s">
        <v>66</v>
      </c>
      <c r="D266" s="81" t="s">
        <v>4445</v>
      </c>
      <c r="E266" s="97">
        <v>1</v>
      </c>
      <c r="F266" s="97" t="s">
        <v>112</v>
      </c>
      <c r="G266" t="s">
        <v>28</v>
      </c>
      <c r="H266" t="s">
        <v>27</v>
      </c>
      <c r="I266" t="s">
        <v>27</v>
      </c>
      <c r="J266" t="s">
        <v>28</v>
      </c>
      <c r="K266" t="s">
        <v>124</v>
      </c>
      <c r="O266" t="s">
        <v>410</v>
      </c>
      <c r="P266" t="s">
        <v>86</v>
      </c>
      <c r="R266" s="140" t="s">
        <v>4448</v>
      </c>
    </row>
    <row r="267" spans="1:19">
      <c r="A267" s="38">
        <v>40</v>
      </c>
      <c r="B267" t="s">
        <v>124</v>
      </c>
      <c r="C267" t="s">
        <v>66</v>
      </c>
      <c r="D267" s="81" t="s">
        <v>4445</v>
      </c>
      <c r="E267" s="97">
        <v>1</v>
      </c>
      <c r="F267" s="97" t="s">
        <v>112</v>
      </c>
      <c r="G267" t="s">
        <v>28</v>
      </c>
      <c r="H267" t="s">
        <v>27</v>
      </c>
      <c r="I267" t="s">
        <v>27</v>
      </c>
      <c r="J267" t="s">
        <v>28</v>
      </c>
      <c r="K267" t="s">
        <v>124</v>
      </c>
      <c r="O267" t="s">
        <v>411</v>
      </c>
      <c r="P267" t="s">
        <v>86</v>
      </c>
      <c r="R267" s="140" t="s">
        <v>4448</v>
      </c>
    </row>
    <row r="268" spans="1:19">
      <c r="A268" s="38">
        <v>40</v>
      </c>
      <c r="B268" t="s">
        <v>124</v>
      </c>
      <c r="C268" t="s">
        <v>66</v>
      </c>
      <c r="D268" s="81" t="s">
        <v>4445</v>
      </c>
      <c r="E268" s="97">
        <v>1</v>
      </c>
      <c r="F268" s="97" t="s">
        <v>112</v>
      </c>
      <c r="G268" t="s">
        <v>28</v>
      </c>
      <c r="H268" t="s">
        <v>27</v>
      </c>
      <c r="I268" t="s">
        <v>27</v>
      </c>
      <c r="J268" t="s">
        <v>28</v>
      </c>
      <c r="K268" t="s">
        <v>124</v>
      </c>
      <c r="O268" t="s">
        <v>412</v>
      </c>
      <c r="P268" t="s">
        <v>86</v>
      </c>
      <c r="R268" s="140" t="s">
        <v>4448</v>
      </c>
    </row>
    <row r="269" spans="1:19">
      <c r="A269" s="38">
        <v>40</v>
      </c>
      <c r="B269" t="s">
        <v>124</v>
      </c>
      <c r="C269" t="s">
        <v>66</v>
      </c>
      <c r="D269" s="81" t="s">
        <v>4445</v>
      </c>
      <c r="E269" s="97">
        <v>1</v>
      </c>
      <c r="F269" s="97" t="s">
        <v>112</v>
      </c>
      <c r="G269" t="s">
        <v>28</v>
      </c>
      <c r="H269" t="s">
        <v>27</v>
      </c>
      <c r="I269" t="s">
        <v>27</v>
      </c>
      <c r="J269" t="s">
        <v>28</v>
      </c>
      <c r="K269" t="s">
        <v>124</v>
      </c>
      <c r="O269" t="s">
        <v>413</v>
      </c>
      <c r="P269" s="60" t="s">
        <v>86</v>
      </c>
      <c r="R269" s="140" t="s">
        <v>4448</v>
      </c>
    </row>
    <row r="270" spans="1:19">
      <c r="A270" s="38">
        <v>41</v>
      </c>
      <c r="B270" t="s">
        <v>124</v>
      </c>
      <c r="C270" t="s">
        <v>66</v>
      </c>
      <c r="D270" s="81" t="s">
        <v>4445</v>
      </c>
      <c r="E270" s="97">
        <v>1</v>
      </c>
      <c r="F270" s="97" t="s">
        <v>112</v>
      </c>
      <c r="G270" t="s">
        <v>28</v>
      </c>
      <c r="H270" t="s">
        <v>27</v>
      </c>
      <c r="I270" t="s">
        <v>27</v>
      </c>
      <c r="J270" t="s">
        <v>28</v>
      </c>
      <c r="K270" t="s">
        <v>124</v>
      </c>
      <c r="O270" t="s">
        <v>414</v>
      </c>
      <c r="P270" s="60" t="s">
        <v>191</v>
      </c>
      <c r="R270" s="140" t="s">
        <v>4448</v>
      </c>
    </row>
    <row r="271" spans="1:19">
      <c r="A271" s="38">
        <v>41</v>
      </c>
      <c r="B271" t="s">
        <v>124</v>
      </c>
      <c r="C271" t="s">
        <v>66</v>
      </c>
      <c r="D271" s="81" t="s">
        <v>4445</v>
      </c>
      <c r="E271" s="97">
        <v>1</v>
      </c>
      <c r="F271" s="97" t="s">
        <v>112</v>
      </c>
      <c r="G271" t="s">
        <v>28</v>
      </c>
      <c r="H271" t="s">
        <v>27</v>
      </c>
      <c r="I271" t="s">
        <v>27</v>
      </c>
      <c r="J271" t="s">
        <v>28</v>
      </c>
      <c r="K271" t="s">
        <v>124</v>
      </c>
      <c r="O271" t="s">
        <v>415</v>
      </c>
      <c r="P271" s="60" t="s">
        <v>191</v>
      </c>
      <c r="R271" s="140" t="s">
        <v>4448</v>
      </c>
    </row>
    <row r="272" spans="1:19">
      <c r="A272" s="38">
        <v>41</v>
      </c>
      <c r="B272" t="s">
        <v>124</v>
      </c>
      <c r="C272" t="s">
        <v>66</v>
      </c>
      <c r="D272" s="81" t="s">
        <v>4445</v>
      </c>
      <c r="E272" s="97">
        <v>1</v>
      </c>
      <c r="F272" s="97" t="s">
        <v>112</v>
      </c>
      <c r="G272" t="s">
        <v>28</v>
      </c>
      <c r="H272" t="s">
        <v>27</v>
      </c>
      <c r="I272" t="s">
        <v>27</v>
      </c>
      <c r="J272" t="s">
        <v>28</v>
      </c>
      <c r="K272" t="s">
        <v>124</v>
      </c>
      <c r="O272" t="s">
        <v>416</v>
      </c>
      <c r="P272" s="60" t="s">
        <v>191</v>
      </c>
      <c r="R272" s="140" t="s">
        <v>4448</v>
      </c>
    </row>
    <row r="273" spans="1:19">
      <c r="A273" s="38">
        <v>41</v>
      </c>
      <c r="B273" t="s">
        <v>124</v>
      </c>
      <c r="C273" t="s">
        <v>66</v>
      </c>
      <c r="D273" s="81" t="s">
        <v>4445</v>
      </c>
      <c r="E273" s="97">
        <v>1</v>
      </c>
      <c r="F273" s="97" t="s">
        <v>112</v>
      </c>
      <c r="G273" t="s">
        <v>28</v>
      </c>
      <c r="H273" t="s">
        <v>27</v>
      </c>
      <c r="I273" t="s">
        <v>27</v>
      </c>
      <c r="J273" t="s">
        <v>28</v>
      </c>
      <c r="K273" t="s">
        <v>124</v>
      </c>
      <c r="O273" t="s">
        <v>417</v>
      </c>
      <c r="P273" s="60" t="s">
        <v>191</v>
      </c>
      <c r="R273" s="140" t="s">
        <v>4448</v>
      </c>
    </row>
    <row r="274" spans="1:19">
      <c r="A274" s="38">
        <v>41</v>
      </c>
      <c r="B274" t="s">
        <v>124</v>
      </c>
      <c r="C274" t="s">
        <v>66</v>
      </c>
      <c r="D274" s="81" t="s">
        <v>4445</v>
      </c>
      <c r="E274" s="97">
        <v>1</v>
      </c>
      <c r="F274" s="97" t="s">
        <v>112</v>
      </c>
      <c r="G274" t="s">
        <v>28</v>
      </c>
      <c r="H274" t="s">
        <v>27</v>
      </c>
      <c r="I274" t="s">
        <v>27</v>
      </c>
      <c r="J274" t="s">
        <v>28</v>
      </c>
      <c r="K274" t="s">
        <v>124</v>
      </c>
      <c r="O274" t="s">
        <v>418</v>
      </c>
      <c r="P274" s="60" t="s">
        <v>191</v>
      </c>
      <c r="R274" s="140" t="s">
        <v>4448</v>
      </c>
    </row>
    <row r="275" spans="1:19">
      <c r="A275" s="77">
        <v>42</v>
      </c>
      <c r="B275" t="s">
        <v>124</v>
      </c>
      <c r="C275" t="s">
        <v>66</v>
      </c>
      <c r="D275" s="81" t="s">
        <v>4445</v>
      </c>
      <c r="E275" s="97">
        <v>1</v>
      </c>
      <c r="F275" s="97" t="s">
        <v>112</v>
      </c>
      <c r="G275" t="s">
        <v>28</v>
      </c>
      <c r="H275" t="s">
        <v>28</v>
      </c>
      <c r="I275" t="s">
        <v>27</v>
      </c>
      <c r="J275" t="s">
        <v>28</v>
      </c>
      <c r="K275" t="s">
        <v>124</v>
      </c>
      <c r="O275" t="s">
        <v>419</v>
      </c>
      <c r="P275" s="11" t="s">
        <v>102</v>
      </c>
      <c r="Q275" s="132" t="s">
        <v>420</v>
      </c>
      <c r="R275" s="140" t="s">
        <v>4448</v>
      </c>
      <c r="S275" s="132"/>
    </row>
    <row r="276" spans="1:19" s="137" customFormat="1">
      <c r="A276" s="77">
        <v>42</v>
      </c>
      <c r="B276" t="s">
        <v>124</v>
      </c>
      <c r="C276" t="s">
        <v>66</v>
      </c>
      <c r="D276" s="81" t="s">
        <v>4445</v>
      </c>
      <c r="E276" s="97">
        <v>1</v>
      </c>
      <c r="F276" s="97" t="s">
        <v>112</v>
      </c>
      <c r="G276" t="s">
        <v>28</v>
      </c>
      <c r="H276" t="s">
        <v>28</v>
      </c>
      <c r="I276" t="s">
        <v>27</v>
      </c>
      <c r="J276" t="s">
        <v>28</v>
      </c>
      <c r="K276" t="s">
        <v>124</v>
      </c>
      <c r="O276" t="s">
        <v>421</v>
      </c>
      <c r="P276" s="11" t="s">
        <v>102</v>
      </c>
      <c r="Q276" s="132" t="s">
        <v>420</v>
      </c>
      <c r="R276" s="140" t="s">
        <v>4448</v>
      </c>
      <c r="S276" s="132"/>
    </row>
    <row r="277" spans="1:19">
      <c r="A277" s="77">
        <v>42</v>
      </c>
      <c r="B277" t="s">
        <v>124</v>
      </c>
      <c r="C277" t="s">
        <v>66</v>
      </c>
      <c r="D277" s="81" t="s">
        <v>4445</v>
      </c>
      <c r="E277" s="97">
        <v>1</v>
      </c>
      <c r="F277" s="97" t="s">
        <v>112</v>
      </c>
      <c r="G277" t="s">
        <v>28</v>
      </c>
      <c r="H277" t="s">
        <v>28</v>
      </c>
      <c r="I277" t="s">
        <v>27</v>
      </c>
      <c r="J277" t="s">
        <v>28</v>
      </c>
      <c r="K277" t="s">
        <v>124</v>
      </c>
      <c r="O277" t="s">
        <v>422</v>
      </c>
      <c r="P277" s="11" t="s">
        <v>102</v>
      </c>
      <c r="Q277" s="132" t="s">
        <v>420</v>
      </c>
      <c r="R277" s="140" t="s">
        <v>4448</v>
      </c>
      <c r="S277" s="132"/>
    </row>
    <row r="278" spans="1:19">
      <c r="A278" s="77">
        <v>42</v>
      </c>
      <c r="B278" t="s">
        <v>124</v>
      </c>
      <c r="C278" t="s">
        <v>66</v>
      </c>
      <c r="D278" s="81" t="s">
        <v>4445</v>
      </c>
      <c r="E278" s="97">
        <v>1</v>
      </c>
      <c r="F278" s="97" t="s">
        <v>112</v>
      </c>
      <c r="G278" t="s">
        <v>28</v>
      </c>
      <c r="H278" t="s">
        <v>28</v>
      </c>
      <c r="I278" t="s">
        <v>27</v>
      </c>
      <c r="J278" t="s">
        <v>28</v>
      </c>
      <c r="K278" t="s">
        <v>124</v>
      </c>
      <c r="O278" t="s">
        <v>423</v>
      </c>
      <c r="P278" s="11" t="s">
        <v>102</v>
      </c>
      <c r="Q278" s="132" t="s">
        <v>420</v>
      </c>
      <c r="R278" s="140" t="s">
        <v>4448</v>
      </c>
      <c r="S278" s="132"/>
    </row>
    <row r="279" spans="1:19">
      <c r="A279" s="77">
        <v>42</v>
      </c>
      <c r="B279" t="s">
        <v>124</v>
      </c>
      <c r="C279" t="s">
        <v>66</v>
      </c>
      <c r="D279" s="81" t="s">
        <v>4445</v>
      </c>
      <c r="E279" s="97">
        <v>1</v>
      </c>
      <c r="F279" s="97" t="s">
        <v>112</v>
      </c>
      <c r="G279" t="s">
        <v>28</v>
      </c>
      <c r="H279" t="s">
        <v>28</v>
      </c>
      <c r="I279" t="s">
        <v>27</v>
      </c>
      <c r="J279" t="s">
        <v>28</v>
      </c>
      <c r="K279" t="s">
        <v>124</v>
      </c>
      <c r="O279" t="s">
        <v>424</v>
      </c>
      <c r="P279" s="11" t="s">
        <v>102</v>
      </c>
      <c r="Q279" s="132" t="s">
        <v>420</v>
      </c>
      <c r="R279" s="140" t="s">
        <v>4448</v>
      </c>
      <c r="S279" s="132"/>
    </row>
    <row r="280" spans="1:19">
      <c r="A280" s="38">
        <v>43</v>
      </c>
      <c r="B280" t="s">
        <v>124</v>
      </c>
      <c r="C280" t="s">
        <v>66</v>
      </c>
      <c r="D280" s="81" t="s">
        <v>4445</v>
      </c>
      <c r="E280" s="97">
        <v>1</v>
      </c>
      <c r="F280" s="97" t="s">
        <v>112</v>
      </c>
      <c r="G280" t="s">
        <v>28</v>
      </c>
      <c r="H280" t="s">
        <v>27</v>
      </c>
      <c r="I280" t="s">
        <v>27</v>
      </c>
      <c r="J280" t="s">
        <v>28</v>
      </c>
      <c r="K280" t="s">
        <v>124</v>
      </c>
      <c r="O280" t="s">
        <v>425</v>
      </c>
      <c r="P280" s="60" t="s">
        <v>191</v>
      </c>
      <c r="R280" s="140" t="s">
        <v>4448</v>
      </c>
    </row>
    <row r="281" spans="1:19">
      <c r="A281" s="38">
        <v>43</v>
      </c>
      <c r="B281" t="s">
        <v>124</v>
      </c>
      <c r="C281" t="s">
        <v>66</v>
      </c>
      <c r="D281" s="81" t="s">
        <v>4445</v>
      </c>
      <c r="E281" s="97">
        <v>1</v>
      </c>
      <c r="F281" s="97" t="s">
        <v>112</v>
      </c>
      <c r="G281" t="s">
        <v>28</v>
      </c>
      <c r="H281" t="s">
        <v>27</v>
      </c>
      <c r="I281" t="s">
        <v>27</v>
      </c>
      <c r="J281" t="s">
        <v>28</v>
      </c>
      <c r="K281" t="s">
        <v>124</v>
      </c>
      <c r="O281" t="s">
        <v>426</v>
      </c>
      <c r="P281" s="60" t="s">
        <v>191</v>
      </c>
      <c r="R281" s="140" t="s">
        <v>4448</v>
      </c>
    </row>
    <row r="282" spans="1:19">
      <c r="A282" s="38">
        <v>43</v>
      </c>
      <c r="B282" t="s">
        <v>124</v>
      </c>
      <c r="C282" t="s">
        <v>66</v>
      </c>
      <c r="D282" s="81" t="s">
        <v>4445</v>
      </c>
      <c r="E282" s="97">
        <v>1</v>
      </c>
      <c r="F282" s="97" t="s">
        <v>112</v>
      </c>
      <c r="G282" t="s">
        <v>28</v>
      </c>
      <c r="H282" t="s">
        <v>27</v>
      </c>
      <c r="I282" t="s">
        <v>27</v>
      </c>
      <c r="J282" t="s">
        <v>28</v>
      </c>
      <c r="K282" t="s">
        <v>124</v>
      </c>
      <c r="O282" t="s">
        <v>427</v>
      </c>
      <c r="P282" s="60" t="s">
        <v>191</v>
      </c>
      <c r="R282" s="140" t="s">
        <v>4448</v>
      </c>
    </row>
    <row r="283" spans="1:19">
      <c r="A283" s="38">
        <v>43</v>
      </c>
      <c r="B283" t="s">
        <v>124</v>
      </c>
      <c r="C283" t="s">
        <v>66</v>
      </c>
      <c r="D283" s="81" t="s">
        <v>4445</v>
      </c>
      <c r="E283" s="97">
        <v>1</v>
      </c>
      <c r="F283" s="97" t="s">
        <v>112</v>
      </c>
      <c r="G283" t="s">
        <v>28</v>
      </c>
      <c r="H283" t="s">
        <v>27</v>
      </c>
      <c r="I283" t="s">
        <v>27</v>
      </c>
      <c r="J283" t="s">
        <v>28</v>
      </c>
      <c r="K283" t="s">
        <v>124</v>
      </c>
      <c r="O283" s="60" t="s">
        <v>428</v>
      </c>
      <c r="P283" s="60" t="s">
        <v>191</v>
      </c>
      <c r="R283" s="140" t="s">
        <v>4448</v>
      </c>
    </row>
    <row r="284" spans="1:19">
      <c r="A284" s="38">
        <v>43</v>
      </c>
      <c r="B284" t="s">
        <v>124</v>
      </c>
      <c r="C284" t="s">
        <v>66</v>
      </c>
      <c r="D284" s="81" t="s">
        <v>4445</v>
      </c>
      <c r="E284" s="97">
        <v>1</v>
      </c>
      <c r="F284" s="97" t="s">
        <v>112</v>
      </c>
      <c r="G284" t="s">
        <v>28</v>
      </c>
      <c r="H284" t="s">
        <v>27</v>
      </c>
      <c r="I284" t="s">
        <v>27</v>
      </c>
      <c r="J284" t="s">
        <v>28</v>
      </c>
      <c r="K284" t="s">
        <v>124</v>
      </c>
      <c r="O284" s="60" t="s">
        <v>429</v>
      </c>
      <c r="P284" s="60" t="s">
        <v>191</v>
      </c>
      <c r="R284" s="140" t="s">
        <v>4448</v>
      </c>
    </row>
    <row r="285" spans="1:19">
      <c r="A285" s="38">
        <v>44</v>
      </c>
      <c r="B285" t="s">
        <v>124</v>
      </c>
      <c r="C285" t="s">
        <v>66</v>
      </c>
      <c r="D285" s="81" t="s">
        <v>4444</v>
      </c>
      <c r="E285" s="97">
        <v>1</v>
      </c>
      <c r="F285" s="97" t="s">
        <v>112</v>
      </c>
      <c r="G285" t="s">
        <v>27</v>
      </c>
      <c r="H285" t="s">
        <v>27</v>
      </c>
      <c r="I285" t="s">
        <v>27</v>
      </c>
      <c r="J285" t="s">
        <v>28</v>
      </c>
      <c r="K285" t="s">
        <v>124</v>
      </c>
      <c r="O285" s="60" t="s">
        <v>430</v>
      </c>
      <c r="P285" s="11" t="s">
        <v>380</v>
      </c>
      <c r="Q285" s="132"/>
      <c r="R285" s="140" t="s">
        <v>4448</v>
      </c>
      <c r="S285" s="132"/>
    </row>
    <row r="286" spans="1:19" s="137" customFormat="1">
      <c r="A286" s="38">
        <v>44</v>
      </c>
      <c r="B286" t="s">
        <v>124</v>
      </c>
      <c r="C286" t="s">
        <v>66</v>
      </c>
      <c r="D286" s="81" t="s">
        <v>4444</v>
      </c>
      <c r="E286" s="97">
        <v>1</v>
      </c>
      <c r="F286" s="97" t="s">
        <v>112</v>
      </c>
      <c r="G286" t="s">
        <v>27</v>
      </c>
      <c r="H286" t="s">
        <v>27</v>
      </c>
      <c r="I286" t="s">
        <v>27</v>
      </c>
      <c r="J286" t="s">
        <v>28</v>
      </c>
      <c r="K286" t="s">
        <v>124</v>
      </c>
      <c r="O286" t="s">
        <v>431</v>
      </c>
      <c r="P286" s="132" t="s">
        <v>380</v>
      </c>
      <c r="Q286" s="132"/>
      <c r="R286" s="140" t="s">
        <v>4448</v>
      </c>
      <c r="S286" s="132"/>
    </row>
    <row r="287" spans="1:19" s="137" customFormat="1">
      <c r="A287" s="38">
        <v>44</v>
      </c>
      <c r="B287" t="s">
        <v>124</v>
      </c>
      <c r="C287" t="s">
        <v>66</v>
      </c>
      <c r="D287" s="81" t="s">
        <v>4444</v>
      </c>
      <c r="E287" s="97">
        <v>1</v>
      </c>
      <c r="F287" s="97" t="s">
        <v>112</v>
      </c>
      <c r="G287" t="s">
        <v>27</v>
      </c>
      <c r="H287" t="s">
        <v>27</v>
      </c>
      <c r="I287" t="s">
        <v>27</v>
      </c>
      <c r="J287" t="s">
        <v>28</v>
      </c>
      <c r="K287" t="s">
        <v>124</v>
      </c>
      <c r="O287" t="s">
        <v>432</v>
      </c>
      <c r="P287" s="132" t="s">
        <v>380</v>
      </c>
      <c r="Q287" s="132"/>
      <c r="R287" s="140" t="s">
        <v>4448</v>
      </c>
      <c r="S287" s="132"/>
    </row>
    <row r="288" spans="1:19" s="137" customFormat="1">
      <c r="A288" s="38">
        <v>45</v>
      </c>
      <c r="B288" t="s">
        <v>124</v>
      </c>
      <c r="C288" t="s">
        <v>66</v>
      </c>
      <c r="D288" s="81" t="s">
        <v>4444</v>
      </c>
      <c r="E288" s="97">
        <v>1</v>
      </c>
      <c r="F288" s="97" t="s">
        <v>112</v>
      </c>
      <c r="G288" t="s">
        <v>27</v>
      </c>
      <c r="H288" t="s">
        <v>27</v>
      </c>
      <c r="I288" t="s">
        <v>27</v>
      </c>
      <c r="J288" t="s">
        <v>28</v>
      </c>
      <c r="K288" t="s">
        <v>124</v>
      </c>
      <c r="O288" t="s">
        <v>433</v>
      </c>
      <c r="P288" s="132" t="s">
        <v>380</v>
      </c>
      <c r="Q288" s="132"/>
      <c r="R288" s="140" t="s">
        <v>4448</v>
      </c>
      <c r="S288" s="132"/>
    </row>
    <row r="289" spans="1:25">
      <c r="A289" s="38">
        <v>45</v>
      </c>
      <c r="B289" t="s">
        <v>124</v>
      </c>
      <c r="C289" t="s">
        <v>66</v>
      </c>
      <c r="D289" s="81" t="s">
        <v>4444</v>
      </c>
      <c r="E289" s="97">
        <v>1</v>
      </c>
      <c r="F289" s="97" t="s">
        <v>112</v>
      </c>
      <c r="G289" t="s">
        <v>27</v>
      </c>
      <c r="H289" t="s">
        <v>27</v>
      </c>
      <c r="I289" t="s">
        <v>27</v>
      </c>
      <c r="J289" t="s">
        <v>28</v>
      </c>
      <c r="K289" t="s">
        <v>124</v>
      </c>
      <c r="O289" t="s">
        <v>434</v>
      </c>
      <c r="P289" s="11" t="s">
        <v>380</v>
      </c>
      <c r="Q289" s="132"/>
      <c r="R289" s="140" t="s">
        <v>4448</v>
      </c>
      <c r="S289" s="132"/>
    </row>
    <row r="290" spans="1:25">
      <c r="A290" s="38">
        <v>45</v>
      </c>
      <c r="B290" t="s">
        <v>124</v>
      </c>
      <c r="C290" t="s">
        <v>66</v>
      </c>
      <c r="D290" s="81" t="s">
        <v>4444</v>
      </c>
      <c r="E290" s="97">
        <v>1</v>
      </c>
      <c r="F290" s="97" t="s">
        <v>112</v>
      </c>
      <c r="G290" t="s">
        <v>27</v>
      </c>
      <c r="H290" t="s">
        <v>27</v>
      </c>
      <c r="I290" t="s">
        <v>27</v>
      </c>
      <c r="J290" t="s">
        <v>28</v>
      </c>
      <c r="K290" t="s">
        <v>124</v>
      </c>
      <c r="O290" t="s">
        <v>435</v>
      </c>
      <c r="P290" s="11" t="s">
        <v>380</v>
      </c>
      <c r="Q290" s="132"/>
      <c r="R290" s="140" t="s">
        <v>4448</v>
      </c>
      <c r="S290" s="132"/>
    </row>
    <row r="291" spans="1:25">
      <c r="A291" s="38">
        <v>46</v>
      </c>
      <c r="B291" t="s">
        <v>124</v>
      </c>
      <c r="C291" t="s">
        <v>66</v>
      </c>
      <c r="D291" s="81" t="s">
        <v>4444</v>
      </c>
      <c r="E291" s="97">
        <v>1</v>
      </c>
      <c r="F291" s="97" t="s">
        <v>112</v>
      </c>
      <c r="G291" t="s">
        <v>27</v>
      </c>
      <c r="H291" t="s">
        <v>27</v>
      </c>
      <c r="I291" t="s">
        <v>27</v>
      </c>
      <c r="J291" t="s">
        <v>28</v>
      </c>
      <c r="K291" t="s">
        <v>124</v>
      </c>
      <c r="O291" t="s">
        <v>436</v>
      </c>
      <c r="P291" s="11" t="s">
        <v>380</v>
      </c>
      <c r="Q291" s="132"/>
      <c r="R291" s="140" t="s">
        <v>4448</v>
      </c>
      <c r="S291" s="132"/>
    </row>
    <row r="292" spans="1:25" hidden="1">
      <c r="A292" s="79">
        <v>46</v>
      </c>
      <c r="B292" s="137" t="s">
        <v>124</v>
      </c>
      <c r="C292" s="137" t="s">
        <v>66</v>
      </c>
      <c r="D292" s="81" t="s">
        <v>4444</v>
      </c>
      <c r="E292" s="97">
        <v>1</v>
      </c>
      <c r="F292" s="97" t="s">
        <v>112</v>
      </c>
      <c r="G292" s="137" t="s">
        <v>27</v>
      </c>
      <c r="H292" s="137" t="s">
        <v>27</v>
      </c>
      <c r="I292" s="137" t="s">
        <v>27</v>
      </c>
      <c r="J292" s="137" t="s">
        <v>27</v>
      </c>
      <c r="K292" s="90" t="s">
        <v>437</v>
      </c>
      <c r="L292" s="90" t="s">
        <v>437</v>
      </c>
      <c r="M292" s="90" t="s">
        <v>240</v>
      </c>
      <c r="N292" s="124" t="s">
        <v>31</v>
      </c>
      <c r="O292" s="137" t="s">
        <v>438</v>
      </c>
      <c r="P292" s="55" t="s">
        <v>380</v>
      </c>
      <c r="Q292" s="135"/>
      <c r="R292" s="135"/>
      <c r="S292" s="135"/>
      <c r="T292" s="137"/>
      <c r="U292" s="137"/>
      <c r="V292" s="137"/>
      <c r="W292" s="137"/>
      <c r="X292" s="137"/>
      <c r="Y292" s="137"/>
    </row>
    <row r="293" spans="1:25">
      <c r="A293" s="38">
        <v>46</v>
      </c>
      <c r="B293" t="s">
        <v>124</v>
      </c>
      <c r="C293" t="s">
        <v>66</v>
      </c>
      <c r="D293" s="81" t="s">
        <v>4444</v>
      </c>
      <c r="E293" s="97">
        <v>1</v>
      </c>
      <c r="F293" s="97" t="s">
        <v>112</v>
      </c>
      <c r="G293" t="s">
        <v>27</v>
      </c>
      <c r="H293" t="s">
        <v>27</v>
      </c>
      <c r="I293" t="s">
        <v>27</v>
      </c>
      <c r="J293" t="s">
        <v>28</v>
      </c>
      <c r="K293" t="s">
        <v>124</v>
      </c>
      <c r="O293" t="s">
        <v>439</v>
      </c>
      <c r="P293" s="11" t="s">
        <v>380</v>
      </c>
      <c r="Q293" s="132"/>
      <c r="R293" s="140" t="s">
        <v>4448</v>
      </c>
      <c r="S293" s="132"/>
    </row>
    <row r="294" spans="1:25">
      <c r="A294" s="38">
        <v>47</v>
      </c>
      <c r="B294" t="s">
        <v>124</v>
      </c>
      <c r="C294" t="s">
        <v>66</v>
      </c>
      <c r="D294" s="81" t="s">
        <v>4445</v>
      </c>
      <c r="E294" s="97">
        <v>1</v>
      </c>
      <c r="F294" s="97" t="s">
        <v>112</v>
      </c>
      <c r="G294" t="s">
        <v>28</v>
      </c>
      <c r="H294" t="s">
        <v>27</v>
      </c>
      <c r="I294" t="s">
        <v>27</v>
      </c>
      <c r="J294" t="s">
        <v>28</v>
      </c>
      <c r="K294" t="s">
        <v>124</v>
      </c>
      <c r="O294" t="s">
        <v>440</v>
      </c>
      <c r="P294" s="11" t="s">
        <v>202</v>
      </c>
      <c r="Q294" s="132"/>
      <c r="R294" s="140" t="s">
        <v>4448</v>
      </c>
      <c r="S294" s="132"/>
    </row>
    <row r="295" spans="1:25">
      <c r="A295" s="38">
        <v>47</v>
      </c>
      <c r="B295" t="s">
        <v>124</v>
      </c>
      <c r="C295" t="s">
        <v>66</v>
      </c>
      <c r="D295" s="81" t="s">
        <v>4445</v>
      </c>
      <c r="E295" s="97">
        <v>1</v>
      </c>
      <c r="F295" s="97" t="s">
        <v>112</v>
      </c>
      <c r="G295" t="s">
        <v>28</v>
      </c>
      <c r="H295" t="s">
        <v>27</v>
      </c>
      <c r="I295" t="s">
        <v>27</v>
      </c>
      <c r="J295" t="s">
        <v>28</v>
      </c>
      <c r="K295" t="s">
        <v>124</v>
      </c>
      <c r="O295" t="s">
        <v>441</v>
      </c>
      <c r="P295" s="11" t="s">
        <v>202</v>
      </c>
      <c r="Q295" s="132"/>
      <c r="R295" s="140" t="s">
        <v>4448</v>
      </c>
      <c r="S295" s="132"/>
    </row>
    <row r="296" spans="1:25">
      <c r="A296" s="38">
        <v>47</v>
      </c>
      <c r="B296" t="s">
        <v>124</v>
      </c>
      <c r="C296" t="s">
        <v>66</v>
      </c>
      <c r="D296" s="81" t="s">
        <v>4445</v>
      </c>
      <c r="E296" s="97">
        <v>1</v>
      </c>
      <c r="F296" s="97" t="s">
        <v>112</v>
      </c>
      <c r="G296" t="s">
        <v>28</v>
      </c>
      <c r="H296" t="s">
        <v>27</v>
      </c>
      <c r="I296" t="s">
        <v>27</v>
      </c>
      <c r="J296" t="s">
        <v>28</v>
      </c>
      <c r="K296" t="s">
        <v>124</v>
      </c>
      <c r="O296" s="60" t="s">
        <v>442</v>
      </c>
      <c r="P296" s="132" t="s">
        <v>202</v>
      </c>
      <c r="Q296" s="132"/>
      <c r="R296" s="140" t="s">
        <v>4448</v>
      </c>
      <c r="S296" s="132"/>
    </row>
    <row r="297" spans="1:25">
      <c r="A297" s="38">
        <v>47</v>
      </c>
      <c r="B297" t="s">
        <v>124</v>
      </c>
      <c r="C297" t="s">
        <v>66</v>
      </c>
      <c r="D297" s="81" t="s">
        <v>4445</v>
      </c>
      <c r="E297" s="97">
        <v>1</v>
      </c>
      <c r="F297" s="97" t="s">
        <v>112</v>
      </c>
      <c r="G297" t="s">
        <v>28</v>
      </c>
      <c r="H297" t="s">
        <v>27</v>
      </c>
      <c r="I297" t="s">
        <v>27</v>
      </c>
      <c r="J297" t="s">
        <v>28</v>
      </c>
      <c r="K297" t="s">
        <v>124</v>
      </c>
      <c r="O297" s="60" t="s">
        <v>443</v>
      </c>
      <c r="P297" s="132" t="s">
        <v>202</v>
      </c>
      <c r="Q297" s="132"/>
      <c r="R297" s="140" t="s">
        <v>4448</v>
      </c>
      <c r="S297" s="132"/>
    </row>
    <row r="298" spans="1:25">
      <c r="A298" s="38">
        <v>47</v>
      </c>
      <c r="B298" t="s">
        <v>124</v>
      </c>
      <c r="C298" t="s">
        <v>66</v>
      </c>
      <c r="D298" s="81" t="s">
        <v>4445</v>
      </c>
      <c r="E298" s="97">
        <v>1</v>
      </c>
      <c r="F298" s="97" t="s">
        <v>112</v>
      </c>
      <c r="G298" t="s">
        <v>28</v>
      </c>
      <c r="H298" t="s">
        <v>27</v>
      </c>
      <c r="I298" t="s">
        <v>27</v>
      </c>
      <c r="J298" t="s">
        <v>28</v>
      </c>
      <c r="K298" t="s">
        <v>124</v>
      </c>
      <c r="O298" t="s">
        <v>444</v>
      </c>
      <c r="P298" s="132" t="s">
        <v>202</v>
      </c>
      <c r="Q298" s="132"/>
      <c r="R298" s="140" t="s">
        <v>4448</v>
      </c>
      <c r="S298" s="132"/>
    </row>
    <row r="299" spans="1:25">
      <c r="A299" s="77">
        <v>48</v>
      </c>
      <c r="B299" t="s">
        <v>124</v>
      </c>
      <c r="C299" t="s">
        <v>66</v>
      </c>
      <c r="D299" s="81" t="s">
        <v>4444</v>
      </c>
      <c r="E299" s="97">
        <v>2</v>
      </c>
      <c r="F299" s="97" t="s">
        <v>54</v>
      </c>
      <c r="G299" t="s">
        <v>27</v>
      </c>
      <c r="H299" t="s">
        <v>28</v>
      </c>
      <c r="I299" t="s">
        <v>28</v>
      </c>
      <c r="J299" t="s">
        <v>28</v>
      </c>
      <c r="K299" t="s">
        <v>124</v>
      </c>
      <c r="O299" t="s">
        <v>445</v>
      </c>
      <c r="P299" s="129" t="s">
        <v>446</v>
      </c>
      <c r="Q299" s="129"/>
      <c r="R299" s="140" t="s">
        <v>4448</v>
      </c>
      <c r="S299" s="129"/>
    </row>
    <row r="300" spans="1:25">
      <c r="A300" s="77">
        <v>48</v>
      </c>
      <c r="B300" t="s">
        <v>124</v>
      </c>
      <c r="C300" t="s">
        <v>66</v>
      </c>
      <c r="D300" s="81" t="s">
        <v>4444</v>
      </c>
      <c r="E300" s="97">
        <v>2</v>
      </c>
      <c r="F300" s="97" t="s">
        <v>54</v>
      </c>
      <c r="G300" t="s">
        <v>27</v>
      </c>
      <c r="H300" t="s">
        <v>28</v>
      </c>
      <c r="I300" t="s">
        <v>28</v>
      </c>
      <c r="J300" t="s">
        <v>28</v>
      </c>
      <c r="K300" t="s">
        <v>124</v>
      </c>
      <c r="O300" t="s">
        <v>447</v>
      </c>
      <c r="P300" s="129" t="s">
        <v>446</v>
      </c>
      <c r="Q300" s="129"/>
      <c r="R300" s="140" t="s">
        <v>4448</v>
      </c>
      <c r="S300" s="129"/>
    </row>
    <row r="301" spans="1:25" s="130" customFormat="1">
      <c r="A301" s="77">
        <v>48</v>
      </c>
      <c r="B301" t="s">
        <v>124</v>
      </c>
      <c r="C301" t="s">
        <v>66</v>
      </c>
      <c r="D301" s="81" t="s">
        <v>4444</v>
      </c>
      <c r="E301" s="97">
        <v>2</v>
      </c>
      <c r="F301" s="97" t="s">
        <v>54</v>
      </c>
      <c r="G301" t="s">
        <v>27</v>
      </c>
      <c r="H301" t="s">
        <v>28</v>
      </c>
      <c r="I301" t="s">
        <v>28</v>
      </c>
      <c r="J301" t="s">
        <v>28</v>
      </c>
      <c r="K301" t="s">
        <v>124</v>
      </c>
      <c r="O301" t="s">
        <v>448</v>
      </c>
      <c r="P301" s="129" t="s">
        <v>446</v>
      </c>
      <c r="Q301" s="129"/>
      <c r="R301" s="140" t="s">
        <v>4448</v>
      </c>
      <c r="S301" s="129"/>
    </row>
    <row r="302" spans="1:25" s="130" customFormat="1" hidden="1">
      <c r="A302" s="78">
        <v>165</v>
      </c>
      <c r="B302" s="130" t="s">
        <v>405</v>
      </c>
      <c r="D302" s="81">
        <v>0</v>
      </c>
      <c r="E302" s="97">
        <v>3</v>
      </c>
      <c r="F302" s="98" t="s">
        <v>74</v>
      </c>
      <c r="G302" s="130" t="s">
        <v>27</v>
      </c>
      <c r="H302" s="130" t="s">
        <v>28</v>
      </c>
      <c r="I302" s="130" t="s">
        <v>28</v>
      </c>
      <c r="J302" s="130" t="s">
        <v>27</v>
      </c>
      <c r="K302" s="130" t="s">
        <v>237</v>
      </c>
      <c r="L302" s="130" t="s">
        <v>237</v>
      </c>
      <c r="M302" s="130" t="s">
        <v>28</v>
      </c>
      <c r="N302" s="130" t="s">
        <v>51</v>
      </c>
      <c r="O302" s="61" t="s">
        <v>449</v>
      </c>
      <c r="P302" s="131" t="s">
        <v>239</v>
      </c>
      <c r="Q302" s="131"/>
      <c r="R302" s="131"/>
      <c r="S302" s="131"/>
    </row>
    <row r="303" spans="1:25" hidden="1">
      <c r="A303" s="78">
        <v>165</v>
      </c>
      <c r="B303" s="130" t="s">
        <v>405</v>
      </c>
      <c r="C303" s="130"/>
      <c r="D303" s="81">
        <v>0</v>
      </c>
      <c r="E303" s="97">
        <v>3</v>
      </c>
      <c r="F303" s="98" t="s">
        <v>74</v>
      </c>
      <c r="G303" s="130" t="s">
        <v>27</v>
      </c>
      <c r="H303" s="130" t="s">
        <v>28</v>
      </c>
      <c r="I303" s="130" t="s">
        <v>28</v>
      </c>
      <c r="J303" s="130" t="s">
        <v>27</v>
      </c>
      <c r="K303" s="130" t="s">
        <v>237</v>
      </c>
      <c r="L303" s="130" t="s">
        <v>237</v>
      </c>
      <c r="M303" s="130" t="s">
        <v>28</v>
      </c>
      <c r="N303" s="130" t="s">
        <v>51</v>
      </c>
      <c r="O303" s="61" t="s">
        <v>450</v>
      </c>
      <c r="P303" s="131" t="s">
        <v>239</v>
      </c>
      <c r="Q303" s="131"/>
      <c r="R303" s="131"/>
      <c r="S303" s="131"/>
      <c r="T303" s="130"/>
      <c r="U303" s="130"/>
      <c r="V303" s="130"/>
      <c r="W303" s="130"/>
      <c r="X303" s="130"/>
      <c r="Y303" s="130"/>
    </row>
    <row r="304" spans="1:25" hidden="1">
      <c r="A304" s="78">
        <v>165</v>
      </c>
      <c r="B304" s="130" t="s">
        <v>405</v>
      </c>
      <c r="C304" s="130"/>
      <c r="D304" s="81">
        <v>0</v>
      </c>
      <c r="E304" s="97">
        <v>3</v>
      </c>
      <c r="F304" s="98" t="s">
        <v>74</v>
      </c>
      <c r="G304" s="130" t="s">
        <v>27</v>
      </c>
      <c r="H304" s="130" t="s">
        <v>28</v>
      </c>
      <c r="I304" s="130" t="s">
        <v>28</v>
      </c>
      <c r="J304" s="130" t="s">
        <v>27</v>
      </c>
      <c r="K304" s="130" t="s">
        <v>237</v>
      </c>
      <c r="L304" s="130" t="s">
        <v>237</v>
      </c>
      <c r="M304" s="130" t="s">
        <v>28</v>
      </c>
      <c r="N304" s="130" t="s">
        <v>51</v>
      </c>
      <c r="O304" s="61" t="s">
        <v>451</v>
      </c>
      <c r="P304" s="131" t="s">
        <v>239</v>
      </c>
      <c r="Q304" s="131"/>
      <c r="R304" s="131"/>
      <c r="S304" s="131"/>
      <c r="T304" s="130"/>
      <c r="U304" s="130"/>
      <c r="V304" s="130"/>
      <c r="W304" s="130"/>
      <c r="X304" s="130"/>
      <c r="Y304" s="130"/>
    </row>
    <row r="305" spans="1:25">
      <c r="A305" s="38">
        <v>49</v>
      </c>
      <c r="B305" t="s">
        <v>124</v>
      </c>
      <c r="C305" t="s">
        <v>66</v>
      </c>
      <c r="D305" s="81" t="s">
        <v>4444</v>
      </c>
      <c r="E305" s="97">
        <v>2</v>
      </c>
      <c r="F305" s="97" t="s">
        <v>49</v>
      </c>
      <c r="G305" t="s">
        <v>27</v>
      </c>
      <c r="H305" t="s">
        <v>27</v>
      </c>
      <c r="I305" t="s">
        <v>27</v>
      </c>
      <c r="J305" t="s">
        <v>28</v>
      </c>
      <c r="K305" t="s">
        <v>124</v>
      </c>
      <c r="O305" s="60" t="s">
        <v>452</v>
      </c>
      <c r="P305" s="129" t="s">
        <v>446</v>
      </c>
      <c r="Q305" s="129"/>
      <c r="R305" s="140" t="s">
        <v>4448</v>
      </c>
      <c r="S305" s="129"/>
    </row>
    <row r="306" spans="1:25">
      <c r="A306" s="38">
        <v>49</v>
      </c>
      <c r="B306" t="s">
        <v>124</v>
      </c>
      <c r="C306" t="s">
        <v>66</v>
      </c>
      <c r="D306" s="81" t="s">
        <v>4444</v>
      </c>
      <c r="E306" s="97">
        <v>2</v>
      </c>
      <c r="F306" s="97" t="s">
        <v>49</v>
      </c>
      <c r="G306" t="s">
        <v>27</v>
      </c>
      <c r="H306" t="s">
        <v>27</v>
      </c>
      <c r="I306" t="s">
        <v>27</v>
      </c>
      <c r="J306" t="s">
        <v>28</v>
      </c>
      <c r="K306" t="s">
        <v>124</v>
      </c>
      <c r="O306" t="s">
        <v>453</v>
      </c>
      <c r="P306" s="129" t="s">
        <v>446</v>
      </c>
      <c r="Q306" s="129"/>
      <c r="R306" s="140" t="s">
        <v>4448</v>
      </c>
      <c r="S306" s="129"/>
    </row>
    <row r="307" spans="1:25">
      <c r="A307" s="38">
        <v>49</v>
      </c>
      <c r="B307" t="s">
        <v>124</v>
      </c>
      <c r="C307" t="s">
        <v>66</v>
      </c>
      <c r="D307" s="81" t="s">
        <v>4444</v>
      </c>
      <c r="E307" s="97">
        <v>2</v>
      </c>
      <c r="F307" s="97" t="s">
        <v>49</v>
      </c>
      <c r="G307" t="s">
        <v>27</v>
      </c>
      <c r="H307" t="s">
        <v>27</v>
      </c>
      <c r="I307" t="s">
        <v>27</v>
      </c>
      <c r="J307" t="s">
        <v>28</v>
      </c>
      <c r="K307" t="s">
        <v>124</v>
      </c>
      <c r="O307" t="s">
        <v>454</v>
      </c>
      <c r="P307" s="129" t="s">
        <v>446</v>
      </c>
      <c r="Q307" s="129"/>
      <c r="R307" s="140" t="s">
        <v>4448</v>
      </c>
      <c r="S307" s="129"/>
    </row>
    <row r="308" spans="1:25" s="137" customFormat="1">
      <c r="A308" s="38">
        <v>50</v>
      </c>
      <c r="B308" t="s">
        <v>124</v>
      </c>
      <c r="C308" t="s">
        <v>66</v>
      </c>
      <c r="D308" s="81" t="s">
        <v>4444</v>
      </c>
      <c r="E308" s="97">
        <v>2</v>
      </c>
      <c r="F308" s="97" t="s">
        <v>67</v>
      </c>
      <c r="G308" t="s">
        <v>27</v>
      </c>
      <c r="H308" t="s">
        <v>27</v>
      </c>
      <c r="I308" t="s">
        <v>27</v>
      </c>
      <c r="J308" t="s">
        <v>28</v>
      </c>
      <c r="K308" t="s">
        <v>124</v>
      </c>
      <c r="O308" t="s">
        <v>455</v>
      </c>
      <c r="P308" s="132" t="s">
        <v>380</v>
      </c>
      <c r="Q308" s="132"/>
      <c r="R308" s="140" t="s">
        <v>4448</v>
      </c>
      <c r="S308" s="132"/>
    </row>
    <row r="309" spans="1:25">
      <c r="A309" s="38">
        <v>50</v>
      </c>
      <c r="B309" t="s">
        <v>124</v>
      </c>
      <c r="C309" t="s">
        <v>66</v>
      </c>
      <c r="D309" s="81" t="s">
        <v>4444</v>
      </c>
      <c r="E309" s="97">
        <v>2</v>
      </c>
      <c r="F309" s="97" t="s">
        <v>67</v>
      </c>
      <c r="G309" t="s">
        <v>27</v>
      </c>
      <c r="H309" t="s">
        <v>27</v>
      </c>
      <c r="I309" t="s">
        <v>27</v>
      </c>
      <c r="J309" t="s">
        <v>28</v>
      </c>
      <c r="K309" t="s">
        <v>124</v>
      </c>
      <c r="O309" t="s">
        <v>456</v>
      </c>
      <c r="P309" s="132" t="s">
        <v>380</v>
      </c>
      <c r="Q309" s="132"/>
      <c r="R309" s="140" t="s">
        <v>4448</v>
      </c>
      <c r="S309" s="132"/>
    </row>
    <row r="310" spans="1:25">
      <c r="A310" s="38">
        <v>50</v>
      </c>
      <c r="B310" t="s">
        <v>124</v>
      </c>
      <c r="C310" t="s">
        <v>66</v>
      </c>
      <c r="D310" s="81" t="s">
        <v>4444</v>
      </c>
      <c r="E310" s="97">
        <v>2</v>
      </c>
      <c r="F310" s="97" t="s">
        <v>67</v>
      </c>
      <c r="G310" t="s">
        <v>27</v>
      </c>
      <c r="H310" t="s">
        <v>27</v>
      </c>
      <c r="I310" t="s">
        <v>27</v>
      </c>
      <c r="J310" t="s">
        <v>28</v>
      </c>
      <c r="K310" t="s">
        <v>124</v>
      </c>
      <c r="O310" t="s">
        <v>457</v>
      </c>
      <c r="P310" s="132" t="s">
        <v>380</v>
      </c>
      <c r="Q310" s="132"/>
      <c r="R310" s="140" t="s">
        <v>4448</v>
      </c>
      <c r="S310" s="132"/>
    </row>
    <row r="311" spans="1:25">
      <c r="A311" s="38">
        <v>50</v>
      </c>
      <c r="B311" t="s">
        <v>124</v>
      </c>
      <c r="C311" t="s">
        <v>66</v>
      </c>
      <c r="D311" s="81" t="s">
        <v>4444</v>
      </c>
      <c r="E311" s="97">
        <v>2</v>
      </c>
      <c r="F311" s="97" t="s">
        <v>67</v>
      </c>
      <c r="G311" t="s">
        <v>27</v>
      </c>
      <c r="H311" t="s">
        <v>27</v>
      </c>
      <c r="I311" t="s">
        <v>27</v>
      </c>
      <c r="J311" t="s">
        <v>28</v>
      </c>
      <c r="K311" t="s">
        <v>124</v>
      </c>
      <c r="O311" t="s">
        <v>458</v>
      </c>
      <c r="P311" s="132" t="s">
        <v>459</v>
      </c>
      <c r="Q311" s="132"/>
      <c r="R311" s="140" t="s">
        <v>4448</v>
      </c>
      <c r="S311" s="132"/>
    </row>
    <row r="312" spans="1:25">
      <c r="A312" s="77">
        <v>51</v>
      </c>
      <c r="B312" t="s">
        <v>124</v>
      </c>
      <c r="C312" t="s">
        <v>66</v>
      </c>
      <c r="D312" s="81" t="s">
        <v>4445</v>
      </c>
      <c r="E312" s="97">
        <v>2</v>
      </c>
      <c r="F312" s="97" t="s">
        <v>67</v>
      </c>
      <c r="G312" t="s">
        <v>28</v>
      </c>
      <c r="H312" t="s">
        <v>28</v>
      </c>
      <c r="I312" t="s">
        <v>28</v>
      </c>
      <c r="J312" t="s">
        <v>28</v>
      </c>
      <c r="K312" t="s">
        <v>124</v>
      </c>
      <c r="O312" t="s">
        <v>460</v>
      </c>
      <c r="P312" s="1" t="s">
        <v>102</v>
      </c>
      <c r="Q312" s="1" t="s">
        <v>461</v>
      </c>
      <c r="R312" s="140" t="s">
        <v>4448</v>
      </c>
      <c r="S312" s="1"/>
    </row>
    <row r="313" spans="1:25">
      <c r="A313" s="77">
        <v>51</v>
      </c>
      <c r="B313" t="s">
        <v>124</v>
      </c>
      <c r="C313" t="s">
        <v>66</v>
      </c>
      <c r="D313" s="81" t="s">
        <v>4445</v>
      </c>
      <c r="E313" s="97">
        <v>2</v>
      </c>
      <c r="F313" s="97" t="s">
        <v>67</v>
      </c>
      <c r="G313" t="s">
        <v>28</v>
      </c>
      <c r="H313" t="s">
        <v>28</v>
      </c>
      <c r="I313" t="s">
        <v>28</v>
      </c>
      <c r="J313" t="s">
        <v>28</v>
      </c>
      <c r="K313" t="s">
        <v>124</v>
      </c>
      <c r="O313" t="s">
        <v>462</v>
      </c>
      <c r="P313" s="1" t="s">
        <v>102</v>
      </c>
      <c r="Q313" s="1" t="s">
        <v>461</v>
      </c>
      <c r="R313" s="140" t="s">
        <v>4448</v>
      </c>
      <c r="S313" s="1"/>
    </row>
    <row r="314" spans="1:25">
      <c r="A314" s="77">
        <v>51</v>
      </c>
      <c r="B314" t="s">
        <v>124</v>
      </c>
      <c r="C314" t="s">
        <v>66</v>
      </c>
      <c r="D314" s="81" t="s">
        <v>4445</v>
      </c>
      <c r="E314" s="97">
        <v>2</v>
      </c>
      <c r="F314" s="97" t="s">
        <v>67</v>
      </c>
      <c r="G314" t="s">
        <v>28</v>
      </c>
      <c r="H314" t="s">
        <v>28</v>
      </c>
      <c r="I314" t="s">
        <v>28</v>
      </c>
      <c r="J314" t="s">
        <v>28</v>
      </c>
      <c r="K314" t="s">
        <v>124</v>
      </c>
      <c r="O314" t="s">
        <v>463</v>
      </c>
      <c r="P314" s="1" t="s">
        <v>102</v>
      </c>
      <c r="Q314" s="1" t="s">
        <v>461</v>
      </c>
      <c r="R314" s="140" t="s">
        <v>4448</v>
      </c>
      <c r="S314" s="1"/>
    </row>
    <row r="315" spans="1:25">
      <c r="A315" s="77">
        <v>51</v>
      </c>
      <c r="B315" t="s">
        <v>124</v>
      </c>
      <c r="C315" t="s">
        <v>66</v>
      </c>
      <c r="D315" s="81" t="s">
        <v>4445</v>
      </c>
      <c r="E315" s="97">
        <v>2</v>
      </c>
      <c r="F315" s="97" t="s">
        <v>67</v>
      </c>
      <c r="G315" t="s">
        <v>28</v>
      </c>
      <c r="H315" t="s">
        <v>28</v>
      </c>
      <c r="I315" t="s">
        <v>28</v>
      </c>
      <c r="J315" t="s">
        <v>28</v>
      </c>
      <c r="K315" t="s">
        <v>124</v>
      </c>
      <c r="O315" t="s">
        <v>464</v>
      </c>
      <c r="P315" s="1" t="s">
        <v>102</v>
      </c>
      <c r="Q315" s="1"/>
      <c r="R315" s="140" t="s">
        <v>4448</v>
      </c>
      <c r="S315" s="1"/>
    </row>
    <row r="316" spans="1:25">
      <c r="A316" s="77">
        <v>51</v>
      </c>
      <c r="B316" t="s">
        <v>124</v>
      </c>
      <c r="C316" t="s">
        <v>66</v>
      </c>
      <c r="D316" s="81" t="s">
        <v>4445</v>
      </c>
      <c r="E316" s="97">
        <v>2</v>
      </c>
      <c r="F316" s="97" t="s">
        <v>67</v>
      </c>
      <c r="G316" t="s">
        <v>28</v>
      </c>
      <c r="H316" t="s">
        <v>28</v>
      </c>
      <c r="I316" t="s">
        <v>28</v>
      </c>
      <c r="J316" t="s">
        <v>28</v>
      </c>
      <c r="K316" t="s">
        <v>124</v>
      </c>
      <c r="O316" t="s">
        <v>465</v>
      </c>
      <c r="P316" s="1" t="s">
        <v>102</v>
      </c>
      <c r="Q316" s="1" t="s">
        <v>461</v>
      </c>
      <c r="R316" s="140" t="s">
        <v>4448</v>
      </c>
      <c r="S316" s="1"/>
    </row>
    <row r="317" spans="1:25" hidden="1">
      <c r="A317" s="78">
        <v>51</v>
      </c>
      <c r="B317" s="130" t="s">
        <v>124</v>
      </c>
      <c r="C317" s="130" t="s">
        <v>66</v>
      </c>
      <c r="D317" s="81" t="s">
        <v>4445</v>
      </c>
      <c r="E317" s="97">
        <v>2</v>
      </c>
      <c r="F317" s="97" t="s">
        <v>67</v>
      </c>
      <c r="G317" s="130" t="s">
        <v>27</v>
      </c>
      <c r="H317" s="130" t="s">
        <v>28</v>
      </c>
      <c r="I317" s="130" t="s">
        <v>28</v>
      </c>
      <c r="J317" s="130" t="s">
        <v>27</v>
      </c>
      <c r="K317" s="137" t="s">
        <v>68</v>
      </c>
      <c r="L317" s="137" t="s">
        <v>68</v>
      </c>
      <c r="M317" s="137" t="s">
        <v>240</v>
      </c>
      <c r="N317" s="122" t="s">
        <v>31</v>
      </c>
      <c r="O317" s="136" t="s">
        <v>466</v>
      </c>
      <c r="P317" s="131" t="s">
        <v>41</v>
      </c>
      <c r="Q317" s="131"/>
      <c r="R317" s="131"/>
      <c r="S317" s="131"/>
      <c r="T317" s="130"/>
      <c r="U317" s="130"/>
      <c r="V317" s="130"/>
      <c r="W317" s="130"/>
      <c r="X317" s="130"/>
      <c r="Y317" s="130"/>
    </row>
    <row r="318" spans="1:25" hidden="1">
      <c r="A318" s="78">
        <v>51</v>
      </c>
      <c r="B318" s="130" t="s">
        <v>124</v>
      </c>
      <c r="C318" s="130" t="s">
        <v>66</v>
      </c>
      <c r="D318" s="81" t="s">
        <v>4445</v>
      </c>
      <c r="E318" s="97">
        <v>2</v>
      </c>
      <c r="F318" s="97" t="s">
        <v>67</v>
      </c>
      <c r="G318" s="130" t="s">
        <v>27</v>
      </c>
      <c r="H318" s="130" t="s">
        <v>28</v>
      </c>
      <c r="I318" s="130" t="s">
        <v>28</v>
      </c>
      <c r="J318" s="130" t="s">
        <v>27</v>
      </c>
      <c r="K318" s="130" t="s">
        <v>68</v>
      </c>
      <c r="L318" s="130" t="s">
        <v>68</v>
      </c>
      <c r="M318" s="137" t="s">
        <v>240</v>
      </c>
      <c r="N318" s="122" t="s">
        <v>31</v>
      </c>
      <c r="O318" s="136" t="s">
        <v>453</v>
      </c>
      <c r="P318" s="63" t="s">
        <v>64</v>
      </c>
      <c r="Q318" s="63"/>
      <c r="R318" s="63"/>
      <c r="S318" s="63"/>
      <c r="T318" s="130"/>
      <c r="U318" s="130"/>
      <c r="V318" s="130"/>
      <c r="W318" s="130"/>
      <c r="X318" s="130"/>
      <c r="Y318" s="130"/>
    </row>
    <row r="319" spans="1:25">
      <c r="A319" s="77">
        <v>51</v>
      </c>
      <c r="B319" t="s">
        <v>124</v>
      </c>
      <c r="C319" t="s">
        <v>66</v>
      </c>
      <c r="D319" s="81" t="s">
        <v>4445</v>
      </c>
      <c r="E319" s="97">
        <v>2</v>
      </c>
      <c r="F319" s="97" t="s">
        <v>67</v>
      </c>
      <c r="G319" t="s">
        <v>28</v>
      </c>
      <c r="H319" t="s">
        <v>28</v>
      </c>
      <c r="I319" t="s">
        <v>28</v>
      </c>
      <c r="J319" t="s">
        <v>28</v>
      </c>
      <c r="K319" t="s">
        <v>124</v>
      </c>
      <c r="O319" t="s">
        <v>467</v>
      </c>
      <c r="P319" t="s">
        <v>213</v>
      </c>
      <c r="Q319" t="s">
        <v>468</v>
      </c>
      <c r="R319" s="140" t="s">
        <v>4448</v>
      </c>
      <c r="T319" t="s">
        <v>29</v>
      </c>
      <c r="U319">
        <v>1</v>
      </c>
      <c r="X319">
        <v>0</v>
      </c>
      <c r="Y319">
        <v>0</v>
      </c>
    </row>
    <row r="320" spans="1:25">
      <c r="A320" s="77">
        <v>51</v>
      </c>
      <c r="B320" t="s">
        <v>124</v>
      </c>
      <c r="C320" t="s">
        <v>66</v>
      </c>
      <c r="D320" s="81" t="s">
        <v>4445</v>
      </c>
      <c r="E320" s="97">
        <v>2</v>
      </c>
      <c r="F320" s="97" t="s">
        <v>67</v>
      </c>
      <c r="G320" t="s">
        <v>28</v>
      </c>
      <c r="H320" t="s">
        <v>28</v>
      </c>
      <c r="I320" t="s">
        <v>28</v>
      </c>
      <c r="J320" t="s">
        <v>28</v>
      </c>
      <c r="K320" t="s">
        <v>124</v>
      </c>
      <c r="O320" t="s">
        <v>469</v>
      </c>
      <c r="P320" t="s">
        <v>213</v>
      </c>
      <c r="Q320" t="s">
        <v>468</v>
      </c>
      <c r="R320" s="140" t="s">
        <v>4448</v>
      </c>
      <c r="T320" t="s">
        <v>29</v>
      </c>
      <c r="U320">
        <v>1</v>
      </c>
      <c r="X320">
        <v>0</v>
      </c>
      <c r="Y320">
        <v>0</v>
      </c>
    </row>
    <row r="321" spans="1:25">
      <c r="A321" s="77">
        <v>51</v>
      </c>
      <c r="B321" t="s">
        <v>124</v>
      </c>
      <c r="C321" t="s">
        <v>66</v>
      </c>
      <c r="D321" s="81" t="s">
        <v>4445</v>
      </c>
      <c r="E321" s="97">
        <v>2</v>
      </c>
      <c r="F321" s="97" t="s">
        <v>67</v>
      </c>
      <c r="G321" t="s">
        <v>28</v>
      </c>
      <c r="H321" t="s">
        <v>28</v>
      </c>
      <c r="I321" t="s">
        <v>28</v>
      </c>
      <c r="J321" t="s">
        <v>28</v>
      </c>
      <c r="K321" t="s">
        <v>124</v>
      </c>
      <c r="O321" t="s">
        <v>470</v>
      </c>
      <c r="P321" t="s">
        <v>213</v>
      </c>
      <c r="Q321" t="s">
        <v>468</v>
      </c>
      <c r="R321" s="140" t="s">
        <v>4448</v>
      </c>
      <c r="T321" t="s">
        <v>29</v>
      </c>
      <c r="U321">
        <v>1</v>
      </c>
      <c r="X321">
        <v>0</v>
      </c>
      <c r="Y321">
        <v>0</v>
      </c>
    </row>
    <row r="322" spans="1:25" s="130" customFormat="1">
      <c r="A322" s="38">
        <v>52</v>
      </c>
      <c r="B322" t="s">
        <v>124</v>
      </c>
      <c r="C322" t="s">
        <v>66</v>
      </c>
      <c r="D322" s="81" t="s">
        <v>4445</v>
      </c>
      <c r="E322" s="97">
        <v>2</v>
      </c>
      <c r="F322" s="97" t="s">
        <v>67</v>
      </c>
      <c r="G322" t="s">
        <v>27</v>
      </c>
      <c r="H322" t="s">
        <v>27</v>
      </c>
      <c r="I322" t="s">
        <v>27</v>
      </c>
      <c r="J322" t="s">
        <v>28</v>
      </c>
      <c r="K322" t="s">
        <v>124</v>
      </c>
      <c r="O322" t="s">
        <v>471</v>
      </c>
      <c r="P322" t="s">
        <v>371</v>
      </c>
      <c r="R322" s="140" t="s">
        <v>4448</v>
      </c>
    </row>
    <row r="323" spans="1:25" s="130" customFormat="1">
      <c r="A323" s="38">
        <v>52</v>
      </c>
      <c r="B323" t="s">
        <v>124</v>
      </c>
      <c r="C323" t="s">
        <v>66</v>
      </c>
      <c r="D323" s="81" t="s">
        <v>4445</v>
      </c>
      <c r="E323" s="97">
        <v>2</v>
      </c>
      <c r="F323" s="97" t="s">
        <v>67</v>
      </c>
      <c r="G323" t="s">
        <v>27</v>
      </c>
      <c r="H323" t="s">
        <v>27</v>
      </c>
      <c r="I323" t="s">
        <v>27</v>
      </c>
      <c r="J323" t="s">
        <v>28</v>
      </c>
      <c r="K323" t="s">
        <v>124</v>
      </c>
      <c r="O323" t="s">
        <v>472</v>
      </c>
      <c r="P323" t="s">
        <v>371</v>
      </c>
      <c r="R323" s="140" t="s">
        <v>4448</v>
      </c>
    </row>
    <row r="324" spans="1:25" s="130" customFormat="1" hidden="1">
      <c r="A324" s="79">
        <v>52</v>
      </c>
      <c r="B324" s="137" t="s">
        <v>124</v>
      </c>
      <c r="C324" s="137" t="s">
        <v>66</v>
      </c>
      <c r="D324" s="81" t="s">
        <v>4445</v>
      </c>
      <c r="E324" s="97">
        <v>2</v>
      </c>
      <c r="F324" s="97" t="s">
        <v>67</v>
      </c>
      <c r="G324" s="137" t="s">
        <v>27</v>
      </c>
      <c r="H324" s="137" t="s">
        <v>27</v>
      </c>
      <c r="I324" s="137" t="s">
        <v>27</v>
      </c>
      <c r="J324" s="137" t="s">
        <v>27</v>
      </c>
      <c r="K324" s="90" t="s">
        <v>437</v>
      </c>
      <c r="L324" s="90" t="s">
        <v>437</v>
      </c>
      <c r="M324" s="137" t="s">
        <v>240</v>
      </c>
      <c r="N324" s="122" t="s">
        <v>31</v>
      </c>
      <c r="O324" s="137" t="s">
        <v>473</v>
      </c>
      <c r="P324" s="137" t="s">
        <v>371</v>
      </c>
      <c r="Q324" s="137"/>
      <c r="R324" s="137"/>
      <c r="S324" s="137"/>
      <c r="T324" s="137"/>
      <c r="U324" s="137"/>
      <c r="V324" s="137"/>
      <c r="W324" s="137"/>
      <c r="X324" s="137"/>
      <c r="Y324" s="137"/>
    </row>
    <row r="325" spans="1:25" s="130" customFormat="1">
      <c r="A325" s="38">
        <v>53</v>
      </c>
      <c r="B325" t="s">
        <v>124</v>
      </c>
      <c r="C325" t="s">
        <v>66</v>
      </c>
      <c r="D325" s="81" t="s">
        <v>4445</v>
      </c>
      <c r="E325" s="97">
        <v>2</v>
      </c>
      <c r="F325" s="97" t="s">
        <v>67</v>
      </c>
      <c r="G325" t="s">
        <v>27</v>
      </c>
      <c r="H325" t="s">
        <v>27</v>
      </c>
      <c r="I325" t="s">
        <v>27</v>
      </c>
      <c r="J325" t="s">
        <v>28</v>
      </c>
      <c r="K325" t="s">
        <v>124</v>
      </c>
      <c r="O325" t="s">
        <v>474</v>
      </c>
      <c r="P325" t="s">
        <v>475</v>
      </c>
      <c r="R325" s="140" t="s">
        <v>4448</v>
      </c>
    </row>
    <row r="326" spans="1:25" s="130" customFormat="1">
      <c r="A326" s="38">
        <v>53</v>
      </c>
      <c r="B326" t="s">
        <v>124</v>
      </c>
      <c r="C326" t="s">
        <v>66</v>
      </c>
      <c r="D326" s="81" t="s">
        <v>4445</v>
      </c>
      <c r="E326" s="97">
        <v>2</v>
      </c>
      <c r="F326" s="97" t="s">
        <v>67</v>
      </c>
      <c r="G326" t="s">
        <v>27</v>
      </c>
      <c r="H326" t="s">
        <v>27</v>
      </c>
      <c r="I326" t="s">
        <v>27</v>
      </c>
      <c r="J326" t="s">
        <v>28</v>
      </c>
      <c r="K326" t="s">
        <v>124</v>
      </c>
      <c r="O326" t="s">
        <v>476</v>
      </c>
      <c r="P326" t="s">
        <v>475</v>
      </c>
      <c r="R326" s="140" t="s">
        <v>4448</v>
      </c>
    </row>
    <row r="327" spans="1:25" s="130" customFormat="1">
      <c r="A327" s="38">
        <v>53</v>
      </c>
      <c r="B327" t="s">
        <v>124</v>
      </c>
      <c r="C327" t="s">
        <v>66</v>
      </c>
      <c r="D327" s="81" t="s">
        <v>4445</v>
      </c>
      <c r="E327" s="97">
        <v>2</v>
      </c>
      <c r="F327" s="97" t="s">
        <v>67</v>
      </c>
      <c r="G327" t="s">
        <v>27</v>
      </c>
      <c r="H327" t="s">
        <v>27</v>
      </c>
      <c r="I327" t="s">
        <v>27</v>
      </c>
      <c r="J327" t="s">
        <v>28</v>
      </c>
      <c r="K327" t="s">
        <v>124</v>
      </c>
      <c r="O327" s="60" t="s">
        <v>477</v>
      </c>
      <c r="P327" t="s">
        <v>475</v>
      </c>
      <c r="R327" s="140" t="s">
        <v>4448</v>
      </c>
    </row>
    <row r="328" spans="1:25">
      <c r="A328" s="38">
        <v>54</v>
      </c>
      <c r="B328" t="s">
        <v>124</v>
      </c>
      <c r="C328" t="s">
        <v>66</v>
      </c>
      <c r="D328" s="81" t="s">
        <v>4445</v>
      </c>
      <c r="E328" s="97">
        <v>3</v>
      </c>
      <c r="F328" s="97" t="s">
        <v>74</v>
      </c>
      <c r="G328" t="s">
        <v>28</v>
      </c>
      <c r="H328" t="s">
        <v>27</v>
      </c>
      <c r="I328" t="s">
        <v>27</v>
      </c>
      <c r="J328" t="s">
        <v>28</v>
      </c>
      <c r="K328" t="s">
        <v>124</v>
      </c>
      <c r="O328" s="60" t="s">
        <v>478</v>
      </c>
      <c r="P328" s="131" t="s">
        <v>202</v>
      </c>
      <c r="Q328" s="131"/>
      <c r="R328" s="140" t="s">
        <v>4448</v>
      </c>
      <c r="S328" s="131"/>
    </row>
    <row r="329" spans="1:25">
      <c r="A329" s="38">
        <v>54</v>
      </c>
      <c r="B329" t="s">
        <v>124</v>
      </c>
      <c r="C329" t="s">
        <v>66</v>
      </c>
      <c r="D329" s="81" t="s">
        <v>4445</v>
      </c>
      <c r="E329" s="97">
        <v>3</v>
      </c>
      <c r="F329" s="97" t="s">
        <v>74</v>
      </c>
      <c r="G329" t="s">
        <v>28</v>
      </c>
      <c r="H329" t="s">
        <v>27</v>
      </c>
      <c r="I329" t="s">
        <v>27</v>
      </c>
      <c r="J329" t="s">
        <v>28</v>
      </c>
      <c r="K329" t="s">
        <v>124</v>
      </c>
      <c r="O329" s="60" t="s">
        <v>479</v>
      </c>
      <c r="P329" s="131" t="s">
        <v>202</v>
      </c>
      <c r="Q329" s="131"/>
      <c r="R329" s="140" t="s">
        <v>4448</v>
      </c>
      <c r="S329" s="131"/>
    </row>
    <row r="330" spans="1:25">
      <c r="A330" s="38">
        <v>54</v>
      </c>
      <c r="B330" t="s">
        <v>124</v>
      </c>
      <c r="C330" t="s">
        <v>66</v>
      </c>
      <c r="D330" s="81" t="s">
        <v>4445</v>
      </c>
      <c r="E330" s="97">
        <v>3</v>
      </c>
      <c r="F330" s="97" t="s">
        <v>74</v>
      </c>
      <c r="G330" t="s">
        <v>28</v>
      </c>
      <c r="H330" t="s">
        <v>27</v>
      </c>
      <c r="I330" t="s">
        <v>27</v>
      </c>
      <c r="J330" t="s">
        <v>28</v>
      </c>
      <c r="K330" t="s">
        <v>124</v>
      </c>
      <c r="O330" s="60" t="s">
        <v>480</v>
      </c>
      <c r="P330" s="131" t="s">
        <v>202</v>
      </c>
      <c r="Q330" s="131"/>
      <c r="R330" s="140" t="s">
        <v>4448</v>
      </c>
      <c r="S330" s="131"/>
    </row>
    <row r="331" spans="1:25">
      <c r="A331" s="38">
        <v>54</v>
      </c>
      <c r="B331" t="s">
        <v>124</v>
      </c>
      <c r="C331" t="s">
        <v>66</v>
      </c>
      <c r="D331" s="81" t="s">
        <v>4445</v>
      </c>
      <c r="E331" s="97">
        <v>3</v>
      </c>
      <c r="F331" s="97" t="s">
        <v>74</v>
      </c>
      <c r="G331" t="s">
        <v>28</v>
      </c>
      <c r="H331" t="s">
        <v>27</v>
      </c>
      <c r="I331" t="s">
        <v>27</v>
      </c>
      <c r="J331" t="s">
        <v>28</v>
      </c>
      <c r="K331" t="s">
        <v>124</v>
      </c>
      <c r="O331" s="60" t="s">
        <v>481</v>
      </c>
      <c r="P331" s="131" t="s">
        <v>202</v>
      </c>
      <c r="Q331" s="131"/>
      <c r="R331" s="140" t="s">
        <v>4448</v>
      </c>
      <c r="S331" s="131"/>
    </row>
    <row r="332" spans="1:25">
      <c r="A332" s="38">
        <v>54</v>
      </c>
      <c r="B332" t="s">
        <v>124</v>
      </c>
      <c r="C332" t="s">
        <v>66</v>
      </c>
      <c r="D332" s="81" t="s">
        <v>4445</v>
      </c>
      <c r="E332" s="97">
        <v>3</v>
      </c>
      <c r="F332" s="97" t="s">
        <v>74</v>
      </c>
      <c r="G332" t="s">
        <v>28</v>
      </c>
      <c r="H332" t="s">
        <v>27</v>
      </c>
      <c r="I332" t="s">
        <v>27</v>
      </c>
      <c r="J332" t="s">
        <v>28</v>
      </c>
      <c r="K332" t="s">
        <v>124</v>
      </c>
      <c r="O332" t="s">
        <v>482</v>
      </c>
      <c r="P332" s="131" t="s">
        <v>202</v>
      </c>
      <c r="Q332" s="131"/>
      <c r="R332" s="140" t="s">
        <v>4448</v>
      </c>
      <c r="S332" s="131"/>
    </row>
    <row r="333" spans="1:25">
      <c r="A333" s="38">
        <v>55</v>
      </c>
      <c r="B333" t="s">
        <v>124</v>
      </c>
      <c r="C333" t="s">
        <v>66</v>
      </c>
      <c r="D333" s="81" t="s">
        <v>4445</v>
      </c>
      <c r="E333" s="97">
        <v>3</v>
      </c>
      <c r="F333" s="97" t="s">
        <v>180</v>
      </c>
      <c r="G333" t="s">
        <v>28</v>
      </c>
      <c r="H333" t="s">
        <v>27</v>
      </c>
      <c r="I333" t="s">
        <v>27</v>
      </c>
      <c r="J333" t="s">
        <v>28</v>
      </c>
      <c r="K333" t="s">
        <v>124</v>
      </c>
      <c r="O333" t="s">
        <v>483</v>
      </c>
      <c r="P333" s="129" t="s">
        <v>102</v>
      </c>
      <c r="Q333" s="129"/>
      <c r="R333" s="140" t="s">
        <v>4448</v>
      </c>
      <c r="S333" s="129"/>
    </row>
    <row r="334" spans="1:25" s="130" customFormat="1">
      <c r="A334" s="38">
        <v>55</v>
      </c>
      <c r="B334" t="s">
        <v>124</v>
      </c>
      <c r="C334" t="s">
        <v>66</v>
      </c>
      <c r="D334" s="81" t="s">
        <v>4445</v>
      </c>
      <c r="E334" s="97">
        <v>3</v>
      </c>
      <c r="F334" s="97" t="s">
        <v>180</v>
      </c>
      <c r="G334" t="s">
        <v>28</v>
      </c>
      <c r="H334" t="s">
        <v>27</v>
      </c>
      <c r="I334" t="s">
        <v>27</v>
      </c>
      <c r="J334" t="s">
        <v>28</v>
      </c>
      <c r="K334" t="s">
        <v>124</v>
      </c>
      <c r="O334" t="s">
        <v>484</v>
      </c>
      <c r="P334" s="129" t="s">
        <v>102</v>
      </c>
      <c r="Q334" s="129"/>
      <c r="R334" s="140" t="s">
        <v>4448</v>
      </c>
      <c r="S334" s="129"/>
    </row>
    <row r="335" spans="1:25">
      <c r="A335" s="38">
        <v>55</v>
      </c>
      <c r="B335" t="s">
        <v>124</v>
      </c>
      <c r="C335" t="s">
        <v>66</v>
      </c>
      <c r="D335" s="81" t="s">
        <v>4445</v>
      </c>
      <c r="E335" s="97">
        <v>3</v>
      </c>
      <c r="F335" s="97" t="s">
        <v>180</v>
      </c>
      <c r="G335" t="s">
        <v>28</v>
      </c>
      <c r="H335" t="s">
        <v>27</v>
      </c>
      <c r="I335" t="s">
        <v>27</v>
      </c>
      <c r="J335" t="s">
        <v>28</v>
      </c>
      <c r="K335" t="s">
        <v>124</v>
      </c>
      <c r="O335" t="s">
        <v>485</v>
      </c>
      <c r="P335" s="129" t="s">
        <v>102</v>
      </c>
      <c r="Q335" s="129"/>
      <c r="R335" s="140" t="s">
        <v>4448</v>
      </c>
      <c r="S335" s="129"/>
    </row>
    <row r="336" spans="1:25">
      <c r="A336" s="38">
        <v>55</v>
      </c>
      <c r="B336" t="s">
        <v>124</v>
      </c>
      <c r="C336" t="s">
        <v>66</v>
      </c>
      <c r="D336" s="81" t="s">
        <v>4445</v>
      </c>
      <c r="E336" s="97">
        <v>3</v>
      </c>
      <c r="F336" s="97" t="s">
        <v>180</v>
      </c>
      <c r="G336" t="s">
        <v>28</v>
      </c>
      <c r="H336" t="s">
        <v>27</v>
      </c>
      <c r="I336" t="s">
        <v>27</v>
      </c>
      <c r="J336" t="s">
        <v>28</v>
      </c>
      <c r="K336" t="s">
        <v>124</v>
      </c>
      <c r="O336" t="s">
        <v>486</v>
      </c>
      <c r="P336" s="129" t="s">
        <v>102</v>
      </c>
      <c r="Q336" s="129"/>
      <c r="R336" s="140" t="s">
        <v>4448</v>
      </c>
      <c r="S336" s="129"/>
    </row>
    <row r="337" spans="1:25">
      <c r="A337" s="38">
        <v>55</v>
      </c>
      <c r="B337" t="s">
        <v>124</v>
      </c>
      <c r="C337" t="s">
        <v>66</v>
      </c>
      <c r="D337" s="81" t="s">
        <v>4445</v>
      </c>
      <c r="E337" s="97">
        <v>3</v>
      </c>
      <c r="F337" s="97" t="s">
        <v>180</v>
      </c>
      <c r="G337" t="s">
        <v>28</v>
      </c>
      <c r="H337" t="s">
        <v>27</v>
      </c>
      <c r="I337" t="s">
        <v>27</v>
      </c>
      <c r="J337" t="s">
        <v>28</v>
      </c>
      <c r="K337" t="s">
        <v>124</v>
      </c>
      <c r="O337" t="s">
        <v>487</v>
      </c>
      <c r="P337" s="129" t="s">
        <v>102</v>
      </c>
      <c r="Q337" s="129"/>
      <c r="R337" s="140" t="s">
        <v>4448</v>
      </c>
      <c r="S337" s="129"/>
    </row>
    <row r="338" spans="1:25" s="130" customFormat="1" hidden="1">
      <c r="A338" s="78">
        <v>56</v>
      </c>
      <c r="B338" s="130" t="s">
        <v>124</v>
      </c>
      <c r="C338" s="130" t="s">
        <v>66</v>
      </c>
      <c r="D338" s="81" t="s">
        <v>4445</v>
      </c>
      <c r="E338" s="97" t="s">
        <v>488</v>
      </c>
      <c r="F338" s="97" t="s">
        <v>489</v>
      </c>
      <c r="G338" s="130" t="s">
        <v>27</v>
      </c>
      <c r="H338" s="130" t="s">
        <v>28</v>
      </c>
      <c r="I338" s="130" t="s">
        <v>28</v>
      </c>
      <c r="J338" s="130" t="s">
        <v>27</v>
      </c>
      <c r="K338" s="137" t="s">
        <v>68</v>
      </c>
      <c r="L338" s="137" t="s">
        <v>68</v>
      </c>
      <c r="M338" s="137" t="s">
        <v>240</v>
      </c>
      <c r="N338" s="122" t="s">
        <v>31</v>
      </c>
      <c r="O338" s="130" t="s">
        <v>490</v>
      </c>
      <c r="P338" s="131" t="s">
        <v>446</v>
      </c>
      <c r="Q338" s="131"/>
      <c r="R338" s="131"/>
      <c r="S338" s="131"/>
    </row>
    <row r="339" spans="1:25" s="130" customFormat="1" hidden="1">
      <c r="A339" s="78">
        <v>56</v>
      </c>
      <c r="B339" s="130" t="s">
        <v>124</v>
      </c>
      <c r="C339" s="130" t="s">
        <v>66</v>
      </c>
      <c r="D339" s="81" t="s">
        <v>4445</v>
      </c>
      <c r="E339" s="97" t="s">
        <v>488</v>
      </c>
      <c r="F339" s="97" t="s">
        <v>489</v>
      </c>
      <c r="G339" s="130" t="s">
        <v>27</v>
      </c>
      <c r="H339" s="130" t="s">
        <v>28</v>
      </c>
      <c r="I339" s="130" t="s">
        <v>28</v>
      </c>
      <c r="J339" s="130" t="s">
        <v>27</v>
      </c>
      <c r="K339" s="137" t="s">
        <v>68</v>
      </c>
      <c r="L339" s="137" t="s">
        <v>68</v>
      </c>
      <c r="M339" s="137" t="s">
        <v>240</v>
      </c>
      <c r="N339" s="122" t="s">
        <v>31</v>
      </c>
      <c r="O339" s="130" t="s">
        <v>491</v>
      </c>
      <c r="P339" s="131" t="s">
        <v>446</v>
      </c>
      <c r="Q339" s="131"/>
      <c r="R339" s="131"/>
      <c r="S339" s="131"/>
    </row>
    <row r="340" spans="1:25" s="130" customFormat="1" hidden="1">
      <c r="A340" s="78">
        <v>56</v>
      </c>
      <c r="B340" s="130" t="s">
        <v>124</v>
      </c>
      <c r="C340" s="130" t="s">
        <v>66</v>
      </c>
      <c r="D340" s="81" t="s">
        <v>4445</v>
      </c>
      <c r="E340" s="97" t="s">
        <v>488</v>
      </c>
      <c r="F340" s="97" t="s">
        <v>489</v>
      </c>
      <c r="G340" s="130" t="s">
        <v>27</v>
      </c>
      <c r="H340" s="130" t="s">
        <v>28</v>
      </c>
      <c r="I340" s="130" t="s">
        <v>28</v>
      </c>
      <c r="J340" s="130" t="s">
        <v>27</v>
      </c>
      <c r="K340" s="137" t="s">
        <v>68</v>
      </c>
      <c r="L340" s="137" t="s">
        <v>68</v>
      </c>
      <c r="M340" s="137" t="s">
        <v>240</v>
      </c>
      <c r="N340" s="122" t="s">
        <v>31</v>
      </c>
      <c r="O340" s="130" t="s">
        <v>492</v>
      </c>
      <c r="P340" s="131" t="s">
        <v>446</v>
      </c>
      <c r="Q340" s="131"/>
      <c r="R340" s="131"/>
      <c r="S340" s="131"/>
    </row>
    <row r="341" spans="1:25" hidden="1">
      <c r="A341" s="78">
        <v>56</v>
      </c>
      <c r="B341" s="130" t="s">
        <v>124</v>
      </c>
      <c r="C341" s="130" t="s">
        <v>66</v>
      </c>
      <c r="D341" s="81" t="s">
        <v>4445</v>
      </c>
      <c r="E341" s="97" t="s">
        <v>488</v>
      </c>
      <c r="F341" s="97" t="s">
        <v>489</v>
      </c>
      <c r="G341" s="130" t="s">
        <v>27</v>
      </c>
      <c r="H341" s="130" t="s">
        <v>28</v>
      </c>
      <c r="I341" s="130" t="s">
        <v>28</v>
      </c>
      <c r="J341" s="130" t="s">
        <v>27</v>
      </c>
      <c r="K341" s="137" t="s">
        <v>68</v>
      </c>
      <c r="L341" s="137" t="s">
        <v>68</v>
      </c>
      <c r="M341" s="137" t="s">
        <v>240</v>
      </c>
      <c r="N341" s="122" t="s">
        <v>31</v>
      </c>
      <c r="O341" s="136" t="s">
        <v>493</v>
      </c>
      <c r="P341" s="131" t="s">
        <v>202</v>
      </c>
      <c r="Q341" s="131"/>
      <c r="R341" s="131"/>
      <c r="S341" s="131"/>
      <c r="T341" s="130"/>
      <c r="U341" s="130"/>
      <c r="V341" s="130"/>
      <c r="W341" s="130"/>
      <c r="X341" s="130"/>
      <c r="Y341" s="130"/>
    </row>
    <row r="342" spans="1:25" hidden="1">
      <c r="A342" s="78">
        <v>56</v>
      </c>
      <c r="B342" s="130" t="s">
        <v>124</v>
      </c>
      <c r="C342" s="130" t="s">
        <v>66</v>
      </c>
      <c r="D342" s="81" t="s">
        <v>4445</v>
      </c>
      <c r="E342" s="97" t="s">
        <v>488</v>
      </c>
      <c r="F342" s="97" t="s">
        <v>489</v>
      </c>
      <c r="G342" s="130" t="s">
        <v>27</v>
      </c>
      <c r="H342" s="130" t="s">
        <v>28</v>
      </c>
      <c r="I342" s="130" t="s">
        <v>28</v>
      </c>
      <c r="J342" s="130" t="s">
        <v>27</v>
      </c>
      <c r="K342" s="137" t="s">
        <v>68</v>
      </c>
      <c r="L342" s="137" t="s">
        <v>68</v>
      </c>
      <c r="M342" s="137" t="s">
        <v>240</v>
      </c>
      <c r="N342" s="122" t="s">
        <v>31</v>
      </c>
      <c r="O342" s="136" t="s">
        <v>494</v>
      </c>
      <c r="P342" s="131" t="s">
        <v>202</v>
      </c>
      <c r="Q342" s="131"/>
      <c r="R342" s="131"/>
      <c r="S342" s="131"/>
      <c r="T342" s="130"/>
      <c r="U342" s="130"/>
      <c r="V342" s="130"/>
      <c r="W342" s="130"/>
      <c r="X342" s="130"/>
      <c r="Y342" s="130"/>
    </row>
    <row r="343" spans="1:25" hidden="1">
      <c r="A343" s="78">
        <v>56</v>
      </c>
      <c r="B343" s="130" t="s">
        <v>124</v>
      </c>
      <c r="C343" s="130" t="s">
        <v>66</v>
      </c>
      <c r="D343" s="81" t="s">
        <v>4445</v>
      </c>
      <c r="E343" s="97" t="s">
        <v>488</v>
      </c>
      <c r="F343" s="97" t="s">
        <v>489</v>
      </c>
      <c r="G343" s="130" t="s">
        <v>27</v>
      </c>
      <c r="H343" s="130" t="s">
        <v>28</v>
      </c>
      <c r="I343" s="130" t="s">
        <v>28</v>
      </c>
      <c r="J343" s="130" t="s">
        <v>27</v>
      </c>
      <c r="K343" s="137" t="s">
        <v>68</v>
      </c>
      <c r="L343" s="137" t="s">
        <v>68</v>
      </c>
      <c r="M343" s="137" t="s">
        <v>240</v>
      </c>
      <c r="N343" s="122" t="s">
        <v>31</v>
      </c>
      <c r="O343" s="136" t="s">
        <v>495</v>
      </c>
      <c r="P343" s="131" t="s">
        <v>202</v>
      </c>
      <c r="Q343" s="131"/>
      <c r="R343" s="131"/>
      <c r="S343" s="131"/>
      <c r="T343" s="130"/>
      <c r="U343" s="130"/>
      <c r="V343" s="130"/>
      <c r="W343" s="130"/>
      <c r="X343" s="130"/>
      <c r="Y343" s="130"/>
    </row>
    <row r="344" spans="1:25">
      <c r="A344" s="77">
        <v>56</v>
      </c>
      <c r="B344" t="s">
        <v>124</v>
      </c>
      <c r="C344" t="s">
        <v>66</v>
      </c>
      <c r="D344" s="81" t="s">
        <v>4445</v>
      </c>
      <c r="E344" s="97" t="s">
        <v>488</v>
      </c>
      <c r="F344" s="97" t="s">
        <v>489</v>
      </c>
      <c r="G344" t="s">
        <v>28</v>
      </c>
      <c r="H344" t="s">
        <v>28</v>
      </c>
      <c r="I344" t="s">
        <v>28</v>
      </c>
      <c r="J344" t="s">
        <v>28</v>
      </c>
      <c r="K344" t="s">
        <v>124</v>
      </c>
      <c r="O344" s="132" t="s">
        <v>496</v>
      </c>
      <c r="P344" s="129" t="s">
        <v>86</v>
      </c>
      <c r="Q344" s="129" t="s">
        <v>497</v>
      </c>
      <c r="R344" s="140" t="s">
        <v>4448</v>
      </c>
      <c r="S344" s="129"/>
    </row>
    <row r="345" spans="1:25">
      <c r="A345" s="77">
        <v>56</v>
      </c>
      <c r="B345" t="s">
        <v>124</v>
      </c>
      <c r="C345" t="s">
        <v>66</v>
      </c>
      <c r="D345" s="81" t="s">
        <v>4445</v>
      </c>
      <c r="E345" s="97" t="s">
        <v>488</v>
      </c>
      <c r="F345" s="97" t="s">
        <v>489</v>
      </c>
      <c r="G345" t="s">
        <v>28</v>
      </c>
      <c r="H345" t="s">
        <v>28</v>
      </c>
      <c r="I345" t="s">
        <v>28</v>
      </c>
      <c r="J345" t="s">
        <v>28</v>
      </c>
      <c r="K345" t="s">
        <v>124</v>
      </c>
      <c r="O345" s="132" t="s">
        <v>498</v>
      </c>
      <c r="P345" s="129" t="s">
        <v>86</v>
      </c>
      <c r="Q345" s="129" t="s">
        <v>497</v>
      </c>
      <c r="R345" s="140" t="s">
        <v>4448</v>
      </c>
      <c r="S345" s="129"/>
    </row>
    <row r="346" spans="1:25" s="130" customFormat="1">
      <c r="A346" s="77">
        <v>56</v>
      </c>
      <c r="B346" t="s">
        <v>124</v>
      </c>
      <c r="C346" t="s">
        <v>66</v>
      </c>
      <c r="D346" s="81" t="s">
        <v>4445</v>
      </c>
      <c r="E346" s="97" t="s">
        <v>488</v>
      </c>
      <c r="F346" s="97" t="s">
        <v>489</v>
      </c>
      <c r="G346" t="s">
        <v>28</v>
      </c>
      <c r="H346" t="s">
        <v>28</v>
      </c>
      <c r="I346" t="s">
        <v>28</v>
      </c>
      <c r="J346" t="s">
        <v>28</v>
      </c>
      <c r="K346" t="s">
        <v>124</v>
      </c>
      <c r="O346" s="132" t="s">
        <v>499</v>
      </c>
      <c r="P346" s="129" t="s">
        <v>86</v>
      </c>
      <c r="Q346" s="129" t="s">
        <v>497</v>
      </c>
      <c r="R346" s="140" t="s">
        <v>4448</v>
      </c>
      <c r="S346" s="129"/>
    </row>
    <row r="347" spans="1:25" s="130" customFormat="1">
      <c r="A347" s="77">
        <v>56</v>
      </c>
      <c r="B347" t="s">
        <v>124</v>
      </c>
      <c r="C347" t="s">
        <v>66</v>
      </c>
      <c r="D347" s="81" t="s">
        <v>4445</v>
      </c>
      <c r="E347" s="97" t="s">
        <v>488</v>
      </c>
      <c r="F347" s="97" t="s">
        <v>489</v>
      </c>
      <c r="G347" t="s">
        <v>28</v>
      </c>
      <c r="H347" t="s">
        <v>28</v>
      </c>
      <c r="I347" t="s">
        <v>28</v>
      </c>
      <c r="J347" t="s">
        <v>28</v>
      </c>
      <c r="K347" t="s">
        <v>124</v>
      </c>
      <c r="O347" s="132" t="s">
        <v>500</v>
      </c>
      <c r="P347" s="129" t="s">
        <v>86</v>
      </c>
      <c r="Q347" s="129" t="s">
        <v>497</v>
      </c>
      <c r="R347" s="140" t="s">
        <v>4448</v>
      </c>
      <c r="S347" s="129"/>
    </row>
    <row r="348" spans="1:25" s="130" customFormat="1">
      <c r="A348" s="77">
        <v>56</v>
      </c>
      <c r="B348" t="s">
        <v>124</v>
      </c>
      <c r="C348" t="s">
        <v>66</v>
      </c>
      <c r="D348" s="81" t="s">
        <v>4445</v>
      </c>
      <c r="E348" s="97" t="s">
        <v>488</v>
      </c>
      <c r="F348" s="97" t="s">
        <v>489</v>
      </c>
      <c r="G348" t="s">
        <v>28</v>
      </c>
      <c r="H348" t="s">
        <v>28</v>
      </c>
      <c r="I348" t="s">
        <v>28</v>
      </c>
      <c r="J348" t="s">
        <v>28</v>
      </c>
      <c r="K348" t="s">
        <v>124</v>
      </c>
      <c r="O348" s="132" t="s">
        <v>501</v>
      </c>
      <c r="P348" s="129" t="s">
        <v>86</v>
      </c>
      <c r="Q348" s="129" t="s">
        <v>497</v>
      </c>
      <c r="R348" s="140" t="s">
        <v>4448</v>
      </c>
      <c r="S348" s="129"/>
    </row>
    <row r="349" spans="1:25" s="130" customFormat="1">
      <c r="A349" s="77">
        <v>56</v>
      </c>
      <c r="B349" t="s">
        <v>124</v>
      </c>
      <c r="C349" t="s">
        <v>66</v>
      </c>
      <c r="D349" s="81" t="s">
        <v>4445</v>
      </c>
      <c r="E349" s="97" t="s">
        <v>488</v>
      </c>
      <c r="F349" s="97" t="s">
        <v>489</v>
      </c>
      <c r="G349" t="s">
        <v>28</v>
      </c>
      <c r="H349" t="s">
        <v>28</v>
      </c>
      <c r="I349" t="s">
        <v>28</v>
      </c>
      <c r="J349" t="s">
        <v>28</v>
      </c>
      <c r="K349" t="s">
        <v>124</v>
      </c>
      <c r="O349" t="s">
        <v>502</v>
      </c>
      <c r="P349" t="s">
        <v>86</v>
      </c>
      <c r="Q349" t="s">
        <v>497</v>
      </c>
      <c r="R349" s="140" t="s">
        <v>4448</v>
      </c>
    </row>
    <row r="350" spans="1:25" s="130" customFormat="1" hidden="1">
      <c r="A350" s="78">
        <v>56</v>
      </c>
      <c r="B350" s="130" t="s">
        <v>124</v>
      </c>
      <c r="C350" s="130" t="s">
        <v>66</v>
      </c>
      <c r="D350" s="81" t="s">
        <v>4445</v>
      </c>
      <c r="E350" s="97" t="s">
        <v>488</v>
      </c>
      <c r="F350" s="97" t="s">
        <v>489</v>
      </c>
      <c r="G350" s="130" t="s">
        <v>28</v>
      </c>
      <c r="H350" s="130" t="s">
        <v>28</v>
      </c>
      <c r="I350" s="130" t="s">
        <v>28</v>
      </c>
      <c r="J350" s="130" t="s">
        <v>27</v>
      </c>
      <c r="K350" s="130" t="s">
        <v>503</v>
      </c>
      <c r="L350" s="130" t="s">
        <v>503</v>
      </c>
      <c r="M350" s="137" t="s">
        <v>240</v>
      </c>
      <c r="N350" s="122" t="s">
        <v>31</v>
      </c>
      <c r="O350" s="130" t="s">
        <v>504</v>
      </c>
      <c r="P350" s="130" t="s">
        <v>86</v>
      </c>
    </row>
    <row r="351" spans="1:25">
      <c r="A351" s="77">
        <v>56</v>
      </c>
      <c r="B351" t="s">
        <v>124</v>
      </c>
      <c r="C351" t="s">
        <v>66</v>
      </c>
      <c r="D351" s="81" t="s">
        <v>4445</v>
      </c>
      <c r="E351" s="97" t="s">
        <v>488</v>
      </c>
      <c r="F351" s="97" t="s">
        <v>489</v>
      </c>
      <c r="G351" t="s">
        <v>28</v>
      </c>
      <c r="H351" t="s">
        <v>28</v>
      </c>
      <c r="I351" t="s">
        <v>28</v>
      </c>
      <c r="J351" t="s">
        <v>28</v>
      </c>
      <c r="K351" t="s">
        <v>124</v>
      </c>
      <c r="O351" t="s">
        <v>505</v>
      </c>
      <c r="P351" t="s">
        <v>86</v>
      </c>
      <c r="Q351" t="s">
        <v>497</v>
      </c>
      <c r="R351" s="140" t="s">
        <v>4448</v>
      </c>
    </row>
    <row r="352" spans="1:25">
      <c r="A352" s="77">
        <v>56</v>
      </c>
      <c r="B352" t="s">
        <v>124</v>
      </c>
      <c r="C352" t="s">
        <v>66</v>
      </c>
      <c r="D352" s="81" t="s">
        <v>4445</v>
      </c>
      <c r="E352" s="97" t="s">
        <v>488</v>
      </c>
      <c r="F352" s="97" t="s">
        <v>489</v>
      </c>
      <c r="G352" t="s">
        <v>28</v>
      </c>
      <c r="H352" t="s">
        <v>28</v>
      </c>
      <c r="I352" t="s">
        <v>28</v>
      </c>
      <c r="J352" t="s">
        <v>28</v>
      </c>
      <c r="K352" t="s">
        <v>124</v>
      </c>
      <c r="O352" t="s">
        <v>506</v>
      </c>
      <c r="P352" t="s">
        <v>86</v>
      </c>
      <c r="Q352" t="s">
        <v>497</v>
      </c>
      <c r="R352" s="140" t="s">
        <v>4448</v>
      </c>
    </row>
    <row r="353" spans="1:25">
      <c r="A353" s="77">
        <v>56</v>
      </c>
      <c r="B353" t="s">
        <v>124</v>
      </c>
      <c r="C353" t="s">
        <v>66</v>
      </c>
      <c r="D353" s="81" t="s">
        <v>4445</v>
      </c>
      <c r="E353" s="97" t="s">
        <v>488</v>
      </c>
      <c r="F353" s="97" t="s">
        <v>489</v>
      </c>
      <c r="G353" t="s">
        <v>28</v>
      </c>
      <c r="H353" t="s">
        <v>28</v>
      </c>
      <c r="I353" t="s">
        <v>28</v>
      </c>
      <c r="J353" t="s">
        <v>28</v>
      </c>
      <c r="K353" t="s">
        <v>124</v>
      </c>
      <c r="O353" t="s">
        <v>507</v>
      </c>
      <c r="P353" t="s">
        <v>86</v>
      </c>
      <c r="Q353" t="s">
        <v>497</v>
      </c>
      <c r="R353" s="140" t="s">
        <v>4448</v>
      </c>
    </row>
    <row r="354" spans="1:25" s="130" customFormat="1" hidden="1">
      <c r="A354" s="78">
        <v>57</v>
      </c>
      <c r="B354" s="130" t="s">
        <v>124</v>
      </c>
      <c r="C354" s="130" t="s">
        <v>66</v>
      </c>
      <c r="D354" s="81" t="s">
        <v>4445</v>
      </c>
      <c r="E354" s="97" t="s">
        <v>488</v>
      </c>
      <c r="F354" s="97" t="s">
        <v>508</v>
      </c>
      <c r="G354" s="130" t="s">
        <v>27</v>
      </c>
      <c r="H354" s="130" t="s">
        <v>28</v>
      </c>
      <c r="I354" s="130" t="s">
        <v>28</v>
      </c>
      <c r="J354" s="130" t="s">
        <v>27</v>
      </c>
      <c r="K354" s="137" t="s">
        <v>68</v>
      </c>
      <c r="L354" s="137" t="s">
        <v>68</v>
      </c>
      <c r="M354" s="137" t="s">
        <v>240</v>
      </c>
      <c r="N354" s="122" t="s">
        <v>31</v>
      </c>
      <c r="O354" s="61" t="s">
        <v>509</v>
      </c>
      <c r="P354" s="131" t="s">
        <v>446</v>
      </c>
      <c r="Q354" s="131"/>
      <c r="R354" s="131"/>
      <c r="S354" s="131"/>
    </row>
    <row r="355" spans="1:25" s="130" customFormat="1" hidden="1">
      <c r="A355" s="78">
        <v>57</v>
      </c>
      <c r="B355" s="130" t="s">
        <v>124</v>
      </c>
      <c r="C355" s="130" t="s">
        <v>66</v>
      </c>
      <c r="D355" s="81" t="s">
        <v>4445</v>
      </c>
      <c r="E355" s="97" t="s">
        <v>488</v>
      </c>
      <c r="F355" s="97" t="s">
        <v>508</v>
      </c>
      <c r="G355" s="130" t="s">
        <v>27</v>
      </c>
      <c r="H355" s="130" t="s">
        <v>28</v>
      </c>
      <c r="I355" s="130" t="s">
        <v>28</v>
      </c>
      <c r="J355" s="130" t="s">
        <v>27</v>
      </c>
      <c r="K355" s="137" t="s">
        <v>68</v>
      </c>
      <c r="L355" s="137" t="s">
        <v>68</v>
      </c>
      <c r="M355" s="137" t="s">
        <v>240</v>
      </c>
      <c r="N355" s="122" t="s">
        <v>31</v>
      </c>
      <c r="O355" s="130" t="s">
        <v>510</v>
      </c>
      <c r="P355" s="131" t="s">
        <v>446</v>
      </c>
      <c r="Q355" s="131"/>
      <c r="R355" s="131"/>
      <c r="S355" s="131"/>
    </row>
    <row r="356" spans="1:25" s="130" customFormat="1" hidden="1">
      <c r="A356" s="78">
        <v>57</v>
      </c>
      <c r="B356" s="130" t="s">
        <v>124</v>
      </c>
      <c r="C356" s="130" t="s">
        <v>66</v>
      </c>
      <c r="D356" s="81" t="s">
        <v>4445</v>
      </c>
      <c r="E356" s="97" t="s">
        <v>488</v>
      </c>
      <c r="F356" s="97" t="s">
        <v>508</v>
      </c>
      <c r="G356" s="130" t="s">
        <v>27</v>
      </c>
      <c r="H356" s="130" t="s">
        <v>28</v>
      </c>
      <c r="I356" s="130" t="s">
        <v>28</v>
      </c>
      <c r="J356" s="130" t="s">
        <v>27</v>
      </c>
      <c r="K356" s="137" t="s">
        <v>68</v>
      </c>
      <c r="L356" s="137" t="s">
        <v>68</v>
      </c>
      <c r="M356" s="137" t="s">
        <v>240</v>
      </c>
      <c r="N356" s="122" t="s">
        <v>31</v>
      </c>
      <c r="O356" s="130" t="s">
        <v>511</v>
      </c>
      <c r="P356" s="131" t="s">
        <v>446</v>
      </c>
      <c r="Q356" s="131"/>
      <c r="R356" s="131"/>
      <c r="S356" s="131"/>
    </row>
    <row r="357" spans="1:25">
      <c r="A357" s="77">
        <v>57</v>
      </c>
      <c r="B357" t="s">
        <v>124</v>
      </c>
      <c r="C357" t="s">
        <v>66</v>
      </c>
      <c r="D357" s="81" t="s">
        <v>4445</v>
      </c>
      <c r="E357" s="97" t="s">
        <v>488</v>
      </c>
      <c r="F357" s="97" t="s">
        <v>508</v>
      </c>
      <c r="G357" t="s">
        <v>28</v>
      </c>
      <c r="H357" t="s">
        <v>28</v>
      </c>
      <c r="I357" t="s">
        <v>28</v>
      </c>
      <c r="J357" t="s">
        <v>28</v>
      </c>
      <c r="K357" t="s">
        <v>124</v>
      </c>
      <c r="O357" s="132" t="s">
        <v>512</v>
      </c>
      <c r="P357" s="129" t="s">
        <v>86</v>
      </c>
      <c r="Q357" s="129" t="s">
        <v>513</v>
      </c>
      <c r="R357" s="140" t="s">
        <v>4448</v>
      </c>
      <c r="S357" s="129"/>
    </row>
    <row r="358" spans="1:25">
      <c r="A358" s="77">
        <v>57</v>
      </c>
      <c r="B358" t="s">
        <v>124</v>
      </c>
      <c r="C358" t="s">
        <v>66</v>
      </c>
      <c r="D358" s="81" t="s">
        <v>4445</v>
      </c>
      <c r="E358" s="97" t="s">
        <v>488</v>
      </c>
      <c r="F358" s="97" t="s">
        <v>508</v>
      </c>
      <c r="G358" t="s">
        <v>28</v>
      </c>
      <c r="H358" t="s">
        <v>28</v>
      </c>
      <c r="I358" t="s">
        <v>28</v>
      </c>
      <c r="J358" t="s">
        <v>28</v>
      </c>
      <c r="K358" t="s">
        <v>124</v>
      </c>
      <c r="O358" s="132" t="s">
        <v>514</v>
      </c>
      <c r="P358" s="129" t="s">
        <v>86</v>
      </c>
      <c r="Q358" s="129" t="s">
        <v>513</v>
      </c>
      <c r="R358" s="140" t="s">
        <v>4448</v>
      </c>
      <c r="S358" s="129"/>
    </row>
    <row r="359" spans="1:25">
      <c r="A359" s="77">
        <v>57</v>
      </c>
      <c r="B359" t="s">
        <v>124</v>
      </c>
      <c r="C359" t="s">
        <v>66</v>
      </c>
      <c r="D359" s="81" t="s">
        <v>4445</v>
      </c>
      <c r="E359" s="97" t="s">
        <v>488</v>
      </c>
      <c r="F359" s="97" t="s">
        <v>508</v>
      </c>
      <c r="G359" t="s">
        <v>28</v>
      </c>
      <c r="H359" t="s">
        <v>28</v>
      </c>
      <c r="I359" t="s">
        <v>28</v>
      </c>
      <c r="J359" t="s">
        <v>28</v>
      </c>
      <c r="K359" t="s">
        <v>124</v>
      </c>
      <c r="O359" s="132" t="s">
        <v>515</v>
      </c>
      <c r="P359" s="129" t="s">
        <v>86</v>
      </c>
      <c r="Q359" s="129" t="s">
        <v>513</v>
      </c>
      <c r="R359" s="140" t="s">
        <v>4448</v>
      </c>
      <c r="S359" s="129"/>
    </row>
    <row r="360" spans="1:25">
      <c r="A360" s="77">
        <v>57</v>
      </c>
      <c r="B360" t="s">
        <v>124</v>
      </c>
      <c r="C360" t="s">
        <v>66</v>
      </c>
      <c r="D360" s="81" t="s">
        <v>4445</v>
      </c>
      <c r="E360" s="97" t="s">
        <v>488</v>
      </c>
      <c r="F360" s="97" t="s">
        <v>508</v>
      </c>
      <c r="G360" t="s">
        <v>28</v>
      </c>
      <c r="H360" t="s">
        <v>28</v>
      </c>
      <c r="I360" t="s">
        <v>28</v>
      </c>
      <c r="J360" t="s">
        <v>28</v>
      </c>
      <c r="K360" t="s">
        <v>124</v>
      </c>
      <c r="O360" s="132" t="s">
        <v>516</v>
      </c>
      <c r="P360" s="129" t="s">
        <v>86</v>
      </c>
      <c r="Q360" s="129" t="s">
        <v>513</v>
      </c>
      <c r="R360" s="140" t="s">
        <v>4448</v>
      </c>
      <c r="S360" s="129"/>
    </row>
    <row r="361" spans="1:25">
      <c r="A361" s="77">
        <v>57</v>
      </c>
      <c r="B361" t="s">
        <v>124</v>
      </c>
      <c r="C361" t="s">
        <v>66</v>
      </c>
      <c r="D361" s="81" t="s">
        <v>4445</v>
      </c>
      <c r="E361" s="97" t="s">
        <v>488</v>
      </c>
      <c r="F361" s="97" t="s">
        <v>508</v>
      </c>
      <c r="G361" t="s">
        <v>28</v>
      </c>
      <c r="H361" t="s">
        <v>28</v>
      </c>
      <c r="I361" t="s">
        <v>28</v>
      </c>
      <c r="J361" t="s">
        <v>28</v>
      </c>
      <c r="K361" t="s">
        <v>124</v>
      </c>
      <c r="O361" s="132" t="s">
        <v>517</v>
      </c>
      <c r="P361" s="129" t="s">
        <v>86</v>
      </c>
      <c r="Q361" s="129" t="s">
        <v>513</v>
      </c>
      <c r="R361" s="140" t="s">
        <v>4448</v>
      </c>
      <c r="S361" s="129"/>
    </row>
    <row r="362" spans="1:25" hidden="1">
      <c r="A362" s="78">
        <v>57</v>
      </c>
      <c r="B362" s="130" t="s">
        <v>124</v>
      </c>
      <c r="C362" s="130" t="s">
        <v>66</v>
      </c>
      <c r="D362" s="81" t="s">
        <v>4445</v>
      </c>
      <c r="E362" s="97" t="s">
        <v>488</v>
      </c>
      <c r="F362" s="97" t="s">
        <v>508</v>
      </c>
      <c r="G362" s="130" t="s">
        <v>28</v>
      </c>
      <c r="H362" s="130" t="s">
        <v>28</v>
      </c>
      <c r="I362" s="130" t="s">
        <v>28</v>
      </c>
      <c r="J362" s="130" t="s">
        <v>27</v>
      </c>
      <c r="K362" s="137" t="s">
        <v>518</v>
      </c>
      <c r="L362" s="137" t="s">
        <v>518</v>
      </c>
      <c r="M362" s="137" t="s">
        <v>240</v>
      </c>
      <c r="N362" s="122" t="s">
        <v>31</v>
      </c>
      <c r="O362" s="136" t="s">
        <v>519</v>
      </c>
      <c r="P362" s="131" t="s">
        <v>202</v>
      </c>
      <c r="Q362" s="131"/>
      <c r="R362" s="131"/>
      <c r="S362" s="131"/>
      <c r="T362" s="130"/>
      <c r="U362" s="130"/>
      <c r="V362" s="130"/>
      <c r="W362" s="130"/>
      <c r="X362" s="130"/>
      <c r="Y362" s="130"/>
    </row>
    <row r="363" spans="1:25" hidden="1">
      <c r="A363" s="78">
        <v>57</v>
      </c>
      <c r="B363" s="130" t="s">
        <v>124</v>
      </c>
      <c r="C363" s="130" t="s">
        <v>66</v>
      </c>
      <c r="D363" s="81" t="s">
        <v>4445</v>
      </c>
      <c r="E363" s="97" t="s">
        <v>488</v>
      </c>
      <c r="F363" s="97" t="s">
        <v>508</v>
      </c>
      <c r="G363" s="130" t="s">
        <v>28</v>
      </c>
      <c r="H363" s="130" t="s">
        <v>28</v>
      </c>
      <c r="I363" s="130" t="s">
        <v>28</v>
      </c>
      <c r="J363" s="130" t="s">
        <v>27</v>
      </c>
      <c r="K363" s="137" t="s">
        <v>518</v>
      </c>
      <c r="L363" s="137" t="s">
        <v>518</v>
      </c>
      <c r="M363" s="137" t="s">
        <v>240</v>
      </c>
      <c r="N363" s="122" t="s">
        <v>31</v>
      </c>
      <c r="O363" s="136" t="s">
        <v>520</v>
      </c>
      <c r="P363" s="131" t="s">
        <v>202</v>
      </c>
      <c r="Q363" s="131"/>
      <c r="R363" s="131"/>
      <c r="S363" s="131"/>
      <c r="T363" s="130"/>
      <c r="U363" s="130"/>
      <c r="V363" s="130"/>
      <c r="W363" s="130"/>
      <c r="X363" s="130"/>
      <c r="Y363" s="130"/>
    </row>
    <row r="364" spans="1:25" hidden="1">
      <c r="A364" s="78">
        <v>57</v>
      </c>
      <c r="B364" s="130" t="s">
        <v>124</v>
      </c>
      <c r="C364" s="130" t="s">
        <v>66</v>
      </c>
      <c r="D364" s="81" t="s">
        <v>4445</v>
      </c>
      <c r="E364" s="97" t="s">
        <v>488</v>
      </c>
      <c r="F364" s="97" t="s">
        <v>508</v>
      </c>
      <c r="G364" s="130" t="s">
        <v>28</v>
      </c>
      <c r="H364" s="130" t="s">
        <v>28</v>
      </c>
      <c r="I364" s="130" t="s">
        <v>28</v>
      </c>
      <c r="J364" s="130" t="s">
        <v>27</v>
      </c>
      <c r="K364" s="137" t="s">
        <v>518</v>
      </c>
      <c r="L364" s="137" t="s">
        <v>518</v>
      </c>
      <c r="M364" s="137" t="s">
        <v>240</v>
      </c>
      <c r="N364" s="122" t="s">
        <v>31</v>
      </c>
      <c r="O364" s="136" t="s">
        <v>521</v>
      </c>
      <c r="P364" s="131" t="s">
        <v>202</v>
      </c>
      <c r="Q364" s="131"/>
      <c r="R364" s="131"/>
      <c r="S364" s="131"/>
      <c r="T364" s="130"/>
      <c r="U364" s="130"/>
      <c r="V364" s="130"/>
      <c r="W364" s="130"/>
      <c r="X364" s="130"/>
      <c r="Y364" s="130"/>
    </row>
    <row r="365" spans="1:25" hidden="1">
      <c r="A365" s="78">
        <v>57</v>
      </c>
      <c r="B365" s="130" t="s">
        <v>124</v>
      </c>
      <c r="C365" s="130" t="s">
        <v>66</v>
      </c>
      <c r="D365" s="81" t="s">
        <v>4445</v>
      </c>
      <c r="E365" s="97" t="s">
        <v>488</v>
      </c>
      <c r="F365" s="97" t="s">
        <v>508</v>
      </c>
      <c r="G365" s="130" t="s">
        <v>28</v>
      </c>
      <c r="H365" s="130" t="s">
        <v>28</v>
      </c>
      <c r="I365" s="130" t="s">
        <v>28</v>
      </c>
      <c r="J365" s="130" t="s">
        <v>27</v>
      </c>
      <c r="K365" s="137" t="s">
        <v>518</v>
      </c>
      <c r="L365" s="137" t="s">
        <v>518</v>
      </c>
      <c r="M365" s="137" t="s">
        <v>240</v>
      </c>
      <c r="N365" s="122" t="s">
        <v>31</v>
      </c>
      <c r="O365" s="136" t="s">
        <v>522</v>
      </c>
      <c r="P365" s="131" t="s">
        <v>202</v>
      </c>
      <c r="Q365" s="131"/>
      <c r="R365" s="131"/>
      <c r="S365" s="131"/>
      <c r="T365" s="130"/>
      <c r="U365" s="130"/>
      <c r="V365" s="130"/>
      <c r="W365" s="130"/>
      <c r="X365" s="130"/>
      <c r="Y365" s="130"/>
    </row>
    <row r="366" spans="1:25" hidden="1">
      <c r="A366" s="78">
        <v>57</v>
      </c>
      <c r="B366" s="130" t="s">
        <v>124</v>
      </c>
      <c r="C366" s="130" t="s">
        <v>66</v>
      </c>
      <c r="D366" s="81" t="s">
        <v>4445</v>
      </c>
      <c r="E366" s="97" t="s">
        <v>488</v>
      </c>
      <c r="F366" s="97" t="s">
        <v>508</v>
      </c>
      <c r="G366" s="130" t="s">
        <v>28</v>
      </c>
      <c r="H366" s="130" t="s">
        <v>28</v>
      </c>
      <c r="I366" s="130" t="s">
        <v>28</v>
      </c>
      <c r="J366" s="130" t="s">
        <v>27</v>
      </c>
      <c r="K366" s="137" t="s">
        <v>518</v>
      </c>
      <c r="L366" s="137" t="s">
        <v>518</v>
      </c>
      <c r="M366" s="137" t="s">
        <v>240</v>
      </c>
      <c r="N366" s="122" t="s">
        <v>31</v>
      </c>
      <c r="O366" s="136" t="s">
        <v>523</v>
      </c>
      <c r="P366" s="131" t="s">
        <v>202</v>
      </c>
      <c r="Q366" s="131"/>
      <c r="R366" s="131"/>
      <c r="S366" s="131"/>
      <c r="T366" s="130"/>
      <c r="U366" s="130"/>
      <c r="V366" s="130"/>
      <c r="W366" s="130"/>
      <c r="X366" s="130"/>
      <c r="Y366" s="130"/>
    </row>
    <row r="367" spans="1:25">
      <c r="A367" s="77">
        <v>57</v>
      </c>
      <c r="B367" t="s">
        <v>124</v>
      </c>
      <c r="C367" t="s">
        <v>66</v>
      </c>
      <c r="D367" s="81" t="s">
        <v>4445</v>
      </c>
      <c r="E367" s="97" t="s">
        <v>488</v>
      </c>
      <c r="F367" s="97" t="s">
        <v>508</v>
      </c>
      <c r="G367" t="s">
        <v>28</v>
      </c>
      <c r="H367" t="s">
        <v>28</v>
      </c>
      <c r="I367" t="s">
        <v>28</v>
      </c>
      <c r="J367" t="s">
        <v>28</v>
      </c>
      <c r="K367" t="s">
        <v>124</v>
      </c>
      <c r="O367" t="s">
        <v>524</v>
      </c>
      <c r="P367" t="s">
        <v>213</v>
      </c>
      <c r="Q367" t="s">
        <v>513</v>
      </c>
      <c r="R367" s="140" t="s">
        <v>4448</v>
      </c>
      <c r="T367" t="s">
        <v>29</v>
      </c>
      <c r="U367">
        <v>1</v>
      </c>
      <c r="X367">
        <v>0</v>
      </c>
      <c r="Y367">
        <v>0</v>
      </c>
    </row>
    <row r="368" spans="1:25" s="130" customFormat="1">
      <c r="A368" s="77">
        <v>57</v>
      </c>
      <c r="B368" t="s">
        <v>124</v>
      </c>
      <c r="C368" t="s">
        <v>66</v>
      </c>
      <c r="D368" s="81" t="s">
        <v>4445</v>
      </c>
      <c r="E368" s="97" t="s">
        <v>488</v>
      </c>
      <c r="F368" s="97" t="s">
        <v>508</v>
      </c>
      <c r="G368" t="s">
        <v>28</v>
      </c>
      <c r="H368" t="s">
        <v>28</v>
      </c>
      <c r="I368" t="s">
        <v>28</v>
      </c>
      <c r="J368" t="s">
        <v>28</v>
      </c>
      <c r="K368" t="s">
        <v>124</v>
      </c>
      <c r="O368" t="s">
        <v>525</v>
      </c>
      <c r="P368" t="s">
        <v>213</v>
      </c>
      <c r="Q368" t="s">
        <v>513</v>
      </c>
      <c r="R368" s="140" t="s">
        <v>4448</v>
      </c>
      <c r="T368" t="s">
        <v>29</v>
      </c>
      <c r="U368">
        <v>1</v>
      </c>
      <c r="X368">
        <v>0</v>
      </c>
      <c r="Y368">
        <v>0</v>
      </c>
    </row>
    <row r="369" spans="1:25" s="130" customFormat="1">
      <c r="A369" s="77">
        <v>57</v>
      </c>
      <c r="B369" t="s">
        <v>124</v>
      </c>
      <c r="C369" t="s">
        <v>66</v>
      </c>
      <c r="D369" s="81" t="s">
        <v>4445</v>
      </c>
      <c r="E369" s="97" t="s">
        <v>488</v>
      </c>
      <c r="F369" s="97" t="s">
        <v>508</v>
      </c>
      <c r="G369" t="s">
        <v>28</v>
      </c>
      <c r="H369" t="s">
        <v>28</v>
      </c>
      <c r="I369" t="s">
        <v>28</v>
      </c>
      <c r="J369" t="s">
        <v>28</v>
      </c>
      <c r="K369" t="s">
        <v>124</v>
      </c>
      <c r="O369" t="s">
        <v>526</v>
      </c>
      <c r="P369" t="s">
        <v>213</v>
      </c>
      <c r="Q369" t="s">
        <v>513</v>
      </c>
      <c r="R369" s="140" t="s">
        <v>4448</v>
      </c>
      <c r="T369" t="s">
        <v>29</v>
      </c>
      <c r="U369">
        <v>1</v>
      </c>
      <c r="X369">
        <v>0</v>
      </c>
      <c r="Y369">
        <v>0</v>
      </c>
    </row>
    <row r="370" spans="1:25" s="130" customFormat="1" hidden="1">
      <c r="A370" s="78">
        <v>58</v>
      </c>
      <c r="B370" s="130" t="s">
        <v>124</v>
      </c>
      <c r="C370" s="130" t="s">
        <v>66</v>
      </c>
      <c r="D370" s="81" t="s">
        <v>4445</v>
      </c>
      <c r="E370" s="97" t="s">
        <v>488</v>
      </c>
      <c r="F370" s="97" t="s">
        <v>508</v>
      </c>
      <c r="G370" s="130" t="s">
        <v>27</v>
      </c>
      <c r="H370" s="130" t="s">
        <v>28</v>
      </c>
      <c r="I370" s="130" t="s">
        <v>28</v>
      </c>
      <c r="J370" s="130" t="s">
        <v>27</v>
      </c>
      <c r="K370" s="137" t="s">
        <v>68</v>
      </c>
      <c r="L370" s="137" t="s">
        <v>68</v>
      </c>
      <c r="M370" s="137" t="s">
        <v>240</v>
      </c>
      <c r="N370" s="122" t="s">
        <v>31</v>
      </c>
      <c r="O370" s="130" t="s">
        <v>527</v>
      </c>
      <c r="P370" s="131" t="s">
        <v>446</v>
      </c>
      <c r="Q370" s="131"/>
      <c r="R370" s="131"/>
      <c r="S370" s="131"/>
    </row>
    <row r="371" spans="1:25" hidden="1">
      <c r="A371" s="78">
        <v>58</v>
      </c>
      <c r="B371" s="130" t="s">
        <v>124</v>
      </c>
      <c r="C371" s="130" t="s">
        <v>66</v>
      </c>
      <c r="D371" s="81" t="s">
        <v>4445</v>
      </c>
      <c r="E371" s="97" t="s">
        <v>488</v>
      </c>
      <c r="F371" s="97" t="s">
        <v>508</v>
      </c>
      <c r="G371" s="130" t="s">
        <v>27</v>
      </c>
      <c r="H371" s="130" t="s">
        <v>28</v>
      </c>
      <c r="I371" s="130" t="s">
        <v>28</v>
      </c>
      <c r="J371" s="130" t="s">
        <v>27</v>
      </c>
      <c r="K371" s="137" t="s">
        <v>68</v>
      </c>
      <c r="L371" s="137" t="s">
        <v>68</v>
      </c>
      <c r="M371" s="137" t="s">
        <v>240</v>
      </c>
      <c r="N371" s="122" t="s">
        <v>31</v>
      </c>
      <c r="O371" s="130" t="s">
        <v>528</v>
      </c>
      <c r="P371" s="131" t="s">
        <v>446</v>
      </c>
      <c r="Q371" s="131"/>
      <c r="R371" s="131"/>
      <c r="S371" s="131"/>
      <c r="T371" s="130"/>
      <c r="U371" s="130"/>
      <c r="V371" s="130"/>
      <c r="W371" s="130"/>
      <c r="X371" s="130"/>
      <c r="Y371" s="130"/>
    </row>
    <row r="372" spans="1:25" hidden="1">
      <c r="A372" s="78">
        <v>58</v>
      </c>
      <c r="B372" s="130" t="s">
        <v>124</v>
      </c>
      <c r="C372" s="130" t="s">
        <v>66</v>
      </c>
      <c r="D372" s="81" t="s">
        <v>4445</v>
      </c>
      <c r="E372" s="97" t="s">
        <v>488</v>
      </c>
      <c r="F372" s="97" t="s">
        <v>508</v>
      </c>
      <c r="G372" s="130" t="s">
        <v>27</v>
      </c>
      <c r="H372" s="130" t="s">
        <v>28</v>
      </c>
      <c r="I372" s="130" t="s">
        <v>28</v>
      </c>
      <c r="J372" s="130" t="s">
        <v>27</v>
      </c>
      <c r="K372" s="137" t="s">
        <v>68</v>
      </c>
      <c r="L372" s="137" t="s">
        <v>68</v>
      </c>
      <c r="M372" s="137" t="s">
        <v>240</v>
      </c>
      <c r="N372" s="122" t="s">
        <v>31</v>
      </c>
      <c r="O372" s="130" t="s">
        <v>529</v>
      </c>
      <c r="P372" s="131" t="s">
        <v>446</v>
      </c>
      <c r="Q372" s="131"/>
      <c r="R372" s="131"/>
      <c r="S372" s="131"/>
      <c r="T372" s="130"/>
      <c r="U372" s="130"/>
      <c r="V372" s="130"/>
      <c r="W372" s="130"/>
      <c r="X372" s="130"/>
      <c r="Y372" s="130"/>
    </row>
    <row r="373" spans="1:25">
      <c r="A373" s="77">
        <v>58</v>
      </c>
      <c r="B373" t="s">
        <v>124</v>
      </c>
      <c r="C373" t="s">
        <v>66</v>
      </c>
      <c r="D373" s="81" t="s">
        <v>4445</v>
      </c>
      <c r="E373" s="97" t="s">
        <v>488</v>
      </c>
      <c r="F373" s="97" t="s">
        <v>508</v>
      </c>
      <c r="G373" t="s">
        <v>28</v>
      </c>
      <c r="H373" t="s">
        <v>28</v>
      </c>
      <c r="I373" t="s">
        <v>28</v>
      </c>
      <c r="J373" t="s">
        <v>28</v>
      </c>
      <c r="K373" t="s">
        <v>124</v>
      </c>
      <c r="O373" s="132" t="s">
        <v>530</v>
      </c>
      <c r="P373" s="129" t="s">
        <v>86</v>
      </c>
      <c r="Q373" s="129" t="s">
        <v>531</v>
      </c>
      <c r="R373" s="140" t="s">
        <v>4448</v>
      </c>
      <c r="S373" s="129"/>
    </row>
    <row r="374" spans="1:25">
      <c r="A374" s="77">
        <v>58</v>
      </c>
      <c r="B374" t="s">
        <v>124</v>
      </c>
      <c r="C374" t="s">
        <v>66</v>
      </c>
      <c r="D374" s="81" t="s">
        <v>4445</v>
      </c>
      <c r="E374" s="97" t="s">
        <v>488</v>
      </c>
      <c r="F374" s="97" t="s">
        <v>508</v>
      </c>
      <c r="G374" t="s">
        <v>28</v>
      </c>
      <c r="H374" t="s">
        <v>28</v>
      </c>
      <c r="I374" t="s">
        <v>28</v>
      </c>
      <c r="J374" t="s">
        <v>28</v>
      </c>
      <c r="K374" t="s">
        <v>124</v>
      </c>
      <c r="O374" s="132" t="s">
        <v>532</v>
      </c>
      <c r="P374" s="129" t="s">
        <v>86</v>
      </c>
      <c r="Q374" s="129" t="s">
        <v>531</v>
      </c>
      <c r="R374" s="140" t="s">
        <v>4448</v>
      </c>
      <c r="S374" s="129"/>
    </row>
    <row r="375" spans="1:25">
      <c r="A375" s="77">
        <v>58</v>
      </c>
      <c r="B375" t="s">
        <v>124</v>
      </c>
      <c r="C375" t="s">
        <v>66</v>
      </c>
      <c r="D375" s="81" t="s">
        <v>4445</v>
      </c>
      <c r="E375" s="97" t="s">
        <v>488</v>
      </c>
      <c r="F375" s="97" t="s">
        <v>508</v>
      </c>
      <c r="G375" t="s">
        <v>28</v>
      </c>
      <c r="H375" t="s">
        <v>28</v>
      </c>
      <c r="I375" t="s">
        <v>28</v>
      </c>
      <c r="J375" t="s">
        <v>28</v>
      </c>
      <c r="K375" t="s">
        <v>124</v>
      </c>
      <c r="O375" s="11" t="s">
        <v>533</v>
      </c>
      <c r="P375" s="129" t="s">
        <v>86</v>
      </c>
      <c r="Q375" s="129" t="s">
        <v>531</v>
      </c>
      <c r="R375" s="140" t="s">
        <v>4448</v>
      </c>
      <c r="S375" s="129"/>
    </row>
    <row r="376" spans="1:25">
      <c r="A376" s="77">
        <v>58</v>
      </c>
      <c r="B376" t="s">
        <v>124</v>
      </c>
      <c r="C376" t="s">
        <v>66</v>
      </c>
      <c r="D376" s="81" t="s">
        <v>4445</v>
      </c>
      <c r="E376" s="97" t="s">
        <v>488</v>
      </c>
      <c r="F376" s="97" t="s">
        <v>508</v>
      </c>
      <c r="G376" t="s">
        <v>28</v>
      </c>
      <c r="H376" t="s">
        <v>28</v>
      </c>
      <c r="I376" t="s">
        <v>28</v>
      </c>
      <c r="J376" t="s">
        <v>28</v>
      </c>
      <c r="K376" t="s">
        <v>124</v>
      </c>
      <c r="O376" s="132" t="s">
        <v>534</v>
      </c>
      <c r="P376" s="129" t="s">
        <v>86</v>
      </c>
      <c r="Q376" s="129" t="s">
        <v>531</v>
      </c>
      <c r="R376" s="140" t="s">
        <v>4448</v>
      </c>
      <c r="S376" s="129"/>
    </row>
    <row r="377" spans="1:25">
      <c r="A377" s="77">
        <v>58</v>
      </c>
      <c r="B377" t="s">
        <v>124</v>
      </c>
      <c r="C377" t="s">
        <v>66</v>
      </c>
      <c r="D377" s="81" t="s">
        <v>4445</v>
      </c>
      <c r="E377" s="97" t="s">
        <v>488</v>
      </c>
      <c r="F377" s="97" t="s">
        <v>508</v>
      </c>
      <c r="G377" t="s">
        <v>28</v>
      </c>
      <c r="H377" t="s">
        <v>28</v>
      </c>
      <c r="I377" t="s">
        <v>28</v>
      </c>
      <c r="J377" t="s">
        <v>28</v>
      </c>
      <c r="K377" t="s">
        <v>124</v>
      </c>
      <c r="O377" s="132" t="s">
        <v>535</v>
      </c>
      <c r="P377" s="129" t="s">
        <v>86</v>
      </c>
      <c r="Q377" s="129" t="s">
        <v>531</v>
      </c>
      <c r="R377" s="140" t="s">
        <v>4448</v>
      </c>
      <c r="S377" s="129"/>
    </row>
    <row r="378" spans="1:25">
      <c r="A378" s="38">
        <v>59</v>
      </c>
      <c r="B378" t="s">
        <v>124</v>
      </c>
      <c r="C378" t="s">
        <v>66</v>
      </c>
      <c r="D378" s="81" t="s">
        <v>4445</v>
      </c>
      <c r="E378" s="97" t="s">
        <v>125</v>
      </c>
      <c r="F378" s="97" t="s">
        <v>536</v>
      </c>
      <c r="G378" t="s">
        <v>27</v>
      </c>
      <c r="H378" t="s">
        <v>27</v>
      </c>
      <c r="I378" t="s">
        <v>27</v>
      </c>
      <c r="J378" t="s">
        <v>28</v>
      </c>
      <c r="K378" t="s">
        <v>124</v>
      </c>
      <c r="O378" t="s">
        <v>537</v>
      </c>
      <c r="P378" s="129" t="s">
        <v>475</v>
      </c>
      <c r="Q378" s="129"/>
      <c r="R378" s="140" t="s">
        <v>4448</v>
      </c>
      <c r="S378" s="129"/>
    </row>
    <row r="379" spans="1:25">
      <c r="A379" s="38">
        <v>59</v>
      </c>
      <c r="B379" t="s">
        <v>124</v>
      </c>
      <c r="C379" t="s">
        <v>66</v>
      </c>
      <c r="D379" s="81" t="s">
        <v>4445</v>
      </c>
      <c r="E379" s="97" t="s">
        <v>125</v>
      </c>
      <c r="F379" s="97" t="s">
        <v>536</v>
      </c>
      <c r="G379" t="s">
        <v>27</v>
      </c>
      <c r="H379" t="s">
        <v>27</v>
      </c>
      <c r="I379" t="s">
        <v>27</v>
      </c>
      <c r="J379" t="s">
        <v>28</v>
      </c>
      <c r="K379" t="s">
        <v>124</v>
      </c>
      <c r="O379" t="s">
        <v>538</v>
      </c>
      <c r="P379" s="129" t="s">
        <v>475</v>
      </c>
      <c r="Q379" s="129"/>
      <c r="R379" s="140" t="s">
        <v>4448</v>
      </c>
      <c r="S379" s="129"/>
    </row>
    <row r="380" spans="1:25">
      <c r="A380" s="38">
        <v>59</v>
      </c>
      <c r="B380" t="s">
        <v>124</v>
      </c>
      <c r="C380" t="s">
        <v>66</v>
      </c>
      <c r="D380" s="81" t="s">
        <v>4445</v>
      </c>
      <c r="E380" s="97" t="s">
        <v>125</v>
      </c>
      <c r="F380" s="97" t="s">
        <v>536</v>
      </c>
      <c r="G380" t="s">
        <v>27</v>
      </c>
      <c r="H380" t="s">
        <v>27</v>
      </c>
      <c r="I380" t="s">
        <v>27</v>
      </c>
      <c r="J380" t="s">
        <v>28</v>
      </c>
      <c r="K380" t="s">
        <v>124</v>
      </c>
      <c r="O380" t="s">
        <v>539</v>
      </c>
      <c r="P380" s="129" t="s">
        <v>475</v>
      </c>
      <c r="Q380" s="129"/>
      <c r="R380" s="140" t="s">
        <v>4448</v>
      </c>
      <c r="S380" s="129"/>
    </row>
    <row r="381" spans="1:25">
      <c r="A381" s="38">
        <v>60</v>
      </c>
      <c r="B381" t="s">
        <v>124</v>
      </c>
      <c r="C381" t="s">
        <v>66</v>
      </c>
      <c r="D381" s="81" t="s">
        <v>4444</v>
      </c>
      <c r="E381" s="97" t="s">
        <v>125</v>
      </c>
      <c r="F381" s="97" t="s">
        <v>126</v>
      </c>
      <c r="G381" t="s">
        <v>27</v>
      </c>
      <c r="H381" t="s">
        <v>27</v>
      </c>
      <c r="I381" t="s">
        <v>27</v>
      </c>
      <c r="J381" t="s">
        <v>28</v>
      </c>
      <c r="K381" t="s">
        <v>124</v>
      </c>
      <c r="O381" t="s">
        <v>540</v>
      </c>
      <c r="P381" s="129" t="s">
        <v>475</v>
      </c>
      <c r="Q381" s="129"/>
      <c r="R381" s="140" t="s">
        <v>4448</v>
      </c>
      <c r="S381" s="129"/>
    </row>
    <row r="382" spans="1:25">
      <c r="A382" s="38">
        <v>60</v>
      </c>
      <c r="B382" t="s">
        <v>124</v>
      </c>
      <c r="C382" t="s">
        <v>66</v>
      </c>
      <c r="D382" s="81" t="s">
        <v>4444</v>
      </c>
      <c r="E382" s="97" t="s">
        <v>125</v>
      </c>
      <c r="F382" s="97" t="s">
        <v>126</v>
      </c>
      <c r="G382" t="s">
        <v>27</v>
      </c>
      <c r="H382" t="s">
        <v>27</v>
      </c>
      <c r="I382" t="s">
        <v>27</v>
      </c>
      <c r="J382" t="s">
        <v>28</v>
      </c>
      <c r="K382" t="s">
        <v>124</v>
      </c>
      <c r="O382" t="s">
        <v>541</v>
      </c>
      <c r="P382" s="129" t="s">
        <v>475</v>
      </c>
      <c r="Q382" s="129"/>
      <c r="R382" s="140" t="s">
        <v>4448</v>
      </c>
      <c r="S382" s="129"/>
    </row>
    <row r="383" spans="1:25">
      <c r="A383" s="38">
        <v>60</v>
      </c>
      <c r="B383" t="s">
        <v>124</v>
      </c>
      <c r="C383" t="s">
        <v>66</v>
      </c>
      <c r="D383" s="81" t="s">
        <v>4444</v>
      </c>
      <c r="E383" s="97" t="s">
        <v>125</v>
      </c>
      <c r="F383" s="97" t="s">
        <v>126</v>
      </c>
      <c r="G383" t="s">
        <v>27</v>
      </c>
      <c r="H383" t="s">
        <v>27</v>
      </c>
      <c r="I383" t="s">
        <v>27</v>
      </c>
      <c r="J383" t="s">
        <v>28</v>
      </c>
      <c r="K383" t="s">
        <v>124</v>
      </c>
      <c r="O383" t="s">
        <v>542</v>
      </c>
      <c r="P383" s="129" t="s">
        <v>475</v>
      </c>
      <c r="Q383" s="129"/>
      <c r="R383" s="140" t="s">
        <v>4448</v>
      </c>
      <c r="S383" s="129"/>
    </row>
    <row r="384" spans="1:25" hidden="1">
      <c r="A384" s="78">
        <v>61</v>
      </c>
      <c r="B384" s="130" t="s">
        <v>124</v>
      </c>
      <c r="C384" s="130" t="s">
        <v>66</v>
      </c>
      <c r="D384" s="81" t="s">
        <v>4444</v>
      </c>
      <c r="E384" s="97" t="s">
        <v>125</v>
      </c>
      <c r="F384" s="97" t="s">
        <v>543</v>
      </c>
      <c r="G384" s="130" t="s">
        <v>27</v>
      </c>
      <c r="H384" s="130" t="s">
        <v>27</v>
      </c>
      <c r="I384" s="130" t="s">
        <v>27</v>
      </c>
      <c r="J384" s="130" t="s">
        <v>27</v>
      </c>
      <c r="K384" s="137" t="s">
        <v>544</v>
      </c>
      <c r="L384" s="137" t="s">
        <v>544</v>
      </c>
      <c r="M384" s="137" t="s">
        <v>240</v>
      </c>
      <c r="N384" s="122" t="s">
        <v>31</v>
      </c>
      <c r="O384" s="130" t="s">
        <v>545</v>
      </c>
      <c r="P384" s="130" t="s">
        <v>546</v>
      </c>
      <c r="Q384" s="130"/>
      <c r="R384" s="130"/>
      <c r="S384" s="130"/>
      <c r="T384" s="130"/>
      <c r="U384" s="130"/>
      <c r="V384" s="130"/>
      <c r="W384" s="130"/>
      <c r="X384" s="130"/>
      <c r="Y384" s="130"/>
    </row>
    <row r="385" spans="1:25" hidden="1">
      <c r="A385" s="78">
        <v>61</v>
      </c>
      <c r="B385" s="130" t="s">
        <v>124</v>
      </c>
      <c r="C385" s="130" t="s">
        <v>66</v>
      </c>
      <c r="D385" s="81" t="s">
        <v>4444</v>
      </c>
      <c r="E385" s="97" t="s">
        <v>125</v>
      </c>
      <c r="F385" s="97" t="s">
        <v>543</v>
      </c>
      <c r="G385" s="130" t="s">
        <v>27</v>
      </c>
      <c r="H385" s="130" t="s">
        <v>27</v>
      </c>
      <c r="I385" s="130" t="s">
        <v>27</v>
      </c>
      <c r="J385" s="130" t="s">
        <v>27</v>
      </c>
      <c r="K385" s="137" t="s">
        <v>544</v>
      </c>
      <c r="L385" s="137" t="s">
        <v>544</v>
      </c>
      <c r="M385" s="137" t="s">
        <v>240</v>
      </c>
      <c r="N385" s="122" t="s">
        <v>31</v>
      </c>
      <c r="O385" s="130" t="s">
        <v>547</v>
      </c>
      <c r="P385" s="130" t="s">
        <v>546</v>
      </c>
      <c r="Q385" s="130"/>
      <c r="R385" s="130"/>
      <c r="S385" s="130"/>
      <c r="T385" s="130"/>
      <c r="U385" s="130"/>
      <c r="V385" s="130"/>
      <c r="W385" s="130"/>
      <c r="X385" s="130"/>
      <c r="Y385" s="130"/>
    </row>
    <row r="386" spans="1:25" hidden="1">
      <c r="A386" s="78">
        <v>61</v>
      </c>
      <c r="B386" s="130" t="s">
        <v>124</v>
      </c>
      <c r="C386" s="130" t="s">
        <v>66</v>
      </c>
      <c r="D386" s="81" t="s">
        <v>4444</v>
      </c>
      <c r="E386" s="97" t="s">
        <v>125</v>
      </c>
      <c r="F386" s="97" t="s">
        <v>543</v>
      </c>
      <c r="G386" s="130" t="s">
        <v>27</v>
      </c>
      <c r="H386" s="130" t="s">
        <v>27</v>
      </c>
      <c r="I386" s="130" t="s">
        <v>27</v>
      </c>
      <c r="J386" s="130" t="s">
        <v>27</v>
      </c>
      <c r="K386" s="137" t="s">
        <v>544</v>
      </c>
      <c r="L386" s="137" t="s">
        <v>544</v>
      </c>
      <c r="M386" s="137" t="s">
        <v>240</v>
      </c>
      <c r="N386" s="122" t="s">
        <v>31</v>
      </c>
      <c r="O386" s="130" t="s">
        <v>548</v>
      </c>
      <c r="P386" s="130" t="s">
        <v>546</v>
      </c>
      <c r="Q386" s="130"/>
      <c r="R386" s="130"/>
      <c r="S386" s="130"/>
      <c r="T386" s="130"/>
      <c r="U386" s="130"/>
      <c r="V386" s="130"/>
      <c r="W386" s="130"/>
      <c r="X386" s="130"/>
      <c r="Y386" s="130"/>
    </row>
    <row r="387" spans="1:25">
      <c r="A387" s="38">
        <v>61</v>
      </c>
      <c r="B387" t="s">
        <v>124</v>
      </c>
      <c r="C387" t="s">
        <v>66</v>
      </c>
      <c r="D387" s="81" t="s">
        <v>4444</v>
      </c>
      <c r="E387" s="97" t="s">
        <v>125</v>
      </c>
      <c r="F387" s="97" t="s">
        <v>543</v>
      </c>
      <c r="G387" t="s">
        <v>27</v>
      </c>
      <c r="H387" t="s">
        <v>27</v>
      </c>
      <c r="I387" t="s">
        <v>27</v>
      </c>
      <c r="J387" t="s">
        <v>28</v>
      </c>
      <c r="K387" t="s">
        <v>124</v>
      </c>
      <c r="O387" t="s">
        <v>549</v>
      </c>
      <c r="P387" s="129" t="s">
        <v>380</v>
      </c>
      <c r="Q387" s="129"/>
      <c r="R387" s="140" t="s">
        <v>4448</v>
      </c>
      <c r="S387" s="129"/>
    </row>
    <row r="388" spans="1:25">
      <c r="A388" s="38">
        <v>61</v>
      </c>
      <c r="B388" t="s">
        <v>124</v>
      </c>
      <c r="C388" t="s">
        <v>66</v>
      </c>
      <c r="D388" s="81" t="s">
        <v>4444</v>
      </c>
      <c r="E388" s="97" t="s">
        <v>125</v>
      </c>
      <c r="F388" s="97" t="s">
        <v>543</v>
      </c>
      <c r="G388" t="s">
        <v>27</v>
      </c>
      <c r="H388" t="s">
        <v>27</v>
      </c>
      <c r="I388" t="s">
        <v>27</v>
      </c>
      <c r="J388" t="s">
        <v>28</v>
      </c>
      <c r="K388" t="s">
        <v>124</v>
      </c>
      <c r="O388" t="s">
        <v>550</v>
      </c>
      <c r="P388" s="129" t="s">
        <v>380</v>
      </c>
      <c r="Q388" s="129"/>
      <c r="R388" s="140" t="s">
        <v>4448</v>
      </c>
      <c r="S388" s="129"/>
    </row>
    <row r="389" spans="1:25">
      <c r="A389" s="38">
        <v>61</v>
      </c>
      <c r="B389" t="s">
        <v>124</v>
      </c>
      <c r="C389" t="s">
        <v>66</v>
      </c>
      <c r="D389" s="81" t="s">
        <v>4444</v>
      </c>
      <c r="E389" s="97" t="s">
        <v>125</v>
      </c>
      <c r="F389" s="97" t="s">
        <v>543</v>
      </c>
      <c r="G389" t="s">
        <v>27</v>
      </c>
      <c r="H389" t="s">
        <v>27</v>
      </c>
      <c r="I389" t="s">
        <v>27</v>
      </c>
      <c r="J389" t="s">
        <v>28</v>
      </c>
      <c r="K389" t="s">
        <v>124</v>
      </c>
      <c r="O389" t="s">
        <v>551</v>
      </c>
      <c r="P389" s="129" t="s">
        <v>380</v>
      </c>
      <c r="Q389" s="129"/>
      <c r="R389" s="140" t="s">
        <v>4448</v>
      </c>
      <c r="S389" s="129"/>
    </row>
    <row r="390" spans="1:25">
      <c r="A390" s="77">
        <v>62</v>
      </c>
      <c r="B390" t="s">
        <v>124</v>
      </c>
      <c r="C390" t="s">
        <v>66</v>
      </c>
      <c r="D390" s="81" t="s">
        <v>4445</v>
      </c>
      <c r="E390" s="97" t="s">
        <v>136</v>
      </c>
      <c r="F390" s="97" t="s">
        <v>137</v>
      </c>
      <c r="G390" t="s">
        <v>27</v>
      </c>
      <c r="H390" t="s">
        <v>28</v>
      </c>
      <c r="I390" t="s">
        <v>28</v>
      </c>
      <c r="J390" t="s">
        <v>28</v>
      </c>
      <c r="K390" t="s">
        <v>124</v>
      </c>
      <c r="O390" s="132" t="s">
        <v>552</v>
      </c>
      <c r="P390" s="132" t="s">
        <v>475</v>
      </c>
      <c r="Q390" s="132" t="s">
        <v>553</v>
      </c>
      <c r="R390" s="140" t="s">
        <v>4448</v>
      </c>
      <c r="S390" s="132"/>
    </row>
    <row r="391" spans="1:25" s="130" customFormat="1">
      <c r="A391" s="77">
        <v>62</v>
      </c>
      <c r="B391" t="s">
        <v>124</v>
      </c>
      <c r="C391" t="s">
        <v>66</v>
      </c>
      <c r="D391" s="81" t="s">
        <v>4445</v>
      </c>
      <c r="E391" s="97" t="s">
        <v>136</v>
      </c>
      <c r="F391" s="97" t="s">
        <v>137</v>
      </c>
      <c r="G391" t="s">
        <v>27</v>
      </c>
      <c r="H391" t="s">
        <v>28</v>
      </c>
      <c r="I391" t="s">
        <v>28</v>
      </c>
      <c r="J391" t="s">
        <v>28</v>
      </c>
      <c r="K391" t="s">
        <v>124</v>
      </c>
      <c r="O391" s="132" t="s">
        <v>554</v>
      </c>
      <c r="P391" s="132" t="s">
        <v>475</v>
      </c>
      <c r="Q391" s="132" t="s">
        <v>553</v>
      </c>
      <c r="R391" s="140" t="s">
        <v>4448</v>
      </c>
      <c r="S391" s="132"/>
    </row>
    <row r="392" spans="1:25" s="130" customFormat="1">
      <c r="A392" s="77">
        <v>62</v>
      </c>
      <c r="B392" t="s">
        <v>124</v>
      </c>
      <c r="C392" t="s">
        <v>66</v>
      </c>
      <c r="D392" s="81" t="s">
        <v>4445</v>
      </c>
      <c r="E392" s="97" t="s">
        <v>136</v>
      </c>
      <c r="F392" s="97" t="s">
        <v>137</v>
      </c>
      <c r="G392" t="s">
        <v>27</v>
      </c>
      <c r="H392" t="s">
        <v>28</v>
      </c>
      <c r="I392" t="s">
        <v>28</v>
      </c>
      <c r="J392" t="s">
        <v>28</v>
      </c>
      <c r="K392" t="s">
        <v>124</v>
      </c>
      <c r="O392" s="132" t="s">
        <v>555</v>
      </c>
      <c r="P392" s="132" t="s">
        <v>475</v>
      </c>
      <c r="Q392" s="132" t="s">
        <v>553</v>
      </c>
      <c r="R392" s="140" t="s">
        <v>4448</v>
      </c>
      <c r="S392" s="132"/>
    </row>
    <row r="393" spans="1:25" s="130" customFormat="1" hidden="1">
      <c r="A393" s="78">
        <v>62</v>
      </c>
      <c r="B393" s="137" t="s">
        <v>105</v>
      </c>
      <c r="C393" t="s">
        <v>66</v>
      </c>
      <c r="D393" s="81" t="s">
        <v>4445</v>
      </c>
      <c r="E393" s="97" t="s">
        <v>136</v>
      </c>
      <c r="F393" s="97" t="s">
        <v>137</v>
      </c>
      <c r="G393" t="s">
        <v>28</v>
      </c>
      <c r="H393" t="s">
        <v>28</v>
      </c>
      <c r="I393" t="s">
        <v>28</v>
      </c>
      <c r="J393" s="137" t="s">
        <v>27</v>
      </c>
      <c r="K393" s="137" t="s">
        <v>105</v>
      </c>
      <c r="L393" s="137" t="s">
        <v>105</v>
      </c>
      <c r="M393" s="137" t="s">
        <v>240</v>
      </c>
      <c r="N393" s="122" t="s">
        <v>31</v>
      </c>
      <c r="O393" s="137" t="s">
        <v>556</v>
      </c>
      <c r="P393" s="137" t="s">
        <v>391</v>
      </c>
      <c r="Q393" s="137"/>
      <c r="R393" s="137"/>
      <c r="S393" s="137"/>
      <c r="T393" s="137" t="s">
        <v>105</v>
      </c>
      <c r="U393" s="137" t="s">
        <v>105</v>
      </c>
      <c r="V393" s="137"/>
      <c r="W393" s="137"/>
      <c r="X393" s="137" t="s">
        <v>105</v>
      </c>
      <c r="Y393" s="137" t="s">
        <v>105</v>
      </c>
    </row>
    <row r="394" spans="1:25" hidden="1">
      <c r="A394" s="78">
        <v>62</v>
      </c>
      <c r="B394" s="137" t="s">
        <v>105</v>
      </c>
      <c r="C394" t="s">
        <v>66</v>
      </c>
      <c r="D394" s="81" t="s">
        <v>4445</v>
      </c>
      <c r="E394" s="97" t="s">
        <v>136</v>
      </c>
      <c r="F394" s="97" t="s">
        <v>137</v>
      </c>
      <c r="G394" t="s">
        <v>28</v>
      </c>
      <c r="H394" t="s">
        <v>28</v>
      </c>
      <c r="I394" t="s">
        <v>28</v>
      </c>
      <c r="J394" s="137" t="s">
        <v>27</v>
      </c>
      <c r="K394" s="137" t="s">
        <v>105</v>
      </c>
      <c r="L394" s="137" t="s">
        <v>105</v>
      </c>
      <c r="M394" s="137" t="s">
        <v>240</v>
      </c>
      <c r="N394" s="122" t="s">
        <v>31</v>
      </c>
      <c r="O394" s="137" t="s">
        <v>557</v>
      </c>
      <c r="P394" s="137" t="s">
        <v>391</v>
      </c>
      <c r="Q394" s="137"/>
      <c r="R394" s="137"/>
      <c r="S394" s="137"/>
      <c r="T394" s="137" t="s">
        <v>105</v>
      </c>
      <c r="U394" s="137" t="s">
        <v>105</v>
      </c>
      <c r="V394" s="137"/>
      <c r="W394" s="137"/>
      <c r="X394" s="137" t="s">
        <v>105</v>
      </c>
      <c r="Y394" s="137" t="s">
        <v>105</v>
      </c>
    </row>
    <row r="395" spans="1:25">
      <c r="A395" s="77">
        <v>62</v>
      </c>
      <c r="B395" t="s">
        <v>124</v>
      </c>
      <c r="C395" t="s">
        <v>66</v>
      </c>
      <c r="D395" s="81" t="s">
        <v>4445</v>
      </c>
      <c r="E395" s="97" t="s">
        <v>136</v>
      </c>
      <c r="F395" s="97" t="s">
        <v>137</v>
      </c>
      <c r="G395" t="s">
        <v>28</v>
      </c>
      <c r="H395" t="s">
        <v>28</v>
      </c>
      <c r="I395" t="s">
        <v>28</v>
      </c>
      <c r="J395" t="s">
        <v>28</v>
      </c>
      <c r="K395" t="s">
        <v>124</v>
      </c>
      <c r="M395" t="s">
        <v>28</v>
      </c>
      <c r="O395" t="s">
        <v>558</v>
      </c>
      <c r="P395" t="s">
        <v>391</v>
      </c>
      <c r="Q395" t="s">
        <v>559</v>
      </c>
      <c r="R395" s="140" t="s">
        <v>4448</v>
      </c>
      <c r="T395" t="s">
        <v>29</v>
      </c>
      <c r="U395">
        <v>1</v>
      </c>
      <c r="X395">
        <v>0</v>
      </c>
      <c r="Y395">
        <v>0</v>
      </c>
    </row>
    <row r="396" spans="1:25" hidden="1">
      <c r="A396" s="78">
        <v>62</v>
      </c>
      <c r="B396" s="137" t="s">
        <v>105</v>
      </c>
      <c r="C396" t="s">
        <v>66</v>
      </c>
      <c r="D396" s="81" t="s">
        <v>4445</v>
      </c>
      <c r="E396" s="97" t="s">
        <v>136</v>
      </c>
      <c r="F396" s="97" t="s">
        <v>137</v>
      </c>
      <c r="G396" t="s">
        <v>28</v>
      </c>
      <c r="H396" t="s">
        <v>28</v>
      </c>
      <c r="I396" t="s">
        <v>28</v>
      </c>
      <c r="J396" s="137" t="s">
        <v>27</v>
      </c>
      <c r="K396" s="137" t="s">
        <v>105</v>
      </c>
      <c r="L396" s="137" t="s">
        <v>105</v>
      </c>
      <c r="M396" s="137" t="s">
        <v>240</v>
      </c>
      <c r="N396" s="122" t="s">
        <v>31</v>
      </c>
      <c r="O396" s="137" t="s">
        <v>560</v>
      </c>
      <c r="P396" s="137" t="s">
        <v>391</v>
      </c>
      <c r="Q396" s="137"/>
      <c r="R396" s="137"/>
      <c r="S396" s="137"/>
      <c r="T396" s="137" t="s">
        <v>105</v>
      </c>
      <c r="U396" s="137" t="s">
        <v>105</v>
      </c>
      <c r="V396" s="137"/>
      <c r="W396" s="137"/>
      <c r="X396" s="137" t="s">
        <v>105</v>
      </c>
      <c r="Y396" s="137" t="s">
        <v>105</v>
      </c>
    </row>
    <row r="397" spans="1:25">
      <c r="A397" s="38">
        <v>63</v>
      </c>
      <c r="B397" t="s">
        <v>124</v>
      </c>
      <c r="C397" t="s">
        <v>66</v>
      </c>
      <c r="D397" s="81" t="s">
        <v>4444</v>
      </c>
      <c r="E397" s="97" t="s">
        <v>136</v>
      </c>
      <c r="F397" s="97" t="s">
        <v>561</v>
      </c>
      <c r="G397" t="s">
        <v>27</v>
      </c>
      <c r="H397" t="s">
        <v>27</v>
      </c>
      <c r="I397" t="s">
        <v>27</v>
      </c>
      <c r="J397" t="s">
        <v>28</v>
      </c>
      <c r="K397" t="s">
        <v>124</v>
      </c>
      <c r="O397" s="60" t="s">
        <v>562</v>
      </c>
      <c r="P397" s="129" t="s">
        <v>380</v>
      </c>
      <c r="Q397" s="129"/>
      <c r="R397" s="140" t="s">
        <v>4448</v>
      </c>
      <c r="S397" s="129"/>
      <c r="T397" s="137"/>
      <c r="U397" s="137"/>
      <c r="V397" s="137"/>
      <c r="W397" s="137"/>
      <c r="X397" s="137"/>
      <c r="Y397" s="137"/>
    </row>
    <row r="398" spans="1:25">
      <c r="A398" s="38">
        <v>63</v>
      </c>
      <c r="B398" t="s">
        <v>124</v>
      </c>
      <c r="C398" t="s">
        <v>66</v>
      </c>
      <c r="D398" s="81" t="s">
        <v>4444</v>
      </c>
      <c r="E398" s="97" t="s">
        <v>136</v>
      </c>
      <c r="F398" s="97" t="s">
        <v>561</v>
      </c>
      <c r="G398" t="s">
        <v>27</v>
      </c>
      <c r="H398" t="s">
        <v>27</v>
      </c>
      <c r="I398" t="s">
        <v>27</v>
      </c>
      <c r="J398" t="s">
        <v>28</v>
      </c>
      <c r="K398" t="s">
        <v>124</v>
      </c>
      <c r="O398" t="s">
        <v>563</v>
      </c>
      <c r="P398" s="129" t="s">
        <v>380</v>
      </c>
      <c r="Q398" s="129"/>
      <c r="R398" s="140" t="s">
        <v>4448</v>
      </c>
      <c r="S398" s="129"/>
      <c r="T398" s="137"/>
      <c r="U398" s="137"/>
      <c r="V398" s="137"/>
      <c r="W398" s="137"/>
      <c r="X398" s="137"/>
      <c r="Y398" s="137"/>
    </row>
    <row r="399" spans="1:25">
      <c r="A399" s="38">
        <v>63</v>
      </c>
      <c r="B399" t="s">
        <v>124</v>
      </c>
      <c r="C399" t="s">
        <v>66</v>
      </c>
      <c r="D399" s="81" t="s">
        <v>4444</v>
      </c>
      <c r="E399" s="97" t="s">
        <v>136</v>
      </c>
      <c r="F399" s="97" t="s">
        <v>561</v>
      </c>
      <c r="G399" t="s">
        <v>27</v>
      </c>
      <c r="H399" t="s">
        <v>27</v>
      </c>
      <c r="I399" t="s">
        <v>27</v>
      </c>
      <c r="J399" t="s">
        <v>28</v>
      </c>
      <c r="K399" t="s">
        <v>124</v>
      </c>
      <c r="O399" t="s">
        <v>564</v>
      </c>
      <c r="P399" s="129" t="s">
        <v>380</v>
      </c>
      <c r="Q399" s="129"/>
      <c r="R399" s="140" t="s">
        <v>4448</v>
      </c>
      <c r="S399" s="129"/>
      <c r="T399" s="137"/>
      <c r="U399" s="137"/>
      <c r="V399" s="137"/>
      <c r="W399" s="137"/>
      <c r="X399" s="137"/>
      <c r="Y399" s="137"/>
    </row>
    <row r="400" spans="1:25">
      <c r="A400" s="38">
        <v>64</v>
      </c>
      <c r="B400" t="s">
        <v>124</v>
      </c>
      <c r="C400" t="s">
        <v>66</v>
      </c>
      <c r="D400" s="81" t="s">
        <v>4444</v>
      </c>
      <c r="E400" s="97" t="s">
        <v>136</v>
      </c>
      <c r="F400" s="97" t="s">
        <v>561</v>
      </c>
      <c r="G400" t="s">
        <v>27</v>
      </c>
      <c r="H400" t="s">
        <v>27</v>
      </c>
      <c r="I400" t="s">
        <v>27</v>
      </c>
      <c r="J400" t="s">
        <v>28</v>
      </c>
      <c r="K400" t="s">
        <v>124</v>
      </c>
      <c r="O400" t="s">
        <v>565</v>
      </c>
      <c r="P400" s="129" t="s">
        <v>475</v>
      </c>
      <c r="Q400" s="129"/>
      <c r="R400" s="140" t="s">
        <v>4448</v>
      </c>
      <c r="S400" s="129"/>
      <c r="T400" s="137"/>
      <c r="U400" s="137"/>
      <c r="V400" s="137"/>
      <c r="W400" s="137"/>
      <c r="X400" s="137"/>
      <c r="Y400" s="137"/>
    </row>
    <row r="401" spans="1:25">
      <c r="A401" s="38">
        <v>64</v>
      </c>
      <c r="B401" t="s">
        <v>124</v>
      </c>
      <c r="C401" t="s">
        <v>66</v>
      </c>
      <c r="D401" s="81" t="s">
        <v>4444</v>
      </c>
      <c r="E401" s="97" t="s">
        <v>136</v>
      </c>
      <c r="F401" s="97" t="s">
        <v>561</v>
      </c>
      <c r="G401" t="s">
        <v>27</v>
      </c>
      <c r="H401" t="s">
        <v>27</v>
      </c>
      <c r="I401" t="s">
        <v>27</v>
      </c>
      <c r="J401" t="s">
        <v>28</v>
      </c>
      <c r="K401" t="s">
        <v>124</v>
      </c>
      <c r="O401" t="s">
        <v>566</v>
      </c>
      <c r="P401" s="129" t="s">
        <v>475</v>
      </c>
      <c r="Q401" s="129"/>
      <c r="R401" s="140" t="s">
        <v>4448</v>
      </c>
      <c r="S401" s="129"/>
      <c r="T401" s="137"/>
      <c r="U401" s="137"/>
      <c r="V401" s="137"/>
      <c r="W401" s="137"/>
      <c r="X401" s="137"/>
      <c r="Y401" s="137"/>
    </row>
    <row r="402" spans="1:25">
      <c r="A402" s="38">
        <v>64</v>
      </c>
      <c r="B402" t="s">
        <v>124</v>
      </c>
      <c r="C402" t="s">
        <v>66</v>
      </c>
      <c r="D402" s="81" t="s">
        <v>4444</v>
      </c>
      <c r="E402" s="97" t="s">
        <v>136</v>
      </c>
      <c r="F402" s="97" t="s">
        <v>561</v>
      </c>
      <c r="G402" t="s">
        <v>27</v>
      </c>
      <c r="H402" t="s">
        <v>27</v>
      </c>
      <c r="I402" t="s">
        <v>27</v>
      </c>
      <c r="J402" t="s">
        <v>28</v>
      </c>
      <c r="K402" t="s">
        <v>124</v>
      </c>
      <c r="O402" t="s">
        <v>567</v>
      </c>
      <c r="P402" s="129" t="s">
        <v>475</v>
      </c>
      <c r="Q402" s="129"/>
      <c r="R402" s="140" t="s">
        <v>4448</v>
      </c>
      <c r="S402" s="129"/>
      <c r="T402" s="137"/>
      <c r="U402" s="137"/>
      <c r="V402" s="137"/>
      <c r="W402" s="137"/>
      <c r="X402" s="137"/>
      <c r="Y402" s="137"/>
    </row>
    <row r="403" spans="1:25" s="137" customFormat="1">
      <c r="A403" s="77">
        <v>65</v>
      </c>
      <c r="B403" t="s">
        <v>124</v>
      </c>
      <c r="C403" t="s">
        <v>253</v>
      </c>
      <c r="D403" s="81" t="s">
        <v>4445</v>
      </c>
      <c r="E403" s="97">
        <v>1</v>
      </c>
      <c r="F403" s="97" t="s">
        <v>26</v>
      </c>
      <c r="G403" t="s">
        <v>28</v>
      </c>
      <c r="H403" t="s">
        <v>28</v>
      </c>
      <c r="I403" t="s">
        <v>27</v>
      </c>
      <c r="J403" t="s">
        <v>28</v>
      </c>
      <c r="K403" t="s">
        <v>124</v>
      </c>
      <c r="O403" t="s">
        <v>568</v>
      </c>
      <c r="P403" s="132" t="s">
        <v>217</v>
      </c>
      <c r="Q403" s="132" t="s">
        <v>569</v>
      </c>
      <c r="R403" s="140" t="s">
        <v>4448</v>
      </c>
      <c r="S403" s="132"/>
    </row>
    <row r="404" spans="1:25" s="130" customFormat="1">
      <c r="A404" s="77">
        <v>65</v>
      </c>
      <c r="B404" t="s">
        <v>124</v>
      </c>
      <c r="C404" t="s">
        <v>253</v>
      </c>
      <c r="D404" s="81" t="s">
        <v>4445</v>
      </c>
      <c r="E404" s="97">
        <v>1</v>
      </c>
      <c r="F404" s="97" t="s">
        <v>26</v>
      </c>
      <c r="G404" t="s">
        <v>28</v>
      </c>
      <c r="H404" t="s">
        <v>28</v>
      </c>
      <c r="I404" t="s">
        <v>27</v>
      </c>
      <c r="J404" t="s">
        <v>28</v>
      </c>
      <c r="K404" t="s">
        <v>124</v>
      </c>
      <c r="O404" t="s">
        <v>570</v>
      </c>
      <c r="P404" s="132" t="s">
        <v>217</v>
      </c>
      <c r="Q404" s="132" t="s">
        <v>569</v>
      </c>
      <c r="R404" s="140" t="s">
        <v>4448</v>
      </c>
      <c r="S404" s="132"/>
    </row>
    <row r="405" spans="1:25" s="130" customFormat="1">
      <c r="A405" s="77">
        <v>65</v>
      </c>
      <c r="B405" t="s">
        <v>124</v>
      </c>
      <c r="C405" t="s">
        <v>253</v>
      </c>
      <c r="D405" s="81" t="s">
        <v>4445</v>
      </c>
      <c r="E405" s="97">
        <v>1</v>
      </c>
      <c r="F405" s="97" t="s">
        <v>26</v>
      </c>
      <c r="G405" t="s">
        <v>28</v>
      </c>
      <c r="H405" t="s">
        <v>28</v>
      </c>
      <c r="I405" t="s">
        <v>27</v>
      </c>
      <c r="J405" t="s">
        <v>28</v>
      </c>
      <c r="K405" t="s">
        <v>124</v>
      </c>
      <c r="O405" t="s">
        <v>571</v>
      </c>
      <c r="P405" s="132" t="s">
        <v>217</v>
      </c>
      <c r="Q405" s="132" t="s">
        <v>569</v>
      </c>
      <c r="R405" s="140" t="s">
        <v>4448</v>
      </c>
      <c r="S405" s="132"/>
    </row>
    <row r="406" spans="1:25" s="130" customFormat="1">
      <c r="A406" s="77">
        <v>65</v>
      </c>
      <c r="B406" t="s">
        <v>124</v>
      </c>
      <c r="C406" t="s">
        <v>253</v>
      </c>
      <c r="D406" s="81" t="s">
        <v>4445</v>
      </c>
      <c r="E406" s="97">
        <v>1</v>
      </c>
      <c r="F406" s="97" t="s">
        <v>26</v>
      </c>
      <c r="G406" t="s">
        <v>28</v>
      </c>
      <c r="H406" t="s">
        <v>28</v>
      </c>
      <c r="I406" t="s">
        <v>27</v>
      </c>
      <c r="J406" t="s">
        <v>28</v>
      </c>
      <c r="K406" t="s">
        <v>124</v>
      </c>
      <c r="O406" t="s">
        <v>572</v>
      </c>
      <c r="P406" s="132" t="s">
        <v>217</v>
      </c>
      <c r="Q406" s="132" t="s">
        <v>569</v>
      </c>
      <c r="R406" s="140" t="s">
        <v>4448</v>
      </c>
      <c r="S406" s="132"/>
    </row>
    <row r="407" spans="1:25" s="130" customFormat="1" hidden="1">
      <c r="A407" s="78">
        <v>65</v>
      </c>
      <c r="B407" s="130" t="s">
        <v>124</v>
      </c>
      <c r="C407" s="130" t="s">
        <v>253</v>
      </c>
      <c r="D407" s="81" t="s">
        <v>4445</v>
      </c>
      <c r="E407" s="97">
        <v>1</v>
      </c>
      <c r="F407" s="97" t="s">
        <v>26</v>
      </c>
      <c r="G407" s="130" t="s">
        <v>27</v>
      </c>
      <c r="H407" s="130" t="s">
        <v>28</v>
      </c>
      <c r="I407" s="130" t="s">
        <v>27</v>
      </c>
      <c r="J407" s="130" t="s">
        <v>27</v>
      </c>
      <c r="K407" s="137" t="s">
        <v>68</v>
      </c>
      <c r="L407" s="137" t="s">
        <v>68</v>
      </c>
      <c r="M407" s="137" t="s">
        <v>240</v>
      </c>
      <c r="N407" s="122" t="s">
        <v>31</v>
      </c>
      <c r="O407" s="136" t="s">
        <v>573</v>
      </c>
      <c r="P407" s="136" t="s">
        <v>371</v>
      </c>
      <c r="Q407" s="136"/>
      <c r="R407" s="136"/>
      <c r="S407" s="136"/>
    </row>
    <row r="408" spans="1:25" s="130" customFormat="1" hidden="1">
      <c r="A408" s="78">
        <v>65</v>
      </c>
      <c r="B408" s="130" t="s">
        <v>124</v>
      </c>
      <c r="C408" s="130" t="s">
        <v>253</v>
      </c>
      <c r="D408" s="81" t="s">
        <v>4445</v>
      </c>
      <c r="E408" s="97">
        <v>1</v>
      </c>
      <c r="F408" s="97" t="s">
        <v>26</v>
      </c>
      <c r="G408" s="130" t="s">
        <v>27</v>
      </c>
      <c r="H408" s="130" t="s">
        <v>28</v>
      </c>
      <c r="I408" s="130" t="s">
        <v>27</v>
      </c>
      <c r="J408" s="130" t="s">
        <v>27</v>
      </c>
      <c r="K408" s="137" t="s">
        <v>68</v>
      </c>
      <c r="L408" s="137" t="s">
        <v>68</v>
      </c>
      <c r="M408" s="137" t="s">
        <v>240</v>
      </c>
      <c r="N408" s="122" t="s">
        <v>31</v>
      </c>
      <c r="O408" s="62" t="s">
        <v>574</v>
      </c>
      <c r="P408" s="130" t="s">
        <v>371</v>
      </c>
    </row>
    <row r="409" spans="1:25" s="130" customFormat="1" hidden="1">
      <c r="A409" s="78">
        <v>65</v>
      </c>
      <c r="B409" s="130" t="s">
        <v>124</v>
      </c>
      <c r="C409" s="130" t="s">
        <v>253</v>
      </c>
      <c r="D409" s="81" t="s">
        <v>4445</v>
      </c>
      <c r="E409" s="97">
        <v>1</v>
      </c>
      <c r="F409" s="97" t="s">
        <v>26</v>
      </c>
      <c r="G409" s="130" t="s">
        <v>27</v>
      </c>
      <c r="H409" s="130" t="s">
        <v>28</v>
      </c>
      <c r="I409" s="130" t="s">
        <v>27</v>
      </c>
      <c r="J409" s="130" t="s">
        <v>27</v>
      </c>
      <c r="K409" s="137" t="s">
        <v>68</v>
      </c>
      <c r="L409" s="137" t="s">
        <v>68</v>
      </c>
      <c r="M409" s="137" t="s">
        <v>240</v>
      </c>
      <c r="N409" s="122" t="s">
        <v>31</v>
      </c>
      <c r="O409" s="62" t="s">
        <v>575</v>
      </c>
      <c r="P409" s="130" t="s">
        <v>371</v>
      </c>
    </row>
    <row r="410" spans="1:25">
      <c r="A410" s="77">
        <v>66</v>
      </c>
      <c r="B410" t="s">
        <v>124</v>
      </c>
      <c r="C410" t="s">
        <v>253</v>
      </c>
      <c r="D410" s="81" t="s">
        <v>4445</v>
      </c>
      <c r="E410" s="97">
        <v>2</v>
      </c>
      <c r="F410" s="97" t="s">
        <v>54</v>
      </c>
      <c r="G410" t="s">
        <v>28</v>
      </c>
      <c r="H410" t="s">
        <v>28</v>
      </c>
      <c r="I410" t="s">
        <v>28</v>
      </c>
      <c r="J410" t="s">
        <v>28</v>
      </c>
      <c r="K410" t="s">
        <v>124</v>
      </c>
      <c r="O410" s="60" t="s">
        <v>576</v>
      </c>
      <c r="P410" t="s">
        <v>217</v>
      </c>
      <c r="Q410" t="s">
        <v>577</v>
      </c>
      <c r="R410" s="140" t="s">
        <v>4448</v>
      </c>
    </row>
    <row r="411" spans="1:25">
      <c r="A411" s="77">
        <v>66</v>
      </c>
      <c r="B411" t="s">
        <v>124</v>
      </c>
      <c r="C411" t="s">
        <v>253</v>
      </c>
      <c r="D411" s="81" t="s">
        <v>4445</v>
      </c>
      <c r="E411" s="97">
        <v>2</v>
      </c>
      <c r="F411" s="97" t="s">
        <v>54</v>
      </c>
      <c r="G411" t="s">
        <v>28</v>
      </c>
      <c r="H411" t="s">
        <v>28</v>
      </c>
      <c r="I411" t="s">
        <v>28</v>
      </c>
      <c r="J411" t="s">
        <v>28</v>
      </c>
      <c r="K411" t="s">
        <v>124</v>
      </c>
      <c r="O411" s="60" t="s">
        <v>578</v>
      </c>
      <c r="P411" t="s">
        <v>217</v>
      </c>
      <c r="Q411" t="s">
        <v>577</v>
      </c>
      <c r="R411" s="140" t="s">
        <v>4448</v>
      </c>
    </row>
    <row r="412" spans="1:25">
      <c r="A412" s="77">
        <v>66</v>
      </c>
      <c r="B412" t="s">
        <v>124</v>
      </c>
      <c r="C412" t="s">
        <v>253</v>
      </c>
      <c r="D412" s="81" t="s">
        <v>4445</v>
      </c>
      <c r="E412" s="97">
        <v>2</v>
      </c>
      <c r="F412" s="97" t="s">
        <v>54</v>
      </c>
      <c r="G412" t="s">
        <v>28</v>
      </c>
      <c r="H412" t="s">
        <v>28</v>
      </c>
      <c r="I412" t="s">
        <v>28</v>
      </c>
      <c r="J412" t="s">
        <v>28</v>
      </c>
      <c r="K412" t="s">
        <v>124</v>
      </c>
      <c r="O412" s="60" t="s">
        <v>579</v>
      </c>
      <c r="P412" t="s">
        <v>217</v>
      </c>
      <c r="Q412" t="s">
        <v>577</v>
      </c>
      <c r="R412" s="140" t="s">
        <v>4448</v>
      </c>
    </row>
    <row r="413" spans="1:25">
      <c r="A413" s="77">
        <v>66</v>
      </c>
      <c r="B413" t="s">
        <v>124</v>
      </c>
      <c r="C413" t="s">
        <v>253</v>
      </c>
      <c r="D413" s="81" t="s">
        <v>4445</v>
      </c>
      <c r="E413" s="97">
        <v>2</v>
      </c>
      <c r="F413" s="97" t="s">
        <v>54</v>
      </c>
      <c r="G413" t="s">
        <v>28</v>
      </c>
      <c r="H413" t="s">
        <v>28</v>
      </c>
      <c r="I413" t="s">
        <v>28</v>
      </c>
      <c r="J413" t="s">
        <v>28</v>
      </c>
      <c r="K413" t="s">
        <v>124</v>
      </c>
      <c r="O413" t="s">
        <v>580</v>
      </c>
      <c r="P413" t="s">
        <v>217</v>
      </c>
      <c r="Q413" t="s">
        <v>577</v>
      </c>
      <c r="R413" s="140" t="s">
        <v>4448</v>
      </c>
    </row>
    <row r="414" spans="1:25">
      <c r="A414" s="77">
        <v>66</v>
      </c>
      <c r="B414" t="s">
        <v>124</v>
      </c>
      <c r="C414" t="s">
        <v>253</v>
      </c>
      <c r="D414" s="81" t="s">
        <v>4445</v>
      </c>
      <c r="E414" s="97">
        <v>2</v>
      </c>
      <c r="F414" s="97" t="s">
        <v>54</v>
      </c>
      <c r="G414" t="s">
        <v>28</v>
      </c>
      <c r="H414" t="s">
        <v>28</v>
      </c>
      <c r="I414" t="s">
        <v>28</v>
      </c>
      <c r="J414" t="s">
        <v>28</v>
      </c>
      <c r="K414" t="s">
        <v>124</v>
      </c>
      <c r="O414" t="s">
        <v>581</v>
      </c>
      <c r="P414" t="s">
        <v>217</v>
      </c>
      <c r="Q414" t="s">
        <v>577</v>
      </c>
      <c r="R414" s="140" t="s">
        <v>4448</v>
      </c>
    </row>
    <row r="415" spans="1:25">
      <c r="A415" s="77">
        <v>67</v>
      </c>
      <c r="B415" t="s">
        <v>124</v>
      </c>
      <c r="C415" t="s">
        <v>253</v>
      </c>
      <c r="D415" s="81" t="s">
        <v>4445</v>
      </c>
      <c r="E415" s="97">
        <v>2</v>
      </c>
      <c r="F415" s="97" t="s">
        <v>54</v>
      </c>
      <c r="G415" t="s">
        <v>28</v>
      </c>
      <c r="H415" t="s">
        <v>28</v>
      </c>
      <c r="I415" t="s">
        <v>28</v>
      </c>
      <c r="J415" t="s">
        <v>28</v>
      </c>
      <c r="K415" t="s">
        <v>124</v>
      </c>
      <c r="O415" t="s">
        <v>582</v>
      </c>
      <c r="P415" t="s">
        <v>217</v>
      </c>
      <c r="Q415" t="s">
        <v>583</v>
      </c>
      <c r="R415" s="140" t="s">
        <v>4448</v>
      </c>
    </row>
    <row r="416" spans="1:25">
      <c r="A416" s="77">
        <v>67</v>
      </c>
      <c r="B416" t="s">
        <v>124</v>
      </c>
      <c r="C416" t="s">
        <v>253</v>
      </c>
      <c r="D416" s="81" t="s">
        <v>4445</v>
      </c>
      <c r="E416" s="97">
        <v>2</v>
      </c>
      <c r="F416" s="97" t="s">
        <v>54</v>
      </c>
      <c r="G416" t="s">
        <v>28</v>
      </c>
      <c r="H416" t="s">
        <v>28</v>
      </c>
      <c r="I416" t="s">
        <v>28</v>
      </c>
      <c r="J416" t="s">
        <v>28</v>
      </c>
      <c r="K416" t="s">
        <v>124</v>
      </c>
      <c r="O416" t="s">
        <v>584</v>
      </c>
      <c r="P416" t="s">
        <v>217</v>
      </c>
      <c r="Q416" t="s">
        <v>583</v>
      </c>
      <c r="R416" s="140" t="s">
        <v>4448</v>
      </c>
    </row>
    <row r="417" spans="1:19">
      <c r="A417" s="77">
        <v>67</v>
      </c>
      <c r="B417" t="s">
        <v>124</v>
      </c>
      <c r="C417" t="s">
        <v>253</v>
      </c>
      <c r="D417" s="81" t="s">
        <v>4445</v>
      </c>
      <c r="E417" s="97">
        <v>2</v>
      </c>
      <c r="F417" s="97" t="s">
        <v>54</v>
      </c>
      <c r="G417" t="s">
        <v>28</v>
      </c>
      <c r="H417" t="s">
        <v>28</v>
      </c>
      <c r="I417" t="s">
        <v>28</v>
      </c>
      <c r="J417" t="s">
        <v>28</v>
      </c>
      <c r="K417" t="s">
        <v>124</v>
      </c>
      <c r="O417" t="s">
        <v>585</v>
      </c>
      <c r="P417" t="s">
        <v>217</v>
      </c>
      <c r="Q417" t="s">
        <v>583</v>
      </c>
      <c r="R417" s="140" t="s">
        <v>4448</v>
      </c>
    </row>
    <row r="418" spans="1:19">
      <c r="A418" s="77">
        <v>67</v>
      </c>
      <c r="B418" t="s">
        <v>124</v>
      </c>
      <c r="C418" t="s">
        <v>253</v>
      </c>
      <c r="D418" s="81" t="s">
        <v>4445</v>
      </c>
      <c r="E418" s="97">
        <v>2</v>
      </c>
      <c r="F418" s="97" t="s">
        <v>54</v>
      </c>
      <c r="G418" t="s">
        <v>28</v>
      </c>
      <c r="H418" t="s">
        <v>28</v>
      </c>
      <c r="I418" t="s">
        <v>28</v>
      </c>
      <c r="J418" t="s">
        <v>28</v>
      </c>
      <c r="K418" t="s">
        <v>124</v>
      </c>
      <c r="O418" t="s">
        <v>586</v>
      </c>
      <c r="P418" t="s">
        <v>217</v>
      </c>
      <c r="Q418" t="s">
        <v>583</v>
      </c>
      <c r="R418" s="140" t="s">
        <v>4448</v>
      </c>
    </row>
    <row r="419" spans="1:19">
      <c r="A419" s="77">
        <v>67</v>
      </c>
      <c r="B419" t="s">
        <v>124</v>
      </c>
      <c r="C419" t="s">
        <v>253</v>
      </c>
      <c r="D419" s="81" t="s">
        <v>4445</v>
      </c>
      <c r="E419" s="97">
        <v>2</v>
      </c>
      <c r="F419" s="97" t="s">
        <v>54</v>
      </c>
      <c r="G419" t="s">
        <v>28</v>
      </c>
      <c r="H419" t="s">
        <v>28</v>
      </c>
      <c r="I419" t="s">
        <v>28</v>
      </c>
      <c r="J419" t="s">
        <v>28</v>
      </c>
      <c r="K419" t="s">
        <v>124</v>
      </c>
      <c r="O419" s="132" t="s">
        <v>587</v>
      </c>
      <c r="P419" t="s">
        <v>217</v>
      </c>
      <c r="Q419" t="s">
        <v>583</v>
      </c>
      <c r="R419" s="140" t="s">
        <v>4448</v>
      </c>
    </row>
    <row r="420" spans="1:19" s="130" customFormat="1" hidden="1">
      <c r="A420" s="78">
        <v>67</v>
      </c>
      <c r="B420" s="130" t="s">
        <v>124</v>
      </c>
      <c r="C420" s="130" t="s">
        <v>253</v>
      </c>
      <c r="D420" s="81" t="s">
        <v>4445</v>
      </c>
      <c r="E420" s="97">
        <v>2</v>
      </c>
      <c r="F420" s="97" t="s">
        <v>54</v>
      </c>
      <c r="G420" s="130" t="s">
        <v>27</v>
      </c>
      <c r="H420" s="130" t="s">
        <v>28</v>
      </c>
      <c r="I420" s="130" t="s">
        <v>28</v>
      </c>
      <c r="J420" s="130" t="s">
        <v>27</v>
      </c>
      <c r="K420" s="137" t="s">
        <v>68</v>
      </c>
      <c r="L420" s="137" t="s">
        <v>68</v>
      </c>
      <c r="M420" s="137" t="s">
        <v>240</v>
      </c>
      <c r="N420" s="122" t="s">
        <v>31</v>
      </c>
      <c r="O420" s="62" t="s">
        <v>588</v>
      </c>
      <c r="P420" s="67" t="s">
        <v>371</v>
      </c>
      <c r="Q420" s="131"/>
      <c r="R420" s="131"/>
      <c r="S420" s="131"/>
    </row>
    <row r="421" spans="1:19" s="130" customFormat="1" hidden="1">
      <c r="A421" s="78">
        <v>67</v>
      </c>
      <c r="B421" s="130" t="s">
        <v>124</v>
      </c>
      <c r="C421" s="130" t="s">
        <v>253</v>
      </c>
      <c r="D421" s="81" t="s">
        <v>4445</v>
      </c>
      <c r="E421" s="97">
        <v>2</v>
      </c>
      <c r="F421" s="97" t="s">
        <v>54</v>
      </c>
      <c r="G421" s="130" t="s">
        <v>27</v>
      </c>
      <c r="H421" s="130" t="s">
        <v>28</v>
      </c>
      <c r="I421" s="130" t="s">
        <v>28</v>
      </c>
      <c r="J421" s="130" t="s">
        <v>27</v>
      </c>
      <c r="K421" s="137" t="s">
        <v>68</v>
      </c>
      <c r="L421" s="137" t="s">
        <v>68</v>
      </c>
      <c r="M421" s="137" t="s">
        <v>240</v>
      </c>
      <c r="N421" s="122" t="s">
        <v>31</v>
      </c>
      <c r="O421" s="62" t="s">
        <v>589</v>
      </c>
      <c r="P421" s="61" t="s">
        <v>371</v>
      </c>
    </row>
    <row r="422" spans="1:19" s="130" customFormat="1" hidden="1">
      <c r="A422" s="78">
        <v>67</v>
      </c>
      <c r="B422" s="130" t="s">
        <v>124</v>
      </c>
      <c r="C422" s="130" t="s">
        <v>253</v>
      </c>
      <c r="D422" s="81" t="s">
        <v>4445</v>
      </c>
      <c r="E422" s="97">
        <v>2</v>
      </c>
      <c r="F422" s="97" t="s">
        <v>54</v>
      </c>
      <c r="G422" s="130" t="s">
        <v>27</v>
      </c>
      <c r="H422" s="130" t="s">
        <v>28</v>
      </c>
      <c r="I422" s="130" t="s">
        <v>28</v>
      </c>
      <c r="J422" s="130" t="s">
        <v>27</v>
      </c>
      <c r="K422" s="137" t="s">
        <v>68</v>
      </c>
      <c r="L422" s="137" t="s">
        <v>68</v>
      </c>
      <c r="M422" s="137" t="s">
        <v>240</v>
      </c>
      <c r="N422" s="122" t="s">
        <v>31</v>
      </c>
      <c r="O422" s="62" t="s">
        <v>590</v>
      </c>
      <c r="P422" s="61" t="s">
        <v>371</v>
      </c>
    </row>
    <row r="423" spans="1:19" s="130" customFormat="1" hidden="1">
      <c r="A423" s="78">
        <v>68</v>
      </c>
      <c r="B423" s="130" t="s">
        <v>124</v>
      </c>
      <c r="C423" s="130" t="s">
        <v>253</v>
      </c>
      <c r="D423" s="81" t="s">
        <v>4445</v>
      </c>
      <c r="E423" s="97">
        <v>2</v>
      </c>
      <c r="F423" s="97" t="s">
        <v>49</v>
      </c>
      <c r="G423" s="130" t="s">
        <v>27</v>
      </c>
      <c r="H423" s="130" t="s">
        <v>28</v>
      </c>
      <c r="I423" s="130" t="s">
        <v>28</v>
      </c>
      <c r="J423" s="130" t="s">
        <v>27</v>
      </c>
      <c r="K423" s="137" t="s">
        <v>518</v>
      </c>
      <c r="L423" s="137" t="s">
        <v>518</v>
      </c>
      <c r="M423" s="137" t="s">
        <v>240</v>
      </c>
      <c r="N423" s="122" t="s">
        <v>31</v>
      </c>
      <c r="O423" s="62" t="s">
        <v>591</v>
      </c>
      <c r="P423" s="62" t="s">
        <v>130</v>
      </c>
      <c r="Q423" s="136"/>
      <c r="R423" s="136"/>
      <c r="S423" s="136"/>
    </row>
    <row r="424" spans="1:19" s="130" customFormat="1" hidden="1">
      <c r="A424" s="78">
        <v>68</v>
      </c>
      <c r="B424" s="130" t="s">
        <v>124</v>
      </c>
      <c r="C424" s="130" t="s">
        <v>253</v>
      </c>
      <c r="D424" s="81" t="s">
        <v>4445</v>
      </c>
      <c r="E424" s="97">
        <v>2</v>
      </c>
      <c r="F424" s="97" t="s">
        <v>49</v>
      </c>
      <c r="G424" s="130" t="s">
        <v>27</v>
      </c>
      <c r="H424" s="130" t="s">
        <v>28</v>
      </c>
      <c r="I424" s="130" t="s">
        <v>28</v>
      </c>
      <c r="J424" s="130" t="s">
        <v>27</v>
      </c>
      <c r="K424" s="137" t="s">
        <v>518</v>
      </c>
      <c r="L424" s="137" t="s">
        <v>518</v>
      </c>
      <c r="M424" s="137" t="s">
        <v>240</v>
      </c>
      <c r="N424" s="122" t="s">
        <v>31</v>
      </c>
      <c r="O424" s="62" t="s">
        <v>592</v>
      </c>
      <c r="P424" s="62" t="s">
        <v>130</v>
      </c>
      <c r="Q424" s="136"/>
      <c r="R424" s="136"/>
      <c r="S424" s="136"/>
    </row>
    <row r="425" spans="1:19" s="130" customFormat="1" hidden="1">
      <c r="A425" s="78">
        <v>68</v>
      </c>
      <c r="B425" s="130" t="s">
        <v>124</v>
      </c>
      <c r="C425" s="130" t="s">
        <v>253</v>
      </c>
      <c r="D425" s="81" t="s">
        <v>4445</v>
      </c>
      <c r="E425" s="97">
        <v>2</v>
      </c>
      <c r="F425" s="97" t="s">
        <v>49</v>
      </c>
      <c r="G425" s="130" t="s">
        <v>27</v>
      </c>
      <c r="H425" s="130" t="s">
        <v>28</v>
      </c>
      <c r="I425" s="130" t="s">
        <v>28</v>
      </c>
      <c r="J425" s="130" t="s">
        <v>27</v>
      </c>
      <c r="K425" s="137" t="s">
        <v>518</v>
      </c>
      <c r="L425" s="137" t="s">
        <v>518</v>
      </c>
      <c r="M425" s="137" t="s">
        <v>240</v>
      </c>
      <c r="N425" s="122" t="s">
        <v>31</v>
      </c>
      <c r="O425" s="136" t="s">
        <v>593</v>
      </c>
      <c r="P425" s="136" t="s">
        <v>130</v>
      </c>
      <c r="Q425" s="136"/>
      <c r="R425" s="136"/>
      <c r="S425" s="136"/>
    </row>
    <row r="426" spans="1:19" s="130" customFormat="1">
      <c r="A426" s="77">
        <v>68</v>
      </c>
      <c r="B426" t="s">
        <v>124</v>
      </c>
      <c r="C426" t="s">
        <v>253</v>
      </c>
      <c r="D426" s="81" t="s">
        <v>4445</v>
      </c>
      <c r="E426" s="97">
        <v>2</v>
      </c>
      <c r="F426" s="97" t="s">
        <v>49</v>
      </c>
      <c r="G426" t="s">
        <v>27</v>
      </c>
      <c r="H426" t="s">
        <v>28</v>
      </c>
      <c r="I426" t="s">
        <v>28</v>
      </c>
      <c r="J426" t="s">
        <v>28</v>
      </c>
      <c r="K426" t="s">
        <v>124</v>
      </c>
      <c r="O426" s="132" t="s">
        <v>594</v>
      </c>
      <c r="P426" s="132" t="s">
        <v>475</v>
      </c>
      <c r="Q426" s="132" t="s">
        <v>595</v>
      </c>
      <c r="R426" s="140" t="s">
        <v>4448</v>
      </c>
      <c r="S426" s="132"/>
    </row>
    <row r="427" spans="1:19" s="130" customFormat="1">
      <c r="A427" s="77">
        <v>68</v>
      </c>
      <c r="B427" t="s">
        <v>124</v>
      </c>
      <c r="C427" t="s">
        <v>253</v>
      </c>
      <c r="D427" s="81" t="s">
        <v>4445</v>
      </c>
      <c r="E427" s="97">
        <v>2</v>
      </c>
      <c r="F427" s="97" t="s">
        <v>49</v>
      </c>
      <c r="G427" t="s">
        <v>27</v>
      </c>
      <c r="H427" t="s">
        <v>28</v>
      </c>
      <c r="I427" t="s">
        <v>28</v>
      </c>
      <c r="J427" t="s">
        <v>28</v>
      </c>
      <c r="K427" t="s">
        <v>124</v>
      </c>
      <c r="O427" s="132" t="s">
        <v>596</v>
      </c>
      <c r="P427" s="132" t="s">
        <v>475</v>
      </c>
      <c r="Q427" s="132" t="s">
        <v>595</v>
      </c>
      <c r="R427" s="140" t="s">
        <v>4448</v>
      </c>
      <c r="S427" s="132"/>
    </row>
    <row r="428" spans="1:19">
      <c r="A428" s="77">
        <v>68</v>
      </c>
      <c r="B428" t="s">
        <v>124</v>
      </c>
      <c r="C428" t="s">
        <v>253</v>
      </c>
      <c r="D428" s="81" t="s">
        <v>4445</v>
      </c>
      <c r="E428" s="97">
        <v>2</v>
      </c>
      <c r="F428" s="97" t="s">
        <v>49</v>
      </c>
      <c r="G428" t="s">
        <v>27</v>
      </c>
      <c r="H428" t="s">
        <v>28</v>
      </c>
      <c r="I428" t="s">
        <v>28</v>
      </c>
      <c r="J428" t="s">
        <v>28</v>
      </c>
      <c r="K428" t="s">
        <v>124</v>
      </c>
      <c r="O428" s="11" t="s">
        <v>597</v>
      </c>
      <c r="P428" s="132" t="s">
        <v>475</v>
      </c>
      <c r="Q428" s="132" t="s">
        <v>595</v>
      </c>
      <c r="R428" s="140" t="s">
        <v>4448</v>
      </c>
      <c r="S428" s="132"/>
    </row>
    <row r="429" spans="1:19">
      <c r="A429" s="77">
        <v>68</v>
      </c>
      <c r="B429" t="s">
        <v>124</v>
      </c>
      <c r="C429" t="s">
        <v>253</v>
      </c>
      <c r="D429" s="81" t="s">
        <v>4445</v>
      </c>
      <c r="E429" s="97">
        <v>2</v>
      </c>
      <c r="F429" s="97" t="s">
        <v>49</v>
      </c>
      <c r="G429" t="s">
        <v>27</v>
      </c>
      <c r="H429" t="s">
        <v>28</v>
      </c>
      <c r="I429" t="s">
        <v>28</v>
      </c>
      <c r="J429" t="s">
        <v>28</v>
      </c>
      <c r="K429" t="s">
        <v>124</v>
      </c>
      <c r="O429" s="11" t="s">
        <v>598</v>
      </c>
      <c r="P429" s="132" t="s">
        <v>64</v>
      </c>
      <c r="Q429" s="132" t="s">
        <v>599</v>
      </c>
      <c r="R429" s="140" t="s">
        <v>4448</v>
      </c>
      <c r="S429" s="132"/>
    </row>
    <row r="430" spans="1:19">
      <c r="A430" s="77">
        <v>68</v>
      </c>
      <c r="B430" t="s">
        <v>124</v>
      </c>
      <c r="C430" t="s">
        <v>253</v>
      </c>
      <c r="D430" s="81" t="s">
        <v>4445</v>
      </c>
      <c r="E430" s="97">
        <v>2</v>
      </c>
      <c r="F430" s="97" t="s">
        <v>49</v>
      </c>
      <c r="G430" t="s">
        <v>27</v>
      </c>
      <c r="H430" t="s">
        <v>28</v>
      </c>
      <c r="I430" t="s">
        <v>28</v>
      </c>
      <c r="J430" t="s">
        <v>28</v>
      </c>
      <c r="K430" t="s">
        <v>124</v>
      </c>
      <c r="O430" s="11" t="s">
        <v>600</v>
      </c>
      <c r="P430" s="132" t="s">
        <v>53</v>
      </c>
      <c r="Q430" s="132" t="s">
        <v>595</v>
      </c>
      <c r="R430" s="140" t="s">
        <v>4448</v>
      </c>
      <c r="S430" s="132"/>
    </row>
    <row r="431" spans="1:19">
      <c r="A431" s="77">
        <v>69</v>
      </c>
      <c r="B431" t="s">
        <v>124</v>
      </c>
      <c r="C431" t="s">
        <v>253</v>
      </c>
      <c r="D431" s="81" t="s">
        <v>4445</v>
      </c>
      <c r="E431" s="97">
        <v>2</v>
      </c>
      <c r="F431" s="97" t="s">
        <v>49</v>
      </c>
      <c r="G431" t="s">
        <v>28</v>
      </c>
      <c r="H431" t="s">
        <v>28</v>
      </c>
      <c r="I431" t="s">
        <v>28</v>
      </c>
      <c r="J431" t="s">
        <v>28</v>
      </c>
      <c r="K431" t="s">
        <v>124</v>
      </c>
      <c r="O431" s="60" t="s">
        <v>601</v>
      </c>
      <c r="P431" s="1" t="s">
        <v>217</v>
      </c>
      <c r="Q431" s="1" t="s">
        <v>602</v>
      </c>
      <c r="R431" s="140" t="s">
        <v>4448</v>
      </c>
      <c r="S431" s="1"/>
    </row>
    <row r="432" spans="1:19">
      <c r="A432" s="77">
        <v>69</v>
      </c>
      <c r="B432" t="s">
        <v>124</v>
      </c>
      <c r="C432" t="s">
        <v>253</v>
      </c>
      <c r="D432" s="81" t="s">
        <v>4445</v>
      </c>
      <c r="E432" s="97">
        <v>2</v>
      </c>
      <c r="F432" s="97" t="s">
        <v>49</v>
      </c>
      <c r="G432" t="s">
        <v>28</v>
      </c>
      <c r="H432" t="s">
        <v>28</v>
      </c>
      <c r="I432" t="s">
        <v>28</v>
      </c>
      <c r="J432" t="s">
        <v>28</v>
      </c>
      <c r="K432" t="s">
        <v>124</v>
      </c>
      <c r="O432" s="60" t="s">
        <v>603</v>
      </c>
      <c r="P432" s="1" t="s">
        <v>217</v>
      </c>
      <c r="Q432" s="1" t="s">
        <v>602</v>
      </c>
      <c r="R432" s="140" t="s">
        <v>4448</v>
      </c>
      <c r="S432" s="1"/>
    </row>
    <row r="433" spans="1:25">
      <c r="A433" s="77">
        <v>69</v>
      </c>
      <c r="B433" t="s">
        <v>124</v>
      </c>
      <c r="C433" t="s">
        <v>253</v>
      </c>
      <c r="D433" s="81" t="s">
        <v>4445</v>
      </c>
      <c r="E433" s="97">
        <v>2</v>
      </c>
      <c r="F433" s="97" t="s">
        <v>49</v>
      </c>
      <c r="G433" t="s">
        <v>28</v>
      </c>
      <c r="H433" t="s">
        <v>28</v>
      </c>
      <c r="I433" t="s">
        <v>28</v>
      </c>
      <c r="J433" t="s">
        <v>28</v>
      </c>
      <c r="K433" t="s">
        <v>124</v>
      </c>
      <c r="O433" t="s">
        <v>604</v>
      </c>
      <c r="P433" s="1" t="s">
        <v>217</v>
      </c>
      <c r="Q433" s="1" t="s">
        <v>602</v>
      </c>
      <c r="R433" s="140" t="s">
        <v>4448</v>
      </c>
      <c r="S433" s="1"/>
    </row>
    <row r="434" spans="1:25">
      <c r="A434" s="77">
        <v>69</v>
      </c>
      <c r="B434" t="s">
        <v>124</v>
      </c>
      <c r="C434" t="s">
        <v>253</v>
      </c>
      <c r="D434" s="81" t="s">
        <v>4445</v>
      </c>
      <c r="E434" s="97">
        <v>2</v>
      </c>
      <c r="F434" s="97" t="s">
        <v>49</v>
      </c>
      <c r="G434" t="s">
        <v>28</v>
      </c>
      <c r="H434" t="s">
        <v>28</v>
      </c>
      <c r="I434" t="s">
        <v>28</v>
      </c>
      <c r="J434" t="s">
        <v>28</v>
      </c>
      <c r="K434" t="s">
        <v>124</v>
      </c>
      <c r="O434" t="s">
        <v>605</v>
      </c>
      <c r="P434" s="1" t="s">
        <v>217</v>
      </c>
      <c r="Q434" s="1" t="s">
        <v>602</v>
      </c>
      <c r="R434" s="140" t="s">
        <v>4448</v>
      </c>
      <c r="S434" s="1"/>
    </row>
    <row r="435" spans="1:25">
      <c r="A435" s="77">
        <v>69</v>
      </c>
      <c r="B435" t="s">
        <v>124</v>
      </c>
      <c r="C435" t="s">
        <v>253</v>
      </c>
      <c r="D435" s="81" t="s">
        <v>4445</v>
      </c>
      <c r="E435" s="97">
        <v>2</v>
      </c>
      <c r="F435" s="97" t="s">
        <v>49</v>
      </c>
      <c r="G435" t="s">
        <v>28</v>
      </c>
      <c r="H435" t="s">
        <v>28</v>
      </c>
      <c r="I435" t="s">
        <v>28</v>
      </c>
      <c r="J435" t="s">
        <v>28</v>
      </c>
      <c r="K435" t="s">
        <v>124</v>
      </c>
      <c r="O435" s="132" t="s">
        <v>606</v>
      </c>
      <c r="P435" s="1" t="s">
        <v>217</v>
      </c>
      <c r="Q435" s="1" t="s">
        <v>602</v>
      </c>
      <c r="R435" s="140" t="s">
        <v>4448</v>
      </c>
      <c r="S435" s="1"/>
    </row>
    <row r="436" spans="1:25" hidden="1">
      <c r="A436" s="78">
        <v>69</v>
      </c>
      <c r="B436" s="130" t="s">
        <v>124</v>
      </c>
      <c r="C436" s="130" t="s">
        <v>253</v>
      </c>
      <c r="D436" s="81" t="s">
        <v>4445</v>
      </c>
      <c r="E436" s="97">
        <v>2</v>
      </c>
      <c r="F436" s="97" t="s">
        <v>49</v>
      </c>
      <c r="G436" s="130" t="s">
        <v>28</v>
      </c>
      <c r="H436" s="130" t="s">
        <v>28</v>
      </c>
      <c r="I436" s="130" t="s">
        <v>28</v>
      </c>
      <c r="J436" s="130" t="s">
        <v>27</v>
      </c>
      <c r="K436" s="137" t="s">
        <v>607</v>
      </c>
      <c r="L436" s="137" t="s">
        <v>607</v>
      </c>
      <c r="M436" s="137" t="s">
        <v>240</v>
      </c>
      <c r="N436" s="122" t="s">
        <v>31</v>
      </c>
      <c r="O436" s="62" t="s">
        <v>608</v>
      </c>
      <c r="P436" s="63" t="s">
        <v>371</v>
      </c>
      <c r="Q436" s="63"/>
      <c r="R436" s="63"/>
      <c r="S436" s="63"/>
      <c r="T436" s="130"/>
      <c r="U436" s="130"/>
      <c r="V436" s="130"/>
      <c r="W436" s="130"/>
      <c r="X436" s="130"/>
      <c r="Y436" s="130"/>
    </row>
    <row r="437" spans="1:25" hidden="1">
      <c r="A437" s="78">
        <v>69</v>
      </c>
      <c r="B437" s="130" t="s">
        <v>124</v>
      </c>
      <c r="C437" s="130" t="s">
        <v>253</v>
      </c>
      <c r="D437" s="81" t="s">
        <v>4445</v>
      </c>
      <c r="E437" s="97">
        <v>2</v>
      </c>
      <c r="F437" s="97" t="s">
        <v>49</v>
      </c>
      <c r="G437" s="130" t="s">
        <v>28</v>
      </c>
      <c r="H437" s="130" t="s">
        <v>28</v>
      </c>
      <c r="I437" s="130" t="s">
        <v>28</v>
      </c>
      <c r="J437" s="130" t="s">
        <v>27</v>
      </c>
      <c r="K437" s="137" t="s">
        <v>68</v>
      </c>
      <c r="L437" s="137" t="s">
        <v>68</v>
      </c>
      <c r="M437" s="137" t="s">
        <v>240</v>
      </c>
      <c r="N437" s="122" t="s">
        <v>31</v>
      </c>
      <c r="O437" s="62" t="s">
        <v>609</v>
      </c>
      <c r="P437" s="63" t="s">
        <v>371</v>
      </c>
      <c r="Q437" s="63"/>
      <c r="R437" s="63"/>
      <c r="S437" s="63"/>
      <c r="T437" s="130"/>
      <c r="U437" s="130"/>
      <c r="V437" s="130"/>
      <c r="W437" s="130"/>
      <c r="X437" s="130"/>
      <c r="Y437" s="130"/>
    </row>
    <row r="438" spans="1:25" hidden="1">
      <c r="A438" s="78">
        <v>69</v>
      </c>
      <c r="B438" s="130" t="s">
        <v>124</v>
      </c>
      <c r="C438" s="130" t="s">
        <v>253</v>
      </c>
      <c r="D438" s="81" t="s">
        <v>4445</v>
      </c>
      <c r="E438" s="97">
        <v>2</v>
      </c>
      <c r="F438" s="97" t="s">
        <v>49</v>
      </c>
      <c r="G438" s="130" t="s">
        <v>28</v>
      </c>
      <c r="H438" s="130" t="s">
        <v>28</v>
      </c>
      <c r="I438" s="130" t="s">
        <v>28</v>
      </c>
      <c r="J438" s="130" t="s">
        <v>27</v>
      </c>
      <c r="K438" s="137" t="s">
        <v>68</v>
      </c>
      <c r="L438" s="137" t="s">
        <v>68</v>
      </c>
      <c r="M438" s="137" t="s">
        <v>240</v>
      </c>
      <c r="N438" s="122" t="s">
        <v>31</v>
      </c>
      <c r="O438" s="62" t="s">
        <v>610</v>
      </c>
      <c r="P438" s="63" t="s">
        <v>371</v>
      </c>
      <c r="Q438" s="63"/>
      <c r="R438" s="63"/>
      <c r="S438" s="63"/>
      <c r="T438" s="130"/>
      <c r="U438" s="130"/>
      <c r="V438" s="130"/>
      <c r="W438" s="130"/>
      <c r="X438" s="130"/>
      <c r="Y438" s="130"/>
    </row>
    <row r="439" spans="1:25" hidden="1">
      <c r="A439" s="78">
        <v>70</v>
      </c>
      <c r="B439" s="130" t="s">
        <v>124</v>
      </c>
      <c r="C439" s="130" t="s">
        <v>253</v>
      </c>
      <c r="D439" s="81" t="s">
        <v>4444</v>
      </c>
      <c r="E439" s="97">
        <v>2</v>
      </c>
      <c r="F439" s="97" t="s">
        <v>67</v>
      </c>
      <c r="G439" s="130" t="s">
        <v>28</v>
      </c>
      <c r="H439" s="130" t="s">
        <v>28</v>
      </c>
      <c r="I439" s="130" t="s">
        <v>28</v>
      </c>
      <c r="J439" s="130" t="s">
        <v>27</v>
      </c>
      <c r="K439" s="130" t="s">
        <v>611</v>
      </c>
      <c r="L439" s="130" t="s">
        <v>611</v>
      </c>
      <c r="M439" s="137" t="s">
        <v>240</v>
      </c>
      <c r="N439" s="122" t="s">
        <v>31</v>
      </c>
      <c r="O439" s="61" t="s">
        <v>612</v>
      </c>
      <c r="P439" s="63" t="s">
        <v>217</v>
      </c>
      <c r="Q439" s="63"/>
      <c r="R439" s="63"/>
      <c r="S439" s="63"/>
      <c r="T439" s="130"/>
      <c r="U439" s="130"/>
      <c r="V439" s="130"/>
      <c r="W439" s="130"/>
      <c r="X439" s="130"/>
      <c r="Y439" s="130"/>
    </row>
    <row r="440" spans="1:25" hidden="1">
      <c r="A440" s="78">
        <v>97</v>
      </c>
      <c r="B440" s="130" t="s">
        <v>613</v>
      </c>
      <c r="C440" s="130" t="s">
        <v>253</v>
      </c>
      <c r="D440" s="81" t="s">
        <v>4445</v>
      </c>
      <c r="E440" s="97" t="s">
        <v>614</v>
      </c>
      <c r="F440" s="97" t="s">
        <v>615</v>
      </c>
      <c r="G440" s="130" t="s">
        <v>28</v>
      </c>
      <c r="H440" s="130" t="s">
        <v>28</v>
      </c>
      <c r="I440" s="130" t="s">
        <v>27</v>
      </c>
      <c r="J440" s="130" t="s">
        <v>616</v>
      </c>
      <c r="K440" s="130" t="s">
        <v>237</v>
      </c>
      <c r="L440" s="130" t="s">
        <v>237</v>
      </c>
      <c r="M440" s="130" t="s">
        <v>28</v>
      </c>
      <c r="N440" s="130" t="s">
        <v>51</v>
      </c>
      <c r="O440" s="130" t="s">
        <v>617</v>
      </c>
      <c r="P440" s="131" t="s">
        <v>102</v>
      </c>
      <c r="Q440" s="131"/>
      <c r="R440" s="131"/>
      <c r="S440" s="131"/>
      <c r="T440" s="130"/>
      <c r="U440" s="130"/>
      <c r="V440" s="130"/>
      <c r="W440" s="130"/>
      <c r="X440" s="130"/>
      <c r="Y440" s="130"/>
    </row>
    <row r="441" spans="1:25" s="137" customFormat="1" hidden="1">
      <c r="A441" s="78">
        <v>97</v>
      </c>
      <c r="B441" s="130" t="s">
        <v>613</v>
      </c>
      <c r="C441" s="130" t="s">
        <v>253</v>
      </c>
      <c r="D441" s="81" t="s">
        <v>4445</v>
      </c>
      <c r="E441" s="97" t="s">
        <v>614</v>
      </c>
      <c r="F441" s="97" t="s">
        <v>615</v>
      </c>
      <c r="G441" s="130" t="s">
        <v>28</v>
      </c>
      <c r="H441" s="130" t="s">
        <v>28</v>
      </c>
      <c r="I441" s="130" t="s">
        <v>27</v>
      </c>
      <c r="J441" s="130" t="s">
        <v>616</v>
      </c>
      <c r="K441" s="130" t="s">
        <v>237</v>
      </c>
      <c r="L441" s="130" t="s">
        <v>237</v>
      </c>
      <c r="M441" s="130" t="s">
        <v>28</v>
      </c>
      <c r="N441" s="130" t="s">
        <v>51</v>
      </c>
      <c r="O441" s="130" t="s">
        <v>618</v>
      </c>
      <c r="P441" s="131" t="s">
        <v>102</v>
      </c>
      <c r="Q441" s="131"/>
      <c r="R441" s="131"/>
      <c r="S441" s="131"/>
      <c r="T441" s="130"/>
      <c r="U441" s="130"/>
      <c r="V441" s="130"/>
      <c r="W441" s="130"/>
      <c r="X441" s="130"/>
      <c r="Y441" s="130"/>
    </row>
    <row r="442" spans="1:25" s="137" customFormat="1" hidden="1">
      <c r="A442" s="78">
        <v>97</v>
      </c>
      <c r="B442" s="130" t="s">
        <v>613</v>
      </c>
      <c r="C442" s="130" t="s">
        <v>253</v>
      </c>
      <c r="D442" s="81" t="s">
        <v>4445</v>
      </c>
      <c r="E442" s="97" t="s">
        <v>614</v>
      </c>
      <c r="F442" s="97" t="s">
        <v>615</v>
      </c>
      <c r="G442" s="130" t="s">
        <v>28</v>
      </c>
      <c r="H442" s="130" t="s">
        <v>28</v>
      </c>
      <c r="I442" s="130" t="s">
        <v>27</v>
      </c>
      <c r="J442" s="130" t="s">
        <v>616</v>
      </c>
      <c r="K442" s="130" t="s">
        <v>237</v>
      </c>
      <c r="L442" s="130" t="s">
        <v>237</v>
      </c>
      <c r="M442" s="130" t="s">
        <v>28</v>
      </c>
      <c r="N442" s="130" t="s">
        <v>51</v>
      </c>
      <c r="O442" s="130" t="s">
        <v>619</v>
      </c>
      <c r="P442" s="131" t="s">
        <v>102</v>
      </c>
      <c r="Q442" s="131"/>
      <c r="R442" s="131"/>
      <c r="S442" s="131"/>
      <c r="T442" s="130"/>
      <c r="U442" s="130"/>
      <c r="V442" s="130"/>
      <c r="W442" s="130"/>
      <c r="X442" s="130"/>
      <c r="Y442" s="130"/>
    </row>
    <row r="443" spans="1:25" s="137" customFormat="1" hidden="1">
      <c r="A443" s="78">
        <v>97</v>
      </c>
      <c r="B443" s="130" t="s">
        <v>613</v>
      </c>
      <c r="C443" s="130" t="s">
        <v>253</v>
      </c>
      <c r="D443" s="81" t="s">
        <v>4445</v>
      </c>
      <c r="E443" s="97" t="s">
        <v>614</v>
      </c>
      <c r="F443" s="97" t="s">
        <v>615</v>
      </c>
      <c r="G443" s="130" t="s">
        <v>28</v>
      </c>
      <c r="H443" s="130" t="s">
        <v>28</v>
      </c>
      <c r="I443" s="130" t="s">
        <v>27</v>
      </c>
      <c r="J443" s="130" t="s">
        <v>616</v>
      </c>
      <c r="K443" s="130" t="s">
        <v>237</v>
      </c>
      <c r="L443" s="130" t="s">
        <v>237</v>
      </c>
      <c r="M443" s="130" t="s">
        <v>28</v>
      </c>
      <c r="N443" s="130" t="s">
        <v>51</v>
      </c>
      <c r="O443" s="130" t="s">
        <v>620</v>
      </c>
      <c r="P443" s="131" t="s">
        <v>102</v>
      </c>
      <c r="Q443" s="131"/>
      <c r="R443" s="131"/>
      <c r="S443" s="131"/>
      <c r="T443" s="130"/>
      <c r="U443" s="130"/>
      <c r="V443" s="130"/>
      <c r="W443" s="130"/>
      <c r="X443" s="130"/>
      <c r="Y443" s="130"/>
    </row>
    <row r="444" spans="1:25">
      <c r="A444" s="77">
        <v>70</v>
      </c>
      <c r="B444" t="s">
        <v>124</v>
      </c>
      <c r="C444" t="s">
        <v>253</v>
      </c>
      <c r="D444" s="81" t="s">
        <v>4444</v>
      </c>
      <c r="E444" s="97">
        <v>2</v>
      </c>
      <c r="F444" s="97" t="s">
        <v>67</v>
      </c>
      <c r="G444" t="s">
        <v>28</v>
      </c>
      <c r="H444" t="s">
        <v>28</v>
      </c>
      <c r="I444" t="s">
        <v>28</v>
      </c>
      <c r="J444" t="s">
        <v>28</v>
      </c>
      <c r="K444" t="s">
        <v>124</v>
      </c>
      <c r="O444" s="132" t="s">
        <v>621</v>
      </c>
      <c r="P444" s="1" t="s">
        <v>202</v>
      </c>
      <c r="Q444" s="1" t="s">
        <v>622</v>
      </c>
      <c r="R444" s="140" t="s">
        <v>4448</v>
      </c>
      <c r="S444" s="1"/>
    </row>
    <row r="445" spans="1:25">
      <c r="A445" s="77">
        <v>70</v>
      </c>
      <c r="B445" t="s">
        <v>124</v>
      </c>
      <c r="C445" t="s">
        <v>253</v>
      </c>
      <c r="D445" s="81" t="s">
        <v>4444</v>
      </c>
      <c r="E445" s="97">
        <v>2</v>
      </c>
      <c r="F445" s="97" t="s">
        <v>67</v>
      </c>
      <c r="G445" t="s">
        <v>28</v>
      </c>
      <c r="H445" t="s">
        <v>28</v>
      </c>
      <c r="I445" t="s">
        <v>28</v>
      </c>
      <c r="J445" t="s">
        <v>28</v>
      </c>
      <c r="K445" t="s">
        <v>124</v>
      </c>
      <c r="O445" s="132" t="s">
        <v>623</v>
      </c>
      <c r="P445" s="1" t="s">
        <v>202</v>
      </c>
      <c r="Q445" s="1" t="s">
        <v>622</v>
      </c>
      <c r="R445" s="140" t="s">
        <v>4448</v>
      </c>
      <c r="S445" s="1"/>
    </row>
    <row r="446" spans="1:25">
      <c r="A446" s="77">
        <v>70</v>
      </c>
      <c r="B446" t="s">
        <v>124</v>
      </c>
      <c r="C446" t="s">
        <v>253</v>
      </c>
      <c r="D446" s="81" t="s">
        <v>4444</v>
      </c>
      <c r="E446" s="97">
        <v>2</v>
      </c>
      <c r="F446" s="97" t="s">
        <v>67</v>
      </c>
      <c r="G446" t="s">
        <v>28</v>
      </c>
      <c r="H446" t="s">
        <v>28</v>
      </c>
      <c r="I446" t="s">
        <v>28</v>
      </c>
      <c r="J446" t="s">
        <v>28</v>
      </c>
      <c r="K446" t="s">
        <v>124</v>
      </c>
      <c r="O446" s="132" t="s">
        <v>624</v>
      </c>
      <c r="P446" s="1" t="s">
        <v>202</v>
      </c>
      <c r="Q446" s="1" t="s">
        <v>622</v>
      </c>
      <c r="R446" s="140" t="s">
        <v>4448</v>
      </c>
      <c r="S446" s="1"/>
    </row>
    <row r="447" spans="1:25" s="137" customFormat="1">
      <c r="A447" s="77">
        <v>70</v>
      </c>
      <c r="B447" t="s">
        <v>124</v>
      </c>
      <c r="C447" t="s">
        <v>253</v>
      </c>
      <c r="D447" s="81" t="s">
        <v>4444</v>
      </c>
      <c r="E447" s="97">
        <v>2</v>
      </c>
      <c r="F447" s="97" t="s">
        <v>67</v>
      </c>
      <c r="G447" t="s">
        <v>28</v>
      </c>
      <c r="H447" t="s">
        <v>28</v>
      </c>
      <c r="I447" t="s">
        <v>28</v>
      </c>
      <c r="J447" t="s">
        <v>28</v>
      </c>
      <c r="K447" t="s">
        <v>124</v>
      </c>
      <c r="O447" s="132" t="s">
        <v>625</v>
      </c>
      <c r="P447" s="1" t="s">
        <v>202</v>
      </c>
      <c r="Q447" s="1" t="s">
        <v>622</v>
      </c>
      <c r="R447" s="140" t="s">
        <v>4448</v>
      </c>
      <c r="S447" s="1"/>
    </row>
    <row r="448" spans="1:25" s="137" customFormat="1">
      <c r="A448" s="77">
        <v>70</v>
      </c>
      <c r="B448" t="s">
        <v>124</v>
      </c>
      <c r="C448" t="s">
        <v>253</v>
      </c>
      <c r="D448" s="81" t="s">
        <v>4444</v>
      </c>
      <c r="E448" s="97">
        <v>2</v>
      </c>
      <c r="F448" s="97" t="s">
        <v>67</v>
      </c>
      <c r="G448" t="s">
        <v>28</v>
      </c>
      <c r="H448" t="s">
        <v>28</v>
      </c>
      <c r="I448" t="s">
        <v>28</v>
      </c>
      <c r="J448" t="s">
        <v>28</v>
      </c>
      <c r="K448" t="s">
        <v>124</v>
      </c>
      <c r="O448" s="132" t="s">
        <v>626</v>
      </c>
      <c r="P448" s="1" t="s">
        <v>202</v>
      </c>
      <c r="Q448" s="1" t="s">
        <v>622</v>
      </c>
      <c r="R448" s="140" t="s">
        <v>4448</v>
      </c>
      <c r="S448" s="1"/>
    </row>
    <row r="449" spans="1:25" s="137" customFormat="1">
      <c r="A449" s="77">
        <v>70</v>
      </c>
      <c r="B449" t="s">
        <v>124</v>
      </c>
      <c r="C449" t="s">
        <v>253</v>
      </c>
      <c r="D449" s="81" t="s">
        <v>4444</v>
      </c>
      <c r="E449" s="97">
        <v>2</v>
      </c>
      <c r="F449" s="97" t="s">
        <v>67</v>
      </c>
      <c r="G449" t="s">
        <v>28</v>
      </c>
      <c r="H449" t="s">
        <v>28</v>
      </c>
      <c r="I449" t="s">
        <v>28</v>
      </c>
      <c r="J449" t="s">
        <v>28</v>
      </c>
      <c r="K449" t="s">
        <v>124</v>
      </c>
      <c r="O449" t="s">
        <v>627</v>
      </c>
      <c r="P449" t="s">
        <v>86</v>
      </c>
      <c r="Q449" t="s">
        <v>628</v>
      </c>
      <c r="R449" s="140" t="s">
        <v>4448</v>
      </c>
    </row>
    <row r="450" spans="1:25">
      <c r="A450" s="77">
        <v>70</v>
      </c>
      <c r="B450" t="s">
        <v>124</v>
      </c>
      <c r="C450" t="s">
        <v>253</v>
      </c>
      <c r="D450" s="81" t="s">
        <v>4444</v>
      </c>
      <c r="E450" s="97">
        <v>2</v>
      </c>
      <c r="F450" s="97" t="s">
        <v>67</v>
      </c>
      <c r="G450" t="s">
        <v>28</v>
      </c>
      <c r="H450" t="s">
        <v>28</v>
      </c>
      <c r="I450" t="s">
        <v>28</v>
      </c>
      <c r="J450" t="s">
        <v>28</v>
      </c>
      <c r="K450" t="s">
        <v>124</v>
      </c>
      <c r="O450" t="s">
        <v>629</v>
      </c>
      <c r="P450" t="s">
        <v>86</v>
      </c>
      <c r="Q450" t="s">
        <v>628</v>
      </c>
      <c r="R450" s="140" t="s">
        <v>4448</v>
      </c>
    </row>
    <row r="451" spans="1:25">
      <c r="A451" s="77">
        <v>70</v>
      </c>
      <c r="B451" t="s">
        <v>124</v>
      </c>
      <c r="C451" t="s">
        <v>253</v>
      </c>
      <c r="D451" s="81" t="s">
        <v>4444</v>
      </c>
      <c r="E451" s="97">
        <v>2</v>
      </c>
      <c r="F451" s="97" t="s">
        <v>67</v>
      </c>
      <c r="G451" t="s">
        <v>28</v>
      </c>
      <c r="H451" t="s">
        <v>28</v>
      </c>
      <c r="I451" t="s">
        <v>28</v>
      </c>
      <c r="J451" t="s">
        <v>28</v>
      </c>
      <c r="K451" t="s">
        <v>124</v>
      </c>
      <c r="O451" t="s">
        <v>630</v>
      </c>
      <c r="P451" t="s">
        <v>86</v>
      </c>
      <c r="Q451" t="s">
        <v>628</v>
      </c>
      <c r="R451" s="140" t="s">
        <v>4448</v>
      </c>
    </row>
    <row r="452" spans="1:25">
      <c r="A452" s="77">
        <v>70</v>
      </c>
      <c r="B452" t="s">
        <v>124</v>
      </c>
      <c r="C452" t="s">
        <v>253</v>
      </c>
      <c r="D452" s="81" t="s">
        <v>4444</v>
      </c>
      <c r="E452" s="97">
        <v>2</v>
      </c>
      <c r="F452" s="97" t="s">
        <v>67</v>
      </c>
      <c r="G452" t="s">
        <v>28</v>
      </c>
      <c r="H452" t="s">
        <v>28</v>
      </c>
      <c r="I452" t="s">
        <v>28</v>
      </c>
      <c r="J452" t="s">
        <v>28</v>
      </c>
      <c r="K452" t="s">
        <v>124</v>
      </c>
      <c r="O452" t="s">
        <v>631</v>
      </c>
      <c r="P452" t="s">
        <v>86</v>
      </c>
      <c r="Q452" t="s">
        <v>628</v>
      </c>
      <c r="R452" s="140" t="s">
        <v>4448</v>
      </c>
    </row>
    <row r="453" spans="1:25">
      <c r="A453" s="77">
        <v>70</v>
      </c>
      <c r="B453" t="s">
        <v>124</v>
      </c>
      <c r="C453" t="s">
        <v>253</v>
      </c>
      <c r="D453" s="81" t="s">
        <v>4444</v>
      </c>
      <c r="E453" s="97">
        <v>2</v>
      </c>
      <c r="F453" s="97" t="s">
        <v>67</v>
      </c>
      <c r="G453" t="s">
        <v>28</v>
      </c>
      <c r="H453" t="s">
        <v>28</v>
      </c>
      <c r="I453" t="s">
        <v>28</v>
      </c>
      <c r="J453" t="s">
        <v>28</v>
      </c>
      <c r="K453" t="s">
        <v>124</v>
      </c>
      <c r="O453" t="s">
        <v>632</v>
      </c>
      <c r="P453" t="s">
        <v>86</v>
      </c>
      <c r="Q453" t="s">
        <v>628</v>
      </c>
      <c r="R453" s="140" t="s">
        <v>4448</v>
      </c>
    </row>
    <row r="454" spans="1:25">
      <c r="A454" s="77">
        <v>70</v>
      </c>
      <c r="B454" t="s">
        <v>124</v>
      </c>
      <c r="C454" t="s">
        <v>253</v>
      </c>
      <c r="D454" s="81" t="s">
        <v>4444</v>
      </c>
      <c r="E454" s="97">
        <v>2</v>
      </c>
      <c r="F454" s="97" t="s">
        <v>67</v>
      </c>
      <c r="G454" t="s">
        <v>28</v>
      </c>
      <c r="H454" t="s">
        <v>28</v>
      </c>
      <c r="I454" t="s">
        <v>28</v>
      </c>
      <c r="J454" t="s">
        <v>28</v>
      </c>
      <c r="K454" t="s">
        <v>124</v>
      </c>
      <c r="O454" t="s">
        <v>633</v>
      </c>
      <c r="P454" t="s">
        <v>271</v>
      </c>
      <c r="Q454" t="s">
        <v>622</v>
      </c>
      <c r="R454" s="140" t="s">
        <v>4448</v>
      </c>
      <c r="T454" t="s">
        <v>29</v>
      </c>
      <c r="U454">
        <v>1</v>
      </c>
      <c r="X454">
        <v>0</v>
      </c>
      <c r="Y454">
        <v>0</v>
      </c>
    </row>
    <row r="455" spans="1:25">
      <c r="A455" s="77">
        <v>70</v>
      </c>
      <c r="B455" t="s">
        <v>124</v>
      </c>
      <c r="C455" t="s">
        <v>253</v>
      </c>
      <c r="D455" s="81" t="s">
        <v>4444</v>
      </c>
      <c r="E455" s="97">
        <v>2</v>
      </c>
      <c r="F455" s="97" t="s">
        <v>67</v>
      </c>
      <c r="G455" t="s">
        <v>28</v>
      </c>
      <c r="H455" t="s">
        <v>28</v>
      </c>
      <c r="I455" t="s">
        <v>28</v>
      </c>
      <c r="J455" t="s">
        <v>28</v>
      </c>
      <c r="K455" t="s">
        <v>124</v>
      </c>
      <c r="O455" s="60" t="s">
        <v>634</v>
      </c>
      <c r="P455" t="s">
        <v>271</v>
      </c>
      <c r="Q455" t="s">
        <v>622</v>
      </c>
      <c r="R455" s="140" t="s">
        <v>4448</v>
      </c>
      <c r="T455" t="s">
        <v>29</v>
      </c>
      <c r="U455">
        <v>1</v>
      </c>
      <c r="X455">
        <v>0</v>
      </c>
      <c r="Y455">
        <v>0</v>
      </c>
    </row>
    <row r="456" spans="1:25">
      <c r="A456" s="77">
        <v>70</v>
      </c>
      <c r="B456" t="s">
        <v>124</v>
      </c>
      <c r="C456" t="s">
        <v>253</v>
      </c>
      <c r="D456" s="81" t="s">
        <v>4444</v>
      </c>
      <c r="E456" s="97">
        <v>2</v>
      </c>
      <c r="F456" s="97" t="s">
        <v>67</v>
      </c>
      <c r="G456" t="s">
        <v>28</v>
      </c>
      <c r="H456" t="s">
        <v>28</v>
      </c>
      <c r="I456" t="s">
        <v>28</v>
      </c>
      <c r="J456" t="s">
        <v>28</v>
      </c>
      <c r="K456" t="s">
        <v>124</v>
      </c>
      <c r="O456" s="60" t="s">
        <v>635</v>
      </c>
      <c r="P456" t="s">
        <v>271</v>
      </c>
      <c r="Q456" t="s">
        <v>622</v>
      </c>
      <c r="R456" s="140" t="s">
        <v>4448</v>
      </c>
      <c r="T456" t="s">
        <v>29</v>
      </c>
      <c r="U456">
        <v>1</v>
      </c>
      <c r="X456">
        <v>0</v>
      </c>
      <c r="Y456">
        <v>0</v>
      </c>
    </row>
    <row r="457" spans="1:25" hidden="1">
      <c r="A457" s="77">
        <v>134</v>
      </c>
      <c r="B457" t="s">
        <v>234</v>
      </c>
      <c r="D457" s="81">
        <v>0</v>
      </c>
      <c r="E457" s="97">
        <v>2</v>
      </c>
      <c r="F457" s="97" t="s">
        <v>636</v>
      </c>
      <c r="G457" t="s">
        <v>27</v>
      </c>
      <c r="H457" t="s">
        <v>28</v>
      </c>
      <c r="I457" t="s">
        <v>28</v>
      </c>
      <c r="J457" s="137" t="s">
        <v>27</v>
      </c>
      <c r="K457" s="130" t="s">
        <v>237</v>
      </c>
      <c r="L457" s="130" t="s">
        <v>237</v>
      </c>
      <c r="M457" s="130" t="s">
        <v>28</v>
      </c>
      <c r="N457" s="130" t="s">
        <v>51</v>
      </c>
      <c r="O457" s="60" t="s">
        <v>637</v>
      </c>
      <c r="P457" t="s">
        <v>475</v>
      </c>
    </row>
    <row r="458" spans="1:25" hidden="1">
      <c r="A458" s="77">
        <v>134</v>
      </c>
      <c r="B458" t="s">
        <v>234</v>
      </c>
      <c r="D458" s="81">
        <v>0</v>
      </c>
      <c r="E458" s="97">
        <v>2</v>
      </c>
      <c r="F458" s="97" t="s">
        <v>636</v>
      </c>
      <c r="G458" t="s">
        <v>27</v>
      </c>
      <c r="H458" t="s">
        <v>28</v>
      </c>
      <c r="I458" t="s">
        <v>28</v>
      </c>
      <c r="J458" s="137" t="s">
        <v>27</v>
      </c>
      <c r="K458" s="130" t="s">
        <v>237</v>
      </c>
      <c r="L458" s="130" t="s">
        <v>237</v>
      </c>
      <c r="M458" s="130" t="s">
        <v>28</v>
      </c>
      <c r="N458" s="130" t="s">
        <v>51</v>
      </c>
      <c r="O458" t="s">
        <v>638</v>
      </c>
      <c r="P458" t="s">
        <v>475</v>
      </c>
    </row>
    <row r="459" spans="1:25" hidden="1">
      <c r="A459" s="77">
        <v>134</v>
      </c>
      <c r="B459" t="s">
        <v>234</v>
      </c>
      <c r="D459" s="81">
        <v>0</v>
      </c>
      <c r="E459" s="97">
        <v>2</v>
      </c>
      <c r="F459" s="97" t="s">
        <v>636</v>
      </c>
      <c r="G459" t="s">
        <v>27</v>
      </c>
      <c r="H459" t="s">
        <v>28</v>
      </c>
      <c r="I459" t="s">
        <v>28</v>
      </c>
      <c r="J459" s="137" t="s">
        <v>27</v>
      </c>
      <c r="K459" s="130" t="s">
        <v>237</v>
      </c>
      <c r="L459" s="130" t="s">
        <v>237</v>
      </c>
      <c r="M459" s="130" t="s">
        <v>28</v>
      </c>
      <c r="N459" s="130" t="s">
        <v>51</v>
      </c>
      <c r="O459" t="s">
        <v>639</v>
      </c>
      <c r="P459" t="s">
        <v>475</v>
      </c>
    </row>
    <row r="460" spans="1:25">
      <c r="A460" s="38">
        <v>71</v>
      </c>
      <c r="B460" t="s">
        <v>124</v>
      </c>
      <c r="C460" t="s">
        <v>253</v>
      </c>
      <c r="D460" s="81" t="s">
        <v>4444</v>
      </c>
      <c r="E460" s="97">
        <v>3</v>
      </c>
      <c r="F460" s="97" t="s">
        <v>74</v>
      </c>
      <c r="G460" t="s">
        <v>27</v>
      </c>
      <c r="H460" t="s">
        <v>27</v>
      </c>
      <c r="I460" t="s">
        <v>27</v>
      </c>
      <c r="J460" t="s">
        <v>28</v>
      </c>
      <c r="K460" t="s">
        <v>124</v>
      </c>
      <c r="M460" s="81" t="s">
        <v>240</v>
      </c>
      <c r="N460" s="81" t="s">
        <v>62</v>
      </c>
      <c r="O460" t="s">
        <v>640</v>
      </c>
      <c r="P460" s="134" t="s">
        <v>475</v>
      </c>
      <c r="Q460" s="134" t="s">
        <v>641</v>
      </c>
      <c r="R460" s="140" t="s">
        <v>4448</v>
      </c>
      <c r="S460" s="134"/>
    </row>
    <row r="461" spans="1:25">
      <c r="A461" s="38">
        <v>71</v>
      </c>
      <c r="B461" t="s">
        <v>124</v>
      </c>
      <c r="C461" t="s">
        <v>253</v>
      </c>
      <c r="D461" s="81" t="s">
        <v>4444</v>
      </c>
      <c r="E461" s="97">
        <v>3</v>
      </c>
      <c r="F461" s="97" t="s">
        <v>74</v>
      </c>
      <c r="G461" t="s">
        <v>27</v>
      </c>
      <c r="H461" t="s">
        <v>27</v>
      </c>
      <c r="I461" t="s">
        <v>27</v>
      </c>
      <c r="J461" t="s">
        <v>28</v>
      </c>
      <c r="K461" t="s">
        <v>124</v>
      </c>
      <c r="M461" s="81" t="s">
        <v>240</v>
      </c>
      <c r="N461" s="81" t="s">
        <v>62</v>
      </c>
      <c r="O461" s="60" t="s">
        <v>642</v>
      </c>
      <c r="P461" s="129" t="s">
        <v>475</v>
      </c>
      <c r="Q461" s="129" t="s">
        <v>641</v>
      </c>
      <c r="R461" s="140" t="s">
        <v>4448</v>
      </c>
      <c r="S461" s="129"/>
    </row>
    <row r="462" spans="1:25">
      <c r="A462" s="38">
        <v>71</v>
      </c>
      <c r="B462" t="s">
        <v>124</v>
      </c>
      <c r="C462" t="s">
        <v>253</v>
      </c>
      <c r="D462" s="81" t="s">
        <v>4444</v>
      </c>
      <c r="E462" s="97">
        <v>3</v>
      </c>
      <c r="F462" s="97" t="s">
        <v>74</v>
      </c>
      <c r="G462" t="s">
        <v>27</v>
      </c>
      <c r="H462" t="s">
        <v>27</v>
      </c>
      <c r="I462" t="s">
        <v>27</v>
      </c>
      <c r="J462" t="s">
        <v>28</v>
      </c>
      <c r="K462" t="s">
        <v>124</v>
      </c>
      <c r="M462" s="81" t="s">
        <v>240</v>
      </c>
      <c r="N462" s="81" t="s">
        <v>62</v>
      </c>
      <c r="O462" s="60" t="s">
        <v>643</v>
      </c>
      <c r="P462" s="129" t="s">
        <v>475</v>
      </c>
      <c r="Q462" s="129" t="s">
        <v>641</v>
      </c>
      <c r="R462" s="140" t="s">
        <v>4448</v>
      </c>
      <c r="S462" s="129"/>
    </row>
    <row r="463" spans="1:25" hidden="1">
      <c r="A463" s="78">
        <v>70</v>
      </c>
      <c r="B463" s="130" t="s">
        <v>124</v>
      </c>
      <c r="C463" s="130" t="s">
        <v>253</v>
      </c>
      <c r="D463" s="81" t="s">
        <v>4444</v>
      </c>
      <c r="E463" s="97">
        <v>2</v>
      </c>
      <c r="F463" s="97" t="s">
        <v>67</v>
      </c>
      <c r="G463" s="130" t="s">
        <v>28</v>
      </c>
      <c r="H463" s="130" t="s">
        <v>28</v>
      </c>
      <c r="I463" s="130" t="s">
        <v>28</v>
      </c>
      <c r="J463" s="130" t="s">
        <v>27</v>
      </c>
      <c r="K463" s="130" t="s">
        <v>644</v>
      </c>
      <c r="L463" s="130" t="s">
        <v>644</v>
      </c>
      <c r="M463" s="130" t="s">
        <v>28</v>
      </c>
      <c r="N463" s="130" t="s">
        <v>51</v>
      </c>
      <c r="O463" s="130" t="s">
        <v>645</v>
      </c>
      <c r="P463" s="63" t="s">
        <v>217</v>
      </c>
      <c r="Q463" s="63"/>
      <c r="R463" s="63"/>
      <c r="S463" s="63"/>
      <c r="T463" s="130"/>
      <c r="U463" s="130"/>
      <c r="V463" s="130"/>
      <c r="W463" s="130"/>
      <c r="X463" s="130"/>
      <c r="Y463" s="130"/>
    </row>
    <row r="464" spans="1:25" hidden="1">
      <c r="A464" s="78">
        <v>70</v>
      </c>
      <c r="B464" s="130" t="s">
        <v>124</v>
      </c>
      <c r="C464" s="130" t="s">
        <v>253</v>
      </c>
      <c r="D464" s="81" t="s">
        <v>4444</v>
      </c>
      <c r="E464" s="97">
        <v>2</v>
      </c>
      <c r="F464" s="97" t="s">
        <v>67</v>
      </c>
      <c r="G464" s="130" t="s">
        <v>28</v>
      </c>
      <c r="H464" s="130" t="s">
        <v>28</v>
      </c>
      <c r="I464" s="130" t="s">
        <v>28</v>
      </c>
      <c r="J464" s="130" t="s">
        <v>27</v>
      </c>
      <c r="K464" s="130" t="s">
        <v>644</v>
      </c>
      <c r="L464" s="130" t="s">
        <v>644</v>
      </c>
      <c r="M464" s="130" t="s">
        <v>28</v>
      </c>
      <c r="N464" s="130" t="s">
        <v>51</v>
      </c>
      <c r="O464" s="130" t="s">
        <v>646</v>
      </c>
      <c r="P464" s="63" t="s">
        <v>217</v>
      </c>
      <c r="Q464" s="63"/>
      <c r="R464" s="63"/>
      <c r="S464" s="63"/>
      <c r="T464" s="130"/>
      <c r="U464" s="130"/>
      <c r="V464" s="130"/>
      <c r="W464" s="130"/>
      <c r="X464" s="130"/>
      <c r="Y464" s="130"/>
    </row>
    <row r="465" spans="1:25" hidden="1">
      <c r="A465" s="78">
        <v>70</v>
      </c>
      <c r="B465" s="130" t="s">
        <v>124</v>
      </c>
      <c r="C465" s="130" t="s">
        <v>253</v>
      </c>
      <c r="D465" s="81" t="s">
        <v>4444</v>
      </c>
      <c r="E465" s="97">
        <v>2</v>
      </c>
      <c r="F465" s="97" t="s">
        <v>67</v>
      </c>
      <c r="G465" s="130" t="s">
        <v>28</v>
      </c>
      <c r="H465" s="130" t="s">
        <v>28</v>
      </c>
      <c r="I465" s="130" t="s">
        <v>28</v>
      </c>
      <c r="J465" s="130" t="s">
        <v>27</v>
      </c>
      <c r="K465" s="130" t="s">
        <v>611</v>
      </c>
      <c r="L465" s="130" t="s">
        <v>611</v>
      </c>
      <c r="M465" s="130" t="s">
        <v>28</v>
      </c>
      <c r="N465" s="130" t="s">
        <v>51</v>
      </c>
      <c r="O465" s="130" t="s">
        <v>647</v>
      </c>
      <c r="P465" s="63" t="s">
        <v>217</v>
      </c>
      <c r="Q465" s="63"/>
      <c r="R465" s="63"/>
      <c r="S465" s="63"/>
      <c r="T465" s="130"/>
      <c r="U465" s="130"/>
      <c r="V465" s="130"/>
      <c r="W465" s="130"/>
      <c r="X465" s="130"/>
      <c r="Y465" s="130"/>
    </row>
    <row r="466" spans="1:25">
      <c r="A466" s="38">
        <v>72</v>
      </c>
      <c r="B466" t="s">
        <v>124</v>
      </c>
      <c r="C466" t="s">
        <v>253</v>
      </c>
      <c r="D466" s="81" t="s">
        <v>4444</v>
      </c>
      <c r="E466" s="97">
        <v>3</v>
      </c>
      <c r="F466" s="97" t="s">
        <v>74</v>
      </c>
      <c r="G466" t="s">
        <v>27</v>
      </c>
      <c r="H466" t="s">
        <v>27</v>
      </c>
      <c r="I466" t="s">
        <v>27</v>
      </c>
      <c r="J466" t="s">
        <v>28</v>
      </c>
      <c r="K466" t="s">
        <v>124</v>
      </c>
      <c r="M466" s="81" t="s">
        <v>240</v>
      </c>
      <c r="N466" s="81" t="s">
        <v>62</v>
      </c>
      <c r="O466" t="s">
        <v>648</v>
      </c>
      <c r="P466" s="129" t="s">
        <v>475</v>
      </c>
      <c r="Q466" s="129" t="s">
        <v>641</v>
      </c>
      <c r="R466" s="140" t="s">
        <v>4448</v>
      </c>
      <c r="S466" s="129"/>
    </row>
    <row r="467" spans="1:25">
      <c r="A467" s="38">
        <v>72</v>
      </c>
      <c r="B467" t="s">
        <v>124</v>
      </c>
      <c r="C467" t="s">
        <v>253</v>
      </c>
      <c r="D467" s="81" t="s">
        <v>4444</v>
      </c>
      <c r="E467" s="97">
        <v>3</v>
      </c>
      <c r="F467" s="97" t="s">
        <v>74</v>
      </c>
      <c r="G467" t="s">
        <v>27</v>
      </c>
      <c r="H467" t="s">
        <v>27</v>
      </c>
      <c r="I467" t="s">
        <v>27</v>
      </c>
      <c r="J467" t="s">
        <v>28</v>
      </c>
      <c r="K467" t="s">
        <v>124</v>
      </c>
      <c r="M467" s="81" t="s">
        <v>240</v>
      </c>
      <c r="N467" s="81" t="s">
        <v>62</v>
      </c>
      <c r="O467" t="s">
        <v>649</v>
      </c>
      <c r="P467" s="129" t="s">
        <v>475</v>
      </c>
      <c r="Q467" s="129" t="s">
        <v>641</v>
      </c>
      <c r="R467" s="140" t="s">
        <v>4448</v>
      </c>
      <c r="S467" s="129"/>
    </row>
    <row r="468" spans="1:25">
      <c r="A468" s="38">
        <v>72</v>
      </c>
      <c r="B468" t="s">
        <v>124</v>
      </c>
      <c r="C468" t="s">
        <v>253</v>
      </c>
      <c r="D468" s="81" t="s">
        <v>4444</v>
      </c>
      <c r="E468" s="97">
        <v>3</v>
      </c>
      <c r="F468" s="97" t="s">
        <v>74</v>
      </c>
      <c r="G468" t="s">
        <v>27</v>
      </c>
      <c r="H468" t="s">
        <v>27</v>
      </c>
      <c r="I468" t="s">
        <v>27</v>
      </c>
      <c r="J468" t="s">
        <v>28</v>
      </c>
      <c r="K468" t="s">
        <v>124</v>
      </c>
      <c r="M468" s="81" t="s">
        <v>240</v>
      </c>
      <c r="N468" s="81" t="s">
        <v>62</v>
      </c>
      <c r="O468" t="s">
        <v>650</v>
      </c>
      <c r="P468" s="129" t="s">
        <v>475</v>
      </c>
      <c r="Q468" s="129" t="s">
        <v>641</v>
      </c>
      <c r="R468" s="140" t="s">
        <v>4448</v>
      </c>
      <c r="S468" s="129"/>
    </row>
    <row r="469" spans="1:25">
      <c r="A469" s="77">
        <v>73</v>
      </c>
      <c r="B469" t="s">
        <v>124</v>
      </c>
      <c r="C469" t="s">
        <v>253</v>
      </c>
      <c r="D469" s="81" t="s">
        <v>4445</v>
      </c>
      <c r="E469" s="97">
        <v>3</v>
      </c>
      <c r="F469" s="97" t="s">
        <v>74</v>
      </c>
      <c r="G469" t="s">
        <v>28</v>
      </c>
      <c r="H469" t="s">
        <v>28</v>
      </c>
      <c r="I469" t="s">
        <v>27</v>
      </c>
      <c r="J469" t="s">
        <v>28</v>
      </c>
      <c r="K469" t="s">
        <v>124</v>
      </c>
      <c r="M469" s="81" t="s">
        <v>28</v>
      </c>
      <c r="N469" s="85" t="s">
        <v>39</v>
      </c>
      <c r="O469" t="s">
        <v>651</v>
      </c>
      <c r="P469" s="132" t="s">
        <v>217</v>
      </c>
      <c r="Q469" s="132" t="s">
        <v>652</v>
      </c>
      <c r="R469" s="140" t="s">
        <v>4448</v>
      </c>
      <c r="S469" s="132"/>
    </row>
    <row r="470" spans="1:25">
      <c r="A470" s="77">
        <v>73</v>
      </c>
      <c r="B470" t="s">
        <v>124</v>
      </c>
      <c r="C470" t="s">
        <v>253</v>
      </c>
      <c r="D470" s="81" t="s">
        <v>4445</v>
      </c>
      <c r="E470" s="97">
        <v>3</v>
      </c>
      <c r="F470" s="97" t="s">
        <v>74</v>
      </c>
      <c r="G470" t="s">
        <v>28</v>
      </c>
      <c r="H470" t="s">
        <v>28</v>
      </c>
      <c r="I470" t="s">
        <v>27</v>
      </c>
      <c r="J470" t="s">
        <v>28</v>
      </c>
      <c r="K470" t="s">
        <v>124</v>
      </c>
      <c r="M470" s="81" t="s">
        <v>28</v>
      </c>
      <c r="N470" s="85" t="s">
        <v>39</v>
      </c>
      <c r="O470" t="s">
        <v>653</v>
      </c>
      <c r="P470" s="132" t="s">
        <v>217</v>
      </c>
      <c r="Q470" s="132" t="s">
        <v>652</v>
      </c>
      <c r="R470" s="140" t="s">
        <v>4448</v>
      </c>
      <c r="S470" s="132"/>
    </row>
    <row r="471" spans="1:25">
      <c r="A471" s="77">
        <v>73</v>
      </c>
      <c r="B471" t="s">
        <v>124</v>
      </c>
      <c r="C471" t="s">
        <v>253</v>
      </c>
      <c r="D471" s="81" t="s">
        <v>4445</v>
      </c>
      <c r="E471" s="97">
        <v>3</v>
      </c>
      <c r="F471" s="97" t="s">
        <v>74</v>
      </c>
      <c r="G471" t="s">
        <v>28</v>
      </c>
      <c r="H471" t="s">
        <v>28</v>
      </c>
      <c r="I471" t="s">
        <v>27</v>
      </c>
      <c r="J471" t="s">
        <v>28</v>
      </c>
      <c r="K471" t="s">
        <v>124</v>
      </c>
      <c r="M471" s="81" t="s">
        <v>28</v>
      </c>
      <c r="N471" s="85" t="s">
        <v>39</v>
      </c>
      <c r="O471" t="s">
        <v>654</v>
      </c>
      <c r="P471" s="132" t="s">
        <v>217</v>
      </c>
      <c r="Q471" s="132" t="s">
        <v>652</v>
      </c>
      <c r="R471" s="140" t="s">
        <v>4448</v>
      </c>
      <c r="S471" s="132"/>
    </row>
    <row r="472" spans="1:25">
      <c r="A472" s="77">
        <v>73</v>
      </c>
      <c r="B472" t="s">
        <v>124</v>
      </c>
      <c r="C472" t="s">
        <v>253</v>
      </c>
      <c r="D472" s="81" t="s">
        <v>4445</v>
      </c>
      <c r="E472" s="97">
        <v>3</v>
      </c>
      <c r="F472" s="97" t="s">
        <v>74</v>
      </c>
      <c r="G472" t="s">
        <v>28</v>
      </c>
      <c r="H472" t="s">
        <v>28</v>
      </c>
      <c r="I472" t="s">
        <v>27</v>
      </c>
      <c r="J472" t="s">
        <v>28</v>
      </c>
      <c r="K472" t="s">
        <v>124</v>
      </c>
      <c r="M472" s="81" t="s">
        <v>28</v>
      </c>
      <c r="N472" s="85" t="s">
        <v>39</v>
      </c>
      <c r="O472" t="s">
        <v>655</v>
      </c>
      <c r="P472" s="132" t="s">
        <v>217</v>
      </c>
      <c r="Q472" s="132" t="s">
        <v>652</v>
      </c>
      <c r="R472" s="140" t="s">
        <v>4448</v>
      </c>
      <c r="S472" s="132"/>
    </row>
    <row r="473" spans="1:25">
      <c r="A473" s="77">
        <v>73</v>
      </c>
      <c r="B473" t="s">
        <v>124</v>
      </c>
      <c r="C473" t="s">
        <v>253</v>
      </c>
      <c r="D473" s="81" t="s">
        <v>4445</v>
      </c>
      <c r="E473" s="97">
        <v>3</v>
      </c>
      <c r="F473" s="97" t="s">
        <v>74</v>
      </c>
      <c r="G473" t="s">
        <v>28</v>
      </c>
      <c r="H473" t="s">
        <v>28</v>
      </c>
      <c r="I473" t="s">
        <v>27</v>
      </c>
      <c r="J473" t="s">
        <v>28</v>
      </c>
      <c r="K473" t="s">
        <v>124</v>
      </c>
      <c r="M473" s="81" t="s">
        <v>28</v>
      </c>
      <c r="N473" s="85" t="s">
        <v>39</v>
      </c>
      <c r="O473" t="s">
        <v>656</v>
      </c>
      <c r="P473" s="132" t="s">
        <v>217</v>
      </c>
      <c r="Q473" s="132" t="s">
        <v>652</v>
      </c>
      <c r="R473" s="140" t="s">
        <v>4448</v>
      </c>
      <c r="S473" s="132"/>
    </row>
    <row r="474" spans="1:25">
      <c r="A474" s="38">
        <v>74</v>
      </c>
      <c r="B474" t="s">
        <v>124</v>
      </c>
      <c r="C474" t="s">
        <v>253</v>
      </c>
      <c r="D474" s="81" t="s">
        <v>4444</v>
      </c>
      <c r="E474" s="97">
        <v>3</v>
      </c>
      <c r="F474" s="97" t="s">
        <v>180</v>
      </c>
      <c r="G474" t="s">
        <v>27</v>
      </c>
      <c r="H474" t="s">
        <v>27</v>
      </c>
      <c r="I474" t="s">
        <v>27</v>
      </c>
      <c r="J474" t="s">
        <v>28</v>
      </c>
      <c r="K474" t="s">
        <v>124</v>
      </c>
      <c r="O474" t="s">
        <v>657</v>
      </c>
      <c r="P474" s="129" t="s">
        <v>475</v>
      </c>
      <c r="Q474" s="129"/>
      <c r="R474" s="140" t="s">
        <v>4448</v>
      </c>
      <c r="S474" s="129"/>
    </row>
    <row r="475" spans="1:25">
      <c r="A475" s="38">
        <v>74</v>
      </c>
      <c r="B475" t="s">
        <v>124</v>
      </c>
      <c r="C475" t="s">
        <v>253</v>
      </c>
      <c r="D475" s="81" t="s">
        <v>4444</v>
      </c>
      <c r="E475" s="97">
        <v>3</v>
      </c>
      <c r="F475" s="97" t="s">
        <v>180</v>
      </c>
      <c r="G475" t="s">
        <v>27</v>
      </c>
      <c r="H475" t="s">
        <v>27</v>
      </c>
      <c r="I475" t="s">
        <v>27</v>
      </c>
      <c r="J475" t="s">
        <v>28</v>
      </c>
      <c r="K475" t="s">
        <v>124</v>
      </c>
      <c r="O475" t="s">
        <v>658</v>
      </c>
      <c r="P475" s="129" t="s">
        <v>475</v>
      </c>
      <c r="Q475" s="129"/>
      <c r="R475" s="140" t="s">
        <v>4448</v>
      </c>
      <c r="S475" s="129"/>
    </row>
    <row r="476" spans="1:25">
      <c r="A476" s="38">
        <v>74</v>
      </c>
      <c r="B476" t="s">
        <v>124</v>
      </c>
      <c r="C476" t="s">
        <v>253</v>
      </c>
      <c r="D476" s="81" t="s">
        <v>4444</v>
      </c>
      <c r="E476" s="97">
        <v>3</v>
      </c>
      <c r="F476" s="97" t="s">
        <v>180</v>
      </c>
      <c r="G476" t="s">
        <v>27</v>
      </c>
      <c r="H476" t="s">
        <v>27</v>
      </c>
      <c r="I476" t="s">
        <v>27</v>
      </c>
      <c r="J476" t="s">
        <v>28</v>
      </c>
      <c r="K476" t="s">
        <v>124</v>
      </c>
      <c r="O476" t="s">
        <v>659</v>
      </c>
      <c r="P476" s="129" t="s">
        <v>475</v>
      </c>
      <c r="Q476" s="129"/>
      <c r="R476" s="140" t="s">
        <v>4448</v>
      </c>
      <c r="S476" s="129"/>
    </row>
    <row r="477" spans="1:25" s="130" customFormat="1" hidden="1">
      <c r="A477" s="78">
        <v>84</v>
      </c>
      <c r="B477" s="130" t="s">
        <v>613</v>
      </c>
      <c r="C477" s="130" t="s">
        <v>66</v>
      </c>
      <c r="D477" s="81" t="s">
        <v>4445</v>
      </c>
      <c r="E477" s="98" t="s">
        <v>614</v>
      </c>
      <c r="F477" s="98" t="s">
        <v>660</v>
      </c>
      <c r="G477" s="130" t="s">
        <v>28</v>
      </c>
      <c r="H477" s="130" t="s">
        <v>28</v>
      </c>
      <c r="I477" s="130" t="s">
        <v>27</v>
      </c>
      <c r="J477" s="130" t="s">
        <v>27</v>
      </c>
      <c r="K477" s="130" t="s">
        <v>113</v>
      </c>
      <c r="L477" s="130" t="s">
        <v>157</v>
      </c>
      <c r="M477" s="130" t="s">
        <v>28</v>
      </c>
      <c r="N477" s="130" t="s">
        <v>158</v>
      </c>
      <c r="O477" s="130" t="s">
        <v>661</v>
      </c>
      <c r="P477" s="131" t="s">
        <v>662</v>
      </c>
      <c r="Q477" s="131"/>
      <c r="R477" s="131"/>
      <c r="S477" s="131"/>
    </row>
    <row r="478" spans="1:25">
      <c r="A478" s="77">
        <v>84</v>
      </c>
      <c r="B478" t="s">
        <v>613</v>
      </c>
      <c r="C478" t="s">
        <v>66</v>
      </c>
      <c r="D478" s="81" t="s">
        <v>4445</v>
      </c>
      <c r="E478" s="97" t="s">
        <v>614</v>
      </c>
      <c r="F478" s="97" t="s">
        <v>660</v>
      </c>
      <c r="G478" t="s">
        <v>28</v>
      </c>
      <c r="H478" t="s">
        <v>28</v>
      </c>
      <c r="I478" t="s">
        <v>27</v>
      </c>
      <c r="J478" t="s">
        <v>28</v>
      </c>
      <c r="K478" t="s">
        <v>113</v>
      </c>
      <c r="M478" s="85" t="s">
        <v>28</v>
      </c>
      <c r="N478" s="85" t="s">
        <v>39</v>
      </c>
      <c r="O478" t="s">
        <v>663</v>
      </c>
      <c r="P478" s="129" t="s">
        <v>662</v>
      </c>
      <c r="Q478" s="129" t="s">
        <v>664</v>
      </c>
      <c r="R478" s="140" t="s">
        <v>4451</v>
      </c>
      <c r="S478" s="129"/>
    </row>
    <row r="479" spans="1:25">
      <c r="A479" s="77">
        <v>84</v>
      </c>
      <c r="B479" t="s">
        <v>613</v>
      </c>
      <c r="C479" t="s">
        <v>66</v>
      </c>
      <c r="D479" s="81" t="s">
        <v>4445</v>
      </c>
      <c r="E479" s="97" t="s">
        <v>614</v>
      </c>
      <c r="F479" s="97" t="s">
        <v>660</v>
      </c>
      <c r="G479" t="s">
        <v>28</v>
      </c>
      <c r="H479" t="s">
        <v>28</v>
      </c>
      <c r="I479" t="s">
        <v>27</v>
      </c>
      <c r="J479" t="s">
        <v>28</v>
      </c>
      <c r="K479" t="s">
        <v>113</v>
      </c>
      <c r="M479" s="85" t="s">
        <v>28</v>
      </c>
      <c r="N479" s="85" t="s">
        <v>39</v>
      </c>
      <c r="O479" t="s">
        <v>665</v>
      </c>
      <c r="P479" s="129" t="s">
        <v>662</v>
      </c>
      <c r="Q479" s="129" t="s">
        <v>664</v>
      </c>
      <c r="R479" s="140" t="s">
        <v>4451</v>
      </c>
      <c r="S479" s="129"/>
    </row>
    <row r="480" spans="1:25">
      <c r="A480" s="77">
        <v>84</v>
      </c>
      <c r="B480" t="s">
        <v>613</v>
      </c>
      <c r="C480" t="s">
        <v>66</v>
      </c>
      <c r="D480" s="81" t="s">
        <v>4445</v>
      </c>
      <c r="E480" s="97" t="s">
        <v>614</v>
      </c>
      <c r="F480" s="97" t="s">
        <v>660</v>
      </c>
      <c r="G480" t="s">
        <v>28</v>
      </c>
      <c r="H480" t="s">
        <v>28</v>
      </c>
      <c r="I480" t="s">
        <v>27</v>
      </c>
      <c r="J480" t="s">
        <v>28</v>
      </c>
      <c r="K480" t="s">
        <v>113</v>
      </c>
      <c r="M480" s="85" t="s">
        <v>28</v>
      </c>
      <c r="N480" s="85" t="s">
        <v>39</v>
      </c>
      <c r="O480" t="s">
        <v>666</v>
      </c>
      <c r="P480" s="129" t="s">
        <v>662</v>
      </c>
      <c r="Q480" s="129" t="s">
        <v>664</v>
      </c>
      <c r="R480" s="140" t="s">
        <v>4451</v>
      </c>
      <c r="S480" s="129"/>
    </row>
    <row r="481" spans="1:19">
      <c r="A481" s="77">
        <v>84</v>
      </c>
      <c r="B481" t="s">
        <v>613</v>
      </c>
      <c r="C481" t="s">
        <v>66</v>
      </c>
      <c r="D481" s="81" t="s">
        <v>4445</v>
      </c>
      <c r="E481" s="97" t="s">
        <v>614</v>
      </c>
      <c r="F481" s="97" t="s">
        <v>660</v>
      </c>
      <c r="G481" t="s">
        <v>28</v>
      </c>
      <c r="H481" t="s">
        <v>28</v>
      </c>
      <c r="I481" t="s">
        <v>27</v>
      </c>
      <c r="J481" t="s">
        <v>28</v>
      </c>
      <c r="K481" t="s">
        <v>113</v>
      </c>
      <c r="M481" s="85" t="s">
        <v>28</v>
      </c>
      <c r="N481" s="85" t="s">
        <v>39</v>
      </c>
      <c r="O481" t="s">
        <v>667</v>
      </c>
      <c r="P481" s="129" t="s">
        <v>662</v>
      </c>
      <c r="Q481" s="129" t="s">
        <v>664</v>
      </c>
      <c r="R481" s="140" t="s">
        <v>4451</v>
      </c>
      <c r="S481" s="129"/>
    </row>
    <row r="482" spans="1:19">
      <c r="A482" s="38">
        <v>85</v>
      </c>
      <c r="B482" t="s">
        <v>613</v>
      </c>
      <c r="C482" t="s">
        <v>66</v>
      </c>
      <c r="D482" s="81" t="s">
        <v>4444</v>
      </c>
      <c r="E482" s="97" t="s">
        <v>668</v>
      </c>
      <c r="F482" s="97" t="s">
        <v>669</v>
      </c>
      <c r="G482" t="s">
        <v>27</v>
      </c>
      <c r="H482" t="s">
        <v>27</v>
      </c>
      <c r="I482" t="s">
        <v>27</v>
      </c>
      <c r="J482" t="s">
        <v>28</v>
      </c>
      <c r="K482" t="s">
        <v>113</v>
      </c>
      <c r="M482" s="85" t="s">
        <v>240</v>
      </c>
      <c r="N482" s="85" t="s">
        <v>62</v>
      </c>
      <c r="O482" t="s">
        <v>670</v>
      </c>
      <c r="P482" s="134" t="s">
        <v>671</v>
      </c>
      <c r="Q482" s="134" t="s">
        <v>672</v>
      </c>
      <c r="R482" s="140" t="s">
        <v>4451</v>
      </c>
      <c r="S482" s="134"/>
    </row>
    <row r="483" spans="1:19">
      <c r="A483" s="38">
        <v>85</v>
      </c>
      <c r="B483" t="s">
        <v>613</v>
      </c>
      <c r="C483" t="s">
        <v>66</v>
      </c>
      <c r="D483" s="81" t="s">
        <v>4444</v>
      </c>
      <c r="E483" s="97" t="s">
        <v>668</v>
      </c>
      <c r="F483" s="97" t="s">
        <v>669</v>
      </c>
      <c r="G483" t="s">
        <v>27</v>
      </c>
      <c r="H483" t="s">
        <v>27</v>
      </c>
      <c r="I483" t="s">
        <v>27</v>
      </c>
      <c r="J483" t="s">
        <v>28</v>
      </c>
      <c r="K483" t="s">
        <v>113</v>
      </c>
      <c r="M483" s="85" t="s">
        <v>240</v>
      </c>
      <c r="N483" s="85" t="s">
        <v>62</v>
      </c>
      <c r="O483" t="s">
        <v>673</v>
      </c>
      <c r="P483" s="134" t="s">
        <v>671</v>
      </c>
      <c r="Q483" s="134" t="s">
        <v>672</v>
      </c>
      <c r="R483" s="140" t="s">
        <v>4451</v>
      </c>
      <c r="S483" s="134"/>
    </row>
    <row r="484" spans="1:19">
      <c r="A484" s="38">
        <v>85</v>
      </c>
      <c r="B484" t="s">
        <v>613</v>
      </c>
      <c r="C484" t="s">
        <v>66</v>
      </c>
      <c r="D484" s="81" t="s">
        <v>4444</v>
      </c>
      <c r="E484" s="97" t="s">
        <v>668</v>
      </c>
      <c r="F484" s="97" t="s">
        <v>669</v>
      </c>
      <c r="G484" t="s">
        <v>27</v>
      </c>
      <c r="H484" t="s">
        <v>27</v>
      </c>
      <c r="I484" t="s">
        <v>27</v>
      </c>
      <c r="J484" t="s">
        <v>28</v>
      </c>
      <c r="K484" t="s">
        <v>113</v>
      </c>
      <c r="M484" s="85" t="s">
        <v>240</v>
      </c>
      <c r="N484" s="85" t="s">
        <v>62</v>
      </c>
      <c r="O484" t="s">
        <v>674</v>
      </c>
      <c r="P484" s="134" t="s">
        <v>671</v>
      </c>
      <c r="Q484" s="134" t="s">
        <v>672</v>
      </c>
      <c r="R484" s="140" t="s">
        <v>4451</v>
      </c>
      <c r="S484" s="134"/>
    </row>
    <row r="485" spans="1:19">
      <c r="A485" s="38">
        <v>86</v>
      </c>
      <c r="B485" t="s">
        <v>613</v>
      </c>
      <c r="C485" t="s">
        <v>66</v>
      </c>
      <c r="D485" s="81" t="s">
        <v>4445</v>
      </c>
      <c r="E485" s="97" t="s">
        <v>668</v>
      </c>
      <c r="F485" s="97" t="s">
        <v>675</v>
      </c>
      <c r="G485" t="s">
        <v>27</v>
      </c>
      <c r="H485" t="s">
        <v>27</v>
      </c>
      <c r="I485" t="s">
        <v>27</v>
      </c>
      <c r="J485" t="s">
        <v>28</v>
      </c>
      <c r="K485" t="s">
        <v>113</v>
      </c>
      <c r="M485" s="85" t="s">
        <v>240</v>
      </c>
      <c r="N485" s="85" t="s">
        <v>62</v>
      </c>
      <c r="O485" t="s">
        <v>676</v>
      </c>
      <c r="P485" s="134" t="s">
        <v>671</v>
      </c>
      <c r="Q485" s="134" t="s">
        <v>677</v>
      </c>
      <c r="R485" s="140" t="s">
        <v>4451</v>
      </c>
      <c r="S485" s="134"/>
    </row>
    <row r="486" spans="1:19">
      <c r="A486" s="38">
        <v>86</v>
      </c>
      <c r="B486" t="s">
        <v>613</v>
      </c>
      <c r="C486" t="s">
        <v>66</v>
      </c>
      <c r="D486" s="81" t="s">
        <v>4445</v>
      </c>
      <c r="E486" s="97" t="s">
        <v>668</v>
      </c>
      <c r="F486" s="97" t="s">
        <v>675</v>
      </c>
      <c r="G486" t="s">
        <v>27</v>
      </c>
      <c r="H486" t="s">
        <v>27</v>
      </c>
      <c r="I486" t="s">
        <v>27</v>
      </c>
      <c r="J486" t="s">
        <v>28</v>
      </c>
      <c r="K486" t="s">
        <v>113</v>
      </c>
      <c r="M486" s="85" t="s">
        <v>240</v>
      </c>
      <c r="N486" s="85" t="s">
        <v>62</v>
      </c>
      <c r="O486" t="s">
        <v>678</v>
      </c>
      <c r="P486" s="134" t="s">
        <v>671</v>
      </c>
      <c r="Q486" s="134" t="s">
        <v>677</v>
      </c>
      <c r="R486" s="140" t="s">
        <v>4451</v>
      </c>
      <c r="S486" s="134"/>
    </row>
    <row r="487" spans="1:19">
      <c r="A487" s="38">
        <v>86</v>
      </c>
      <c r="B487" t="s">
        <v>613</v>
      </c>
      <c r="C487" t="s">
        <v>66</v>
      </c>
      <c r="D487" s="81" t="s">
        <v>4445</v>
      </c>
      <c r="E487" s="97" t="s">
        <v>668</v>
      </c>
      <c r="F487" s="97" t="s">
        <v>675</v>
      </c>
      <c r="G487" t="s">
        <v>27</v>
      </c>
      <c r="H487" t="s">
        <v>27</v>
      </c>
      <c r="I487" t="s">
        <v>27</v>
      </c>
      <c r="J487" t="s">
        <v>28</v>
      </c>
      <c r="K487" t="s">
        <v>113</v>
      </c>
      <c r="M487" s="85" t="s">
        <v>240</v>
      </c>
      <c r="N487" s="85" t="s">
        <v>62</v>
      </c>
      <c r="O487" t="s">
        <v>679</v>
      </c>
      <c r="P487" s="134" t="s">
        <v>671</v>
      </c>
      <c r="Q487" s="134" t="s">
        <v>677</v>
      </c>
      <c r="R487" s="140" t="s">
        <v>4451</v>
      </c>
      <c r="S487" s="134"/>
    </row>
    <row r="488" spans="1:19">
      <c r="A488" s="38">
        <v>90</v>
      </c>
      <c r="B488" t="s">
        <v>613</v>
      </c>
      <c r="C488" t="s">
        <v>253</v>
      </c>
      <c r="D488" s="81" t="s">
        <v>4444</v>
      </c>
      <c r="E488" s="97" t="s">
        <v>614</v>
      </c>
      <c r="F488" s="97" t="s">
        <v>660</v>
      </c>
      <c r="G488" t="s">
        <v>27</v>
      </c>
      <c r="H488" t="s">
        <v>27</v>
      </c>
      <c r="I488" t="s">
        <v>27</v>
      </c>
      <c r="J488" t="s">
        <v>28</v>
      </c>
      <c r="K488" t="s">
        <v>113</v>
      </c>
      <c r="M488" s="85" t="s">
        <v>240</v>
      </c>
      <c r="N488" s="85" t="s">
        <v>62</v>
      </c>
      <c r="O488" t="s">
        <v>680</v>
      </c>
      <c r="P488" s="134" t="s">
        <v>681</v>
      </c>
      <c r="Q488" s="134" t="s">
        <v>682</v>
      </c>
      <c r="R488" s="140" t="s">
        <v>4451</v>
      </c>
      <c r="S488" s="134"/>
    </row>
    <row r="489" spans="1:19">
      <c r="A489" s="38">
        <v>90</v>
      </c>
      <c r="B489" t="s">
        <v>613</v>
      </c>
      <c r="C489" t="s">
        <v>253</v>
      </c>
      <c r="D489" s="81" t="s">
        <v>4444</v>
      </c>
      <c r="E489" s="97" t="s">
        <v>614</v>
      </c>
      <c r="F489" s="97" t="s">
        <v>660</v>
      </c>
      <c r="G489" t="s">
        <v>27</v>
      </c>
      <c r="H489" t="s">
        <v>27</v>
      </c>
      <c r="I489" t="s">
        <v>27</v>
      </c>
      <c r="J489" t="s">
        <v>28</v>
      </c>
      <c r="K489" t="s">
        <v>113</v>
      </c>
      <c r="M489" s="85" t="s">
        <v>240</v>
      </c>
      <c r="N489" s="85" t="s">
        <v>62</v>
      </c>
      <c r="O489" t="s">
        <v>683</v>
      </c>
      <c r="P489" s="134" t="s">
        <v>681</v>
      </c>
      <c r="Q489" s="134" t="s">
        <v>682</v>
      </c>
      <c r="R489" s="140" t="s">
        <v>4451</v>
      </c>
      <c r="S489" s="134"/>
    </row>
    <row r="490" spans="1:19">
      <c r="A490" s="38">
        <v>90</v>
      </c>
      <c r="B490" t="s">
        <v>613</v>
      </c>
      <c r="C490" t="s">
        <v>253</v>
      </c>
      <c r="D490" s="81" t="s">
        <v>4444</v>
      </c>
      <c r="E490" s="97" t="s">
        <v>614</v>
      </c>
      <c r="F490" s="97" t="s">
        <v>660</v>
      </c>
      <c r="G490" t="s">
        <v>27</v>
      </c>
      <c r="H490" t="s">
        <v>27</v>
      </c>
      <c r="I490" t="s">
        <v>27</v>
      </c>
      <c r="J490" t="s">
        <v>28</v>
      </c>
      <c r="K490" t="s">
        <v>113</v>
      </c>
      <c r="M490" s="85" t="s">
        <v>240</v>
      </c>
      <c r="N490" s="85" t="s">
        <v>62</v>
      </c>
      <c r="O490" s="60" t="s">
        <v>684</v>
      </c>
      <c r="P490" s="134" t="s">
        <v>681</v>
      </c>
      <c r="Q490" s="134" t="s">
        <v>682</v>
      </c>
      <c r="R490" s="140" t="s">
        <v>4451</v>
      </c>
      <c r="S490" s="134"/>
    </row>
    <row r="491" spans="1:19">
      <c r="A491" s="38">
        <v>91</v>
      </c>
      <c r="B491" t="s">
        <v>613</v>
      </c>
      <c r="C491" t="s">
        <v>253</v>
      </c>
      <c r="D491" s="81" t="s">
        <v>4445</v>
      </c>
      <c r="E491" s="97" t="s">
        <v>668</v>
      </c>
      <c r="F491" s="97" t="s">
        <v>675</v>
      </c>
      <c r="G491" t="s">
        <v>27</v>
      </c>
      <c r="H491" t="s">
        <v>27</v>
      </c>
      <c r="I491" t="s">
        <v>27</v>
      </c>
      <c r="J491" t="s">
        <v>28</v>
      </c>
      <c r="K491" t="s">
        <v>113</v>
      </c>
      <c r="M491" s="85" t="s">
        <v>240</v>
      </c>
      <c r="N491" s="85" t="s">
        <v>62</v>
      </c>
      <c r="O491" s="60" t="s">
        <v>685</v>
      </c>
      <c r="P491" s="134" t="s">
        <v>681</v>
      </c>
      <c r="Q491" s="134" t="s">
        <v>686</v>
      </c>
      <c r="R491" s="140" t="s">
        <v>4451</v>
      </c>
      <c r="S491" s="134"/>
    </row>
    <row r="492" spans="1:19">
      <c r="A492" s="38">
        <v>91</v>
      </c>
      <c r="B492" t="s">
        <v>613</v>
      </c>
      <c r="C492" t="s">
        <v>253</v>
      </c>
      <c r="D492" s="81" t="s">
        <v>4445</v>
      </c>
      <c r="E492" s="97" t="s">
        <v>668</v>
      </c>
      <c r="F492" s="97" t="s">
        <v>675</v>
      </c>
      <c r="G492" t="s">
        <v>27</v>
      </c>
      <c r="H492" t="s">
        <v>27</v>
      </c>
      <c r="I492" t="s">
        <v>27</v>
      </c>
      <c r="J492" t="s">
        <v>28</v>
      </c>
      <c r="K492" t="s">
        <v>113</v>
      </c>
      <c r="M492" s="85" t="s">
        <v>240</v>
      </c>
      <c r="N492" s="85" t="s">
        <v>62</v>
      </c>
      <c r="O492" t="s">
        <v>687</v>
      </c>
      <c r="P492" s="134" t="s">
        <v>681</v>
      </c>
      <c r="Q492" s="134" t="s">
        <v>686</v>
      </c>
      <c r="R492" s="140" t="s">
        <v>4451</v>
      </c>
      <c r="S492" s="134"/>
    </row>
    <row r="493" spans="1:19">
      <c r="A493" s="38">
        <v>91</v>
      </c>
      <c r="B493" t="s">
        <v>613</v>
      </c>
      <c r="C493" t="s">
        <v>253</v>
      </c>
      <c r="D493" s="81" t="s">
        <v>4445</v>
      </c>
      <c r="E493" s="97" t="s">
        <v>668</v>
      </c>
      <c r="F493" s="97" t="s">
        <v>675</v>
      </c>
      <c r="G493" t="s">
        <v>27</v>
      </c>
      <c r="H493" t="s">
        <v>27</v>
      </c>
      <c r="I493" t="s">
        <v>27</v>
      </c>
      <c r="J493" t="s">
        <v>28</v>
      </c>
      <c r="K493" t="s">
        <v>113</v>
      </c>
      <c r="M493" s="85" t="s">
        <v>240</v>
      </c>
      <c r="N493" s="85" t="s">
        <v>62</v>
      </c>
      <c r="O493" t="s">
        <v>688</v>
      </c>
      <c r="P493" s="134" t="s">
        <v>681</v>
      </c>
      <c r="Q493" s="134" t="s">
        <v>686</v>
      </c>
      <c r="R493" s="140" t="s">
        <v>4451</v>
      </c>
      <c r="S493" s="134"/>
    </row>
    <row r="494" spans="1:19">
      <c r="A494" s="38">
        <v>92</v>
      </c>
      <c r="B494" t="s">
        <v>689</v>
      </c>
      <c r="C494" t="s">
        <v>66</v>
      </c>
      <c r="D494" s="81" t="s">
        <v>4445</v>
      </c>
      <c r="E494" s="97" t="s">
        <v>690</v>
      </c>
      <c r="F494" s="97" t="s">
        <v>691</v>
      </c>
      <c r="G494" t="s">
        <v>27</v>
      </c>
      <c r="H494" t="s">
        <v>27</v>
      </c>
      <c r="I494" t="s">
        <v>27</v>
      </c>
      <c r="J494" t="s">
        <v>28</v>
      </c>
      <c r="K494" t="s">
        <v>113</v>
      </c>
      <c r="M494" s="85" t="s">
        <v>240</v>
      </c>
      <c r="N494" s="85" t="s">
        <v>62</v>
      </c>
      <c r="O494" t="s">
        <v>692</v>
      </c>
      <c r="P494" s="134" t="s">
        <v>671</v>
      </c>
      <c r="Q494" s="134" t="s">
        <v>693</v>
      </c>
      <c r="R494" s="140" t="s">
        <v>4449</v>
      </c>
      <c r="S494" s="134"/>
    </row>
    <row r="495" spans="1:19" s="130" customFormat="1">
      <c r="A495" s="38">
        <v>92</v>
      </c>
      <c r="B495" t="s">
        <v>689</v>
      </c>
      <c r="C495" t="s">
        <v>66</v>
      </c>
      <c r="D495" s="81" t="s">
        <v>4445</v>
      </c>
      <c r="E495" s="97" t="s">
        <v>690</v>
      </c>
      <c r="F495" s="97" t="s">
        <v>691</v>
      </c>
      <c r="G495" t="s">
        <v>27</v>
      </c>
      <c r="H495" t="s">
        <v>27</v>
      </c>
      <c r="I495" t="s">
        <v>27</v>
      </c>
      <c r="J495" t="s">
        <v>28</v>
      </c>
      <c r="K495" t="s">
        <v>113</v>
      </c>
      <c r="M495" s="85" t="s">
        <v>240</v>
      </c>
      <c r="N495" s="85" t="s">
        <v>62</v>
      </c>
      <c r="O495" s="60" t="s">
        <v>694</v>
      </c>
      <c r="P495" s="106" t="s">
        <v>671</v>
      </c>
      <c r="Q495" s="134" t="s">
        <v>693</v>
      </c>
      <c r="R495" s="140" t="s">
        <v>4449</v>
      </c>
      <c r="S495" s="134"/>
    </row>
    <row r="496" spans="1:19" s="130" customFormat="1">
      <c r="A496" s="38">
        <v>92</v>
      </c>
      <c r="B496" t="s">
        <v>689</v>
      </c>
      <c r="C496" t="s">
        <v>66</v>
      </c>
      <c r="D496" s="81" t="s">
        <v>4445</v>
      </c>
      <c r="E496" s="97" t="s">
        <v>690</v>
      </c>
      <c r="F496" s="97" t="s">
        <v>691</v>
      </c>
      <c r="G496" t="s">
        <v>27</v>
      </c>
      <c r="H496" t="s">
        <v>27</v>
      </c>
      <c r="I496" t="s">
        <v>27</v>
      </c>
      <c r="J496" t="s">
        <v>28</v>
      </c>
      <c r="K496" t="s">
        <v>113</v>
      </c>
      <c r="M496" s="85" t="s">
        <v>240</v>
      </c>
      <c r="N496" s="85" t="s">
        <v>62</v>
      </c>
      <c r="O496" s="60" t="s">
        <v>695</v>
      </c>
      <c r="P496" s="106" t="s">
        <v>671</v>
      </c>
      <c r="Q496" s="134" t="s">
        <v>693</v>
      </c>
      <c r="R496" s="140" t="s">
        <v>4449</v>
      </c>
      <c r="S496" s="134"/>
    </row>
    <row r="497" spans="1:25" s="130" customFormat="1">
      <c r="A497" s="38">
        <v>93</v>
      </c>
      <c r="B497" t="s">
        <v>613</v>
      </c>
      <c r="C497" t="s">
        <v>66</v>
      </c>
      <c r="D497" s="81" t="s">
        <v>4445</v>
      </c>
      <c r="E497" s="97" t="s">
        <v>696</v>
      </c>
      <c r="F497" s="97" t="s">
        <v>697</v>
      </c>
      <c r="G497" t="s">
        <v>27</v>
      </c>
      <c r="H497" t="s">
        <v>27</v>
      </c>
      <c r="I497" t="s">
        <v>27</v>
      </c>
      <c r="J497" t="s">
        <v>28</v>
      </c>
      <c r="K497" t="s">
        <v>113</v>
      </c>
      <c r="M497" s="85" t="s">
        <v>240</v>
      </c>
      <c r="N497" s="85" t="s">
        <v>62</v>
      </c>
      <c r="O497" s="60" t="s">
        <v>698</v>
      </c>
      <c r="P497" s="106" t="s">
        <v>671</v>
      </c>
      <c r="Q497" s="134" t="s">
        <v>699</v>
      </c>
      <c r="R497" s="140" t="s">
        <v>4451</v>
      </c>
      <c r="S497" s="134"/>
    </row>
    <row r="498" spans="1:25" s="130" customFormat="1">
      <c r="A498" s="38">
        <v>93</v>
      </c>
      <c r="B498" t="s">
        <v>613</v>
      </c>
      <c r="C498" t="s">
        <v>66</v>
      </c>
      <c r="D498" s="81" t="s">
        <v>4445</v>
      </c>
      <c r="E498" s="97" t="s">
        <v>696</v>
      </c>
      <c r="F498" s="97" t="s">
        <v>697</v>
      </c>
      <c r="G498" t="s">
        <v>27</v>
      </c>
      <c r="H498" t="s">
        <v>27</v>
      </c>
      <c r="I498" t="s">
        <v>27</v>
      </c>
      <c r="J498" t="s">
        <v>28</v>
      </c>
      <c r="K498" t="s">
        <v>113</v>
      </c>
      <c r="M498" s="85" t="s">
        <v>240</v>
      </c>
      <c r="N498" s="85" t="s">
        <v>62</v>
      </c>
      <c r="O498" t="s">
        <v>700</v>
      </c>
      <c r="P498" s="134" t="s">
        <v>671</v>
      </c>
      <c r="Q498" s="134" t="s">
        <v>699</v>
      </c>
      <c r="R498" s="140" t="s">
        <v>4451</v>
      </c>
      <c r="S498" s="134"/>
    </row>
    <row r="499" spans="1:25" s="130" customFormat="1">
      <c r="A499" s="38">
        <v>93</v>
      </c>
      <c r="B499" t="s">
        <v>613</v>
      </c>
      <c r="C499" t="s">
        <v>66</v>
      </c>
      <c r="D499" s="81" t="s">
        <v>4445</v>
      </c>
      <c r="E499" s="97" t="s">
        <v>696</v>
      </c>
      <c r="F499" s="97" t="s">
        <v>697</v>
      </c>
      <c r="G499" t="s">
        <v>27</v>
      </c>
      <c r="H499" t="s">
        <v>27</v>
      </c>
      <c r="I499" t="s">
        <v>27</v>
      </c>
      <c r="J499" t="s">
        <v>28</v>
      </c>
      <c r="K499" t="s">
        <v>113</v>
      </c>
      <c r="M499" s="85" t="s">
        <v>240</v>
      </c>
      <c r="N499" s="85" t="s">
        <v>62</v>
      </c>
      <c r="O499" t="s">
        <v>701</v>
      </c>
      <c r="P499" s="134" t="s">
        <v>671</v>
      </c>
      <c r="Q499" s="134" t="s">
        <v>699</v>
      </c>
      <c r="R499" s="140" t="s">
        <v>4451</v>
      </c>
      <c r="S499" s="134"/>
    </row>
    <row r="500" spans="1:25" s="130" customFormat="1">
      <c r="A500" s="77">
        <v>94</v>
      </c>
      <c r="B500" t="s">
        <v>613</v>
      </c>
      <c r="C500" t="s">
        <v>43</v>
      </c>
      <c r="D500" s="81" t="s">
        <v>4444</v>
      </c>
      <c r="E500" s="97">
        <v>1</v>
      </c>
      <c r="F500" s="97" t="s">
        <v>702</v>
      </c>
      <c r="G500" t="s">
        <v>27</v>
      </c>
      <c r="H500" t="s">
        <v>28</v>
      </c>
      <c r="I500" t="s">
        <v>27</v>
      </c>
      <c r="J500" t="s">
        <v>28</v>
      </c>
      <c r="K500" t="s">
        <v>113</v>
      </c>
      <c r="M500" s="85" t="s">
        <v>28</v>
      </c>
      <c r="N500" s="85" t="s">
        <v>39</v>
      </c>
      <c r="O500" t="s">
        <v>703</v>
      </c>
      <c r="P500" s="132" t="s">
        <v>671</v>
      </c>
      <c r="Q500" s="132" t="s">
        <v>704</v>
      </c>
      <c r="R500" s="140" t="s">
        <v>4451</v>
      </c>
      <c r="S500" s="132"/>
    </row>
    <row r="501" spans="1:25" s="130" customFormat="1">
      <c r="A501" s="77">
        <v>94</v>
      </c>
      <c r="B501" t="s">
        <v>613</v>
      </c>
      <c r="C501" t="s">
        <v>43</v>
      </c>
      <c r="D501" s="81" t="s">
        <v>4444</v>
      </c>
      <c r="E501" s="97">
        <v>1</v>
      </c>
      <c r="F501" s="97" t="s">
        <v>702</v>
      </c>
      <c r="G501" t="s">
        <v>27</v>
      </c>
      <c r="H501" t="s">
        <v>28</v>
      </c>
      <c r="I501" t="s">
        <v>27</v>
      </c>
      <c r="J501" t="s">
        <v>28</v>
      </c>
      <c r="K501" t="s">
        <v>113</v>
      </c>
      <c r="M501" s="85" t="s">
        <v>28</v>
      </c>
      <c r="N501" s="85" t="s">
        <v>39</v>
      </c>
      <c r="O501" t="s">
        <v>705</v>
      </c>
      <c r="P501" s="132" t="s">
        <v>671</v>
      </c>
      <c r="Q501" s="132" t="s">
        <v>704</v>
      </c>
      <c r="R501" s="140" t="s">
        <v>4451</v>
      </c>
      <c r="S501" s="132"/>
    </row>
    <row r="502" spans="1:25" s="130" customFormat="1">
      <c r="A502" s="77">
        <v>94</v>
      </c>
      <c r="B502" t="s">
        <v>613</v>
      </c>
      <c r="C502" t="s">
        <v>43</v>
      </c>
      <c r="D502" s="81" t="s">
        <v>4444</v>
      </c>
      <c r="E502" s="97">
        <v>1</v>
      </c>
      <c r="F502" s="97" t="s">
        <v>702</v>
      </c>
      <c r="G502" t="s">
        <v>27</v>
      </c>
      <c r="H502" t="s">
        <v>28</v>
      </c>
      <c r="I502" t="s">
        <v>27</v>
      </c>
      <c r="J502" t="s">
        <v>28</v>
      </c>
      <c r="K502" t="s">
        <v>113</v>
      </c>
      <c r="M502" s="85" t="s">
        <v>28</v>
      </c>
      <c r="N502" s="85" t="s">
        <v>39</v>
      </c>
      <c r="O502" t="s">
        <v>706</v>
      </c>
      <c r="P502" s="132" t="s">
        <v>671</v>
      </c>
      <c r="Q502" s="132" t="s">
        <v>704</v>
      </c>
      <c r="R502" s="140" t="s">
        <v>4451</v>
      </c>
      <c r="S502" s="132"/>
    </row>
    <row r="503" spans="1:25" s="130" customFormat="1">
      <c r="A503" s="77">
        <v>95</v>
      </c>
      <c r="B503" t="s">
        <v>613</v>
      </c>
      <c r="C503" t="s">
        <v>66</v>
      </c>
      <c r="D503" s="81" t="s">
        <v>4445</v>
      </c>
      <c r="E503" s="97" t="s">
        <v>614</v>
      </c>
      <c r="F503" s="97" t="s">
        <v>707</v>
      </c>
      <c r="G503" t="s">
        <v>28</v>
      </c>
      <c r="H503" t="s">
        <v>28</v>
      </c>
      <c r="I503" t="s">
        <v>27</v>
      </c>
      <c r="J503" t="s">
        <v>28</v>
      </c>
      <c r="K503" t="s">
        <v>113</v>
      </c>
      <c r="M503" s="85" t="s">
        <v>28</v>
      </c>
      <c r="N503" s="85" t="s">
        <v>39</v>
      </c>
      <c r="O503" t="s">
        <v>708</v>
      </c>
      <c r="P503" s="129" t="s">
        <v>662</v>
      </c>
      <c r="Q503" s="129" t="s">
        <v>709</v>
      </c>
      <c r="R503" s="140" t="s">
        <v>4451</v>
      </c>
      <c r="S503" s="129"/>
    </row>
    <row r="504" spans="1:25" s="130" customFormat="1">
      <c r="A504" s="77">
        <v>95</v>
      </c>
      <c r="B504" t="s">
        <v>613</v>
      </c>
      <c r="C504" t="s">
        <v>66</v>
      </c>
      <c r="D504" s="81" t="s">
        <v>4445</v>
      </c>
      <c r="E504" s="97" t="s">
        <v>614</v>
      </c>
      <c r="F504" s="97" t="s">
        <v>707</v>
      </c>
      <c r="G504" t="s">
        <v>28</v>
      </c>
      <c r="H504" t="s">
        <v>28</v>
      </c>
      <c r="I504" t="s">
        <v>27</v>
      </c>
      <c r="J504" t="s">
        <v>28</v>
      </c>
      <c r="K504" t="s">
        <v>113</v>
      </c>
      <c r="M504" s="85" t="s">
        <v>28</v>
      </c>
      <c r="N504" s="85" t="s">
        <v>39</v>
      </c>
      <c r="O504" t="s">
        <v>710</v>
      </c>
      <c r="P504" s="129" t="s">
        <v>662</v>
      </c>
      <c r="Q504" s="129" t="s">
        <v>709</v>
      </c>
      <c r="R504" s="140" t="s">
        <v>4451</v>
      </c>
      <c r="S504" s="129"/>
    </row>
    <row r="505" spans="1:25" s="130" customFormat="1">
      <c r="A505" s="77">
        <v>95</v>
      </c>
      <c r="B505" t="s">
        <v>613</v>
      </c>
      <c r="C505" t="s">
        <v>66</v>
      </c>
      <c r="D505" s="81" t="s">
        <v>4445</v>
      </c>
      <c r="E505" s="97" t="s">
        <v>614</v>
      </c>
      <c r="F505" s="97" t="s">
        <v>707</v>
      </c>
      <c r="G505" t="s">
        <v>28</v>
      </c>
      <c r="H505" t="s">
        <v>28</v>
      </c>
      <c r="I505" t="s">
        <v>27</v>
      </c>
      <c r="J505" t="s">
        <v>28</v>
      </c>
      <c r="K505" t="s">
        <v>113</v>
      </c>
      <c r="M505" s="85" t="s">
        <v>28</v>
      </c>
      <c r="N505" s="85" t="s">
        <v>39</v>
      </c>
      <c r="O505" t="s">
        <v>711</v>
      </c>
      <c r="P505" s="129" t="s">
        <v>662</v>
      </c>
      <c r="Q505" s="129" t="s">
        <v>709</v>
      </c>
      <c r="R505" s="140" t="s">
        <v>4451</v>
      </c>
      <c r="S505" s="129"/>
    </row>
    <row r="506" spans="1:25" s="130" customFormat="1">
      <c r="A506" s="77">
        <v>95</v>
      </c>
      <c r="B506" t="s">
        <v>613</v>
      </c>
      <c r="C506" t="s">
        <v>66</v>
      </c>
      <c r="D506" s="81" t="s">
        <v>4445</v>
      </c>
      <c r="E506" s="97" t="s">
        <v>614</v>
      </c>
      <c r="F506" s="97" t="s">
        <v>707</v>
      </c>
      <c r="G506" t="s">
        <v>28</v>
      </c>
      <c r="H506" t="s">
        <v>28</v>
      </c>
      <c r="I506" t="s">
        <v>27</v>
      </c>
      <c r="J506" t="s">
        <v>28</v>
      </c>
      <c r="K506" t="s">
        <v>113</v>
      </c>
      <c r="M506" s="85" t="s">
        <v>28</v>
      </c>
      <c r="N506" s="85" t="s">
        <v>39</v>
      </c>
      <c r="O506" t="s">
        <v>712</v>
      </c>
      <c r="P506" s="129" t="s">
        <v>662</v>
      </c>
      <c r="Q506" s="129" t="s">
        <v>709</v>
      </c>
      <c r="R506" s="140" t="s">
        <v>4451</v>
      </c>
      <c r="S506" s="129"/>
    </row>
    <row r="507" spans="1:25">
      <c r="A507" s="77">
        <v>95</v>
      </c>
      <c r="B507" t="s">
        <v>613</v>
      </c>
      <c r="C507" t="s">
        <v>66</v>
      </c>
      <c r="D507" s="81" t="s">
        <v>4445</v>
      </c>
      <c r="E507" s="97" t="s">
        <v>614</v>
      </c>
      <c r="F507" s="97" t="s">
        <v>707</v>
      </c>
      <c r="G507" t="s">
        <v>28</v>
      </c>
      <c r="H507" t="s">
        <v>28</v>
      </c>
      <c r="I507" t="s">
        <v>27</v>
      </c>
      <c r="J507" t="s">
        <v>28</v>
      </c>
      <c r="K507" t="s">
        <v>113</v>
      </c>
      <c r="M507" s="85" t="s">
        <v>28</v>
      </c>
      <c r="N507" s="85" t="s">
        <v>39</v>
      </c>
      <c r="O507" t="s">
        <v>713</v>
      </c>
      <c r="P507" s="129" t="s">
        <v>662</v>
      </c>
      <c r="Q507" s="129" t="s">
        <v>709</v>
      </c>
      <c r="R507" s="140" t="s">
        <v>4451</v>
      </c>
      <c r="S507" s="129"/>
    </row>
    <row r="508" spans="1:25">
      <c r="A508" s="38">
        <v>96</v>
      </c>
      <c r="B508" t="s">
        <v>613</v>
      </c>
      <c r="C508" t="s">
        <v>253</v>
      </c>
      <c r="D508" s="81" t="s">
        <v>4444</v>
      </c>
      <c r="E508" s="97" t="s">
        <v>614</v>
      </c>
      <c r="F508" s="97" t="s">
        <v>714</v>
      </c>
      <c r="G508" t="s">
        <v>27</v>
      </c>
      <c r="H508" t="s">
        <v>27</v>
      </c>
      <c r="I508" t="s">
        <v>27</v>
      </c>
      <c r="J508" t="s">
        <v>28</v>
      </c>
      <c r="K508" t="s">
        <v>113</v>
      </c>
      <c r="M508" s="85" t="s">
        <v>240</v>
      </c>
      <c r="N508" s="85" t="s">
        <v>62</v>
      </c>
      <c r="O508" t="s">
        <v>715</v>
      </c>
      <c r="P508" s="134" t="s">
        <v>671</v>
      </c>
      <c r="Q508" s="134" t="s">
        <v>716</v>
      </c>
      <c r="R508" s="140" t="s">
        <v>4451</v>
      </c>
      <c r="S508" s="134"/>
    </row>
    <row r="509" spans="1:25" s="130" customFormat="1">
      <c r="A509" s="38">
        <v>96</v>
      </c>
      <c r="B509" t="s">
        <v>613</v>
      </c>
      <c r="C509" t="s">
        <v>253</v>
      </c>
      <c r="D509" s="81" t="s">
        <v>4444</v>
      </c>
      <c r="E509" s="97" t="s">
        <v>614</v>
      </c>
      <c r="F509" s="97" t="s">
        <v>714</v>
      </c>
      <c r="G509" t="s">
        <v>27</v>
      </c>
      <c r="H509" t="s">
        <v>27</v>
      </c>
      <c r="I509" t="s">
        <v>27</v>
      </c>
      <c r="J509" t="s">
        <v>28</v>
      </c>
      <c r="K509" t="s">
        <v>113</v>
      </c>
      <c r="M509" s="85" t="s">
        <v>240</v>
      </c>
      <c r="N509" s="85" t="s">
        <v>62</v>
      </c>
      <c r="O509" t="s">
        <v>717</v>
      </c>
      <c r="P509" s="134" t="s">
        <v>671</v>
      </c>
      <c r="Q509" s="134" t="s">
        <v>716</v>
      </c>
      <c r="R509" s="140" t="s">
        <v>4451</v>
      </c>
      <c r="S509" s="134"/>
    </row>
    <row r="510" spans="1:25" s="130" customFormat="1">
      <c r="A510" s="38">
        <v>96</v>
      </c>
      <c r="B510" t="s">
        <v>613</v>
      </c>
      <c r="C510" t="s">
        <v>253</v>
      </c>
      <c r="D510" s="81" t="s">
        <v>4444</v>
      </c>
      <c r="E510" s="97" t="s">
        <v>614</v>
      </c>
      <c r="F510" s="97" t="s">
        <v>714</v>
      </c>
      <c r="G510" t="s">
        <v>27</v>
      </c>
      <c r="H510" t="s">
        <v>27</v>
      </c>
      <c r="I510" t="s">
        <v>27</v>
      </c>
      <c r="J510" t="s">
        <v>28</v>
      </c>
      <c r="K510" t="s">
        <v>113</v>
      </c>
      <c r="M510" s="85" t="s">
        <v>240</v>
      </c>
      <c r="N510" s="85" t="s">
        <v>62</v>
      </c>
      <c r="O510" t="s">
        <v>718</v>
      </c>
      <c r="P510" s="134" t="s">
        <v>671</v>
      </c>
      <c r="Q510" s="134" t="s">
        <v>716</v>
      </c>
      <c r="R510" s="140" t="s">
        <v>4451</v>
      </c>
      <c r="S510" s="134"/>
    </row>
    <row r="511" spans="1:25" hidden="1">
      <c r="A511" s="78">
        <v>70</v>
      </c>
      <c r="B511" s="130" t="s">
        <v>124</v>
      </c>
      <c r="C511" s="130" t="s">
        <v>253</v>
      </c>
      <c r="D511" s="81" t="s">
        <v>4444</v>
      </c>
      <c r="E511" s="97">
        <v>2</v>
      </c>
      <c r="F511" s="97" t="s">
        <v>67</v>
      </c>
      <c r="G511" s="130" t="s">
        <v>28</v>
      </c>
      <c r="H511" s="130" t="s">
        <v>28</v>
      </c>
      <c r="I511" s="130" t="s">
        <v>28</v>
      </c>
      <c r="J511" s="130" t="s">
        <v>27</v>
      </c>
      <c r="K511" s="130" t="s">
        <v>611</v>
      </c>
      <c r="L511" s="130" t="s">
        <v>611</v>
      </c>
      <c r="M511" s="130" t="s">
        <v>28</v>
      </c>
      <c r="N511" s="130" t="s">
        <v>51</v>
      </c>
      <c r="O511" s="130" t="s">
        <v>719</v>
      </c>
      <c r="P511" s="63" t="s">
        <v>217</v>
      </c>
      <c r="Q511" s="63"/>
      <c r="R511" s="63"/>
      <c r="S511" s="63"/>
      <c r="T511" s="130"/>
      <c r="U511" s="130"/>
      <c r="V511" s="130"/>
      <c r="W511" s="130"/>
      <c r="X511" s="130"/>
      <c r="Y511" s="130"/>
    </row>
    <row r="512" spans="1:25" hidden="1">
      <c r="A512" s="78">
        <v>5</v>
      </c>
      <c r="B512" s="130" t="s">
        <v>38</v>
      </c>
      <c r="C512" s="130" t="s">
        <v>25</v>
      </c>
      <c r="D512" s="81" t="s">
        <v>4444</v>
      </c>
      <c r="E512" s="97">
        <v>2</v>
      </c>
      <c r="F512" s="97" t="s">
        <v>49</v>
      </c>
      <c r="G512" s="130" t="s">
        <v>27</v>
      </c>
      <c r="H512" s="130" t="s">
        <v>28</v>
      </c>
      <c r="I512" s="130" t="s">
        <v>28</v>
      </c>
      <c r="J512" s="130" t="s">
        <v>27</v>
      </c>
      <c r="K512" s="130" t="s">
        <v>29</v>
      </c>
      <c r="L512" s="137" t="s">
        <v>105</v>
      </c>
      <c r="M512" s="130" t="s">
        <v>28</v>
      </c>
      <c r="N512" s="130" t="s">
        <v>51</v>
      </c>
      <c r="O512" s="130" t="s">
        <v>720</v>
      </c>
      <c r="P512" s="130" t="s">
        <v>33</v>
      </c>
      <c r="Q512" s="130"/>
      <c r="R512" s="130"/>
      <c r="S512" s="130"/>
      <c r="T512" s="130"/>
      <c r="U512" s="130"/>
      <c r="V512" s="130"/>
      <c r="W512" s="130"/>
      <c r="X512" s="130"/>
      <c r="Y512" s="130"/>
    </row>
    <row r="513" spans="1:25" hidden="1">
      <c r="A513" s="78">
        <v>190</v>
      </c>
      <c r="B513" s="130" t="s">
        <v>38</v>
      </c>
      <c r="C513" s="130" t="s">
        <v>48</v>
      </c>
      <c r="D513" s="81" t="s">
        <v>4445</v>
      </c>
      <c r="E513" s="97">
        <v>2</v>
      </c>
      <c r="F513" s="98" t="s">
        <v>49</v>
      </c>
      <c r="G513" s="130" t="s">
        <v>27</v>
      </c>
      <c r="H513" s="130" t="s">
        <v>28</v>
      </c>
      <c r="I513" s="130" t="s">
        <v>27</v>
      </c>
      <c r="J513" s="130" t="s">
        <v>27</v>
      </c>
      <c r="K513" s="130" t="s">
        <v>29</v>
      </c>
      <c r="L513" s="130" t="s">
        <v>721</v>
      </c>
      <c r="M513" s="130" t="s">
        <v>28</v>
      </c>
      <c r="N513" s="130" t="s">
        <v>51</v>
      </c>
      <c r="O513" s="61" t="s">
        <v>722</v>
      </c>
      <c r="P513" s="136" t="s">
        <v>93</v>
      </c>
      <c r="Q513" s="136"/>
      <c r="R513" s="136"/>
      <c r="S513" s="136"/>
      <c r="T513" s="130"/>
      <c r="U513" s="130"/>
      <c r="V513" s="130"/>
      <c r="W513" s="130"/>
      <c r="X513" s="130"/>
      <c r="Y513" s="130"/>
    </row>
    <row r="514" spans="1:25" hidden="1">
      <c r="A514" s="78">
        <v>201</v>
      </c>
      <c r="B514" s="130" t="s">
        <v>38</v>
      </c>
      <c r="C514" s="130" t="s">
        <v>48</v>
      </c>
      <c r="D514" s="81" t="s">
        <v>4444</v>
      </c>
      <c r="E514" s="97">
        <v>2</v>
      </c>
      <c r="F514" s="97" t="s">
        <v>54</v>
      </c>
      <c r="G514" s="130" t="s">
        <v>27</v>
      </c>
      <c r="H514" s="130" t="s">
        <v>28</v>
      </c>
      <c r="I514" s="130" t="s">
        <v>28</v>
      </c>
      <c r="J514" s="130" t="s">
        <v>27</v>
      </c>
      <c r="K514" s="130" t="s">
        <v>723</v>
      </c>
      <c r="L514" s="130" t="s">
        <v>723</v>
      </c>
      <c r="M514" s="130" t="s">
        <v>28</v>
      </c>
      <c r="N514" s="130" t="s">
        <v>51</v>
      </c>
      <c r="O514" s="61" t="s">
        <v>724</v>
      </c>
      <c r="P514" s="131" t="s">
        <v>380</v>
      </c>
      <c r="Q514" s="131"/>
      <c r="R514" s="131"/>
      <c r="S514" s="131"/>
      <c r="T514" s="130"/>
      <c r="U514" s="130"/>
      <c r="V514" s="130"/>
      <c r="W514" s="130"/>
      <c r="X514" s="130"/>
      <c r="Y514" s="130"/>
    </row>
    <row r="515" spans="1:25" s="130" customFormat="1" hidden="1">
      <c r="A515" s="78">
        <v>98</v>
      </c>
      <c r="B515" s="130" t="s">
        <v>613</v>
      </c>
      <c r="C515" s="130" t="s">
        <v>253</v>
      </c>
      <c r="D515" s="81" t="s">
        <v>4444</v>
      </c>
      <c r="E515" s="97" t="s">
        <v>725</v>
      </c>
      <c r="F515" s="97" t="s">
        <v>726</v>
      </c>
      <c r="G515" s="130" t="s">
        <v>27</v>
      </c>
      <c r="H515" s="130" t="s">
        <v>27</v>
      </c>
      <c r="I515" s="130" t="s">
        <v>27</v>
      </c>
      <c r="J515" s="130" t="s">
        <v>616</v>
      </c>
      <c r="K515" s="130" t="s">
        <v>237</v>
      </c>
      <c r="L515" s="130" t="s">
        <v>237</v>
      </c>
      <c r="M515" s="130" t="s">
        <v>240</v>
      </c>
      <c r="N515" s="123" t="s">
        <v>31</v>
      </c>
      <c r="O515" s="61" t="s">
        <v>727</v>
      </c>
      <c r="P515" s="63" t="s">
        <v>202</v>
      </c>
      <c r="Q515" s="63"/>
      <c r="R515" s="63"/>
      <c r="S515" s="63"/>
    </row>
    <row r="516" spans="1:25" s="130" customFormat="1" hidden="1">
      <c r="A516" s="78">
        <v>98</v>
      </c>
      <c r="B516" s="130" t="s">
        <v>613</v>
      </c>
      <c r="C516" s="130" t="s">
        <v>253</v>
      </c>
      <c r="D516" s="81" t="s">
        <v>4444</v>
      </c>
      <c r="E516" s="97" t="s">
        <v>725</v>
      </c>
      <c r="F516" s="97" t="s">
        <v>726</v>
      </c>
      <c r="G516" s="130" t="s">
        <v>27</v>
      </c>
      <c r="H516" s="130" t="s">
        <v>27</v>
      </c>
      <c r="I516" s="130" t="s">
        <v>27</v>
      </c>
      <c r="J516" s="130" t="s">
        <v>616</v>
      </c>
      <c r="K516" s="130" t="s">
        <v>237</v>
      </c>
      <c r="L516" s="130" t="s">
        <v>237</v>
      </c>
      <c r="M516" s="130" t="s">
        <v>240</v>
      </c>
      <c r="N516" s="123" t="s">
        <v>31</v>
      </c>
      <c r="O516" s="61" t="s">
        <v>728</v>
      </c>
      <c r="P516" s="63" t="s">
        <v>202</v>
      </c>
      <c r="Q516" s="63"/>
      <c r="R516" s="63"/>
      <c r="S516" s="63"/>
    </row>
    <row r="517" spans="1:25" s="130" customFormat="1" hidden="1">
      <c r="A517" s="78">
        <v>98</v>
      </c>
      <c r="B517" s="130" t="s">
        <v>613</v>
      </c>
      <c r="C517" s="130" t="s">
        <v>253</v>
      </c>
      <c r="D517" s="81" t="s">
        <v>4444</v>
      </c>
      <c r="E517" s="97" t="s">
        <v>725</v>
      </c>
      <c r="F517" s="97" t="s">
        <v>726</v>
      </c>
      <c r="G517" s="130" t="s">
        <v>27</v>
      </c>
      <c r="H517" s="130" t="s">
        <v>27</v>
      </c>
      <c r="I517" s="130" t="s">
        <v>27</v>
      </c>
      <c r="J517" s="130" t="s">
        <v>616</v>
      </c>
      <c r="K517" s="130" t="s">
        <v>237</v>
      </c>
      <c r="L517" s="130" t="s">
        <v>237</v>
      </c>
      <c r="M517" s="130" t="s">
        <v>240</v>
      </c>
      <c r="N517" s="123" t="s">
        <v>31</v>
      </c>
      <c r="O517" s="61" t="s">
        <v>729</v>
      </c>
      <c r="P517" s="63" t="s">
        <v>202</v>
      </c>
      <c r="Q517" s="63"/>
      <c r="R517" s="63"/>
      <c r="S517" s="63"/>
    </row>
    <row r="518" spans="1:25">
      <c r="A518" s="38">
        <v>99</v>
      </c>
      <c r="B518" t="s">
        <v>613</v>
      </c>
      <c r="C518" t="s">
        <v>66</v>
      </c>
      <c r="D518" s="81" t="s">
        <v>4445</v>
      </c>
      <c r="E518" s="97" t="s">
        <v>668</v>
      </c>
      <c r="F518" s="97" t="s">
        <v>730</v>
      </c>
      <c r="G518" t="s">
        <v>27</v>
      </c>
      <c r="H518" t="s">
        <v>27</v>
      </c>
      <c r="I518" t="s">
        <v>27</v>
      </c>
      <c r="J518" t="s">
        <v>28</v>
      </c>
      <c r="K518" t="s">
        <v>113</v>
      </c>
      <c r="M518" s="85" t="s">
        <v>240</v>
      </c>
      <c r="N518" s="85" t="s">
        <v>62</v>
      </c>
      <c r="O518" s="60" t="s">
        <v>731</v>
      </c>
      <c r="P518" s="134" t="s">
        <v>671</v>
      </c>
      <c r="Q518" s="134" t="s">
        <v>732</v>
      </c>
      <c r="R518" s="140" t="s">
        <v>4451</v>
      </c>
      <c r="S518" s="134"/>
    </row>
    <row r="519" spans="1:25" s="130" customFormat="1" hidden="1">
      <c r="A519" s="78">
        <v>99</v>
      </c>
      <c r="B519" s="130" t="s">
        <v>613</v>
      </c>
      <c r="C519" s="130" t="s">
        <v>66</v>
      </c>
      <c r="D519" s="81" t="s">
        <v>4445</v>
      </c>
      <c r="E519" s="98" t="s">
        <v>668</v>
      </c>
      <c r="F519" s="98" t="s">
        <v>730</v>
      </c>
      <c r="G519" s="130" t="s">
        <v>27</v>
      </c>
      <c r="H519" s="130" t="s">
        <v>27</v>
      </c>
      <c r="I519" s="130" t="s">
        <v>27</v>
      </c>
      <c r="J519" s="130" t="s">
        <v>27</v>
      </c>
      <c r="K519" s="130" t="s">
        <v>113</v>
      </c>
      <c r="L519" s="130" t="s">
        <v>157</v>
      </c>
      <c r="M519" s="130" t="s">
        <v>240</v>
      </c>
      <c r="N519" s="130" t="s">
        <v>733</v>
      </c>
      <c r="O519" s="61" t="s">
        <v>734</v>
      </c>
      <c r="P519" s="131" t="s">
        <v>671</v>
      </c>
      <c r="Q519" s="131"/>
      <c r="R519" s="131"/>
      <c r="S519" s="131"/>
    </row>
    <row r="520" spans="1:25">
      <c r="A520" s="38">
        <v>99</v>
      </c>
      <c r="B520" t="s">
        <v>613</v>
      </c>
      <c r="C520" t="s">
        <v>66</v>
      </c>
      <c r="D520" s="81" t="s">
        <v>4445</v>
      </c>
      <c r="E520" s="97" t="s">
        <v>668</v>
      </c>
      <c r="F520" s="97" t="s">
        <v>730</v>
      </c>
      <c r="G520" t="s">
        <v>27</v>
      </c>
      <c r="H520" t="s">
        <v>27</v>
      </c>
      <c r="I520" t="s">
        <v>27</v>
      </c>
      <c r="J520" t="s">
        <v>28</v>
      </c>
      <c r="K520" t="s">
        <v>113</v>
      </c>
      <c r="M520" s="85" t="s">
        <v>240</v>
      </c>
      <c r="N520" s="85" t="s">
        <v>62</v>
      </c>
      <c r="O520" s="60" t="s">
        <v>735</v>
      </c>
      <c r="P520" s="134" t="s">
        <v>671</v>
      </c>
      <c r="Q520" s="134" t="s">
        <v>732</v>
      </c>
      <c r="R520" s="140" t="s">
        <v>4451</v>
      </c>
      <c r="S520" s="134"/>
    </row>
    <row r="521" spans="1:25">
      <c r="A521" s="77">
        <v>102</v>
      </c>
      <c r="B521" t="s">
        <v>111</v>
      </c>
      <c r="D521" s="81" t="s">
        <v>1589</v>
      </c>
      <c r="E521" s="97">
        <v>1</v>
      </c>
      <c r="F521" s="97" t="s">
        <v>112</v>
      </c>
      <c r="G521" t="s">
        <v>27</v>
      </c>
      <c r="H521" t="s">
        <v>28</v>
      </c>
      <c r="I521" t="s">
        <v>27</v>
      </c>
      <c r="J521" t="s">
        <v>28</v>
      </c>
      <c r="K521" t="s">
        <v>113</v>
      </c>
      <c r="M521" s="85" t="s">
        <v>28</v>
      </c>
      <c r="N521" s="85" t="s">
        <v>39</v>
      </c>
      <c r="O521" s="60" t="s">
        <v>736</v>
      </c>
      <c r="P521" s="132" t="s">
        <v>671</v>
      </c>
      <c r="Q521" s="132" t="s">
        <v>737</v>
      </c>
      <c r="R521" s="140" t="s">
        <v>4450</v>
      </c>
      <c r="S521" s="132"/>
    </row>
    <row r="522" spans="1:25">
      <c r="A522" s="77">
        <v>102</v>
      </c>
      <c r="B522" t="s">
        <v>111</v>
      </c>
      <c r="D522" s="81" t="s">
        <v>1589</v>
      </c>
      <c r="E522" s="97">
        <v>1</v>
      </c>
      <c r="F522" s="97" t="s">
        <v>112</v>
      </c>
      <c r="G522" t="s">
        <v>27</v>
      </c>
      <c r="H522" t="s">
        <v>28</v>
      </c>
      <c r="I522" t="s">
        <v>27</v>
      </c>
      <c r="J522" t="s">
        <v>28</v>
      </c>
      <c r="K522" t="s">
        <v>113</v>
      </c>
      <c r="M522" s="85" t="s">
        <v>28</v>
      </c>
      <c r="N522" s="85" t="s">
        <v>39</v>
      </c>
      <c r="O522" t="s">
        <v>738</v>
      </c>
      <c r="P522" s="132" t="s">
        <v>671</v>
      </c>
      <c r="Q522" s="132" t="s">
        <v>737</v>
      </c>
      <c r="R522" s="140" t="s">
        <v>4450</v>
      </c>
      <c r="S522" s="132"/>
    </row>
    <row r="523" spans="1:25">
      <c r="A523" s="77">
        <v>102</v>
      </c>
      <c r="B523" t="s">
        <v>111</v>
      </c>
      <c r="D523" s="81" t="s">
        <v>1589</v>
      </c>
      <c r="E523" s="97">
        <v>1</v>
      </c>
      <c r="F523" s="97" t="s">
        <v>112</v>
      </c>
      <c r="G523" t="s">
        <v>27</v>
      </c>
      <c r="H523" t="s">
        <v>28</v>
      </c>
      <c r="I523" t="s">
        <v>27</v>
      </c>
      <c r="J523" t="s">
        <v>28</v>
      </c>
      <c r="K523" t="s">
        <v>113</v>
      </c>
      <c r="M523" s="85" t="s">
        <v>28</v>
      </c>
      <c r="N523" s="85" t="s">
        <v>39</v>
      </c>
      <c r="O523" t="s">
        <v>739</v>
      </c>
      <c r="P523" s="132" t="s">
        <v>671</v>
      </c>
      <c r="Q523" s="132" t="s">
        <v>737</v>
      </c>
      <c r="R523" s="140" t="s">
        <v>4450</v>
      </c>
      <c r="S523" s="132"/>
    </row>
    <row r="524" spans="1:25">
      <c r="A524" s="77">
        <v>102</v>
      </c>
      <c r="B524" t="s">
        <v>111</v>
      </c>
      <c r="D524" s="81" t="s">
        <v>1589</v>
      </c>
      <c r="E524" s="97">
        <v>1</v>
      </c>
      <c r="F524" s="97" t="s">
        <v>112</v>
      </c>
      <c r="G524" t="s">
        <v>27</v>
      </c>
      <c r="H524" t="s">
        <v>28</v>
      </c>
      <c r="I524" t="s">
        <v>27</v>
      </c>
      <c r="J524" t="s">
        <v>28</v>
      </c>
      <c r="K524" t="s">
        <v>113</v>
      </c>
      <c r="M524" s="85" t="s">
        <v>28</v>
      </c>
      <c r="N524" s="85" t="s">
        <v>39</v>
      </c>
      <c r="O524" s="132" t="s">
        <v>740</v>
      </c>
      <c r="P524" s="132" t="s">
        <v>53</v>
      </c>
      <c r="Q524" s="132" t="s">
        <v>737</v>
      </c>
      <c r="R524" s="140" t="s">
        <v>4450</v>
      </c>
      <c r="S524" s="132"/>
    </row>
    <row r="525" spans="1:25" hidden="1">
      <c r="A525" s="78">
        <v>201</v>
      </c>
      <c r="B525" s="130" t="s">
        <v>38</v>
      </c>
      <c r="C525" s="130" t="s">
        <v>48</v>
      </c>
      <c r="D525" s="81" t="s">
        <v>4444</v>
      </c>
      <c r="E525" s="97">
        <v>2</v>
      </c>
      <c r="F525" s="97" t="s">
        <v>54</v>
      </c>
      <c r="G525" s="130" t="s">
        <v>27</v>
      </c>
      <c r="H525" s="130" t="s">
        <v>28</v>
      </c>
      <c r="I525" s="130" t="s">
        <v>28</v>
      </c>
      <c r="J525" s="130" t="s">
        <v>27</v>
      </c>
      <c r="K525" s="130" t="s">
        <v>723</v>
      </c>
      <c r="L525" s="130" t="s">
        <v>723</v>
      </c>
      <c r="M525" s="130" t="s">
        <v>28</v>
      </c>
      <c r="N525" s="130" t="s">
        <v>51</v>
      </c>
      <c r="O525" s="130" t="s">
        <v>741</v>
      </c>
      <c r="P525" s="131" t="s">
        <v>380</v>
      </c>
      <c r="Q525" s="131"/>
      <c r="R525" s="131"/>
      <c r="S525" s="131"/>
      <c r="T525" s="130"/>
      <c r="U525" s="130"/>
      <c r="V525" s="130"/>
      <c r="W525" s="130"/>
      <c r="X525" s="130"/>
      <c r="Y525" s="130"/>
    </row>
    <row r="526" spans="1:25" hidden="1">
      <c r="A526" s="78">
        <v>102</v>
      </c>
      <c r="B526" t="s">
        <v>111</v>
      </c>
      <c r="C526" s="130"/>
      <c r="D526" s="81">
        <v>0</v>
      </c>
      <c r="E526" s="97">
        <v>1</v>
      </c>
      <c r="F526" s="97" t="s">
        <v>112</v>
      </c>
      <c r="G526" s="130" t="s">
        <v>27</v>
      </c>
      <c r="H526" s="130" t="s">
        <v>28</v>
      </c>
      <c r="I526" s="130" t="s">
        <v>27</v>
      </c>
      <c r="J526" s="130" t="s">
        <v>27</v>
      </c>
      <c r="K526" s="130" t="s">
        <v>113</v>
      </c>
      <c r="L526" s="130"/>
      <c r="M526" s="130" t="s">
        <v>240</v>
      </c>
      <c r="N526" s="123" t="s">
        <v>31</v>
      </c>
      <c r="O526" s="130" t="s">
        <v>742</v>
      </c>
      <c r="P526" s="136" t="s">
        <v>130</v>
      </c>
      <c r="Q526" s="136"/>
      <c r="R526" s="136"/>
      <c r="S526" s="136"/>
      <c r="T526" s="130"/>
      <c r="U526" s="130"/>
      <c r="V526" s="130"/>
      <c r="W526" s="130"/>
      <c r="X526" s="130"/>
      <c r="Y526" s="130"/>
    </row>
    <row r="527" spans="1:25">
      <c r="A527" s="77">
        <v>103</v>
      </c>
      <c r="B527" t="s">
        <v>111</v>
      </c>
      <c r="D527" s="81" t="s">
        <v>1589</v>
      </c>
      <c r="E527" s="97">
        <v>2</v>
      </c>
      <c r="F527" s="97" t="s">
        <v>26</v>
      </c>
      <c r="G527" t="s">
        <v>27</v>
      </c>
      <c r="H527" t="s">
        <v>28</v>
      </c>
      <c r="I527" t="s">
        <v>28</v>
      </c>
      <c r="J527" t="s">
        <v>28</v>
      </c>
      <c r="K527" t="s">
        <v>113</v>
      </c>
      <c r="M527" s="85" t="s">
        <v>28</v>
      </c>
      <c r="N527" s="85" t="s">
        <v>39</v>
      </c>
      <c r="O527" t="s">
        <v>743</v>
      </c>
      <c r="P527" s="129" t="s">
        <v>744</v>
      </c>
      <c r="Q527" s="129" t="s">
        <v>745</v>
      </c>
      <c r="R527" s="140" t="s">
        <v>4450</v>
      </c>
      <c r="S527" s="129"/>
    </row>
    <row r="528" spans="1:25">
      <c r="A528" s="77">
        <v>103</v>
      </c>
      <c r="B528" t="s">
        <v>111</v>
      </c>
      <c r="D528" s="81" t="s">
        <v>1589</v>
      </c>
      <c r="E528" s="97">
        <v>2</v>
      </c>
      <c r="F528" s="97" t="s">
        <v>26</v>
      </c>
      <c r="G528" t="s">
        <v>27</v>
      </c>
      <c r="H528" t="s">
        <v>28</v>
      </c>
      <c r="I528" t="s">
        <v>28</v>
      </c>
      <c r="J528" t="s">
        <v>28</v>
      </c>
      <c r="K528" t="s">
        <v>113</v>
      </c>
      <c r="M528" s="85" t="s">
        <v>28</v>
      </c>
      <c r="N528" s="85" t="s">
        <v>39</v>
      </c>
      <c r="O528" t="s">
        <v>746</v>
      </c>
      <c r="P528" s="129" t="s">
        <v>744</v>
      </c>
      <c r="Q528" s="129" t="s">
        <v>745</v>
      </c>
      <c r="R528" s="140" t="s">
        <v>4450</v>
      </c>
      <c r="S528" s="129"/>
    </row>
    <row r="529" spans="1:25" hidden="1">
      <c r="A529" s="77">
        <v>103</v>
      </c>
      <c r="B529" t="s">
        <v>111</v>
      </c>
      <c r="D529" s="81">
        <v>0</v>
      </c>
      <c r="E529" s="97">
        <v>2</v>
      </c>
      <c r="F529" s="97" t="s">
        <v>26</v>
      </c>
      <c r="G529" t="s">
        <v>27</v>
      </c>
      <c r="H529" t="s">
        <v>28</v>
      </c>
      <c r="I529" t="s">
        <v>28</v>
      </c>
      <c r="J529" s="137" t="s">
        <v>27</v>
      </c>
      <c r="K529" s="137" t="s">
        <v>113</v>
      </c>
      <c r="L529" s="137" t="s">
        <v>747</v>
      </c>
      <c r="M529" s="137" t="s">
        <v>28</v>
      </c>
      <c r="N529" s="137" t="s">
        <v>51</v>
      </c>
      <c r="O529" s="137" t="s">
        <v>748</v>
      </c>
      <c r="P529" s="129" t="s">
        <v>744</v>
      </c>
      <c r="Q529" s="129"/>
      <c r="R529" s="129"/>
      <c r="S529" s="129"/>
    </row>
    <row r="530" spans="1:25">
      <c r="A530" s="77">
        <v>103</v>
      </c>
      <c r="B530" t="s">
        <v>111</v>
      </c>
      <c r="D530" s="81" t="s">
        <v>1589</v>
      </c>
      <c r="E530" s="97">
        <v>2</v>
      </c>
      <c r="F530" s="97" t="s">
        <v>26</v>
      </c>
      <c r="G530" t="s">
        <v>27</v>
      </c>
      <c r="H530" t="s">
        <v>28</v>
      </c>
      <c r="I530" t="s">
        <v>28</v>
      </c>
      <c r="J530" t="s">
        <v>28</v>
      </c>
      <c r="K530" t="s">
        <v>113</v>
      </c>
      <c r="M530" s="85" t="s">
        <v>28</v>
      </c>
      <c r="N530" s="85" t="s">
        <v>39</v>
      </c>
      <c r="O530" t="s">
        <v>749</v>
      </c>
      <c r="P530" s="129" t="s">
        <v>744</v>
      </c>
      <c r="Q530" s="129" t="s">
        <v>745</v>
      </c>
      <c r="R530" s="140" t="s">
        <v>4450</v>
      </c>
      <c r="S530" s="129"/>
    </row>
    <row r="531" spans="1:25" hidden="1">
      <c r="A531" s="78">
        <v>201</v>
      </c>
      <c r="B531" s="130" t="s">
        <v>38</v>
      </c>
      <c r="C531" s="130" t="s">
        <v>48</v>
      </c>
      <c r="D531" s="81" t="s">
        <v>4444</v>
      </c>
      <c r="E531" s="97">
        <v>2</v>
      </c>
      <c r="F531" s="97" t="s">
        <v>54</v>
      </c>
      <c r="G531" s="130" t="s">
        <v>27</v>
      </c>
      <c r="H531" s="130" t="s">
        <v>28</v>
      </c>
      <c r="I531" s="130" t="s">
        <v>28</v>
      </c>
      <c r="J531" s="130" t="s">
        <v>27</v>
      </c>
      <c r="K531" s="130" t="s">
        <v>723</v>
      </c>
      <c r="L531" s="130" t="s">
        <v>723</v>
      </c>
      <c r="M531" s="130" t="s">
        <v>28</v>
      </c>
      <c r="N531" s="130" t="s">
        <v>51</v>
      </c>
      <c r="O531" s="130" t="s">
        <v>750</v>
      </c>
      <c r="P531" s="131" t="s">
        <v>380</v>
      </c>
      <c r="Q531" s="131"/>
      <c r="R531" s="131"/>
      <c r="S531" s="131"/>
      <c r="T531" s="130"/>
      <c r="U531" s="130"/>
      <c r="V531" s="130"/>
      <c r="W531" s="130"/>
      <c r="X531" s="130"/>
      <c r="Y531" s="130"/>
    </row>
    <row r="532" spans="1:25" hidden="1">
      <c r="A532" s="78">
        <v>190</v>
      </c>
      <c r="B532" s="130" t="s">
        <v>38</v>
      </c>
      <c r="C532" s="130" t="s">
        <v>48</v>
      </c>
      <c r="D532" s="81" t="s">
        <v>4445</v>
      </c>
      <c r="E532" s="97">
        <v>2</v>
      </c>
      <c r="F532" s="98" t="s">
        <v>49</v>
      </c>
      <c r="G532" s="130" t="s">
        <v>27</v>
      </c>
      <c r="H532" s="130" t="s">
        <v>28</v>
      </c>
      <c r="I532" s="130" t="s">
        <v>27</v>
      </c>
      <c r="J532" s="130" t="s">
        <v>27</v>
      </c>
      <c r="K532" s="130" t="s">
        <v>29</v>
      </c>
      <c r="L532" s="130" t="s">
        <v>50</v>
      </c>
      <c r="M532" s="130" t="s">
        <v>28</v>
      </c>
      <c r="N532" s="130" t="s">
        <v>51</v>
      </c>
      <c r="O532" s="130" t="s">
        <v>751</v>
      </c>
      <c r="P532" s="136" t="s">
        <v>752</v>
      </c>
      <c r="Q532" s="136"/>
      <c r="R532" s="136"/>
      <c r="S532" s="136"/>
      <c r="T532" s="130"/>
      <c r="U532" s="130"/>
      <c r="V532" s="130"/>
      <c r="W532" s="130"/>
      <c r="X532" s="130"/>
      <c r="Y532" s="130"/>
    </row>
    <row r="533" spans="1:25" s="130" customFormat="1" hidden="1">
      <c r="A533" s="78">
        <v>182</v>
      </c>
      <c r="B533" s="130" t="s">
        <v>38</v>
      </c>
      <c r="C533" s="130" t="s">
        <v>43</v>
      </c>
      <c r="D533" s="81" t="s">
        <v>4444</v>
      </c>
      <c r="E533" s="97">
        <v>1</v>
      </c>
      <c r="F533" s="97" t="s">
        <v>26</v>
      </c>
      <c r="G533" s="130" t="s">
        <v>27</v>
      </c>
      <c r="H533" s="130" t="s">
        <v>28</v>
      </c>
      <c r="I533" s="130" t="s">
        <v>28</v>
      </c>
      <c r="J533" s="130" t="s">
        <v>27</v>
      </c>
      <c r="K533" t="s">
        <v>29</v>
      </c>
      <c r="L533" s="130" t="s">
        <v>30</v>
      </c>
      <c r="M533" s="137" t="s">
        <v>28</v>
      </c>
      <c r="N533" s="137" t="s">
        <v>51</v>
      </c>
      <c r="O533" s="130" t="s">
        <v>753</v>
      </c>
      <c r="P533" s="130" t="s">
        <v>754</v>
      </c>
    </row>
    <row r="534" spans="1:25" hidden="1">
      <c r="A534" s="78">
        <v>103</v>
      </c>
      <c r="B534" s="137" t="s">
        <v>105</v>
      </c>
      <c r="C534" s="137"/>
      <c r="D534" s="81">
        <v>0</v>
      </c>
      <c r="E534" s="97">
        <v>2</v>
      </c>
      <c r="F534" s="97" t="s">
        <v>26</v>
      </c>
      <c r="G534" s="137" t="s">
        <v>27</v>
      </c>
      <c r="H534" t="s">
        <v>28</v>
      </c>
      <c r="I534" t="s">
        <v>28</v>
      </c>
      <c r="J534" s="137" t="s">
        <v>27</v>
      </c>
      <c r="K534" t="s">
        <v>113</v>
      </c>
      <c r="L534" s="137" t="s">
        <v>105</v>
      </c>
      <c r="M534" s="130" t="s">
        <v>240</v>
      </c>
      <c r="N534" s="123" t="s">
        <v>31</v>
      </c>
      <c r="O534" s="137" t="s">
        <v>755</v>
      </c>
      <c r="P534" s="137" t="s">
        <v>353</v>
      </c>
      <c r="Q534" s="137"/>
      <c r="R534" s="137"/>
      <c r="S534" s="137"/>
      <c r="T534" s="137" t="s">
        <v>105</v>
      </c>
      <c r="U534" s="137" t="s">
        <v>105</v>
      </c>
      <c r="V534" s="137"/>
      <c r="W534" s="137"/>
      <c r="X534" s="137" t="s">
        <v>105</v>
      </c>
      <c r="Y534" s="137" t="s">
        <v>105</v>
      </c>
    </row>
    <row r="535" spans="1:25">
      <c r="A535" s="77">
        <v>103</v>
      </c>
      <c r="B535" t="s">
        <v>111</v>
      </c>
      <c r="D535" s="81" t="s">
        <v>1589</v>
      </c>
      <c r="E535" s="97">
        <v>2</v>
      </c>
      <c r="F535" s="97" t="s">
        <v>26</v>
      </c>
      <c r="G535" t="s">
        <v>27</v>
      </c>
      <c r="H535" t="s">
        <v>28</v>
      </c>
      <c r="I535" t="s">
        <v>28</v>
      </c>
      <c r="J535" t="s">
        <v>28</v>
      </c>
      <c r="K535" t="s">
        <v>113</v>
      </c>
      <c r="M535" s="85" t="s">
        <v>28</v>
      </c>
      <c r="N535" s="85" t="s">
        <v>39</v>
      </c>
      <c r="O535" t="s">
        <v>756</v>
      </c>
      <c r="P535" t="s">
        <v>353</v>
      </c>
      <c r="Q535" t="s">
        <v>745</v>
      </c>
      <c r="R535" s="140" t="s">
        <v>4450</v>
      </c>
      <c r="T535" t="s">
        <v>113</v>
      </c>
      <c r="U535">
        <v>1</v>
      </c>
      <c r="X535">
        <v>0</v>
      </c>
      <c r="Y535">
        <v>0</v>
      </c>
    </row>
    <row r="536" spans="1:25" hidden="1">
      <c r="A536" s="78">
        <v>103</v>
      </c>
      <c r="B536" s="137" t="s">
        <v>105</v>
      </c>
      <c r="C536" s="137"/>
      <c r="D536" s="81">
        <v>0</v>
      </c>
      <c r="E536" s="97">
        <v>2</v>
      </c>
      <c r="F536" s="97" t="s">
        <v>26</v>
      </c>
      <c r="G536" s="137" t="s">
        <v>27</v>
      </c>
      <c r="H536" t="s">
        <v>28</v>
      </c>
      <c r="I536" t="s">
        <v>28</v>
      </c>
      <c r="J536" s="137" t="s">
        <v>27</v>
      </c>
      <c r="K536" t="s">
        <v>113</v>
      </c>
      <c r="L536" s="137" t="s">
        <v>105</v>
      </c>
      <c r="M536" s="130" t="s">
        <v>240</v>
      </c>
      <c r="N536" s="123" t="s">
        <v>31</v>
      </c>
      <c r="O536" s="137" t="s">
        <v>757</v>
      </c>
      <c r="P536" s="137" t="s">
        <v>353</v>
      </c>
      <c r="Q536" s="137"/>
      <c r="R536" s="137"/>
      <c r="S536" s="137"/>
      <c r="T536" s="137" t="s">
        <v>105</v>
      </c>
      <c r="U536" s="137" t="s">
        <v>105</v>
      </c>
      <c r="V536" s="137"/>
      <c r="W536" s="137"/>
      <c r="X536" s="137" t="s">
        <v>105</v>
      </c>
      <c r="Y536" s="137" t="s">
        <v>105</v>
      </c>
    </row>
    <row r="537" spans="1:25" s="130" customFormat="1" hidden="1">
      <c r="A537" s="78">
        <v>182</v>
      </c>
      <c r="B537" s="130" t="s">
        <v>38</v>
      </c>
      <c r="C537" s="130" t="s">
        <v>43</v>
      </c>
      <c r="D537" s="81" t="s">
        <v>4444</v>
      </c>
      <c r="E537" s="97">
        <v>1</v>
      </c>
      <c r="F537" s="97" t="s">
        <v>26</v>
      </c>
      <c r="G537" s="130" t="s">
        <v>27</v>
      </c>
      <c r="H537" s="130" t="s">
        <v>28</v>
      </c>
      <c r="I537" s="130" t="s">
        <v>28</v>
      </c>
      <c r="J537" s="130" t="s">
        <v>27</v>
      </c>
      <c r="K537" t="s">
        <v>29</v>
      </c>
      <c r="L537" s="130" t="s">
        <v>30</v>
      </c>
      <c r="M537" s="137" t="s">
        <v>28</v>
      </c>
      <c r="N537" s="137" t="s">
        <v>51</v>
      </c>
      <c r="O537" s="130" t="s">
        <v>758</v>
      </c>
      <c r="P537" s="130" t="s">
        <v>754</v>
      </c>
    </row>
    <row r="538" spans="1:25">
      <c r="A538" s="77">
        <v>104</v>
      </c>
      <c r="B538" t="s">
        <v>111</v>
      </c>
      <c r="D538" s="81" t="s">
        <v>1589</v>
      </c>
      <c r="E538" s="97">
        <v>2</v>
      </c>
      <c r="F538" s="97" t="s">
        <v>54</v>
      </c>
      <c r="G538" t="s">
        <v>27</v>
      </c>
      <c r="H538" t="s">
        <v>28</v>
      </c>
      <c r="I538" t="s">
        <v>27</v>
      </c>
      <c r="J538" t="s">
        <v>28</v>
      </c>
      <c r="K538" t="s">
        <v>113</v>
      </c>
      <c r="M538" s="85" t="s">
        <v>28</v>
      </c>
      <c r="N538" s="85" t="s">
        <v>39</v>
      </c>
      <c r="O538" t="s">
        <v>759</v>
      </c>
      <c r="P538" s="132" t="s">
        <v>671</v>
      </c>
      <c r="Q538" s="132" t="s">
        <v>760</v>
      </c>
      <c r="R538" s="140" t="s">
        <v>4450</v>
      </c>
      <c r="S538" s="132"/>
    </row>
    <row r="539" spans="1:25">
      <c r="A539" s="77">
        <v>104</v>
      </c>
      <c r="B539" t="s">
        <v>111</v>
      </c>
      <c r="D539" s="81" t="s">
        <v>1589</v>
      </c>
      <c r="E539" s="97">
        <v>2</v>
      </c>
      <c r="F539" s="97" t="s">
        <v>54</v>
      </c>
      <c r="G539" t="s">
        <v>27</v>
      </c>
      <c r="H539" t="s">
        <v>28</v>
      </c>
      <c r="I539" t="s">
        <v>27</v>
      </c>
      <c r="J539" t="s">
        <v>28</v>
      </c>
      <c r="K539" t="s">
        <v>113</v>
      </c>
      <c r="M539" s="85" t="s">
        <v>28</v>
      </c>
      <c r="N539" s="85" t="s">
        <v>39</v>
      </c>
      <c r="O539" t="s">
        <v>761</v>
      </c>
      <c r="P539" s="132" t="s">
        <v>671</v>
      </c>
      <c r="Q539" s="132" t="s">
        <v>760</v>
      </c>
      <c r="R539" s="140" t="s">
        <v>4450</v>
      </c>
      <c r="S539" s="132"/>
    </row>
    <row r="540" spans="1:25">
      <c r="A540" s="77">
        <v>104</v>
      </c>
      <c r="B540" t="s">
        <v>111</v>
      </c>
      <c r="D540" s="81" t="s">
        <v>1589</v>
      </c>
      <c r="E540" s="97">
        <v>2</v>
      </c>
      <c r="F540" s="97" t="s">
        <v>54</v>
      </c>
      <c r="G540" t="s">
        <v>27</v>
      </c>
      <c r="H540" t="s">
        <v>28</v>
      </c>
      <c r="I540" t="s">
        <v>27</v>
      </c>
      <c r="J540" t="s">
        <v>28</v>
      </c>
      <c r="K540" t="s">
        <v>113</v>
      </c>
      <c r="M540" s="85" t="s">
        <v>28</v>
      </c>
      <c r="N540" s="85" t="s">
        <v>39</v>
      </c>
      <c r="O540" t="s">
        <v>762</v>
      </c>
      <c r="P540" s="132" t="s">
        <v>671</v>
      </c>
      <c r="Q540" s="132" t="s">
        <v>760</v>
      </c>
      <c r="R540" s="140" t="s">
        <v>4450</v>
      </c>
      <c r="S540" s="132"/>
    </row>
    <row r="541" spans="1:25" hidden="1">
      <c r="A541" s="78">
        <v>182</v>
      </c>
      <c r="B541" s="130" t="s">
        <v>38</v>
      </c>
      <c r="C541" s="130" t="s">
        <v>43</v>
      </c>
      <c r="D541" s="81" t="s">
        <v>4444</v>
      </c>
      <c r="E541" s="97">
        <v>1</v>
      </c>
      <c r="F541" s="97" t="s">
        <v>26</v>
      </c>
      <c r="G541" s="130" t="s">
        <v>27</v>
      </c>
      <c r="H541" s="130" t="s">
        <v>28</v>
      </c>
      <c r="I541" s="130" t="s">
        <v>28</v>
      </c>
      <c r="J541" s="130" t="s">
        <v>27</v>
      </c>
      <c r="K541" t="s">
        <v>29</v>
      </c>
      <c r="L541" s="130" t="s">
        <v>30</v>
      </c>
      <c r="M541" s="137" t="s">
        <v>28</v>
      </c>
      <c r="N541" s="137" t="s">
        <v>51</v>
      </c>
      <c r="O541" s="130" t="s">
        <v>763</v>
      </c>
      <c r="P541" s="130" t="s">
        <v>754</v>
      </c>
      <c r="Q541" s="130"/>
      <c r="R541" s="130"/>
      <c r="S541" s="130"/>
      <c r="T541" s="130"/>
      <c r="U541" s="130"/>
      <c r="V541" s="130"/>
      <c r="W541" s="130"/>
      <c r="X541" s="130"/>
      <c r="Y541" s="130"/>
    </row>
    <row r="542" spans="1:25" hidden="1">
      <c r="A542" s="78">
        <v>183</v>
      </c>
      <c r="B542" s="130" t="s">
        <v>38</v>
      </c>
      <c r="C542" s="130" t="s">
        <v>43</v>
      </c>
      <c r="D542" s="81" t="s">
        <v>4444</v>
      </c>
      <c r="E542" s="97">
        <v>2</v>
      </c>
      <c r="F542" s="98" t="s">
        <v>54</v>
      </c>
      <c r="G542" s="130" t="s">
        <v>27</v>
      </c>
      <c r="H542" s="130" t="s">
        <v>28</v>
      </c>
      <c r="I542" s="130" t="s">
        <v>28</v>
      </c>
      <c r="J542" s="130" t="s">
        <v>27</v>
      </c>
      <c r="K542" s="130" t="s">
        <v>29</v>
      </c>
      <c r="L542" s="130" t="s">
        <v>50</v>
      </c>
      <c r="M542" s="137" t="s">
        <v>28</v>
      </c>
      <c r="N542" s="137" t="s">
        <v>51</v>
      </c>
      <c r="O542" s="130" t="s">
        <v>764</v>
      </c>
      <c r="P542" s="130" t="s">
        <v>754</v>
      </c>
      <c r="Q542" s="130"/>
      <c r="R542" s="130"/>
      <c r="S542" s="130"/>
      <c r="T542" s="130"/>
      <c r="U542" s="130"/>
      <c r="V542" s="130"/>
      <c r="W542" s="130"/>
      <c r="X542" s="130"/>
      <c r="Y542" s="130"/>
    </row>
    <row r="543" spans="1:25" hidden="1">
      <c r="A543" s="130">
        <v>104</v>
      </c>
      <c r="B543" s="130" t="s">
        <v>111</v>
      </c>
      <c r="C543" s="130"/>
      <c r="D543" s="81">
        <v>0</v>
      </c>
      <c r="E543" s="97">
        <v>2</v>
      </c>
      <c r="F543" s="98" t="s">
        <v>54</v>
      </c>
      <c r="G543" s="130" t="s">
        <v>27</v>
      </c>
      <c r="H543" s="130" t="s">
        <v>27</v>
      </c>
      <c r="I543" s="130" t="s">
        <v>28</v>
      </c>
      <c r="J543" s="130" t="s">
        <v>27</v>
      </c>
      <c r="K543" s="130" t="s">
        <v>765</v>
      </c>
      <c r="L543" s="130" t="s">
        <v>765</v>
      </c>
      <c r="M543" s="130" t="s">
        <v>240</v>
      </c>
      <c r="N543" s="123" t="s">
        <v>31</v>
      </c>
      <c r="O543" s="130" t="s">
        <v>766</v>
      </c>
      <c r="P543" s="130" t="s">
        <v>767</v>
      </c>
      <c r="Q543" s="130"/>
      <c r="R543" s="130"/>
      <c r="S543" s="130"/>
      <c r="T543" s="130"/>
      <c r="U543" s="130"/>
      <c r="V543" s="130"/>
      <c r="W543" s="130"/>
      <c r="X543" s="130"/>
      <c r="Y543" s="130"/>
    </row>
    <row r="544" spans="1:25">
      <c r="A544" s="59">
        <v>104</v>
      </c>
      <c r="B544" t="s">
        <v>111</v>
      </c>
      <c r="D544" s="81" t="s">
        <v>1589</v>
      </c>
      <c r="E544" s="97">
        <v>2</v>
      </c>
      <c r="F544" s="97" t="s">
        <v>54</v>
      </c>
      <c r="G544" t="s">
        <v>27</v>
      </c>
      <c r="H544" t="s">
        <v>27</v>
      </c>
      <c r="I544" t="s">
        <v>28</v>
      </c>
      <c r="J544" s="81" t="s">
        <v>28</v>
      </c>
      <c r="K544" s="85" t="s">
        <v>113</v>
      </c>
      <c r="L544" s="85"/>
      <c r="M544" s="85" t="s">
        <v>28</v>
      </c>
      <c r="N544" s="85" t="s">
        <v>39</v>
      </c>
      <c r="O544" t="s">
        <v>768</v>
      </c>
      <c r="P544" t="s">
        <v>767</v>
      </c>
      <c r="Q544" t="s">
        <v>760</v>
      </c>
      <c r="R544" s="140" t="s">
        <v>4450</v>
      </c>
    </row>
    <row r="545" spans="1:25">
      <c r="A545" s="59">
        <v>104</v>
      </c>
      <c r="B545" t="s">
        <v>111</v>
      </c>
      <c r="D545" s="81" t="s">
        <v>1589</v>
      </c>
      <c r="E545" s="97">
        <v>2</v>
      </c>
      <c r="F545" s="97" t="s">
        <v>54</v>
      </c>
      <c r="G545" t="s">
        <v>27</v>
      </c>
      <c r="H545" t="s">
        <v>27</v>
      </c>
      <c r="I545" t="s">
        <v>28</v>
      </c>
      <c r="J545" s="81" t="s">
        <v>28</v>
      </c>
      <c r="K545" s="85" t="s">
        <v>113</v>
      </c>
      <c r="L545" s="85"/>
      <c r="M545" s="85" t="s">
        <v>28</v>
      </c>
      <c r="N545" s="85" t="s">
        <v>39</v>
      </c>
      <c r="O545" t="s">
        <v>769</v>
      </c>
      <c r="P545" t="s">
        <v>767</v>
      </c>
      <c r="Q545" t="s">
        <v>760</v>
      </c>
      <c r="R545" s="140" t="s">
        <v>4450</v>
      </c>
    </row>
    <row r="546" spans="1:25">
      <c r="A546" s="59">
        <v>104</v>
      </c>
      <c r="B546" t="s">
        <v>111</v>
      </c>
      <c r="D546" s="81" t="s">
        <v>1589</v>
      </c>
      <c r="E546" s="97">
        <v>2</v>
      </c>
      <c r="F546" s="97" t="s">
        <v>54</v>
      </c>
      <c r="G546" t="s">
        <v>27</v>
      </c>
      <c r="H546" t="s">
        <v>27</v>
      </c>
      <c r="I546" t="s">
        <v>28</v>
      </c>
      <c r="J546" s="81" t="s">
        <v>28</v>
      </c>
      <c r="K546" s="85" t="s">
        <v>113</v>
      </c>
      <c r="L546" s="85"/>
      <c r="M546" s="85" t="s">
        <v>28</v>
      </c>
      <c r="N546" s="85" t="s">
        <v>39</v>
      </c>
      <c r="O546" t="s">
        <v>770</v>
      </c>
      <c r="P546" t="s">
        <v>767</v>
      </c>
      <c r="Q546" t="s">
        <v>760</v>
      </c>
      <c r="R546" s="140" t="s">
        <v>4450</v>
      </c>
    </row>
    <row r="547" spans="1:25">
      <c r="A547" s="77">
        <v>105</v>
      </c>
      <c r="B547" t="s">
        <v>111</v>
      </c>
      <c r="D547" s="81" t="s">
        <v>1589</v>
      </c>
      <c r="E547" s="97">
        <v>3</v>
      </c>
      <c r="F547" s="97" t="s">
        <v>67</v>
      </c>
      <c r="G547" t="s">
        <v>27</v>
      </c>
      <c r="H547" t="s">
        <v>28</v>
      </c>
      <c r="I547" t="s">
        <v>27</v>
      </c>
      <c r="J547" t="s">
        <v>28</v>
      </c>
      <c r="K547" t="s">
        <v>113</v>
      </c>
      <c r="M547" s="85" t="s">
        <v>28</v>
      </c>
      <c r="N547" s="85" t="s">
        <v>39</v>
      </c>
      <c r="O547" t="s">
        <v>771</v>
      </c>
      <c r="P547" s="132" t="s">
        <v>671</v>
      </c>
      <c r="Q547" s="132" t="s">
        <v>772</v>
      </c>
      <c r="R547" s="140" t="s">
        <v>4450</v>
      </c>
      <c r="S547" s="132"/>
    </row>
    <row r="548" spans="1:25">
      <c r="A548" s="77">
        <v>105</v>
      </c>
      <c r="B548" t="s">
        <v>111</v>
      </c>
      <c r="D548" s="81" t="s">
        <v>1589</v>
      </c>
      <c r="E548" s="97">
        <v>3</v>
      </c>
      <c r="F548" s="97" t="s">
        <v>67</v>
      </c>
      <c r="G548" t="s">
        <v>27</v>
      </c>
      <c r="H548" t="s">
        <v>28</v>
      </c>
      <c r="I548" t="s">
        <v>27</v>
      </c>
      <c r="J548" t="s">
        <v>28</v>
      </c>
      <c r="K548" t="s">
        <v>113</v>
      </c>
      <c r="M548" s="85" t="s">
        <v>28</v>
      </c>
      <c r="N548" s="85" t="s">
        <v>39</v>
      </c>
      <c r="O548" t="s">
        <v>773</v>
      </c>
      <c r="P548" s="132" t="s">
        <v>671</v>
      </c>
      <c r="Q548" s="132" t="s">
        <v>772</v>
      </c>
      <c r="R548" s="140" t="s">
        <v>4450</v>
      </c>
      <c r="S548" s="132"/>
    </row>
    <row r="549" spans="1:25">
      <c r="A549" s="77">
        <v>105</v>
      </c>
      <c r="B549" t="s">
        <v>111</v>
      </c>
      <c r="D549" s="81" t="s">
        <v>1589</v>
      </c>
      <c r="E549" s="97">
        <v>3</v>
      </c>
      <c r="F549" s="97" t="s">
        <v>67</v>
      </c>
      <c r="G549" t="s">
        <v>27</v>
      </c>
      <c r="H549" t="s">
        <v>28</v>
      </c>
      <c r="I549" t="s">
        <v>27</v>
      </c>
      <c r="J549" t="s">
        <v>28</v>
      </c>
      <c r="K549" t="s">
        <v>113</v>
      </c>
      <c r="M549" s="85" t="s">
        <v>28</v>
      </c>
      <c r="N549" s="85" t="s">
        <v>39</v>
      </c>
      <c r="O549" t="s">
        <v>774</v>
      </c>
      <c r="P549" s="132" t="s">
        <v>671</v>
      </c>
      <c r="Q549" s="132" t="s">
        <v>772</v>
      </c>
      <c r="R549" s="140" t="s">
        <v>4450</v>
      </c>
      <c r="S549" s="132"/>
    </row>
    <row r="550" spans="1:25">
      <c r="A550" s="77">
        <v>106</v>
      </c>
      <c r="B550" t="s">
        <v>111</v>
      </c>
      <c r="D550" s="81" t="s">
        <v>1589</v>
      </c>
      <c r="E550" s="97" t="s">
        <v>614</v>
      </c>
      <c r="F550" s="97" t="s">
        <v>615</v>
      </c>
      <c r="G550" t="s">
        <v>27</v>
      </c>
      <c r="H550" t="s">
        <v>28</v>
      </c>
      <c r="I550" t="s">
        <v>28</v>
      </c>
      <c r="J550" t="s">
        <v>28</v>
      </c>
      <c r="K550" t="s">
        <v>113</v>
      </c>
      <c r="M550" s="85" t="s">
        <v>28</v>
      </c>
      <c r="N550" s="85" t="s">
        <v>39</v>
      </c>
      <c r="O550" t="s">
        <v>775</v>
      </c>
      <c r="P550" s="134" t="s">
        <v>681</v>
      </c>
      <c r="Q550" s="134" t="s">
        <v>776</v>
      </c>
      <c r="R550" s="140" t="s">
        <v>4450</v>
      </c>
      <c r="S550" s="134"/>
    </row>
    <row r="551" spans="1:25">
      <c r="A551" s="77">
        <v>106</v>
      </c>
      <c r="B551" t="s">
        <v>111</v>
      </c>
      <c r="D551" s="81" t="s">
        <v>1589</v>
      </c>
      <c r="E551" s="97" t="s">
        <v>614</v>
      </c>
      <c r="F551" s="97" t="s">
        <v>615</v>
      </c>
      <c r="G551" t="s">
        <v>27</v>
      </c>
      <c r="H551" t="s">
        <v>28</v>
      </c>
      <c r="I551" t="s">
        <v>28</v>
      </c>
      <c r="J551" t="s">
        <v>28</v>
      </c>
      <c r="K551" t="s">
        <v>113</v>
      </c>
      <c r="M551" s="85" t="s">
        <v>28</v>
      </c>
      <c r="N551" s="85" t="s">
        <v>39</v>
      </c>
      <c r="O551" t="s">
        <v>777</v>
      </c>
      <c r="P551" s="134" t="s">
        <v>681</v>
      </c>
      <c r="Q551" s="134" t="s">
        <v>776</v>
      </c>
      <c r="R551" s="140" t="s">
        <v>4450</v>
      </c>
      <c r="S551" s="134"/>
    </row>
    <row r="552" spans="1:25">
      <c r="A552" s="77">
        <v>106</v>
      </c>
      <c r="B552" t="s">
        <v>111</v>
      </c>
      <c r="D552" s="81" t="s">
        <v>1589</v>
      </c>
      <c r="E552" s="97" t="s">
        <v>614</v>
      </c>
      <c r="F552" s="97" t="s">
        <v>615</v>
      </c>
      <c r="G552" t="s">
        <v>27</v>
      </c>
      <c r="H552" t="s">
        <v>28</v>
      </c>
      <c r="I552" t="s">
        <v>28</v>
      </c>
      <c r="J552" t="s">
        <v>28</v>
      </c>
      <c r="K552" t="s">
        <v>113</v>
      </c>
      <c r="M552" s="85" t="s">
        <v>28</v>
      </c>
      <c r="N552" s="85" t="s">
        <v>39</v>
      </c>
      <c r="O552" t="s">
        <v>778</v>
      </c>
      <c r="P552" s="134" t="s">
        <v>681</v>
      </c>
      <c r="Q552" s="134" t="s">
        <v>776</v>
      </c>
      <c r="R552" s="140" t="s">
        <v>4450</v>
      </c>
      <c r="S552" s="134"/>
    </row>
    <row r="553" spans="1:25">
      <c r="A553" s="77">
        <v>107</v>
      </c>
      <c r="B553" t="s">
        <v>779</v>
      </c>
      <c r="D553" s="81" t="s">
        <v>1589</v>
      </c>
      <c r="E553" s="97" t="s">
        <v>125</v>
      </c>
      <c r="F553" s="97" t="s">
        <v>126</v>
      </c>
      <c r="G553" t="s">
        <v>27</v>
      </c>
      <c r="H553" t="s">
        <v>28</v>
      </c>
      <c r="I553" t="s">
        <v>27</v>
      </c>
      <c r="J553" t="s">
        <v>28</v>
      </c>
      <c r="K553" t="s">
        <v>113</v>
      </c>
      <c r="M553" s="85" t="s">
        <v>28</v>
      </c>
      <c r="N553" s="85" t="s">
        <v>39</v>
      </c>
      <c r="O553" t="s">
        <v>780</v>
      </c>
      <c r="P553" s="132" t="s">
        <v>671</v>
      </c>
      <c r="Q553" s="132" t="s">
        <v>781</v>
      </c>
      <c r="R553" s="140" t="s">
        <v>4449</v>
      </c>
      <c r="S553" s="132"/>
    </row>
    <row r="554" spans="1:25">
      <c r="A554" s="77">
        <v>107</v>
      </c>
      <c r="B554" t="s">
        <v>779</v>
      </c>
      <c r="D554" s="81" t="s">
        <v>1589</v>
      </c>
      <c r="E554" s="97" t="s">
        <v>125</v>
      </c>
      <c r="F554" s="97" t="s">
        <v>126</v>
      </c>
      <c r="G554" t="s">
        <v>27</v>
      </c>
      <c r="H554" t="s">
        <v>28</v>
      </c>
      <c r="I554" t="s">
        <v>27</v>
      </c>
      <c r="J554" t="s">
        <v>28</v>
      </c>
      <c r="K554" t="s">
        <v>113</v>
      </c>
      <c r="M554" s="85" t="s">
        <v>28</v>
      </c>
      <c r="N554" s="85" t="s">
        <v>39</v>
      </c>
      <c r="O554" t="s">
        <v>782</v>
      </c>
      <c r="P554" s="132" t="s">
        <v>671</v>
      </c>
      <c r="Q554" s="132" t="s">
        <v>781</v>
      </c>
      <c r="R554" s="140" t="s">
        <v>4449</v>
      </c>
      <c r="S554" s="132"/>
    </row>
    <row r="555" spans="1:25">
      <c r="A555" s="77">
        <v>107</v>
      </c>
      <c r="B555" t="s">
        <v>779</v>
      </c>
      <c r="D555" s="81" t="s">
        <v>1589</v>
      </c>
      <c r="E555" s="97" t="s">
        <v>125</v>
      </c>
      <c r="F555" s="97" t="s">
        <v>126</v>
      </c>
      <c r="G555" t="s">
        <v>27</v>
      </c>
      <c r="H555" t="s">
        <v>28</v>
      </c>
      <c r="I555" t="s">
        <v>27</v>
      </c>
      <c r="J555" t="s">
        <v>28</v>
      </c>
      <c r="K555" t="s">
        <v>113</v>
      </c>
      <c r="M555" s="85" t="s">
        <v>28</v>
      </c>
      <c r="N555" s="85" t="s">
        <v>39</v>
      </c>
      <c r="O555" t="s">
        <v>783</v>
      </c>
      <c r="P555" s="132" t="s">
        <v>671</v>
      </c>
      <c r="Q555" s="132" t="s">
        <v>781</v>
      </c>
      <c r="R555" s="140" t="s">
        <v>4449</v>
      </c>
      <c r="S555" s="132"/>
    </row>
    <row r="556" spans="1:25" hidden="1">
      <c r="A556" s="78">
        <v>12</v>
      </c>
      <c r="B556" s="130" t="s">
        <v>38</v>
      </c>
      <c r="C556" s="130" t="s">
        <v>48</v>
      </c>
      <c r="D556" s="81" t="s">
        <v>4445</v>
      </c>
      <c r="E556" s="97">
        <v>2</v>
      </c>
      <c r="F556" s="98" t="s">
        <v>49</v>
      </c>
      <c r="G556" s="130" t="s">
        <v>27</v>
      </c>
      <c r="H556" s="130" t="s">
        <v>28</v>
      </c>
      <c r="I556" s="130" t="s">
        <v>28</v>
      </c>
      <c r="J556" s="130" t="s">
        <v>27</v>
      </c>
      <c r="K556" s="130" t="s">
        <v>29</v>
      </c>
      <c r="L556" s="130" t="s">
        <v>50</v>
      </c>
      <c r="M556" s="130" t="s">
        <v>28</v>
      </c>
      <c r="N556" s="130" t="s">
        <v>51</v>
      </c>
      <c r="O556" s="130" t="s">
        <v>784</v>
      </c>
      <c r="P556" s="131" t="s">
        <v>98</v>
      </c>
      <c r="Q556" s="131"/>
      <c r="R556" s="131"/>
      <c r="S556" s="131"/>
      <c r="T556" s="130"/>
      <c r="U556" s="130"/>
      <c r="V556" s="130"/>
      <c r="W556" s="130"/>
      <c r="X556" s="130"/>
      <c r="Y556" s="130"/>
    </row>
    <row r="557" spans="1:25">
      <c r="A557" s="77">
        <v>108</v>
      </c>
      <c r="B557" t="s">
        <v>779</v>
      </c>
      <c r="D557" s="81" t="s">
        <v>1589</v>
      </c>
      <c r="E557" s="97" t="s">
        <v>136</v>
      </c>
      <c r="F557" s="97" t="s">
        <v>137</v>
      </c>
      <c r="G557" t="s">
        <v>27</v>
      </c>
      <c r="H557" t="s">
        <v>28</v>
      </c>
      <c r="I557" t="s">
        <v>27</v>
      </c>
      <c r="J557" t="s">
        <v>28</v>
      </c>
      <c r="K557" t="s">
        <v>113</v>
      </c>
      <c r="M557" s="85" t="s">
        <v>28</v>
      </c>
      <c r="N557" s="85" t="s">
        <v>39</v>
      </c>
      <c r="O557" t="s">
        <v>785</v>
      </c>
      <c r="P557" s="132" t="s">
        <v>671</v>
      </c>
      <c r="Q557" s="132" t="s">
        <v>786</v>
      </c>
      <c r="R557" s="140" t="s">
        <v>4449</v>
      </c>
      <c r="S557" s="132"/>
    </row>
    <row r="558" spans="1:25">
      <c r="A558" s="77">
        <v>108</v>
      </c>
      <c r="B558" t="s">
        <v>779</v>
      </c>
      <c r="D558" s="81" t="s">
        <v>1589</v>
      </c>
      <c r="E558" s="97" t="s">
        <v>136</v>
      </c>
      <c r="F558" s="97" t="s">
        <v>137</v>
      </c>
      <c r="G558" t="s">
        <v>27</v>
      </c>
      <c r="H558" t="s">
        <v>28</v>
      </c>
      <c r="I558" t="s">
        <v>27</v>
      </c>
      <c r="J558" t="s">
        <v>28</v>
      </c>
      <c r="K558" t="s">
        <v>113</v>
      </c>
      <c r="M558" s="85" t="s">
        <v>28</v>
      </c>
      <c r="N558" s="85" t="s">
        <v>39</v>
      </c>
      <c r="O558" t="s">
        <v>787</v>
      </c>
      <c r="P558" s="132" t="s">
        <v>671</v>
      </c>
      <c r="Q558" s="132" t="s">
        <v>786</v>
      </c>
      <c r="R558" s="140" t="s">
        <v>4449</v>
      </c>
      <c r="S558" s="132"/>
    </row>
    <row r="559" spans="1:25">
      <c r="A559" s="77">
        <v>108</v>
      </c>
      <c r="B559" t="s">
        <v>779</v>
      </c>
      <c r="D559" s="81" t="s">
        <v>1589</v>
      </c>
      <c r="E559" s="97" t="s">
        <v>136</v>
      </c>
      <c r="F559" s="97" t="s">
        <v>137</v>
      </c>
      <c r="G559" t="s">
        <v>27</v>
      </c>
      <c r="H559" t="s">
        <v>28</v>
      </c>
      <c r="I559" t="s">
        <v>27</v>
      </c>
      <c r="J559" t="s">
        <v>28</v>
      </c>
      <c r="K559" t="s">
        <v>113</v>
      </c>
      <c r="M559" s="85" t="s">
        <v>28</v>
      </c>
      <c r="N559" s="85" t="s">
        <v>39</v>
      </c>
      <c r="O559" t="s">
        <v>788</v>
      </c>
      <c r="P559" t="s">
        <v>173</v>
      </c>
      <c r="Q559" t="s">
        <v>789</v>
      </c>
      <c r="R559" s="140" t="s">
        <v>4449</v>
      </c>
    </row>
    <row r="560" spans="1:25">
      <c r="A560" s="77">
        <v>108</v>
      </c>
      <c r="B560" t="s">
        <v>779</v>
      </c>
      <c r="D560" s="81" t="s">
        <v>1589</v>
      </c>
      <c r="E560" s="97" t="s">
        <v>136</v>
      </c>
      <c r="F560" s="97" t="s">
        <v>137</v>
      </c>
      <c r="G560" t="s">
        <v>27</v>
      </c>
      <c r="H560" t="s">
        <v>28</v>
      </c>
      <c r="I560" t="s">
        <v>27</v>
      </c>
      <c r="J560" t="s">
        <v>28</v>
      </c>
      <c r="K560" t="s">
        <v>113</v>
      </c>
      <c r="M560" s="85" t="s">
        <v>28</v>
      </c>
      <c r="N560" s="85" t="s">
        <v>39</v>
      </c>
      <c r="O560" t="s">
        <v>790</v>
      </c>
      <c r="P560" t="s">
        <v>173</v>
      </c>
      <c r="Q560" t="s">
        <v>789</v>
      </c>
      <c r="R560" s="140" t="s">
        <v>4449</v>
      </c>
    </row>
    <row r="561" spans="1:19">
      <c r="A561" s="77">
        <v>108</v>
      </c>
      <c r="B561" t="s">
        <v>779</v>
      </c>
      <c r="D561" s="81" t="s">
        <v>1589</v>
      </c>
      <c r="E561" s="97" t="s">
        <v>136</v>
      </c>
      <c r="F561" s="97" t="s">
        <v>137</v>
      </c>
      <c r="G561" t="s">
        <v>27</v>
      </c>
      <c r="H561" t="s">
        <v>28</v>
      </c>
      <c r="I561" t="s">
        <v>27</v>
      </c>
      <c r="J561" t="s">
        <v>28</v>
      </c>
      <c r="K561" t="s">
        <v>113</v>
      </c>
      <c r="M561" s="85" t="s">
        <v>28</v>
      </c>
      <c r="N561" s="85" t="s">
        <v>39</v>
      </c>
      <c r="O561" t="s">
        <v>791</v>
      </c>
      <c r="P561" t="s">
        <v>173</v>
      </c>
      <c r="Q561" t="s">
        <v>789</v>
      </c>
      <c r="R561" s="140" t="s">
        <v>4449</v>
      </c>
    </row>
    <row r="562" spans="1:19">
      <c r="A562" s="77">
        <v>108</v>
      </c>
      <c r="B562" t="s">
        <v>779</v>
      </c>
      <c r="D562" s="81" t="s">
        <v>1589</v>
      </c>
      <c r="E562" s="97" t="s">
        <v>136</v>
      </c>
      <c r="F562" s="97" t="s">
        <v>137</v>
      </c>
      <c r="G562" t="s">
        <v>27</v>
      </c>
      <c r="H562" t="s">
        <v>28</v>
      </c>
      <c r="I562" t="s">
        <v>27</v>
      </c>
      <c r="J562" t="s">
        <v>28</v>
      </c>
      <c r="K562" t="s">
        <v>113</v>
      </c>
      <c r="M562" s="85" t="s">
        <v>28</v>
      </c>
      <c r="N562" s="85" t="s">
        <v>39</v>
      </c>
      <c r="O562" t="s">
        <v>792</v>
      </c>
      <c r="P562" t="s">
        <v>173</v>
      </c>
      <c r="Q562" t="s">
        <v>789</v>
      </c>
      <c r="R562" s="140" t="s">
        <v>4449</v>
      </c>
    </row>
    <row r="563" spans="1:19">
      <c r="A563" s="77">
        <v>108</v>
      </c>
      <c r="B563" t="s">
        <v>779</v>
      </c>
      <c r="D563" s="81" t="s">
        <v>1589</v>
      </c>
      <c r="E563" s="97" t="s">
        <v>136</v>
      </c>
      <c r="F563" s="97" t="s">
        <v>137</v>
      </c>
      <c r="G563" t="s">
        <v>27</v>
      </c>
      <c r="H563" t="s">
        <v>28</v>
      </c>
      <c r="I563" t="s">
        <v>27</v>
      </c>
      <c r="J563" t="s">
        <v>28</v>
      </c>
      <c r="K563" t="s">
        <v>113</v>
      </c>
      <c r="M563" s="85" t="s">
        <v>28</v>
      </c>
      <c r="N563" s="85" t="s">
        <v>39</v>
      </c>
      <c r="O563" t="s">
        <v>793</v>
      </c>
      <c r="P563" t="s">
        <v>173</v>
      </c>
      <c r="Q563" t="s">
        <v>789</v>
      </c>
      <c r="R563" s="140" t="s">
        <v>4449</v>
      </c>
    </row>
    <row r="564" spans="1:19">
      <c r="A564" s="77">
        <v>109</v>
      </c>
      <c r="B564" t="s">
        <v>111</v>
      </c>
      <c r="D564" s="81" t="s">
        <v>1589</v>
      </c>
      <c r="E564" s="97">
        <v>3</v>
      </c>
      <c r="F564" s="97" t="s">
        <v>74</v>
      </c>
      <c r="G564" t="s">
        <v>27</v>
      </c>
      <c r="H564" t="s">
        <v>28</v>
      </c>
      <c r="I564" t="s">
        <v>27</v>
      </c>
      <c r="J564" t="s">
        <v>28</v>
      </c>
      <c r="K564" t="s">
        <v>113</v>
      </c>
      <c r="M564" s="85" t="s">
        <v>28</v>
      </c>
      <c r="N564" s="85" t="s">
        <v>39</v>
      </c>
      <c r="O564" t="s">
        <v>794</v>
      </c>
      <c r="P564" s="132" t="s">
        <v>671</v>
      </c>
      <c r="Q564" s="132" t="s">
        <v>795</v>
      </c>
      <c r="R564" s="140" t="s">
        <v>4450</v>
      </c>
      <c r="S564" s="132"/>
    </row>
    <row r="565" spans="1:19">
      <c r="A565" s="77">
        <v>109</v>
      </c>
      <c r="B565" t="s">
        <v>111</v>
      </c>
      <c r="D565" s="81" t="s">
        <v>1589</v>
      </c>
      <c r="E565" s="97">
        <v>3</v>
      </c>
      <c r="F565" s="97" t="s">
        <v>74</v>
      </c>
      <c r="G565" t="s">
        <v>27</v>
      </c>
      <c r="H565" t="s">
        <v>28</v>
      </c>
      <c r="I565" t="s">
        <v>27</v>
      </c>
      <c r="J565" t="s">
        <v>28</v>
      </c>
      <c r="K565" t="s">
        <v>113</v>
      </c>
      <c r="M565" s="85" t="s">
        <v>28</v>
      </c>
      <c r="N565" s="85" t="s">
        <v>39</v>
      </c>
      <c r="O565" t="s">
        <v>796</v>
      </c>
      <c r="P565" s="132" t="s">
        <v>671</v>
      </c>
      <c r="Q565" s="132" t="s">
        <v>795</v>
      </c>
      <c r="R565" s="140" t="s">
        <v>4450</v>
      </c>
      <c r="S565" s="132"/>
    </row>
    <row r="566" spans="1:19">
      <c r="A566" s="77">
        <v>109</v>
      </c>
      <c r="B566" t="s">
        <v>111</v>
      </c>
      <c r="D566" s="81" t="s">
        <v>1589</v>
      </c>
      <c r="E566" s="97">
        <v>3</v>
      </c>
      <c r="F566" s="97" t="s">
        <v>74</v>
      </c>
      <c r="G566" t="s">
        <v>27</v>
      </c>
      <c r="H566" t="s">
        <v>28</v>
      </c>
      <c r="I566" t="s">
        <v>27</v>
      </c>
      <c r="J566" t="s">
        <v>28</v>
      </c>
      <c r="K566" t="s">
        <v>113</v>
      </c>
      <c r="M566" s="85" t="s">
        <v>28</v>
      </c>
      <c r="N566" s="85" t="s">
        <v>39</v>
      </c>
      <c r="O566" t="s">
        <v>797</v>
      </c>
      <c r="P566" s="132" t="s">
        <v>671</v>
      </c>
      <c r="Q566" s="132" t="s">
        <v>795</v>
      </c>
      <c r="R566" s="140" t="s">
        <v>4450</v>
      </c>
      <c r="S566" s="132"/>
    </row>
    <row r="567" spans="1:19">
      <c r="A567" s="77">
        <v>110</v>
      </c>
      <c r="B567" t="s">
        <v>111</v>
      </c>
      <c r="D567" s="81" t="s">
        <v>1589</v>
      </c>
      <c r="E567" s="97">
        <v>3</v>
      </c>
      <c r="F567" s="97" t="s">
        <v>180</v>
      </c>
      <c r="G567" t="s">
        <v>27</v>
      </c>
      <c r="H567" t="s">
        <v>28</v>
      </c>
      <c r="I567" t="s">
        <v>27</v>
      </c>
      <c r="J567" t="s">
        <v>28</v>
      </c>
      <c r="K567" t="s">
        <v>113</v>
      </c>
      <c r="M567" s="85" t="s">
        <v>28</v>
      </c>
      <c r="N567" s="85" t="s">
        <v>39</v>
      </c>
      <c r="O567" t="s">
        <v>798</v>
      </c>
      <c r="P567" s="132" t="s">
        <v>671</v>
      </c>
      <c r="Q567" s="132" t="s">
        <v>799</v>
      </c>
      <c r="R567" s="140" t="s">
        <v>4450</v>
      </c>
      <c r="S567" s="132"/>
    </row>
    <row r="568" spans="1:19">
      <c r="A568" s="77">
        <v>110</v>
      </c>
      <c r="B568" t="s">
        <v>111</v>
      </c>
      <c r="D568" s="81" t="s">
        <v>1589</v>
      </c>
      <c r="E568" s="97">
        <v>3</v>
      </c>
      <c r="F568" s="97" t="s">
        <v>180</v>
      </c>
      <c r="G568" t="s">
        <v>27</v>
      </c>
      <c r="H568" t="s">
        <v>28</v>
      </c>
      <c r="I568" t="s">
        <v>27</v>
      </c>
      <c r="J568" t="s">
        <v>28</v>
      </c>
      <c r="K568" t="s">
        <v>113</v>
      </c>
      <c r="M568" s="85" t="s">
        <v>28</v>
      </c>
      <c r="N568" s="85" t="s">
        <v>39</v>
      </c>
      <c r="O568" t="s">
        <v>800</v>
      </c>
      <c r="P568" s="132" t="s">
        <v>671</v>
      </c>
      <c r="Q568" s="132" t="s">
        <v>799</v>
      </c>
      <c r="R568" s="140" t="s">
        <v>4450</v>
      </c>
      <c r="S568" s="132"/>
    </row>
    <row r="569" spans="1:19">
      <c r="A569" s="77">
        <v>110</v>
      </c>
      <c r="B569" t="s">
        <v>111</v>
      </c>
      <c r="D569" s="81" t="s">
        <v>1589</v>
      </c>
      <c r="E569" s="97">
        <v>3</v>
      </c>
      <c r="F569" s="97" t="s">
        <v>180</v>
      </c>
      <c r="G569" t="s">
        <v>27</v>
      </c>
      <c r="H569" t="s">
        <v>28</v>
      </c>
      <c r="I569" t="s">
        <v>27</v>
      </c>
      <c r="J569" t="s">
        <v>28</v>
      </c>
      <c r="K569" t="s">
        <v>113</v>
      </c>
      <c r="M569" s="85" t="s">
        <v>28</v>
      </c>
      <c r="N569" s="85" t="s">
        <v>39</v>
      </c>
      <c r="O569" t="s">
        <v>801</v>
      </c>
      <c r="P569" s="132" t="s">
        <v>671</v>
      </c>
      <c r="Q569" s="132" t="s">
        <v>799</v>
      </c>
      <c r="R569" s="140" t="s">
        <v>4450</v>
      </c>
      <c r="S569" s="132"/>
    </row>
    <row r="570" spans="1:19">
      <c r="A570" s="38">
        <v>126</v>
      </c>
      <c r="B570" s="13" t="s">
        <v>359</v>
      </c>
      <c r="D570" s="81" t="s">
        <v>4444</v>
      </c>
      <c r="E570" s="97" t="s">
        <v>350</v>
      </c>
      <c r="F570" s="97" t="s">
        <v>802</v>
      </c>
      <c r="G570" t="s">
        <v>27</v>
      </c>
      <c r="H570" t="s">
        <v>27</v>
      </c>
      <c r="I570" t="s">
        <v>27</v>
      </c>
      <c r="J570" t="s">
        <v>28</v>
      </c>
      <c r="K570" t="s">
        <v>29</v>
      </c>
      <c r="M570" s="85" t="s">
        <v>240</v>
      </c>
      <c r="N570" s="85" t="s">
        <v>62</v>
      </c>
      <c r="O570" t="s">
        <v>803</v>
      </c>
      <c r="P570" s="132" t="s">
        <v>804</v>
      </c>
      <c r="Q570" s="132" t="s">
        <v>805</v>
      </c>
      <c r="R570" s="140" t="s">
        <v>4464</v>
      </c>
      <c r="S570" s="132"/>
    </row>
    <row r="571" spans="1:19">
      <c r="A571" s="38">
        <v>126</v>
      </c>
      <c r="B571" s="13" t="s">
        <v>359</v>
      </c>
      <c r="D571" s="81" t="s">
        <v>4444</v>
      </c>
      <c r="E571" s="97" t="s">
        <v>350</v>
      </c>
      <c r="F571" s="97" t="s">
        <v>802</v>
      </c>
      <c r="G571" t="s">
        <v>27</v>
      </c>
      <c r="H571" t="s">
        <v>27</v>
      </c>
      <c r="I571" t="s">
        <v>27</v>
      </c>
      <c r="J571" t="s">
        <v>28</v>
      </c>
      <c r="K571" t="s">
        <v>29</v>
      </c>
      <c r="M571" s="85" t="s">
        <v>240</v>
      </c>
      <c r="N571" s="85" t="s">
        <v>62</v>
      </c>
      <c r="O571" t="s">
        <v>806</v>
      </c>
      <c r="P571" s="132" t="s">
        <v>804</v>
      </c>
      <c r="Q571" s="132" t="s">
        <v>805</v>
      </c>
      <c r="R571" s="140" t="s">
        <v>4464</v>
      </c>
      <c r="S571" s="132"/>
    </row>
    <row r="572" spans="1:19">
      <c r="A572" s="38">
        <v>126</v>
      </c>
      <c r="B572" s="13" t="s">
        <v>359</v>
      </c>
      <c r="D572" s="81" t="s">
        <v>4444</v>
      </c>
      <c r="E572" s="97" t="s">
        <v>350</v>
      </c>
      <c r="F572" s="97" t="s">
        <v>802</v>
      </c>
      <c r="G572" t="s">
        <v>27</v>
      </c>
      <c r="H572" t="s">
        <v>27</v>
      </c>
      <c r="I572" t="s">
        <v>27</v>
      </c>
      <c r="J572" t="s">
        <v>28</v>
      </c>
      <c r="K572" t="s">
        <v>29</v>
      </c>
      <c r="M572" s="85" t="s">
        <v>240</v>
      </c>
      <c r="N572" s="85" t="s">
        <v>62</v>
      </c>
      <c r="O572" t="s">
        <v>807</v>
      </c>
      <c r="P572" s="132" t="s">
        <v>804</v>
      </c>
      <c r="Q572" s="132" t="s">
        <v>805</v>
      </c>
      <c r="R572" s="140" t="s">
        <v>4464</v>
      </c>
      <c r="S572" s="132"/>
    </row>
    <row r="573" spans="1:19">
      <c r="A573" s="38">
        <v>129</v>
      </c>
      <c r="B573" s="13" t="s">
        <v>359</v>
      </c>
      <c r="D573" s="81" t="s">
        <v>4445</v>
      </c>
      <c r="E573" s="97" t="s">
        <v>614</v>
      </c>
      <c r="F573" s="97" t="s">
        <v>808</v>
      </c>
      <c r="G573" t="s">
        <v>28</v>
      </c>
      <c r="H573" t="s">
        <v>27</v>
      </c>
      <c r="I573" t="s">
        <v>27</v>
      </c>
      <c r="J573" t="s">
        <v>28</v>
      </c>
      <c r="K573" t="s">
        <v>29</v>
      </c>
      <c r="M573" s="85" t="s">
        <v>240</v>
      </c>
      <c r="N573" s="85" t="s">
        <v>62</v>
      </c>
      <c r="O573" t="s">
        <v>809</v>
      </c>
      <c r="P573" s="132" t="s">
        <v>217</v>
      </c>
      <c r="Q573" s="132" t="s">
        <v>810</v>
      </c>
      <c r="R573" s="140" t="s">
        <v>4463</v>
      </c>
      <c r="S573" s="132"/>
    </row>
    <row r="574" spans="1:19">
      <c r="A574" s="38">
        <v>129</v>
      </c>
      <c r="B574" s="13" t="s">
        <v>359</v>
      </c>
      <c r="D574" s="81" t="s">
        <v>4445</v>
      </c>
      <c r="E574" s="97" t="s">
        <v>614</v>
      </c>
      <c r="F574" s="97" t="s">
        <v>808</v>
      </c>
      <c r="G574" t="s">
        <v>28</v>
      </c>
      <c r="H574" t="s">
        <v>27</v>
      </c>
      <c r="I574" t="s">
        <v>27</v>
      </c>
      <c r="J574" t="s">
        <v>28</v>
      </c>
      <c r="K574" t="s">
        <v>29</v>
      </c>
      <c r="M574" s="85" t="s">
        <v>240</v>
      </c>
      <c r="N574" s="85" t="s">
        <v>62</v>
      </c>
      <c r="O574" t="s">
        <v>811</v>
      </c>
      <c r="P574" s="132" t="s">
        <v>217</v>
      </c>
      <c r="Q574" s="132" t="s">
        <v>810</v>
      </c>
      <c r="R574" s="140" t="s">
        <v>4463</v>
      </c>
      <c r="S574" s="132"/>
    </row>
    <row r="575" spans="1:19">
      <c r="A575" s="38">
        <v>129</v>
      </c>
      <c r="B575" s="13" t="s">
        <v>359</v>
      </c>
      <c r="D575" s="81" t="s">
        <v>4445</v>
      </c>
      <c r="E575" s="97" t="s">
        <v>614</v>
      </c>
      <c r="F575" s="97" t="s">
        <v>808</v>
      </c>
      <c r="G575" t="s">
        <v>28</v>
      </c>
      <c r="H575" t="s">
        <v>27</v>
      </c>
      <c r="I575" t="s">
        <v>27</v>
      </c>
      <c r="J575" t="s">
        <v>28</v>
      </c>
      <c r="K575" t="s">
        <v>29</v>
      </c>
      <c r="M575" s="85" t="s">
        <v>240</v>
      </c>
      <c r="N575" s="85" t="s">
        <v>62</v>
      </c>
      <c r="O575" t="s">
        <v>812</v>
      </c>
      <c r="P575" s="132" t="s">
        <v>217</v>
      </c>
      <c r="Q575" s="132" t="s">
        <v>810</v>
      </c>
      <c r="R575" s="140" t="s">
        <v>4463</v>
      </c>
      <c r="S575" s="132"/>
    </row>
    <row r="576" spans="1:19">
      <c r="A576" s="38">
        <v>129</v>
      </c>
      <c r="B576" s="13" t="s">
        <v>359</v>
      </c>
      <c r="D576" s="81" t="s">
        <v>4445</v>
      </c>
      <c r="E576" s="97" t="s">
        <v>614</v>
      </c>
      <c r="F576" s="97" t="s">
        <v>808</v>
      </c>
      <c r="G576" t="s">
        <v>28</v>
      </c>
      <c r="H576" t="s">
        <v>27</v>
      </c>
      <c r="I576" t="s">
        <v>27</v>
      </c>
      <c r="J576" t="s">
        <v>28</v>
      </c>
      <c r="K576" t="s">
        <v>29</v>
      </c>
      <c r="M576" s="85" t="s">
        <v>240</v>
      </c>
      <c r="N576" s="85" t="s">
        <v>62</v>
      </c>
      <c r="O576" t="s">
        <v>813</v>
      </c>
      <c r="P576" s="132" t="s">
        <v>217</v>
      </c>
      <c r="Q576" s="132" t="s">
        <v>810</v>
      </c>
      <c r="R576" s="140" t="s">
        <v>4463</v>
      </c>
      <c r="S576" s="132"/>
    </row>
    <row r="577" spans="1:19">
      <c r="A577" s="38">
        <v>129</v>
      </c>
      <c r="B577" s="13" t="s">
        <v>359</v>
      </c>
      <c r="D577" s="81" t="s">
        <v>4445</v>
      </c>
      <c r="E577" s="97" t="s">
        <v>614</v>
      </c>
      <c r="F577" s="97" t="s">
        <v>808</v>
      </c>
      <c r="G577" t="s">
        <v>28</v>
      </c>
      <c r="H577" t="s">
        <v>27</v>
      </c>
      <c r="I577" t="s">
        <v>27</v>
      </c>
      <c r="J577" t="s">
        <v>28</v>
      </c>
      <c r="K577" t="s">
        <v>29</v>
      </c>
      <c r="M577" s="85" t="s">
        <v>240</v>
      </c>
      <c r="N577" s="85" t="s">
        <v>62</v>
      </c>
      <c r="O577" t="s">
        <v>814</v>
      </c>
      <c r="P577" s="132" t="s">
        <v>217</v>
      </c>
      <c r="Q577" s="132" t="s">
        <v>810</v>
      </c>
      <c r="R577" s="140" t="s">
        <v>4463</v>
      </c>
      <c r="S577" s="132"/>
    </row>
    <row r="578" spans="1:19">
      <c r="A578" s="38">
        <v>130</v>
      </c>
      <c r="B578" s="13" t="s">
        <v>359</v>
      </c>
      <c r="D578" s="81" t="s">
        <v>4444</v>
      </c>
      <c r="E578" s="97" t="s">
        <v>350</v>
      </c>
      <c r="F578" s="97" t="s">
        <v>351</v>
      </c>
      <c r="G578" t="s">
        <v>27</v>
      </c>
      <c r="H578" t="s">
        <v>27</v>
      </c>
      <c r="I578" t="s">
        <v>27</v>
      </c>
      <c r="J578" t="s">
        <v>28</v>
      </c>
      <c r="K578" t="s">
        <v>29</v>
      </c>
      <c r="M578" s="85" t="s">
        <v>240</v>
      </c>
      <c r="N578" s="85" t="s">
        <v>62</v>
      </c>
      <c r="O578" t="s">
        <v>815</v>
      </c>
      <c r="P578" s="1" t="s">
        <v>202</v>
      </c>
      <c r="Q578" s="1" t="s">
        <v>816</v>
      </c>
      <c r="R578" s="140" t="s">
        <v>4464</v>
      </c>
      <c r="S578" s="1"/>
    </row>
    <row r="579" spans="1:19">
      <c r="A579" s="38">
        <v>130</v>
      </c>
      <c r="B579" s="13" t="s">
        <v>359</v>
      </c>
      <c r="D579" s="81" t="s">
        <v>4444</v>
      </c>
      <c r="E579" s="97" t="s">
        <v>350</v>
      </c>
      <c r="F579" s="97" t="s">
        <v>351</v>
      </c>
      <c r="G579" t="s">
        <v>27</v>
      </c>
      <c r="H579" t="s">
        <v>27</v>
      </c>
      <c r="I579" t="s">
        <v>27</v>
      </c>
      <c r="J579" t="s">
        <v>28</v>
      </c>
      <c r="K579" t="s">
        <v>29</v>
      </c>
      <c r="M579" s="85" t="s">
        <v>240</v>
      </c>
      <c r="N579" s="85" t="s">
        <v>62</v>
      </c>
      <c r="O579" t="s">
        <v>817</v>
      </c>
      <c r="P579" s="1" t="s">
        <v>202</v>
      </c>
      <c r="Q579" s="1" t="s">
        <v>816</v>
      </c>
      <c r="R579" s="140" t="s">
        <v>4464</v>
      </c>
      <c r="S579" s="1"/>
    </row>
    <row r="580" spans="1:19">
      <c r="A580" s="38">
        <v>130</v>
      </c>
      <c r="B580" s="13" t="s">
        <v>359</v>
      </c>
      <c r="D580" s="81" t="s">
        <v>4444</v>
      </c>
      <c r="E580" s="97" t="s">
        <v>350</v>
      </c>
      <c r="F580" s="97" t="s">
        <v>351</v>
      </c>
      <c r="G580" t="s">
        <v>27</v>
      </c>
      <c r="H580" t="s">
        <v>27</v>
      </c>
      <c r="I580" t="s">
        <v>27</v>
      </c>
      <c r="J580" t="s">
        <v>28</v>
      </c>
      <c r="K580" t="s">
        <v>29</v>
      </c>
      <c r="M580" s="85" t="s">
        <v>240</v>
      </c>
      <c r="N580" s="85" t="s">
        <v>62</v>
      </c>
      <c r="O580" t="s">
        <v>818</v>
      </c>
      <c r="P580" s="1" t="s">
        <v>202</v>
      </c>
      <c r="Q580" s="1" t="s">
        <v>816</v>
      </c>
      <c r="R580" s="140" t="s">
        <v>4464</v>
      </c>
      <c r="S580" s="1"/>
    </row>
    <row r="581" spans="1:19" s="130" customFormat="1">
      <c r="A581" s="78">
        <v>131</v>
      </c>
      <c r="B581" s="15" t="s">
        <v>359</v>
      </c>
      <c r="D581" s="81" t="s">
        <v>4445</v>
      </c>
      <c r="E581" s="98" t="s">
        <v>614</v>
      </c>
      <c r="F581" s="98" t="s">
        <v>615</v>
      </c>
      <c r="G581" s="130" t="s">
        <v>27</v>
      </c>
      <c r="H581" s="130" t="s">
        <v>27</v>
      </c>
      <c r="I581" s="130" t="s">
        <v>27</v>
      </c>
      <c r="J581" s="130" t="s">
        <v>28</v>
      </c>
      <c r="K581" s="130" t="s">
        <v>29</v>
      </c>
      <c r="M581" s="130" t="s">
        <v>240</v>
      </c>
      <c r="N581" s="130" t="s">
        <v>62</v>
      </c>
      <c r="O581" s="130" t="s">
        <v>819</v>
      </c>
      <c r="P581" s="63" t="s">
        <v>202</v>
      </c>
      <c r="Q581" s="63" t="s">
        <v>820</v>
      </c>
      <c r="R581" s="140" t="s">
        <v>4463</v>
      </c>
      <c r="S581" s="63"/>
    </row>
    <row r="582" spans="1:19">
      <c r="A582" s="38">
        <v>131</v>
      </c>
      <c r="B582" s="13" t="s">
        <v>359</v>
      </c>
      <c r="D582" s="81" t="s">
        <v>4445</v>
      </c>
      <c r="E582" s="97" t="s">
        <v>614</v>
      </c>
      <c r="F582" s="97" t="s">
        <v>615</v>
      </c>
      <c r="G582" t="s">
        <v>27</v>
      </c>
      <c r="H582" t="s">
        <v>27</v>
      </c>
      <c r="I582" t="s">
        <v>27</v>
      </c>
      <c r="J582" t="s">
        <v>28</v>
      </c>
      <c r="K582" t="s">
        <v>29</v>
      </c>
      <c r="M582" s="85" t="s">
        <v>240</v>
      </c>
      <c r="N582" s="85" t="s">
        <v>62</v>
      </c>
      <c r="O582" t="s">
        <v>821</v>
      </c>
      <c r="P582" s="1" t="s">
        <v>202</v>
      </c>
      <c r="Q582" s="1" t="s">
        <v>820</v>
      </c>
      <c r="R582" s="140" t="s">
        <v>4463</v>
      </c>
      <c r="S582" s="1"/>
    </row>
    <row r="583" spans="1:19">
      <c r="A583" s="38">
        <v>131</v>
      </c>
      <c r="B583" s="13" t="s">
        <v>359</v>
      </c>
      <c r="D583" s="81" t="s">
        <v>4445</v>
      </c>
      <c r="E583" s="97" t="s">
        <v>614</v>
      </c>
      <c r="F583" s="97" t="s">
        <v>615</v>
      </c>
      <c r="G583" t="s">
        <v>27</v>
      </c>
      <c r="H583" t="s">
        <v>27</v>
      </c>
      <c r="I583" t="s">
        <v>27</v>
      </c>
      <c r="J583" t="s">
        <v>28</v>
      </c>
      <c r="K583" t="s">
        <v>29</v>
      </c>
      <c r="M583" s="85" t="s">
        <v>240</v>
      </c>
      <c r="N583" s="85" t="s">
        <v>62</v>
      </c>
      <c r="O583" t="s">
        <v>822</v>
      </c>
      <c r="P583" s="1" t="s">
        <v>202</v>
      </c>
      <c r="Q583" s="1" t="s">
        <v>820</v>
      </c>
      <c r="R583" s="140" t="s">
        <v>4463</v>
      </c>
      <c r="S583" s="1"/>
    </row>
    <row r="584" spans="1:19" hidden="1">
      <c r="A584" s="38">
        <v>132</v>
      </c>
      <c r="B584" t="s">
        <v>234</v>
      </c>
      <c r="D584" s="81">
        <v>0</v>
      </c>
      <c r="E584" s="97">
        <v>1</v>
      </c>
      <c r="F584" s="97" t="s">
        <v>823</v>
      </c>
      <c r="G584" t="s">
        <v>27</v>
      </c>
      <c r="H584" t="s">
        <v>27</v>
      </c>
      <c r="I584" t="s">
        <v>27</v>
      </c>
      <c r="J584" s="137" t="s">
        <v>27</v>
      </c>
      <c r="K584" s="130" t="s">
        <v>237</v>
      </c>
      <c r="L584" s="130" t="s">
        <v>237</v>
      </c>
      <c r="M584" s="130" t="s">
        <v>240</v>
      </c>
      <c r="N584" s="123" t="s">
        <v>31</v>
      </c>
      <c r="O584" t="s">
        <v>824</v>
      </c>
      <c r="P584" s="134" t="s">
        <v>475</v>
      </c>
      <c r="Q584" s="134"/>
      <c r="R584" s="134"/>
      <c r="S584" s="134"/>
    </row>
    <row r="585" spans="1:19" hidden="1">
      <c r="A585" s="38">
        <v>132</v>
      </c>
      <c r="B585" t="s">
        <v>234</v>
      </c>
      <c r="D585" s="81">
        <v>0</v>
      </c>
      <c r="E585" s="97">
        <v>1</v>
      </c>
      <c r="F585" s="97" t="s">
        <v>823</v>
      </c>
      <c r="G585" t="s">
        <v>27</v>
      </c>
      <c r="H585" t="s">
        <v>27</v>
      </c>
      <c r="I585" t="s">
        <v>27</v>
      </c>
      <c r="J585" s="137" t="s">
        <v>27</v>
      </c>
      <c r="K585" s="130" t="s">
        <v>237</v>
      </c>
      <c r="L585" s="130" t="s">
        <v>237</v>
      </c>
      <c r="M585" s="130" t="s">
        <v>240</v>
      </c>
      <c r="N585" s="123" t="s">
        <v>31</v>
      </c>
      <c r="O585" t="s">
        <v>825</v>
      </c>
      <c r="P585" s="134" t="s">
        <v>475</v>
      </c>
      <c r="Q585" s="134"/>
      <c r="R585" s="134"/>
      <c r="S585" s="134"/>
    </row>
    <row r="586" spans="1:19" hidden="1">
      <c r="A586" s="38">
        <v>132</v>
      </c>
      <c r="B586" t="s">
        <v>234</v>
      </c>
      <c r="D586" s="81">
        <v>0</v>
      </c>
      <c r="E586" s="97">
        <v>1</v>
      </c>
      <c r="F586" s="97" t="s">
        <v>823</v>
      </c>
      <c r="G586" t="s">
        <v>27</v>
      </c>
      <c r="H586" t="s">
        <v>27</v>
      </c>
      <c r="I586" t="s">
        <v>27</v>
      </c>
      <c r="J586" s="137" t="s">
        <v>27</v>
      </c>
      <c r="K586" s="130" t="s">
        <v>237</v>
      </c>
      <c r="L586" s="130" t="s">
        <v>237</v>
      </c>
      <c r="M586" s="130" t="s">
        <v>240</v>
      </c>
      <c r="N586" s="123" t="s">
        <v>31</v>
      </c>
      <c r="O586" t="s">
        <v>826</v>
      </c>
      <c r="P586" s="134" t="s">
        <v>475</v>
      </c>
      <c r="Q586" s="134"/>
      <c r="R586" s="134"/>
      <c r="S586" s="134"/>
    </row>
    <row r="587" spans="1:19">
      <c r="A587" s="59">
        <v>132</v>
      </c>
      <c r="B587" t="s">
        <v>234</v>
      </c>
      <c r="D587" s="81" t="s">
        <v>1589</v>
      </c>
      <c r="E587" s="97">
        <v>1</v>
      </c>
      <c r="F587" s="97" t="s">
        <v>827</v>
      </c>
      <c r="G587" t="s">
        <v>27</v>
      </c>
      <c r="H587" t="s">
        <v>27</v>
      </c>
      <c r="I587" t="s">
        <v>27</v>
      </c>
      <c r="J587" t="s">
        <v>28</v>
      </c>
      <c r="K587" s="85" t="s">
        <v>828</v>
      </c>
      <c r="L587" s="85"/>
      <c r="M587" s="85" t="s">
        <v>28</v>
      </c>
      <c r="N587" s="85" t="s">
        <v>829</v>
      </c>
      <c r="O587" t="s">
        <v>830</v>
      </c>
      <c r="P587" t="s">
        <v>831</v>
      </c>
      <c r="Q587" t="s">
        <v>832</v>
      </c>
      <c r="R587" s="140" t="s">
        <v>4460</v>
      </c>
    </row>
    <row r="588" spans="1:19">
      <c r="A588" s="59">
        <v>132</v>
      </c>
      <c r="B588" t="s">
        <v>234</v>
      </c>
      <c r="D588" s="81" t="s">
        <v>1589</v>
      </c>
      <c r="E588" s="97">
        <v>1</v>
      </c>
      <c r="F588" s="97" t="s">
        <v>827</v>
      </c>
      <c r="G588" t="s">
        <v>27</v>
      </c>
      <c r="H588" t="s">
        <v>27</v>
      </c>
      <c r="I588" t="s">
        <v>27</v>
      </c>
      <c r="J588" t="s">
        <v>28</v>
      </c>
      <c r="K588" s="85" t="s">
        <v>828</v>
      </c>
      <c r="L588" s="85"/>
      <c r="M588" s="85" t="s">
        <v>28</v>
      </c>
      <c r="N588" s="85" t="s">
        <v>829</v>
      </c>
      <c r="O588" t="s">
        <v>833</v>
      </c>
      <c r="P588" t="s">
        <v>831</v>
      </c>
      <c r="Q588" t="s">
        <v>832</v>
      </c>
      <c r="R588" s="140" t="s">
        <v>4460</v>
      </c>
    </row>
    <row r="589" spans="1:19">
      <c r="A589" s="59">
        <v>132</v>
      </c>
      <c r="B589" t="s">
        <v>234</v>
      </c>
      <c r="D589" s="81" t="s">
        <v>1589</v>
      </c>
      <c r="E589" s="97">
        <v>1</v>
      </c>
      <c r="F589" s="97" t="s">
        <v>827</v>
      </c>
      <c r="G589" t="s">
        <v>27</v>
      </c>
      <c r="H589" t="s">
        <v>27</v>
      </c>
      <c r="I589" t="s">
        <v>27</v>
      </c>
      <c r="J589" t="s">
        <v>28</v>
      </c>
      <c r="K589" s="85" t="s">
        <v>828</v>
      </c>
      <c r="L589" s="85"/>
      <c r="M589" s="85" t="s">
        <v>28</v>
      </c>
      <c r="N589" s="85" t="s">
        <v>829</v>
      </c>
      <c r="O589" t="s">
        <v>834</v>
      </c>
      <c r="P589" t="s">
        <v>831</v>
      </c>
      <c r="Q589" t="s">
        <v>832</v>
      </c>
      <c r="R589" s="140" t="s">
        <v>4460</v>
      </c>
    </row>
    <row r="590" spans="1:19">
      <c r="A590" s="59">
        <v>132</v>
      </c>
      <c r="B590" t="s">
        <v>234</v>
      </c>
      <c r="D590" s="81" t="s">
        <v>1589</v>
      </c>
      <c r="E590" s="97">
        <v>1</v>
      </c>
      <c r="F590" s="97" t="s">
        <v>827</v>
      </c>
      <c r="G590" t="s">
        <v>27</v>
      </c>
      <c r="H590" t="s">
        <v>27</v>
      </c>
      <c r="I590" t="s">
        <v>27</v>
      </c>
      <c r="J590" t="s">
        <v>28</v>
      </c>
      <c r="K590" s="85" t="s">
        <v>828</v>
      </c>
      <c r="L590" s="85"/>
      <c r="M590" s="85" t="s">
        <v>28</v>
      </c>
      <c r="N590" s="85" t="s">
        <v>829</v>
      </c>
      <c r="O590" t="s">
        <v>835</v>
      </c>
      <c r="P590" t="s">
        <v>831</v>
      </c>
      <c r="Q590" t="s">
        <v>832</v>
      </c>
      <c r="R590" s="140" t="s">
        <v>4460</v>
      </c>
    </row>
    <row r="591" spans="1:19">
      <c r="A591" s="59">
        <v>132</v>
      </c>
      <c r="B591" t="s">
        <v>234</v>
      </c>
      <c r="D591" s="81" t="s">
        <v>1589</v>
      </c>
      <c r="E591" s="97">
        <v>1</v>
      </c>
      <c r="F591" s="97" t="s">
        <v>827</v>
      </c>
      <c r="G591" t="s">
        <v>27</v>
      </c>
      <c r="H591" t="s">
        <v>27</v>
      </c>
      <c r="I591" t="s">
        <v>27</v>
      </c>
      <c r="J591" t="s">
        <v>28</v>
      </c>
      <c r="K591" s="85" t="s">
        <v>828</v>
      </c>
      <c r="L591" s="85"/>
      <c r="M591" s="85" t="s">
        <v>28</v>
      </c>
      <c r="N591" s="85" t="s">
        <v>829</v>
      </c>
      <c r="O591" t="s">
        <v>836</v>
      </c>
      <c r="P591" t="s">
        <v>831</v>
      </c>
      <c r="Q591" t="s">
        <v>832</v>
      </c>
      <c r="R591" s="140" t="s">
        <v>4460</v>
      </c>
    </row>
    <row r="592" spans="1:19" hidden="1">
      <c r="A592" s="38">
        <v>133</v>
      </c>
      <c r="B592" t="s">
        <v>234</v>
      </c>
      <c r="D592" s="81">
        <v>0</v>
      </c>
      <c r="E592" s="97">
        <v>1</v>
      </c>
      <c r="F592" s="97" t="s">
        <v>837</v>
      </c>
      <c r="G592" t="s">
        <v>27</v>
      </c>
      <c r="H592" t="s">
        <v>27</v>
      </c>
      <c r="I592" t="s">
        <v>27</v>
      </c>
      <c r="J592" s="137" t="s">
        <v>27</v>
      </c>
      <c r="K592" s="130" t="s">
        <v>237</v>
      </c>
      <c r="L592" s="130" t="s">
        <v>237</v>
      </c>
      <c r="M592" s="130" t="s">
        <v>240</v>
      </c>
      <c r="N592" s="123" t="s">
        <v>31</v>
      </c>
      <c r="O592" t="s">
        <v>838</v>
      </c>
      <c r="P592" s="134" t="s">
        <v>475</v>
      </c>
      <c r="Q592" s="134"/>
      <c r="R592" s="134"/>
      <c r="S592" s="134"/>
    </row>
    <row r="593" spans="1:25" hidden="1">
      <c r="A593" s="38">
        <v>133</v>
      </c>
      <c r="B593" t="s">
        <v>234</v>
      </c>
      <c r="D593" s="81">
        <v>0</v>
      </c>
      <c r="E593" s="97">
        <v>1</v>
      </c>
      <c r="F593" s="97" t="s">
        <v>837</v>
      </c>
      <c r="G593" t="s">
        <v>27</v>
      </c>
      <c r="H593" t="s">
        <v>27</v>
      </c>
      <c r="I593" t="s">
        <v>27</v>
      </c>
      <c r="J593" s="137" t="s">
        <v>27</v>
      </c>
      <c r="K593" s="130" t="s">
        <v>237</v>
      </c>
      <c r="L593" s="130" t="s">
        <v>237</v>
      </c>
      <c r="M593" s="130" t="s">
        <v>240</v>
      </c>
      <c r="N593" s="123" t="s">
        <v>31</v>
      </c>
      <c r="O593" t="s">
        <v>839</v>
      </c>
      <c r="P593" s="134"/>
      <c r="Q593" s="134"/>
      <c r="R593" s="134"/>
      <c r="S593" s="134"/>
    </row>
    <row r="594" spans="1:25" hidden="1">
      <c r="A594" s="38">
        <v>133</v>
      </c>
      <c r="B594" t="s">
        <v>234</v>
      </c>
      <c r="D594" s="81">
        <v>0</v>
      </c>
      <c r="E594" s="97">
        <v>1</v>
      </c>
      <c r="F594" s="97" t="s">
        <v>837</v>
      </c>
      <c r="G594" t="s">
        <v>27</v>
      </c>
      <c r="H594" t="s">
        <v>27</v>
      </c>
      <c r="I594" t="s">
        <v>27</v>
      </c>
      <c r="J594" s="137" t="s">
        <v>27</v>
      </c>
      <c r="K594" s="130" t="s">
        <v>237</v>
      </c>
      <c r="L594" s="130" t="s">
        <v>237</v>
      </c>
      <c r="M594" s="130" t="s">
        <v>240</v>
      </c>
      <c r="N594" s="123" t="s">
        <v>31</v>
      </c>
      <c r="O594" t="s">
        <v>840</v>
      </c>
      <c r="P594" s="134" t="s">
        <v>475</v>
      </c>
      <c r="Q594" s="134"/>
      <c r="R594" s="134"/>
      <c r="S594" s="134"/>
    </row>
    <row r="595" spans="1:25">
      <c r="A595" s="59">
        <v>133</v>
      </c>
      <c r="B595" t="s">
        <v>234</v>
      </c>
      <c r="D595" s="81" t="s">
        <v>1589</v>
      </c>
      <c r="E595" s="97">
        <v>1</v>
      </c>
      <c r="F595" s="97" t="s">
        <v>841</v>
      </c>
      <c r="G595" t="s">
        <v>27</v>
      </c>
      <c r="H595" t="s">
        <v>27</v>
      </c>
      <c r="I595" t="s">
        <v>27</v>
      </c>
      <c r="J595" t="s">
        <v>28</v>
      </c>
      <c r="K595" s="85" t="s">
        <v>828</v>
      </c>
      <c r="L595" s="85"/>
      <c r="M595" s="85" t="s">
        <v>28</v>
      </c>
      <c r="N595" s="85" t="s">
        <v>829</v>
      </c>
      <c r="O595" t="s">
        <v>842</v>
      </c>
      <c r="P595" t="s">
        <v>831</v>
      </c>
      <c r="Q595" t="s">
        <v>843</v>
      </c>
      <c r="R595" s="140" t="s">
        <v>4461</v>
      </c>
    </row>
    <row r="596" spans="1:25">
      <c r="A596" s="59">
        <v>133</v>
      </c>
      <c r="B596" t="s">
        <v>234</v>
      </c>
      <c r="D596" s="81" t="s">
        <v>1589</v>
      </c>
      <c r="E596" s="97">
        <v>1</v>
      </c>
      <c r="F596" s="97" t="s">
        <v>841</v>
      </c>
      <c r="G596" t="s">
        <v>27</v>
      </c>
      <c r="H596" t="s">
        <v>27</v>
      </c>
      <c r="I596" t="s">
        <v>27</v>
      </c>
      <c r="J596" t="s">
        <v>28</v>
      </c>
      <c r="K596" s="85" t="s">
        <v>828</v>
      </c>
      <c r="L596" s="85"/>
      <c r="M596" s="85" t="s">
        <v>28</v>
      </c>
      <c r="N596" s="85" t="s">
        <v>829</v>
      </c>
      <c r="O596" t="s">
        <v>844</v>
      </c>
      <c r="P596" t="s">
        <v>831</v>
      </c>
      <c r="Q596" t="s">
        <v>843</v>
      </c>
      <c r="R596" s="140" t="s">
        <v>4461</v>
      </c>
    </row>
    <row r="597" spans="1:25">
      <c r="A597" s="59">
        <v>133</v>
      </c>
      <c r="B597" t="s">
        <v>234</v>
      </c>
      <c r="D597" s="81" t="s">
        <v>1589</v>
      </c>
      <c r="E597" s="97">
        <v>1</v>
      </c>
      <c r="F597" s="97" t="s">
        <v>841</v>
      </c>
      <c r="G597" t="s">
        <v>27</v>
      </c>
      <c r="H597" t="s">
        <v>27</v>
      </c>
      <c r="I597" t="s">
        <v>27</v>
      </c>
      <c r="J597" t="s">
        <v>28</v>
      </c>
      <c r="K597" s="85" t="s">
        <v>828</v>
      </c>
      <c r="L597" s="85"/>
      <c r="M597" s="85" t="s">
        <v>28</v>
      </c>
      <c r="N597" s="85" t="s">
        <v>829</v>
      </c>
      <c r="O597" t="s">
        <v>845</v>
      </c>
      <c r="P597" t="s">
        <v>831</v>
      </c>
      <c r="Q597" t="s">
        <v>843</v>
      </c>
      <c r="R597" s="140" t="s">
        <v>4461</v>
      </c>
    </row>
    <row r="598" spans="1:25">
      <c r="A598" s="59">
        <v>133</v>
      </c>
      <c r="B598" t="s">
        <v>234</v>
      </c>
      <c r="D598" s="81" t="s">
        <v>1589</v>
      </c>
      <c r="E598" s="97">
        <v>1</v>
      </c>
      <c r="F598" s="97" t="s">
        <v>841</v>
      </c>
      <c r="G598" t="s">
        <v>27</v>
      </c>
      <c r="H598" t="s">
        <v>27</v>
      </c>
      <c r="I598" t="s">
        <v>27</v>
      </c>
      <c r="J598" t="s">
        <v>28</v>
      </c>
      <c r="K598" s="85" t="s">
        <v>828</v>
      </c>
      <c r="L598" s="85"/>
      <c r="M598" s="85" t="s">
        <v>28</v>
      </c>
      <c r="N598" s="85" t="s">
        <v>829</v>
      </c>
      <c r="O598" t="s">
        <v>846</v>
      </c>
      <c r="P598" t="s">
        <v>831</v>
      </c>
      <c r="Q598" t="s">
        <v>843</v>
      </c>
      <c r="R598" s="140" t="s">
        <v>4461</v>
      </c>
    </row>
    <row r="599" spans="1:25">
      <c r="A599" s="59">
        <v>133</v>
      </c>
      <c r="B599" t="s">
        <v>234</v>
      </c>
      <c r="D599" s="81" t="s">
        <v>1589</v>
      </c>
      <c r="E599" s="97">
        <v>1</v>
      </c>
      <c r="F599" s="97" t="s">
        <v>841</v>
      </c>
      <c r="G599" t="s">
        <v>27</v>
      </c>
      <c r="H599" t="s">
        <v>27</v>
      </c>
      <c r="I599" t="s">
        <v>27</v>
      </c>
      <c r="J599" t="s">
        <v>28</v>
      </c>
      <c r="K599" s="85" t="s">
        <v>828</v>
      </c>
      <c r="L599" s="85"/>
      <c r="M599" s="85" t="s">
        <v>28</v>
      </c>
      <c r="N599" s="85" t="s">
        <v>829</v>
      </c>
      <c r="O599" t="s">
        <v>847</v>
      </c>
      <c r="P599" t="s">
        <v>831</v>
      </c>
      <c r="Q599" t="s">
        <v>843</v>
      </c>
      <c r="R599" s="140" t="s">
        <v>4461</v>
      </c>
    </row>
    <row r="600" spans="1:25">
      <c r="A600" s="77">
        <v>134</v>
      </c>
      <c r="B600" t="s">
        <v>234</v>
      </c>
      <c r="D600" s="81" t="s">
        <v>1589</v>
      </c>
      <c r="E600" s="97">
        <v>2</v>
      </c>
      <c r="F600" s="97" t="s">
        <v>636</v>
      </c>
      <c r="G600" t="s">
        <v>27</v>
      </c>
      <c r="H600" t="s">
        <v>28</v>
      </c>
      <c r="I600" t="s">
        <v>28</v>
      </c>
      <c r="J600" t="s">
        <v>28</v>
      </c>
      <c r="K600" t="s">
        <v>828</v>
      </c>
      <c r="M600" s="85" t="s">
        <v>28</v>
      </c>
      <c r="N600" s="85" t="s">
        <v>39</v>
      </c>
      <c r="O600" t="s">
        <v>848</v>
      </c>
      <c r="P600" t="s">
        <v>353</v>
      </c>
      <c r="Q600" t="s">
        <v>849</v>
      </c>
      <c r="R600" s="140" t="s">
        <v>4460</v>
      </c>
      <c r="T600" t="s">
        <v>828</v>
      </c>
      <c r="U600">
        <v>0</v>
      </c>
      <c r="X600">
        <v>0</v>
      </c>
      <c r="Y600">
        <v>0</v>
      </c>
    </row>
    <row r="601" spans="1:25">
      <c r="A601" s="77">
        <v>134</v>
      </c>
      <c r="B601" t="s">
        <v>234</v>
      </c>
      <c r="D601" s="81" t="s">
        <v>1589</v>
      </c>
      <c r="E601" s="97">
        <v>2</v>
      </c>
      <c r="F601" s="97" t="s">
        <v>636</v>
      </c>
      <c r="G601" t="s">
        <v>27</v>
      </c>
      <c r="H601" t="s">
        <v>28</v>
      </c>
      <c r="I601" t="s">
        <v>28</v>
      </c>
      <c r="J601" t="s">
        <v>28</v>
      </c>
      <c r="K601" t="s">
        <v>828</v>
      </c>
      <c r="M601" s="85" t="s">
        <v>28</v>
      </c>
      <c r="N601" s="85" t="s">
        <v>39</v>
      </c>
      <c r="O601" t="s">
        <v>850</v>
      </c>
      <c r="P601" t="s">
        <v>353</v>
      </c>
      <c r="Q601" t="s">
        <v>849</v>
      </c>
      <c r="R601" s="140" t="s">
        <v>4460</v>
      </c>
      <c r="T601" t="s">
        <v>828</v>
      </c>
      <c r="U601">
        <v>0</v>
      </c>
      <c r="X601">
        <v>0</v>
      </c>
      <c r="Y601">
        <v>0</v>
      </c>
    </row>
    <row r="602" spans="1:25">
      <c r="A602" s="77">
        <v>134</v>
      </c>
      <c r="B602" t="s">
        <v>234</v>
      </c>
      <c r="D602" s="81" t="s">
        <v>1589</v>
      </c>
      <c r="E602" s="97">
        <v>2</v>
      </c>
      <c r="F602" s="97" t="s">
        <v>636</v>
      </c>
      <c r="G602" t="s">
        <v>27</v>
      </c>
      <c r="H602" t="s">
        <v>28</v>
      </c>
      <c r="I602" t="s">
        <v>28</v>
      </c>
      <c r="J602" t="s">
        <v>28</v>
      </c>
      <c r="K602" t="s">
        <v>828</v>
      </c>
      <c r="M602" s="85" t="s">
        <v>28</v>
      </c>
      <c r="N602" s="85" t="s">
        <v>39</v>
      </c>
      <c r="O602" t="s">
        <v>851</v>
      </c>
      <c r="P602" t="s">
        <v>353</v>
      </c>
      <c r="Q602" t="s">
        <v>849</v>
      </c>
      <c r="R602" s="140" t="s">
        <v>4460</v>
      </c>
      <c r="T602" t="s">
        <v>828</v>
      </c>
      <c r="U602">
        <v>0</v>
      </c>
      <c r="X602">
        <v>0</v>
      </c>
      <c r="Y602">
        <v>0</v>
      </c>
    </row>
    <row r="603" spans="1:25" hidden="1">
      <c r="A603" s="79">
        <v>49</v>
      </c>
      <c r="B603" s="137" t="s">
        <v>124</v>
      </c>
      <c r="C603" s="137" t="s">
        <v>66</v>
      </c>
      <c r="D603" s="81" t="s">
        <v>4444</v>
      </c>
      <c r="E603" s="97">
        <v>2</v>
      </c>
      <c r="F603" s="97" t="s">
        <v>49</v>
      </c>
      <c r="G603" s="137" t="s">
        <v>27</v>
      </c>
      <c r="H603" s="137" t="s">
        <v>27</v>
      </c>
      <c r="I603" s="137" t="s">
        <v>27</v>
      </c>
      <c r="J603" s="137" t="s">
        <v>27</v>
      </c>
      <c r="K603" s="137" t="s">
        <v>544</v>
      </c>
      <c r="L603" s="137" t="s">
        <v>544</v>
      </c>
      <c r="M603" s="137" t="s">
        <v>28</v>
      </c>
      <c r="N603" s="137" t="s">
        <v>51</v>
      </c>
      <c r="O603" s="137" t="s">
        <v>852</v>
      </c>
      <c r="P603" s="129" t="s">
        <v>853</v>
      </c>
      <c r="Q603" s="129"/>
      <c r="R603" s="129"/>
      <c r="S603" s="129"/>
      <c r="T603" s="137"/>
      <c r="U603" s="137"/>
      <c r="V603" s="137"/>
      <c r="W603" s="137"/>
      <c r="X603" s="137"/>
      <c r="Y603" s="137"/>
    </row>
    <row r="604" spans="1:25" hidden="1">
      <c r="A604" s="79">
        <v>49</v>
      </c>
      <c r="B604" s="137" t="s">
        <v>124</v>
      </c>
      <c r="C604" s="137" t="s">
        <v>66</v>
      </c>
      <c r="D604" s="81" t="s">
        <v>4444</v>
      </c>
      <c r="E604" s="97">
        <v>2</v>
      </c>
      <c r="F604" s="97" t="s">
        <v>49</v>
      </c>
      <c r="G604" s="137" t="s">
        <v>27</v>
      </c>
      <c r="H604" s="137" t="s">
        <v>27</v>
      </c>
      <c r="I604" s="137" t="s">
        <v>27</v>
      </c>
      <c r="J604" s="137" t="s">
        <v>27</v>
      </c>
      <c r="K604" s="137" t="s">
        <v>544</v>
      </c>
      <c r="L604" s="137" t="s">
        <v>544</v>
      </c>
      <c r="M604" s="137" t="s">
        <v>28</v>
      </c>
      <c r="N604" s="137" t="s">
        <v>51</v>
      </c>
      <c r="O604" s="137" t="s">
        <v>854</v>
      </c>
      <c r="P604" s="129" t="s">
        <v>853</v>
      </c>
      <c r="Q604" s="129"/>
      <c r="R604" s="129"/>
      <c r="S604" s="129"/>
      <c r="T604" s="137"/>
      <c r="U604" s="137"/>
      <c r="V604" s="137"/>
      <c r="W604" s="137"/>
      <c r="X604" s="137"/>
      <c r="Y604" s="137"/>
    </row>
    <row r="605" spans="1:25" hidden="1">
      <c r="A605" s="79">
        <v>49</v>
      </c>
      <c r="B605" s="137" t="s">
        <v>124</v>
      </c>
      <c r="C605" s="137" t="s">
        <v>66</v>
      </c>
      <c r="D605" s="81" t="s">
        <v>4444</v>
      </c>
      <c r="E605" s="97">
        <v>2</v>
      </c>
      <c r="F605" s="97" t="s">
        <v>49</v>
      </c>
      <c r="G605" s="137" t="s">
        <v>27</v>
      </c>
      <c r="H605" s="137" t="s">
        <v>27</v>
      </c>
      <c r="I605" s="137" t="s">
        <v>27</v>
      </c>
      <c r="J605" s="137" t="s">
        <v>27</v>
      </c>
      <c r="K605" s="137" t="s">
        <v>544</v>
      </c>
      <c r="L605" s="137" t="s">
        <v>544</v>
      </c>
      <c r="M605" s="137" t="s">
        <v>28</v>
      </c>
      <c r="N605" s="137" t="s">
        <v>51</v>
      </c>
      <c r="O605" s="137" t="s">
        <v>855</v>
      </c>
      <c r="P605" s="129" t="s">
        <v>853</v>
      </c>
      <c r="Q605" s="129"/>
      <c r="R605" s="129"/>
      <c r="S605" s="129"/>
      <c r="T605" s="137"/>
      <c r="U605" s="137"/>
      <c r="V605" s="137"/>
      <c r="W605" s="137"/>
      <c r="X605" s="137"/>
      <c r="Y605" s="137"/>
    </row>
    <row r="606" spans="1:25">
      <c r="A606" s="59">
        <v>134</v>
      </c>
      <c r="B606" t="s">
        <v>234</v>
      </c>
      <c r="D606" s="81" t="s">
        <v>1589</v>
      </c>
      <c r="E606" s="97">
        <v>2</v>
      </c>
      <c r="F606" s="97" t="s">
        <v>636</v>
      </c>
      <c r="G606" t="s">
        <v>27</v>
      </c>
      <c r="H606" t="s">
        <v>28</v>
      </c>
      <c r="I606" t="s">
        <v>28</v>
      </c>
      <c r="J606" t="s">
        <v>28</v>
      </c>
      <c r="K606" t="s">
        <v>828</v>
      </c>
      <c r="M606" s="85" t="s">
        <v>28</v>
      </c>
      <c r="N606" s="85" t="s">
        <v>39</v>
      </c>
      <c r="O606" t="s">
        <v>856</v>
      </c>
      <c r="P606" t="s">
        <v>767</v>
      </c>
      <c r="Q606" t="s">
        <v>857</v>
      </c>
      <c r="R606" s="140" t="s">
        <v>4460</v>
      </c>
    </row>
    <row r="607" spans="1:25">
      <c r="A607" s="59">
        <v>134</v>
      </c>
      <c r="B607" s="105" t="s">
        <v>234</v>
      </c>
      <c r="D607" s="81" t="s">
        <v>1589</v>
      </c>
      <c r="E607" s="97">
        <v>2</v>
      </c>
      <c r="F607" s="97" t="s">
        <v>636</v>
      </c>
      <c r="G607" t="s">
        <v>27</v>
      </c>
      <c r="H607" t="s">
        <v>28</v>
      </c>
      <c r="I607" t="s">
        <v>28</v>
      </c>
      <c r="J607" t="s">
        <v>28</v>
      </c>
      <c r="K607" t="s">
        <v>828</v>
      </c>
      <c r="M607" s="85" t="s">
        <v>28</v>
      </c>
      <c r="N607" s="85" t="s">
        <v>39</v>
      </c>
      <c r="O607" t="s">
        <v>858</v>
      </c>
      <c r="P607" t="s">
        <v>767</v>
      </c>
      <c r="Q607" t="s">
        <v>857</v>
      </c>
      <c r="R607" s="140" t="s">
        <v>4460</v>
      </c>
    </row>
    <row r="608" spans="1:25">
      <c r="A608" s="59">
        <v>134</v>
      </c>
      <c r="B608" s="105" t="s">
        <v>234</v>
      </c>
      <c r="D608" s="81" t="s">
        <v>1589</v>
      </c>
      <c r="E608" s="97">
        <v>2</v>
      </c>
      <c r="F608" s="97" t="s">
        <v>636</v>
      </c>
      <c r="G608" t="s">
        <v>27</v>
      </c>
      <c r="H608" t="s">
        <v>28</v>
      </c>
      <c r="I608" t="s">
        <v>28</v>
      </c>
      <c r="J608" t="s">
        <v>28</v>
      </c>
      <c r="K608" t="s">
        <v>828</v>
      </c>
      <c r="M608" s="85" t="s">
        <v>28</v>
      </c>
      <c r="N608" s="85" t="s">
        <v>39</v>
      </c>
      <c r="O608" t="s">
        <v>859</v>
      </c>
      <c r="P608" t="s">
        <v>767</v>
      </c>
      <c r="Q608" t="s">
        <v>857</v>
      </c>
      <c r="R608" s="140" t="s">
        <v>4460</v>
      </c>
    </row>
    <row r="609" spans="1:19" hidden="1">
      <c r="A609" s="38">
        <v>135</v>
      </c>
      <c r="B609" s="105" t="s">
        <v>234</v>
      </c>
      <c r="D609" s="81">
        <v>0</v>
      </c>
      <c r="E609" s="97">
        <v>2</v>
      </c>
      <c r="F609" s="97" t="s">
        <v>860</v>
      </c>
      <c r="G609" t="s">
        <v>27</v>
      </c>
      <c r="H609" t="s">
        <v>27</v>
      </c>
      <c r="I609" t="s">
        <v>27</v>
      </c>
      <c r="J609" s="137" t="s">
        <v>27</v>
      </c>
      <c r="K609" s="130" t="s">
        <v>237</v>
      </c>
      <c r="L609" s="130" t="s">
        <v>237</v>
      </c>
      <c r="M609" s="130" t="s">
        <v>240</v>
      </c>
      <c r="N609" s="123" t="s">
        <v>31</v>
      </c>
      <c r="O609" t="s">
        <v>861</v>
      </c>
      <c r="P609" s="134" t="s">
        <v>475</v>
      </c>
      <c r="Q609" s="134"/>
      <c r="R609" s="134"/>
      <c r="S609" s="134"/>
    </row>
    <row r="610" spans="1:19" hidden="1">
      <c r="A610" s="38">
        <v>135</v>
      </c>
      <c r="B610" s="105" t="s">
        <v>234</v>
      </c>
      <c r="D610" s="81">
        <v>0</v>
      </c>
      <c r="E610" s="97">
        <v>2</v>
      </c>
      <c r="F610" s="97" t="s">
        <v>860</v>
      </c>
      <c r="G610" t="s">
        <v>27</v>
      </c>
      <c r="H610" t="s">
        <v>27</v>
      </c>
      <c r="I610" t="s">
        <v>27</v>
      </c>
      <c r="J610" s="137" t="s">
        <v>27</v>
      </c>
      <c r="K610" s="130" t="s">
        <v>237</v>
      </c>
      <c r="L610" s="130" t="s">
        <v>237</v>
      </c>
      <c r="M610" s="130" t="s">
        <v>240</v>
      </c>
      <c r="N610" s="123" t="s">
        <v>31</v>
      </c>
      <c r="O610" t="s">
        <v>862</v>
      </c>
      <c r="P610" s="134" t="s">
        <v>475</v>
      </c>
      <c r="Q610" s="134"/>
      <c r="R610" s="134"/>
      <c r="S610" s="134"/>
    </row>
    <row r="611" spans="1:19" hidden="1">
      <c r="A611" s="38">
        <v>135</v>
      </c>
      <c r="B611" s="105" t="s">
        <v>234</v>
      </c>
      <c r="D611" s="81">
        <v>0</v>
      </c>
      <c r="E611" s="97">
        <v>2</v>
      </c>
      <c r="F611" s="97" t="s">
        <v>860</v>
      </c>
      <c r="G611" t="s">
        <v>27</v>
      </c>
      <c r="H611" t="s">
        <v>27</v>
      </c>
      <c r="I611" t="s">
        <v>27</v>
      </c>
      <c r="J611" s="137" t="s">
        <v>27</v>
      </c>
      <c r="K611" s="130" t="s">
        <v>237</v>
      </c>
      <c r="L611" s="130" t="s">
        <v>237</v>
      </c>
      <c r="M611" s="130" t="s">
        <v>240</v>
      </c>
      <c r="N611" s="123" t="s">
        <v>31</v>
      </c>
      <c r="O611" t="s">
        <v>863</v>
      </c>
      <c r="P611" s="134" t="s">
        <v>475</v>
      </c>
      <c r="Q611" s="134"/>
      <c r="R611" s="134"/>
      <c r="S611" s="134"/>
    </row>
    <row r="612" spans="1:19">
      <c r="A612" s="59">
        <v>135</v>
      </c>
      <c r="B612" s="105" t="s">
        <v>234</v>
      </c>
      <c r="D612" s="81" t="s">
        <v>1589</v>
      </c>
      <c r="E612" s="97">
        <v>2</v>
      </c>
      <c r="F612" s="97" t="s">
        <v>860</v>
      </c>
      <c r="G612" t="s">
        <v>27</v>
      </c>
      <c r="H612" t="s">
        <v>27</v>
      </c>
      <c r="I612" t="s">
        <v>27</v>
      </c>
      <c r="J612" t="s">
        <v>28</v>
      </c>
      <c r="K612" s="85" t="s">
        <v>828</v>
      </c>
      <c r="L612" s="85"/>
      <c r="M612" s="85" t="s">
        <v>28</v>
      </c>
      <c r="N612" s="85" t="s">
        <v>829</v>
      </c>
      <c r="O612" t="s">
        <v>864</v>
      </c>
      <c r="P612" t="s">
        <v>831</v>
      </c>
      <c r="Q612" t="s">
        <v>865</v>
      </c>
      <c r="R612" s="140" t="s">
        <v>4461</v>
      </c>
    </row>
    <row r="613" spans="1:19">
      <c r="A613" s="59">
        <v>135</v>
      </c>
      <c r="B613" s="105" t="s">
        <v>234</v>
      </c>
      <c r="D613" s="81" t="s">
        <v>1589</v>
      </c>
      <c r="E613" s="97">
        <v>2</v>
      </c>
      <c r="F613" s="97" t="s">
        <v>860</v>
      </c>
      <c r="G613" t="s">
        <v>27</v>
      </c>
      <c r="H613" t="s">
        <v>27</v>
      </c>
      <c r="I613" t="s">
        <v>27</v>
      </c>
      <c r="J613" t="s">
        <v>28</v>
      </c>
      <c r="K613" s="85" t="s">
        <v>828</v>
      </c>
      <c r="L613" s="85"/>
      <c r="M613" s="85" t="s">
        <v>28</v>
      </c>
      <c r="N613" s="85" t="s">
        <v>829</v>
      </c>
      <c r="O613" t="s">
        <v>866</v>
      </c>
      <c r="P613" t="s">
        <v>831</v>
      </c>
      <c r="Q613" t="s">
        <v>865</v>
      </c>
      <c r="R613" s="140" t="s">
        <v>4461</v>
      </c>
    </row>
    <row r="614" spans="1:19">
      <c r="A614" s="59">
        <v>135</v>
      </c>
      <c r="B614" s="105" t="s">
        <v>234</v>
      </c>
      <c r="D614" s="81" t="s">
        <v>1589</v>
      </c>
      <c r="E614" s="97">
        <v>2</v>
      </c>
      <c r="F614" s="97" t="s">
        <v>860</v>
      </c>
      <c r="G614" t="s">
        <v>27</v>
      </c>
      <c r="H614" t="s">
        <v>27</v>
      </c>
      <c r="I614" t="s">
        <v>27</v>
      </c>
      <c r="J614" t="s">
        <v>28</v>
      </c>
      <c r="K614" s="85" t="s">
        <v>828</v>
      </c>
      <c r="L614" s="85"/>
      <c r="M614" s="85" t="s">
        <v>28</v>
      </c>
      <c r="N614" s="85" t="s">
        <v>829</v>
      </c>
      <c r="O614" t="s">
        <v>867</v>
      </c>
      <c r="P614" t="s">
        <v>831</v>
      </c>
      <c r="Q614" t="s">
        <v>865</v>
      </c>
      <c r="R614" s="140" t="s">
        <v>4461</v>
      </c>
    </row>
    <row r="615" spans="1:19">
      <c r="A615" s="59">
        <v>135</v>
      </c>
      <c r="B615" s="105" t="s">
        <v>234</v>
      </c>
      <c r="D615" s="81" t="s">
        <v>1589</v>
      </c>
      <c r="E615" s="97">
        <v>2</v>
      </c>
      <c r="F615" s="97" t="s">
        <v>860</v>
      </c>
      <c r="G615" t="s">
        <v>27</v>
      </c>
      <c r="H615" t="s">
        <v>27</v>
      </c>
      <c r="I615" t="s">
        <v>27</v>
      </c>
      <c r="J615" t="s">
        <v>28</v>
      </c>
      <c r="K615" s="85" t="s">
        <v>828</v>
      </c>
      <c r="L615" s="85"/>
      <c r="M615" s="85" t="s">
        <v>28</v>
      </c>
      <c r="N615" s="85" t="s">
        <v>829</v>
      </c>
      <c r="O615" t="s">
        <v>868</v>
      </c>
      <c r="P615" t="s">
        <v>831</v>
      </c>
      <c r="Q615" t="s">
        <v>865</v>
      </c>
      <c r="R615" s="140" t="s">
        <v>4461</v>
      </c>
    </row>
    <row r="616" spans="1:19">
      <c r="A616" s="59">
        <v>135</v>
      </c>
      <c r="B616" s="105" t="s">
        <v>234</v>
      </c>
      <c r="D616" s="81" t="s">
        <v>1589</v>
      </c>
      <c r="E616" s="97">
        <v>2</v>
      </c>
      <c r="F616" s="97" t="s">
        <v>860</v>
      </c>
      <c r="G616" t="s">
        <v>27</v>
      </c>
      <c r="H616" t="s">
        <v>27</v>
      </c>
      <c r="I616" t="s">
        <v>27</v>
      </c>
      <c r="J616" t="s">
        <v>28</v>
      </c>
      <c r="K616" s="85" t="s">
        <v>828</v>
      </c>
      <c r="L616" s="85"/>
      <c r="M616" s="85" t="s">
        <v>28</v>
      </c>
      <c r="N616" s="85" t="s">
        <v>829</v>
      </c>
      <c r="O616" t="s">
        <v>869</v>
      </c>
      <c r="P616" t="s">
        <v>831</v>
      </c>
      <c r="Q616" t="s">
        <v>865</v>
      </c>
      <c r="R616" s="140" t="s">
        <v>4461</v>
      </c>
    </row>
    <row r="617" spans="1:19" hidden="1">
      <c r="A617" s="38">
        <v>136</v>
      </c>
      <c r="B617" s="105" t="s">
        <v>234</v>
      </c>
      <c r="D617" s="81">
        <v>0</v>
      </c>
      <c r="E617" s="97">
        <v>2</v>
      </c>
      <c r="F617" s="97" t="s">
        <v>870</v>
      </c>
      <c r="G617" t="s">
        <v>27</v>
      </c>
      <c r="H617" t="s">
        <v>27</v>
      </c>
      <c r="I617" t="s">
        <v>27</v>
      </c>
      <c r="J617" s="137" t="s">
        <v>27</v>
      </c>
      <c r="K617" s="130" t="s">
        <v>237</v>
      </c>
      <c r="L617" s="130" t="s">
        <v>237</v>
      </c>
      <c r="M617" s="130" t="s">
        <v>240</v>
      </c>
      <c r="N617" s="123" t="s">
        <v>31</v>
      </c>
      <c r="O617" s="137" t="s">
        <v>871</v>
      </c>
      <c r="P617" s="134" t="s">
        <v>475</v>
      </c>
      <c r="Q617" s="134"/>
      <c r="R617" s="134"/>
      <c r="S617" s="134"/>
    </row>
    <row r="618" spans="1:19" hidden="1">
      <c r="A618" s="38">
        <v>136</v>
      </c>
      <c r="B618" s="105" t="s">
        <v>234</v>
      </c>
      <c r="D618" s="81">
        <v>0</v>
      </c>
      <c r="E618" s="97">
        <v>2</v>
      </c>
      <c r="F618" s="97" t="s">
        <v>870</v>
      </c>
      <c r="G618" t="s">
        <v>27</v>
      </c>
      <c r="H618" t="s">
        <v>27</v>
      </c>
      <c r="I618" t="s">
        <v>27</v>
      </c>
      <c r="J618" s="137" t="s">
        <v>27</v>
      </c>
      <c r="K618" s="130" t="s">
        <v>237</v>
      </c>
      <c r="L618" s="130" t="s">
        <v>237</v>
      </c>
      <c r="M618" s="130" t="s">
        <v>240</v>
      </c>
      <c r="N618" s="123" t="s">
        <v>31</v>
      </c>
      <c r="O618" s="137" t="s">
        <v>872</v>
      </c>
      <c r="P618" s="134" t="s">
        <v>475</v>
      </c>
      <c r="Q618" s="134"/>
      <c r="R618" s="134"/>
      <c r="S618" s="134"/>
    </row>
    <row r="619" spans="1:19" hidden="1">
      <c r="A619" s="38">
        <v>136</v>
      </c>
      <c r="B619" s="105" t="s">
        <v>234</v>
      </c>
      <c r="D619" s="81">
        <v>0</v>
      </c>
      <c r="E619" s="97">
        <v>2</v>
      </c>
      <c r="F619" s="97" t="s">
        <v>870</v>
      </c>
      <c r="G619" t="s">
        <v>27</v>
      </c>
      <c r="H619" t="s">
        <v>27</v>
      </c>
      <c r="I619" t="s">
        <v>27</v>
      </c>
      <c r="J619" s="137" t="s">
        <v>27</v>
      </c>
      <c r="K619" s="130" t="s">
        <v>237</v>
      </c>
      <c r="L619" s="130" t="s">
        <v>237</v>
      </c>
      <c r="M619" s="130" t="s">
        <v>240</v>
      </c>
      <c r="N619" s="123" t="s">
        <v>31</v>
      </c>
      <c r="O619" s="137" t="s">
        <v>873</v>
      </c>
      <c r="P619" s="134" t="s">
        <v>475</v>
      </c>
      <c r="Q619" s="134"/>
      <c r="R619" s="134"/>
      <c r="S619" s="134"/>
    </row>
    <row r="620" spans="1:19">
      <c r="A620" s="59">
        <v>136</v>
      </c>
      <c r="B620" s="105" t="s">
        <v>234</v>
      </c>
      <c r="D620" s="81" t="s">
        <v>1589</v>
      </c>
      <c r="E620" s="97">
        <v>2</v>
      </c>
      <c r="F620" s="97" t="s">
        <v>870</v>
      </c>
      <c r="G620" t="s">
        <v>27</v>
      </c>
      <c r="H620" t="s">
        <v>27</v>
      </c>
      <c r="I620" t="s">
        <v>27</v>
      </c>
      <c r="J620" t="s">
        <v>28</v>
      </c>
      <c r="K620" s="85" t="s">
        <v>828</v>
      </c>
      <c r="L620" s="85"/>
      <c r="M620" s="85" t="s">
        <v>28</v>
      </c>
      <c r="N620" s="85" t="s">
        <v>829</v>
      </c>
      <c r="O620" t="s">
        <v>874</v>
      </c>
      <c r="P620" t="s">
        <v>831</v>
      </c>
      <c r="Q620" t="s">
        <v>875</v>
      </c>
      <c r="R620" s="140" t="s">
        <v>4460</v>
      </c>
    </row>
    <row r="621" spans="1:19">
      <c r="A621" s="59">
        <v>136</v>
      </c>
      <c r="B621" s="105" t="s">
        <v>234</v>
      </c>
      <c r="D621" s="81" t="s">
        <v>1589</v>
      </c>
      <c r="E621" s="97">
        <v>2</v>
      </c>
      <c r="F621" s="97" t="s">
        <v>870</v>
      </c>
      <c r="G621" t="s">
        <v>27</v>
      </c>
      <c r="H621" t="s">
        <v>27</v>
      </c>
      <c r="I621" t="s">
        <v>27</v>
      </c>
      <c r="J621" t="s">
        <v>28</v>
      </c>
      <c r="K621" s="85" t="s">
        <v>828</v>
      </c>
      <c r="L621" s="85"/>
      <c r="M621" s="85" t="s">
        <v>28</v>
      </c>
      <c r="N621" s="85" t="s">
        <v>829</v>
      </c>
      <c r="O621" t="s">
        <v>876</v>
      </c>
      <c r="P621" t="s">
        <v>831</v>
      </c>
      <c r="Q621" t="s">
        <v>875</v>
      </c>
      <c r="R621" s="140" t="s">
        <v>4460</v>
      </c>
    </row>
    <row r="622" spans="1:19" s="130" customFormat="1">
      <c r="A622" s="59">
        <v>136</v>
      </c>
      <c r="B622" s="105" t="s">
        <v>234</v>
      </c>
      <c r="D622" s="81" t="s">
        <v>1589</v>
      </c>
      <c r="E622" s="97">
        <v>2</v>
      </c>
      <c r="F622" s="97" t="s">
        <v>870</v>
      </c>
      <c r="G622" t="s">
        <v>27</v>
      </c>
      <c r="H622" t="s">
        <v>27</v>
      </c>
      <c r="I622" t="s">
        <v>27</v>
      </c>
      <c r="J622" t="s">
        <v>28</v>
      </c>
      <c r="K622" s="85" t="s">
        <v>828</v>
      </c>
      <c r="L622" s="85"/>
      <c r="M622" s="85" t="s">
        <v>28</v>
      </c>
      <c r="N622" s="85" t="s">
        <v>829</v>
      </c>
      <c r="O622" t="s">
        <v>877</v>
      </c>
      <c r="P622" t="s">
        <v>831</v>
      </c>
      <c r="Q622" t="s">
        <v>875</v>
      </c>
      <c r="R622" s="140" t="s">
        <v>4460</v>
      </c>
    </row>
    <row r="623" spans="1:19" s="130" customFormat="1">
      <c r="A623" s="59">
        <v>136</v>
      </c>
      <c r="B623" s="105" t="s">
        <v>234</v>
      </c>
      <c r="D623" s="81" t="s">
        <v>1589</v>
      </c>
      <c r="E623" s="97">
        <v>2</v>
      </c>
      <c r="F623" s="97" t="s">
        <v>870</v>
      </c>
      <c r="G623" t="s">
        <v>27</v>
      </c>
      <c r="H623" t="s">
        <v>27</v>
      </c>
      <c r="I623" t="s">
        <v>27</v>
      </c>
      <c r="J623" t="s">
        <v>28</v>
      </c>
      <c r="K623" s="85" t="s">
        <v>828</v>
      </c>
      <c r="L623" s="85"/>
      <c r="M623" s="85" t="s">
        <v>28</v>
      </c>
      <c r="N623" s="85" t="s">
        <v>829</v>
      </c>
      <c r="O623" t="s">
        <v>878</v>
      </c>
      <c r="P623" t="s">
        <v>831</v>
      </c>
      <c r="Q623" t="s">
        <v>875</v>
      </c>
      <c r="R623" s="140" t="s">
        <v>4460</v>
      </c>
    </row>
    <row r="624" spans="1:19" s="130" customFormat="1">
      <c r="A624" s="59">
        <v>136</v>
      </c>
      <c r="B624" s="105" t="s">
        <v>234</v>
      </c>
      <c r="D624" s="81" t="s">
        <v>1589</v>
      </c>
      <c r="E624" s="97">
        <v>2</v>
      </c>
      <c r="F624" s="97" t="s">
        <v>870</v>
      </c>
      <c r="G624" t="s">
        <v>27</v>
      </c>
      <c r="H624" t="s">
        <v>27</v>
      </c>
      <c r="I624" t="s">
        <v>27</v>
      </c>
      <c r="J624" t="s">
        <v>28</v>
      </c>
      <c r="K624" s="85" t="s">
        <v>828</v>
      </c>
      <c r="L624" s="85"/>
      <c r="M624" s="85" t="s">
        <v>28</v>
      </c>
      <c r="N624" s="85" t="s">
        <v>829</v>
      </c>
      <c r="O624" t="s">
        <v>879</v>
      </c>
      <c r="P624" t="s">
        <v>831</v>
      </c>
      <c r="Q624" t="s">
        <v>875</v>
      </c>
      <c r="R624" s="140" t="s">
        <v>4460</v>
      </c>
    </row>
    <row r="625" spans="1:25" s="130" customFormat="1" hidden="1">
      <c r="A625" s="38">
        <v>137</v>
      </c>
      <c r="B625" s="105" t="s">
        <v>234</v>
      </c>
      <c r="D625" s="81">
        <v>0</v>
      </c>
      <c r="E625" s="97">
        <v>3</v>
      </c>
      <c r="F625" s="97" t="s">
        <v>880</v>
      </c>
      <c r="G625" t="s">
        <v>27</v>
      </c>
      <c r="H625" t="s">
        <v>27</v>
      </c>
      <c r="I625" t="s">
        <v>27</v>
      </c>
      <c r="J625" s="137" t="s">
        <v>27</v>
      </c>
      <c r="K625" s="130" t="s">
        <v>237</v>
      </c>
      <c r="L625" s="130" t="s">
        <v>237</v>
      </c>
      <c r="M625" s="130" t="s">
        <v>240</v>
      </c>
      <c r="N625" s="123" t="s">
        <v>31</v>
      </c>
      <c r="O625" s="137" t="s">
        <v>881</v>
      </c>
      <c r="P625" s="134" t="s">
        <v>475</v>
      </c>
      <c r="Q625" s="134"/>
      <c r="R625" s="134"/>
      <c r="S625" s="134"/>
    </row>
    <row r="626" spans="1:25" s="130" customFormat="1" hidden="1">
      <c r="A626" s="38">
        <v>137</v>
      </c>
      <c r="B626" s="105" t="s">
        <v>234</v>
      </c>
      <c r="D626" s="81">
        <v>0</v>
      </c>
      <c r="E626" s="97">
        <v>3</v>
      </c>
      <c r="F626" s="97" t="s">
        <v>880</v>
      </c>
      <c r="G626" t="s">
        <v>27</v>
      </c>
      <c r="H626" t="s">
        <v>27</v>
      </c>
      <c r="I626" t="s">
        <v>27</v>
      </c>
      <c r="J626" s="137" t="s">
        <v>27</v>
      </c>
      <c r="K626" s="130" t="s">
        <v>237</v>
      </c>
      <c r="L626" s="130" t="s">
        <v>237</v>
      </c>
      <c r="M626" s="130" t="s">
        <v>240</v>
      </c>
      <c r="N626" s="123" t="s">
        <v>31</v>
      </c>
      <c r="O626" s="137" t="s">
        <v>882</v>
      </c>
      <c r="P626" s="134" t="s">
        <v>475</v>
      </c>
      <c r="Q626" s="134"/>
      <c r="R626" s="134"/>
      <c r="S626" s="134"/>
    </row>
    <row r="627" spans="1:25" s="130" customFormat="1" hidden="1">
      <c r="A627" s="38">
        <v>137</v>
      </c>
      <c r="B627" s="105" t="s">
        <v>234</v>
      </c>
      <c r="D627" s="81">
        <v>0</v>
      </c>
      <c r="E627" s="97">
        <v>3</v>
      </c>
      <c r="F627" s="97" t="s">
        <v>880</v>
      </c>
      <c r="G627" t="s">
        <v>27</v>
      </c>
      <c r="H627" t="s">
        <v>27</v>
      </c>
      <c r="I627" t="s">
        <v>27</v>
      </c>
      <c r="J627" s="137" t="s">
        <v>27</v>
      </c>
      <c r="K627" s="130" t="s">
        <v>237</v>
      </c>
      <c r="L627" s="130" t="s">
        <v>237</v>
      </c>
      <c r="M627" s="130" t="s">
        <v>240</v>
      </c>
      <c r="N627" s="123" t="s">
        <v>31</v>
      </c>
      <c r="O627" s="137" t="s">
        <v>883</v>
      </c>
      <c r="P627" s="134" t="s">
        <v>475</v>
      </c>
      <c r="Q627" s="134"/>
      <c r="R627" s="134"/>
      <c r="S627" s="134"/>
    </row>
    <row r="628" spans="1:25" s="130" customFormat="1">
      <c r="A628" s="59">
        <v>137</v>
      </c>
      <c r="B628" s="105" t="s">
        <v>234</v>
      </c>
      <c r="D628" s="81" t="s">
        <v>1589</v>
      </c>
      <c r="E628" s="97">
        <v>3</v>
      </c>
      <c r="F628" s="97" t="s">
        <v>880</v>
      </c>
      <c r="G628" t="s">
        <v>27</v>
      </c>
      <c r="H628" t="s">
        <v>27</v>
      </c>
      <c r="I628" t="s">
        <v>27</v>
      </c>
      <c r="J628" t="s">
        <v>28</v>
      </c>
      <c r="K628" s="85" t="s">
        <v>828</v>
      </c>
      <c r="L628" s="85"/>
      <c r="M628" s="85" t="s">
        <v>28</v>
      </c>
      <c r="N628" s="85" t="s">
        <v>829</v>
      </c>
      <c r="O628" t="s">
        <v>884</v>
      </c>
      <c r="P628" t="s">
        <v>831</v>
      </c>
      <c r="Q628" t="s">
        <v>885</v>
      </c>
      <c r="R628" s="140" t="s">
        <v>4461</v>
      </c>
    </row>
    <row r="629" spans="1:25" s="130" customFormat="1">
      <c r="A629" s="59">
        <v>137</v>
      </c>
      <c r="B629" s="105" t="s">
        <v>234</v>
      </c>
      <c r="D629" s="81" t="s">
        <v>1589</v>
      </c>
      <c r="E629" s="97">
        <v>3</v>
      </c>
      <c r="F629" s="97" t="s">
        <v>880</v>
      </c>
      <c r="G629" t="s">
        <v>27</v>
      </c>
      <c r="H629" t="s">
        <v>27</v>
      </c>
      <c r="I629" t="s">
        <v>27</v>
      </c>
      <c r="J629" t="s">
        <v>28</v>
      </c>
      <c r="K629" s="85" t="s">
        <v>828</v>
      </c>
      <c r="L629" s="85"/>
      <c r="M629" s="85" t="s">
        <v>28</v>
      </c>
      <c r="N629" s="85" t="s">
        <v>829</v>
      </c>
      <c r="O629" t="s">
        <v>886</v>
      </c>
      <c r="P629" t="s">
        <v>831</v>
      </c>
      <c r="Q629" t="s">
        <v>885</v>
      </c>
      <c r="R629" s="140" t="s">
        <v>4461</v>
      </c>
    </row>
    <row r="630" spans="1:25" s="130" customFormat="1">
      <c r="A630" s="59">
        <v>137</v>
      </c>
      <c r="B630" s="105" t="s">
        <v>234</v>
      </c>
      <c r="D630" s="81" t="s">
        <v>1589</v>
      </c>
      <c r="E630" s="97">
        <v>3</v>
      </c>
      <c r="F630" s="97" t="s">
        <v>880</v>
      </c>
      <c r="G630" t="s">
        <v>27</v>
      </c>
      <c r="H630" t="s">
        <v>27</v>
      </c>
      <c r="I630" t="s">
        <v>27</v>
      </c>
      <c r="J630" t="s">
        <v>28</v>
      </c>
      <c r="K630" s="85" t="s">
        <v>828</v>
      </c>
      <c r="L630" s="85"/>
      <c r="M630" s="85" t="s">
        <v>28</v>
      </c>
      <c r="N630" s="85" t="s">
        <v>829</v>
      </c>
      <c r="O630" t="s">
        <v>887</v>
      </c>
      <c r="P630" t="s">
        <v>831</v>
      </c>
      <c r="Q630" t="s">
        <v>885</v>
      </c>
      <c r="R630" s="140" t="s">
        <v>4461</v>
      </c>
    </row>
    <row r="631" spans="1:25" hidden="1">
      <c r="A631" s="130">
        <v>137</v>
      </c>
      <c r="B631" s="117" t="s">
        <v>234</v>
      </c>
      <c r="C631" s="137"/>
      <c r="D631" s="81">
        <v>0</v>
      </c>
      <c r="E631" s="97">
        <v>3</v>
      </c>
      <c r="F631" s="98" t="s">
        <v>880</v>
      </c>
      <c r="G631" s="137" t="s">
        <v>27</v>
      </c>
      <c r="H631" s="137" t="s">
        <v>27</v>
      </c>
      <c r="I631" s="137" t="s">
        <v>27</v>
      </c>
      <c r="J631" s="137" t="s">
        <v>27</v>
      </c>
      <c r="K631" s="99" t="s">
        <v>888</v>
      </c>
      <c r="L631" s="99" t="s">
        <v>888</v>
      </c>
      <c r="M631" s="130" t="s">
        <v>240</v>
      </c>
      <c r="N631" s="123" t="s">
        <v>31</v>
      </c>
      <c r="O631" s="137" t="s">
        <v>889</v>
      </c>
      <c r="P631" s="137" t="s">
        <v>831</v>
      </c>
      <c r="Q631" s="137"/>
      <c r="R631" s="137"/>
      <c r="S631" s="137"/>
      <c r="T631" s="137"/>
      <c r="U631" s="137"/>
      <c r="V631" s="137"/>
      <c r="W631" s="137"/>
      <c r="X631" s="137"/>
      <c r="Y631" s="137"/>
    </row>
    <row r="632" spans="1:25">
      <c r="A632" s="59">
        <v>137</v>
      </c>
      <c r="B632" s="105" t="s">
        <v>234</v>
      </c>
      <c r="D632" s="81" t="s">
        <v>1589</v>
      </c>
      <c r="E632" s="97">
        <v>3</v>
      </c>
      <c r="F632" s="97" t="s">
        <v>880</v>
      </c>
      <c r="G632" t="s">
        <v>27</v>
      </c>
      <c r="H632" t="s">
        <v>27</v>
      </c>
      <c r="I632" t="s">
        <v>27</v>
      </c>
      <c r="J632" t="s">
        <v>28</v>
      </c>
      <c r="K632" s="85" t="s">
        <v>828</v>
      </c>
      <c r="L632" s="85"/>
      <c r="M632" s="85" t="s">
        <v>28</v>
      </c>
      <c r="N632" s="85" t="s">
        <v>829</v>
      </c>
      <c r="O632" t="s">
        <v>890</v>
      </c>
      <c r="P632" t="s">
        <v>831</v>
      </c>
      <c r="Q632" t="s">
        <v>885</v>
      </c>
      <c r="R632" s="140" t="s">
        <v>4461</v>
      </c>
    </row>
    <row r="633" spans="1:25" hidden="1">
      <c r="A633" s="38">
        <v>138</v>
      </c>
      <c r="B633" s="105" t="s">
        <v>234</v>
      </c>
      <c r="D633" s="81">
        <v>0</v>
      </c>
      <c r="E633" s="97">
        <v>3</v>
      </c>
      <c r="F633" s="97" t="s">
        <v>891</v>
      </c>
      <c r="G633" t="s">
        <v>27</v>
      </c>
      <c r="H633" t="s">
        <v>27</v>
      </c>
      <c r="I633" t="s">
        <v>27</v>
      </c>
      <c r="J633" s="137" t="s">
        <v>27</v>
      </c>
      <c r="K633" s="130" t="s">
        <v>237</v>
      </c>
      <c r="L633" s="130" t="s">
        <v>237</v>
      </c>
      <c r="M633" s="130" t="s">
        <v>240</v>
      </c>
      <c r="N633" s="123" t="s">
        <v>31</v>
      </c>
      <c r="O633" s="137" t="s">
        <v>892</v>
      </c>
      <c r="P633" s="134" t="s">
        <v>475</v>
      </c>
      <c r="Q633" s="134"/>
      <c r="R633" s="134"/>
      <c r="S633" s="134"/>
    </row>
    <row r="634" spans="1:25" hidden="1">
      <c r="A634" s="38">
        <v>138</v>
      </c>
      <c r="B634" s="105" t="s">
        <v>234</v>
      </c>
      <c r="D634" s="81">
        <v>0</v>
      </c>
      <c r="E634" s="97">
        <v>3</v>
      </c>
      <c r="F634" s="97" t="s">
        <v>891</v>
      </c>
      <c r="G634" t="s">
        <v>27</v>
      </c>
      <c r="H634" t="s">
        <v>27</v>
      </c>
      <c r="I634" t="s">
        <v>27</v>
      </c>
      <c r="J634" s="137" t="s">
        <v>27</v>
      </c>
      <c r="K634" s="130" t="s">
        <v>237</v>
      </c>
      <c r="L634" s="130" t="s">
        <v>237</v>
      </c>
      <c r="M634" s="130" t="s">
        <v>240</v>
      </c>
      <c r="N634" s="123" t="s">
        <v>31</v>
      </c>
      <c r="O634" s="137" t="s">
        <v>893</v>
      </c>
      <c r="P634" s="134" t="s">
        <v>475</v>
      </c>
      <c r="Q634" s="134"/>
      <c r="R634" s="134"/>
      <c r="S634" s="134"/>
    </row>
    <row r="635" spans="1:25" hidden="1">
      <c r="A635" s="38">
        <v>138</v>
      </c>
      <c r="B635" s="105" t="s">
        <v>234</v>
      </c>
      <c r="D635" s="81">
        <v>0</v>
      </c>
      <c r="E635" s="97">
        <v>3</v>
      </c>
      <c r="F635" s="97" t="s">
        <v>891</v>
      </c>
      <c r="G635" t="s">
        <v>27</v>
      </c>
      <c r="H635" t="s">
        <v>27</v>
      </c>
      <c r="I635" t="s">
        <v>27</v>
      </c>
      <c r="J635" s="137" t="s">
        <v>27</v>
      </c>
      <c r="K635" s="130" t="s">
        <v>237</v>
      </c>
      <c r="L635" s="130" t="s">
        <v>237</v>
      </c>
      <c r="M635" s="130" t="s">
        <v>240</v>
      </c>
      <c r="N635" s="123" t="s">
        <v>31</v>
      </c>
      <c r="O635" s="137" t="s">
        <v>894</v>
      </c>
      <c r="P635" s="134" t="s">
        <v>475</v>
      </c>
      <c r="Q635" s="134"/>
      <c r="R635" s="134"/>
      <c r="S635" s="134"/>
    </row>
    <row r="636" spans="1:25" hidden="1">
      <c r="A636" s="79">
        <v>71</v>
      </c>
      <c r="B636" s="117" t="s">
        <v>124</v>
      </c>
      <c r="C636" s="137" t="s">
        <v>253</v>
      </c>
      <c r="D636" s="81" t="s">
        <v>4444</v>
      </c>
      <c r="E636" s="97">
        <v>3</v>
      </c>
      <c r="F636" s="97" t="s">
        <v>74</v>
      </c>
      <c r="G636" s="137" t="s">
        <v>27</v>
      </c>
      <c r="H636" s="137" t="s">
        <v>27</v>
      </c>
      <c r="I636" s="137" t="s">
        <v>27</v>
      </c>
      <c r="J636" s="137" t="s">
        <v>27</v>
      </c>
      <c r="K636" s="137" t="s">
        <v>544</v>
      </c>
      <c r="L636" s="137" t="s">
        <v>544</v>
      </c>
      <c r="M636" s="130" t="s">
        <v>28</v>
      </c>
      <c r="N636" s="130" t="s">
        <v>51</v>
      </c>
      <c r="O636" s="137" t="s">
        <v>895</v>
      </c>
      <c r="P636" s="134" t="s">
        <v>853</v>
      </c>
      <c r="Q636" s="134"/>
      <c r="R636" s="134"/>
      <c r="S636" s="134"/>
      <c r="T636" s="137"/>
      <c r="U636" s="137"/>
      <c r="V636" s="137"/>
      <c r="W636" s="137"/>
      <c r="X636" s="137"/>
      <c r="Y636" s="137"/>
    </row>
    <row r="637" spans="1:25" hidden="1">
      <c r="A637" s="79">
        <v>71</v>
      </c>
      <c r="B637" s="117" t="s">
        <v>124</v>
      </c>
      <c r="C637" s="137" t="s">
        <v>253</v>
      </c>
      <c r="D637" s="81" t="s">
        <v>4444</v>
      </c>
      <c r="E637" s="97">
        <v>3</v>
      </c>
      <c r="F637" s="97" t="s">
        <v>74</v>
      </c>
      <c r="G637" s="137" t="s">
        <v>27</v>
      </c>
      <c r="H637" s="137" t="s">
        <v>27</v>
      </c>
      <c r="I637" s="137" t="s">
        <v>27</v>
      </c>
      <c r="J637" s="137" t="s">
        <v>27</v>
      </c>
      <c r="K637" s="137" t="s">
        <v>544</v>
      </c>
      <c r="L637" s="137" t="s">
        <v>544</v>
      </c>
      <c r="M637" s="130" t="s">
        <v>28</v>
      </c>
      <c r="N637" s="130" t="s">
        <v>51</v>
      </c>
      <c r="O637" s="137" t="s">
        <v>896</v>
      </c>
      <c r="P637" s="134" t="s">
        <v>853</v>
      </c>
      <c r="Q637" s="134"/>
      <c r="R637" s="134"/>
      <c r="S637" s="134"/>
      <c r="T637" s="137"/>
      <c r="U637" s="137"/>
      <c r="V637" s="137"/>
      <c r="W637" s="137"/>
      <c r="X637" s="137"/>
      <c r="Y637" s="137"/>
    </row>
    <row r="638" spans="1:25" hidden="1">
      <c r="A638" s="79">
        <v>71</v>
      </c>
      <c r="B638" s="117" t="s">
        <v>124</v>
      </c>
      <c r="C638" s="137" t="s">
        <v>253</v>
      </c>
      <c r="D638" s="81" t="s">
        <v>4444</v>
      </c>
      <c r="E638" s="97">
        <v>3</v>
      </c>
      <c r="F638" s="97" t="s">
        <v>74</v>
      </c>
      <c r="G638" s="137" t="s">
        <v>27</v>
      </c>
      <c r="H638" s="137" t="s">
        <v>27</v>
      </c>
      <c r="I638" s="137" t="s">
        <v>27</v>
      </c>
      <c r="J638" s="137" t="s">
        <v>27</v>
      </c>
      <c r="K638" s="137" t="s">
        <v>544</v>
      </c>
      <c r="L638" s="137" t="s">
        <v>544</v>
      </c>
      <c r="M638" s="130" t="s">
        <v>28</v>
      </c>
      <c r="N638" s="130" t="s">
        <v>51</v>
      </c>
      <c r="O638" s="137" t="s">
        <v>897</v>
      </c>
      <c r="P638" s="134" t="s">
        <v>853</v>
      </c>
      <c r="Q638" s="134"/>
      <c r="R638" s="134"/>
      <c r="S638" s="134"/>
      <c r="T638" s="137"/>
      <c r="U638" s="137"/>
      <c r="V638" s="137"/>
      <c r="W638" s="137"/>
      <c r="X638" s="137"/>
      <c r="Y638" s="137"/>
    </row>
    <row r="639" spans="1:25" hidden="1">
      <c r="A639" s="38">
        <v>140</v>
      </c>
      <c r="B639" s="105" t="s">
        <v>234</v>
      </c>
      <c r="D639" s="81">
        <v>0</v>
      </c>
      <c r="E639" s="97">
        <v>2</v>
      </c>
      <c r="F639" s="97" t="s">
        <v>898</v>
      </c>
      <c r="G639" t="s">
        <v>27</v>
      </c>
      <c r="H639" t="s">
        <v>27</v>
      </c>
      <c r="I639" t="s">
        <v>27</v>
      </c>
      <c r="J639" s="137" t="s">
        <v>27</v>
      </c>
      <c r="K639" s="130" t="s">
        <v>237</v>
      </c>
      <c r="L639" s="130" t="s">
        <v>237</v>
      </c>
      <c r="M639" s="130" t="s">
        <v>240</v>
      </c>
      <c r="N639" s="123" t="s">
        <v>31</v>
      </c>
      <c r="O639" s="137" t="s">
        <v>899</v>
      </c>
      <c r="P639" s="134" t="s">
        <v>239</v>
      </c>
      <c r="Q639" s="134"/>
      <c r="R639" s="134"/>
      <c r="S639" s="134"/>
    </row>
    <row r="640" spans="1:25" hidden="1">
      <c r="A640" s="38">
        <v>140</v>
      </c>
      <c r="B640" s="105" t="s">
        <v>234</v>
      </c>
      <c r="D640" s="81">
        <v>0</v>
      </c>
      <c r="E640" s="97">
        <v>2</v>
      </c>
      <c r="F640" s="97" t="s">
        <v>898</v>
      </c>
      <c r="G640" t="s">
        <v>27</v>
      </c>
      <c r="H640" t="s">
        <v>27</v>
      </c>
      <c r="I640" t="s">
        <v>27</v>
      </c>
      <c r="J640" s="137" t="s">
        <v>27</v>
      </c>
      <c r="K640" s="130" t="s">
        <v>237</v>
      </c>
      <c r="L640" s="130" t="s">
        <v>237</v>
      </c>
      <c r="M640" s="130" t="s">
        <v>240</v>
      </c>
      <c r="N640" s="123" t="s">
        <v>31</v>
      </c>
      <c r="O640" s="137" t="s">
        <v>900</v>
      </c>
      <c r="P640" s="134" t="s">
        <v>239</v>
      </c>
      <c r="Q640" s="134"/>
      <c r="R640" s="134"/>
      <c r="S640" s="134"/>
    </row>
    <row r="641" spans="1:19" hidden="1">
      <c r="A641" s="38">
        <v>140</v>
      </c>
      <c r="B641" s="105" t="s">
        <v>234</v>
      </c>
      <c r="D641" s="81">
        <v>0</v>
      </c>
      <c r="E641" s="97">
        <v>2</v>
      </c>
      <c r="F641" s="97" t="s">
        <v>898</v>
      </c>
      <c r="G641" t="s">
        <v>27</v>
      </c>
      <c r="H641" t="s">
        <v>27</v>
      </c>
      <c r="I641" t="s">
        <v>27</v>
      </c>
      <c r="J641" s="137" t="s">
        <v>27</v>
      </c>
      <c r="K641" s="130" t="s">
        <v>237</v>
      </c>
      <c r="L641" s="130" t="s">
        <v>237</v>
      </c>
      <c r="M641" s="130" t="s">
        <v>240</v>
      </c>
      <c r="N641" s="123" t="s">
        <v>31</v>
      </c>
      <c r="O641" s="137" t="s">
        <v>901</v>
      </c>
      <c r="P641" s="134" t="s">
        <v>239</v>
      </c>
      <c r="Q641" s="134"/>
      <c r="R641" s="134"/>
      <c r="S641" s="134"/>
    </row>
    <row r="642" spans="1:19">
      <c r="A642" s="59">
        <v>140</v>
      </c>
      <c r="B642" s="105" t="s">
        <v>234</v>
      </c>
      <c r="D642" s="81" t="s">
        <v>1589</v>
      </c>
      <c r="E642" s="97">
        <v>2</v>
      </c>
      <c r="F642" s="97" t="s">
        <v>902</v>
      </c>
      <c r="G642" t="s">
        <v>27</v>
      </c>
      <c r="H642" t="s">
        <v>27</v>
      </c>
      <c r="I642" t="s">
        <v>27</v>
      </c>
      <c r="J642" t="s">
        <v>28</v>
      </c>
      <c r="K642" s="85" t="s">
        <v>828</v>
      </c>
      <c r="L642" s="85"/>
      <c r="M642" s="85" t="s">
        <v>28</v>
      </c>
      <c r="N642" s="85" t="s">
        <v>829</v>
      </c>
      <c r="O642" t="s">
        <v>903</v>
      </c>
      <c r="P642" t="s">
        <v>831</v>
      </c>
      <c r="Q642" t="s">
        <v>904</v>
      </c>
      <c r="R642" s="140" t="s">
        <v>4462</v>
      </c>
    </row>
    <row r="643" spans="1:19">
      <c r="A643" s="59">
        <v>140</v>
      </c>
      <c r="B643" s="105" t="s">
        <v>234</v>
      </c>
      <c r="D643" s="81" t="s">
        <v>1589</v>
      </c>
      <c r="E643" s="97">
        <v>2</v>
      </c>
      <c r="F643" s="97" t="s">
        <v>902</v>
      </c>
      <c r="G643" t="s">
        <v>27</v>
      </c>
      <c r="H643" t="s">
        <v>27</v>
      </c>
      <c r="I643" t="s">
        <v>27</v>
      </c>
      <c r="J643" t="s">
        <v>28</v>
      </c>
      <c r="K643" s="85" t="s">
        <v>828</v>
      </c>
      <c r="L643" s="85"/>
      <c r="M643" s="85" t="s">
        <v>28</v>
      </c>
      <c r="N643" s="85" t="s">
        <v>829</v>
      </c>
      <c r="O643" t="s">
        <v>905</v>
      </c>
      <c r="P643" t="s">
        <v>831</v>
      </c>
      <c r="Q643" t="s">
        <v>904</v>
      </c>
      <c r="R643" s="140" t="s">
        <v>4462</v>
      </c>
    </row>
    <row r="644" spans="1:19">
      <c r="A644" s="59">
        <v>140</v>
      </c>
      <c r="B644" s="105" t="s">
        <v>234</v>
      </c>
      <c r="D644" s="81" t="s">
        <v>1589</v>
      </c>
      <c r="E644" s="97">
        <v>2</v>
      </c>
      <c r="F644" s="97" t="s">
        <v>902</v>
      </c>
      <c r="G644" t="s">
        <v>27</v>
      </c>
      <c r="H644" t="s">
        <v>27</v>
      </c>
      <c r="I644" t="s">
        <v>27</v>
      </c>
      <c r="J644" t="s">
        <v>28</v>
      </c>
      <c r="K644" s="85" t="s">
        <v>828</v>
      </c>
      <c r="L644" s="85"/>
      <c r="M644" s="85" t="s">
        <v>28</v>
      </c>
      <c r="N644" s="85" t="s">
        <v>829</v>
      </c>
      <c r="O644" t="s">
        <v>906</v>
      </c>
      <c r="P644" t="s">
        <v>831</v>
      </c>
      <c r="Q644" t="s">
        <v>904</v>
      </c>
      <c r="R644" s="140" t="s">
        <v>4462</v>
      </c>
    </row>
    <row r="645" spans="1:19">
      <c r="A645" s="59">
        <v>140</v>
      </c>
      <c r="B645" s="105" t="s">
        <v>234</v>
      </c>
      <c r="D645" s="81" t="s">
        <v>1589</v>
      </c>
      <c r="E645" s="97">
        <v>2</v>
      </c>
      <c r="F645" s="97" t="s">
        <v>902</v>
      </c>
      <c r="G645" t="s">
        <v>27</v>
      </c>
      <c r="H645" t="s">
        <v>27</v>
      </c>
      <c r="I645" t="s">
        <v>27</v>
      </c>
      <c r="J645" t="s">
        <v>28</v>
      </c>
      <c r="K645" s="85" t="s">
        <v>828</v>
      </c>
      <c r="L645" s="85"/>
      <c r="M645" s="85" t="s">
        <v>28</v>
      </c>
      <c r="N645" s="85" t="s">
        <v>829</v>
      </c>
      <c r="O645" t="s">
        <v>907</v>
      </c>
      <c r="P645" t="s">
        <v>831</v>
      </c>
      <c r="Q645" t="s">
        <v>904</v>
      </c>
      <c r="R645" s="140" t="s">
        <v>4462</v>
      </c>
    </row>
    <row r="646" spans="1:19">
      <c r="A646" s="59">
        <v>140</v>
      </c>
      <c r="B646" s="105" t="s">
        <v>234</v>
      </c>
      <c r="D646" s="81" t="s">
        <v>1589</v>
      </c>
      <c r="E646" s="97">
        <v>2</v>
      </c>
      <c r="F646" s="97" t="s">
        <v>902</v>
      </c>
      <c r="G646" t="s">
        <v>27</v>
      </c>
      <c r="H646" t="s">
        <v>27</v>
      </c>
      <c r="I646" t="s">
        <v>27</v>
      </c>
      <c r="J646" t="s">
        <v>28</v>
      </c>
      <c r="K646" s="85" t="s">
        <v>828</v>
      </c>
      <c r="L646" s="85"/>
      <c r="M646" s="85" t="s">
        <v>28</v>
      </c>
      <c r="N646" s="85" t="s">
        <v>829</v>
      </c>
      <c r="O646" t="s">
        <v>908</v>
      </c>
      <c r="P646" t="s">
        <v>831</v>
      </c>
      <c r="Q646" t="s">
        <v>904</v>
      </c>
      <c r="R646" s="140" t="s">
        <v>4462</v>
      </c>
    </row>
    <row r="647" spans="1:19" hidden="1">
      <c r="A647" s="38">
        <v>141</v>
      </c>
      <c r="B647" s="105" t="s">
        <v>234</v>
      </c>
      <c r="D647" s="81">
        <v>0</v>
      </c>
      <c r="E647" s="97">
        <v>2</v>
      </c>
      <c r="F647" s="97" t="s">
        <v>909</v>
      </c>
      <c r="G647" t="s">
        <v>27</v>
      </c>
      <c r="H647" t="s">
        <v>27</v>
      </c>
      <c r="I647" t="s">
        <v>27</v>
      </c>
      <c r="J647" s="137" t="s">
        <v>27</v>
      </c>
      <c r="K647" s="130" t="s">
        <v>237</v>
      </c>
      <c r="L647" s="130" t="s">
        <v>237</v>
      </c>
      <c r="M647" s="130" t="s">
        <v>240</v>
      </c>
      <c r="N647" s="123" t="s">
        <v>31</v>
      </c>
      <c r="O647" s="137" t="s">
        <v>910</v>
      </c>
      <c r="P647" s="134" t="s">
        <v>239</v>
      </c>
      <c r="Q647" s="134"/>
      <c r="R647" s="134"/>
      <c r="S647" s="134"/>
    </row>
    <row r="648" spans="1:19" hidden="1">
      <c r="A648" s="38">
        <v>141</v>
      </c>
      <c r="B648" s="105" t="s">
        <v>234</v>
      </c>
      <c r="D648" s="81">
        <v>0</v>
      </c>
      <c r="E648" s="97">
        <v>2</v>
      </c>
      <c r="F648" s="97" t="s">
        <v>909</v>
      </c>
      <c r="G648" t="s">
        <v>27</v>
      </c>
      <c r="H648" t="s">
        <v>27</v>
      </c>
      <c r="I648" t="s">
        <v>27</v>
      </c>
      <c r="J648" s="137" t="s">
        <v>27</v>
      </c>
      <c r="K648" s="130" t="s">
        <v>237</v>
      </c>
      <c r="L648" s="130" t="s">
        <v>237</v>
      </c>
      <c r="M648" s="130" t="s">
        <v>240</v>
      </c>
      <c r="N648" s="123" t="s">
        <v>31</v>
      </c>
      <c r="O648" s="137" t="s">
        <v>911</v>
      </c>
      <c r="P648" s="134" t="s">
        <v>239</v>
      </c>
      <c r="Q648" s="134"/>
      <c r="R648" s="134"/>
      <c r="S648" s="134"/>
    </row>
    <row r="649" spans="1:19" hidden="1">
      <c r="A649" s="38">
        <v>141</v>
      </c>
      <c r="B649" s="105" t="s">
        <v>234</v>
      </c>
      <c r="D649" s="81">
        <v>0</v>
      </c>
      <c r="E649" s="97">
        <v>2</v>
      </c>
      <c r="F649" s="97" t="s">
        <v>909</v>
      </c>
      <c r="G649" t="s">
        <v>27</v>
      </c>
      <c r="H649" t="s">
        <v>27</v>
      </c>
      <c r="I649" t="s">
        <v>27</v>
      </c>
      <c r="J649" s="137" t="s">
        <v>27</v>
      </c>
      <c r="K649" s="130" t="s">
        <v>237</v>
      </c>
      <c r="L649" s="130" t="s">
        <v>237</v>
      </c>
      <c r="M649" s="130" t="s">
        <v>240</v>
      </c>
      <c r="N649" s="123" t="s">
        <v>31</v>
      </c>
      <c r="O649" s="137" t="s">
        <v>912</v>
      </c>
      <c r="P649" s="134" t="s">
        <v>239</v>
      </c>
      <c r="Q649" s="134"/>
      <c r="R649" s="134"/>
      <c r="S649" s="134"/>
    </row>
    <row r="650" spans="1:19" hidden="1">
      <c r="A650" s="38">
        <v>142</v>
      </c>
      <c r="B650" s="105" t="s">
        <v>234</v>
      </c>
      <c r="D650" s="81">
        <v>0</v>
      </c>
      <c r="E650" s="97">
        <v>2</v>
      </c>
      <c r="F650" s="97" t="s">
        <v>913</v>
      </c>
      <c r="G650" t="s">
        <v>27</v>
      </c>
      <c r="H650" t="s">
        <v>27</v>
      </c>
      <c r="I650" t="s">
        <v>27</v>
      </c>
      <c r="J650" s="137" t="s">
        <v>27</v>
      </c>
      <c r="K650" s="130" t="s">
        <v>237</v>
      </c>
      <c r="L650" s="130" t="s">
        <v>237</v>
      </c>
      <c r="M650" s="130" t="s">
        <v>240</v>
      </c>
      <c r="N650" s="123" t="s">
        <v>31</v>
      </c>
      <c r="O650" s="137" t="s">
        <v>914</v>
      </c>
      <c r="P650" s="134" t="s">
        <v>239</v>
      </c>
      <c r="Q650" s="134"/>
      <c r="R650" s="134"/>
      <c r="S650" s="134"/>
    </row>
    <row r="651" spans="1:19" hidden="1">
      <c r="A651" s="38">
        <v>142</v>
      </c>
      <c r="B651" s="105" t="s">
        <v>234</v>
      </c>
      <c r="D651" s="81">
        <v>0</v>
      </c>
      <c r="E651" s="97">
        <v>2</v>
      </c>
      <c r="F651" s="97" t="s">
        <v>913</v>
      </c>
      <c r="G651" t="s">
        <v>27</v>
      </c>
      <c r="H651" t="s">
        <v>27</v>
      </c>
      <c r="I651" t="s">
        <v>27</v>
      </c>
      <c r="J651" s="137" t="s">
        <v>27</v>
      </c>
      <c r="K651" s="130" t="s">
        <v>237</v>
      </c>
      <c r="L651" s="130" t="s">
        <v>237</v>
      </c>
      <c r="M651" s="130" t="s">
        <v>240</v>
      </c>
      <c r="N651" s="123" t="s">
        <v>31</v>
      </c>
      <c r="O651" s="137" t="s">
        <v>915</v>
      </c>
      <c r="P651" s="134" t="s">
        <v>239</v>
      </c>
      <c r="Q651" s="134"/>
      <c r="R651" s="134"/>
      <c r="S651" s="134"/>
    </row>
    <row r="652" spans="1:19" hidden="1">
      <c r="A652" s="38">
        <v>142</v>
      </c>
      <c r="B652" t="s">
        <v>234</v>
      </c>
      <c r="D652" s="81">
        <v>0</v>
      </c>
      <c r="E652" s="97">
        <v>2</v>
      </c>
      <c r="F652" s="97" t="s">
        <v>913</v>
      </c>
      <c r="G652" t="s">
        <v>27</v>
      </c>
      <c r="H652" t="s">
        <v>27</v>
      </c>
      <c r="I652" t="s">
        <v>27</v>
      </c>
      <c r="J652" s="137" t="s">
        <v>27</v>
      </c>
      <c r="K652" s="130" t="s">
        <v>237</v>
      </c>
      <c r="L652" s="130" t="s">
        <v>237</v>
      </c>
      <c r="M652" s="130" t="s">
        <v>240</v>
      </c>
      <c r="N652" s="123" t="s">
        <v>31</v>
      </c>
      <c r="O652" s="137" t="s">
        <v>916</v>
      </c>
      <c r="P652" s="134" t="s">
        <v>239</v>
      </c>
      <c r="Q652" s="134"/>
      <c r="R652" s="134"/>
      <c r="S652" s="134"/>
    </row>
    <row r="653" spans="1:19">
      <c r="A653" s="59">
        <v>142</v>
      </c>
      <c r="B653" t="s">
        <v>234</v>
      </c>
      <c r="D653" s="81" t="s">
        <v>1589</v>
      </c>
      <c r="E653" s="97">
        <v>2</v>
      </c>
      <c r="F653" s="97" t="s">
        <v>913</v>
      </c>
      <c r="G653" t="s">
        <v>27</v>
      </c>
      <c r="H653" t="s">
        <v>27</v>
      </c>
      <c r="I653" t="s">
        <v>27</v>
      </c>
      <c r="J653" t="s">
        <v>28</v>
      </c>
      <c r="K653" s="85" t="s">
        <v>828</v>
      </c>
      <c r="L653" s="85"/>
      <c r="M653" s="85" t="s">
        <v>28</v>
      </c>
      <c r="N653" s="85" t="s">
        <v>829</v>
      </c>
      <c r="O653" t="s">
        <v>917</v>
      </c>
      <c r="P653" t="s">
        <v>831</v>
      </c>
      <c r="Q653" t="s">
        <v>918</v>
      </c>
      <c r="R653" s="140" t="s">
        <v>4462</v>
      </c>
    </row>
    <row r="654" spans="1:19">
      <c r="A654" s="59">
        <v>142</v>
      </c>
      <c r="B654" t="s">
        <v>234</v>
      </c>
      <c r="D654" s="81" t="s">
        <v>1589</v>
      </c>
      <c r="E654" s="97">
        <v>2</v>
      </c>
      <c r="F654" s="97" t="s">
        <v>913</v>
      </c>
      <c r="G654" t="s">
        <v>27</v>
      </c>
      <c r="H654" t="s">
        <v>27</v>
      </c>
      <c r="I654" t="s">
        <v>27</v>
      </c>
      <c r="J654" t="s">
        <v>28</v>
      </c>
      <c r="K654" s="85" t="s">
        <v>828</v>
      </c>
      <c r="L654" s="85"/>
      <c r="M654" s="85" t="s">
        <v>28</v>
      </c>
      <c r="N654" s="85" t="s">
        <v>829</v>
      </c>
      <c r="O654" t="s">
        <v>919</v>
      </c>
      <c r="P654" t="s">
        <v>831</v>
      </c>
      <c r="Q654" t="s">
        <v>918</v>
      </c>
      <c r="R654" s="140" t="s">
        <v>4462</v>
      </c>
    </row>
    <row r="655" spans="1:19">
      <c r="A655" s="59">
        <v>142</v>
      </c>
      <c r="B655" t="s">
        <v>234</v>
      </c>
      <c r="D655" s="81" t="s">
        <v>1589</v>
      </c>
      <c r="E655" s="97">
        <v>2</v>
      </c>
      <c r="F655" s="97" t="s">
        <v>913</v>
      </c>
      <c r="G655" t="s">
        <v>27</v>
      </c>
      <c r="H655" t="s">
        <v>27</v>
      </c>
      <c r="I655" t="s">
        <v>27</v>
      </c>
      <c r="J655" t="s">
        <v>28</v>
      </c>
      <c r="K655" s="85" t="s">
        <v>828</v>
      </c>
      <c r="L655" s="85"/>
      <c r="M655" s="85" t="s">
        <v>28</v>
      </c>
      <c r="N655" s="85" t="s">
        <v>829</v>
      </c>
      <c r="O655" t="s">
        <v>920</v>
      </c>
      <c r="P655" t="s">
        <v>831</v>
      </c>
      <c r="Q655" t="s">
        <v>918</v>
      </c>
      <c r="R655" s="140" t="s">
        <v>4462</v>
      </c>
    </row>
    <row r="656" spans="1:19">
      <c r="A656" s="59">
        <v>142</v>
      </c>
      <c r="B656" t="s">
        <v>234</v>
      </c>
      <c r="D656" s="81" t="s">
        <v>1589</v>
      </c>
      <c r="E656" s="97">
        <v>2</v>
      </c>
      <c r="F656" s="97" t="s">
        <v>913</v>
      </c>
      <c r="G656" t="s">
        <v>27</v>
      </c>
      <c r="H656" t="s">
        <v>27</v>
      </c>
      <c r="I656" t="s">
        <v>27</v>
      </c>
      <c r="J656" t="s">
        <v>28</v>
      </c>
      <c r="K656" s="85" t="s">
        <v>828</v>
      </c>
      <c r="L656" s="85"/>
      <c r="M656" s="85" t="s">
        <v>28</v>
      </c>
      <c r="N656" s="85" t="s">
        <v>829</v>
      </c>
      <c r="O656" t="s">
        <v>921</v>
      </c>
      <c r="P656" t="s">
        <v>831</v>
      </c>
      <c r="Q656" t="s">
        <v>918</v>
      </c>
      <c r="R656" s="140" t="s">
        <v>4462</v>
      </c>
    </row>
    <row r="657" spans="1:19">
      <c r="A657" s="59">
        <v>142</v>
      </c>
      <c r="B657" t="s">
        <v>234</v>
      </c>
      <c r="D657" s="81" t="s">
        <v>1589</v>
      </c>
      <c r="E657" s="97">
        <v>2</v>
      </c>
      <c r="F657" s="97" t="s">
        <v>913</v>
      </c>
      <c r="G657" t="s">
        <v>27</v>
      </c>
      <c r="H657" t="s">
        <v>27</v>
      </c>
      <c r="I657" t="s">
        <v>27</v>
      </c>
      <c r="J657" t="s">
        <v>28</v>
      </c>
      <c r="K657" s="85" t="s">
        <v>828</v>
      </c>
      <c r="L657" s="85"/>
      <c r="M657" s="85" t="s">
        <v>28</v>
      </c>
      <c r="N657" s="85" t="s">
        <v>829</v>
      </c>
      <c r="O657" t="s">
        <v>922</v>
      </c>
      <c r="P657" t="s">
        <v>831</v>
      </c>
      <c r="Q657" t="s">
        <v>918</v>
      </c>
      <c r="R657" s="140" t="s">
        <v>4462</v>
      </c>
    </row>
    <row r="658" spans="1:19" hidden="1">
      <c r="A658" s="38">
        <v>143</v>
      </c>
      <c r="B658" t="s">
        <v>234</v>
      </c>
      <c r="D658" s="81">
        <v>0</v>
      </c>
      <c r="E658" s="97">
        <v>3</v>
      </c>
      <c r="F658" s="97" t="s">
        <v>923</v>
      </c>
      <c r="G658" t="s">
        <v>27</v>
      </c>
      <c r="H658" t="s">
        <v>27</v>
      </c>
      <c r="I658" t="s">
        <v>27</v>
      </c>
      <c r="J658" s="137" t="s">
        <v>27</v>
      </c>
      <c r="K658" s="130" t="s">
        <v>237</v>
      </c>
      <c r="L658" s="130" t="s">
        <v>237</v>
      </c>
      <c r="M658" s="130" t="s">
        <v>240</v>
      </c>
      <c r="N658" s="123" t="s">
        <v>31</v>
      </c>
      <c r="O658" s="137" t="s">
        <v>924</v>
      </c>
      <c r="P658" s="134" t="s">
        <v>239</v>
      </c>
      <c r="Q658" s="134"/>
      <c r="R658" s="134"/>
      <c r="S658" s="134"/>
    </row>
    <row r="659" spans="1:19" hidden="1">
      <c r="A659" s="38">
        <v>143</v>
      </c>
      <c r="B659" t="s">
        <v>234</v>
      </c>
      <c r="D659" s="81">
        <v>0</v>
      </c>
      <c r="E659" s="97">
        <v>3</v>
      </c>
      <c r="F659" s="97" t="s">
        <v>923</v>
      </c>
      <c r="G659" t="s">
        <v>27</v>
      </c>
      <c r="H659" t="s">
        <v>27</v>
      </c>
      <c r="I659" t="s">
        <v>27</v>
      </c>
      <c r="J659" s="137" t="s">
        <v>27</v>
      </c>
      <c r="K659" s="130" t="s">
        <v>237</v>
      </c>
      <c r="L659" s="130" t="s">
        <v>237</v>
      </c>
      <c r="M659" s="130" t="s">
        <v>240</v>
      </c>
      <c r="N659" s="123" t="s">
        <v>31</v>
      </c>
      <c r="O659" s="137" t="s">
        <v>925</v>
      </c>
      <c r="P659" s="134" t="s">
        <v>239</v>
      </c>
      <c r="Q659" s="134"/>
      <c r="R659" s="134"/>
      <c r="S659" s="134"/>
    </row>
    <row r="660" spans="1:19" s="130" customFormat="1" hidden="1">
      <c r="A660" s="38">
        <v>143</v>
      </c>
      <c r="B660" t="s">
        <v>234</v>
      </c>
      <c r="D660" s="81">
        <v>0</v>
      </c>
      <c r="E660" s="97">
        <v>3</v>
      </c>
      <c r="F660" s="97" t="s">
        <v>923</v>
      </c>
      <c r="G660" t="s">
        <v>27</v>
      </c>
      <c r="H660" t="s">
        <v>27</v>
      </c>
      <c r="I660" t="s">
        <v>27</v>
      </c>
      <c r="J660" s="137" t="s">
        <v>27</v>
      </c>
      <c r="K660" s="130" t="s">
        <v>237</v>
      </c>
      <c r="L660" s="130" t="s">
        <v>237</v>
      </c>
      <c r="M660" s="130" t="s">
        <v>240</v>
      </c>
      <c r="N660" s="123" t="s">
        <v>31</v>
      </c>
      <c r="O660" s="137" t="s">
        <v>926</v>
      </c>
      <c r="P660" s="134" t="s">
        <v>239</v>
      </c>
      <c r="Q660" s="134"/>
      <c r="R660" s="134"/>
      <c r="S660" s="134"/>
    </row>
    <row r="661" spans="1:19" s="130" customFormat="1" hidden="1">
      <c r="A661" s="38">
        <v>144</v>
      </c>
      <c r="B661" t="s">
        <v>234</v>
      </c>
      <c r="D661" s="81">
        <v>0</v>
      </c>
      <c r="E661" s="97">
        <v>3</v>
      </c>
      <c r="F661" s="97" t="s">
        <v>927</v>
      </c>
      <c r="G661" t="s">
        <v>27</v>
      </c>
      <c r="H661" t="s">
        <v>27</v>
      </c>
      <c r="I661" t="s">
        <v>27</v>
      </c>
      <c r="J661" s="137" t="s">
        <v>27</v>
      </c>
      <c r="K661" s="130" t="s">
        <v>237</v>
      </c>
      <c r="L661" s="130" t="s">
        <v>237</v>
      </c>
      <c r="M661" s="130" t="s">
        <v>240</v>
      </c>
      <c r="N661" s="123" t="s">
        <v>31</v>
      </c>
      <c r="O661" s="137" t="s">
        <v>928</v>
      </c>
      <c r="P661" s="134" t="s">
        <v>239</v>
      </c>
      <c r="Q661" s="134"/>
      <c r="R661" s="134"/>
      <c r="S661" s="134"/>
    </row>
    <row r="662" spans="1:19" s="130" customFormat="1" hidden="1">
      <c r="A662" s="38">
        <v>144</v>
      </c>
      <c r="B662" t="s">
        <v>234</v>
      </c>
      <c r="D662" s="81">
        <v>0</v>
      </c>
      <c r="E662" s="97">
        <v>3</v>
      </c>
      <c r="F662" s="97" t="s">
        <v>927</v>
      </c>
      <c r="G662" t="s">
        <v>27</v>
      </c>
      <c r="H662" t="s">
        <v>27</v>
      </c>
      <c r="I662" t="s">
        <v>27</v>
      </c>
      <c r="J662" s="137" t="s">
        <v>27</v>
      </c>
      <c r="K662" s="130" t="s">
        <v>237</v>
      </c>
      <c r="L662" s="130" t="s">
        <v>237</v>
      </c>
      <c r="M662" s="130" t="s">
        <v>240</v>
      </c>
      <c r="N662" s="123" t="s">
        <v>31</v>
      </c>
      <c r="O662" s="137" t="s">
        <v>929</v>
      </c>
      <c r="P662" s="134" t="s">
        <v>239</v>
      </c>
      <c r="Q662" s="134"/>
      <c r="R662" s="134"/>
      <c r="S662" s="134"/>
    </row>
    <row r="663" spans="1:19" hidden="1">
      <c r="A663" s="38">
        <v>144</v>
      </c>
      <c r="B663" t="s">
        <v>234</v>
      </c>
      <c r="D663" s="81">
        <v>0</v>
      </c>
      <c r="E663" s="97">
        <v>3</v>
      </c>
      <c r="F663" s="97" t="s">
        <v>927</v>
      </c>
      <c r="G663" t="s">
        <v>27</v>
      </c>
      <c r="H663" t="s">
        <v>27</v>
      </c>
      <c r="I663" t="s">
        <v>27</v>
      </c>
      <c r="J663" s="137" t="s">
        <v>27</v>
      </c>
      <c r="K663" s="130" t="s">
        <v>237</v>
      </c>
      <c r="L663" s="130" t="s">
        <v>237</v>
      </c>
      <c r="M663" s="130" t="s">
        <v>240</v>
      </c>
      <c r="N663" s="123" t="s">
        <v>31</v>
      </c>
      <c r="O663" s="137" t="s">
        <v>930</v>
      </c>
      <c r="P663" s="134" t="s">
        <v>239</v>
      </c>
      <c r="Q663" s="134"/>
      <c r="R663" s="134"/>
      <c r="S663" s="134"/>
    </row>
    <row r="664" spans="1:19">
      <c r="A664" s="59">
        <v>144</v>
      </c>
      <c r="B664" t="s">
        <v>234</v>
      </c>
      <c r="D664" s="81" t="s">
        <v>1589</v>
      </c>
      <c r="E664" s="97">
        <v>3</v>
      </c>
      <c r="F664" s="97" t="s">
        <v>927</v>
      </c>
      <c r="G664" t="s">
        <v>27</v>
      </c>
      <c r="H664" t="s">
        <v>27</v>
      </c>
      <c r="I664" t="s">
        <v>27</v>
      </c>
      <c r="J664" t="s">
        <v>28</v>
      </c>
      <c r="K664" s="85" t="s">
        <v>828</v>
      </c>
      <c r="L664" s="85"/>
      <c r="M664" s="85" t="s">
        <v>28</v>
      </c>
      <c r="N664" s="85" t="s">
        <v>829</v>
      </c>
      <c r="O664" t="s">
        <v>931</v>
      </c>
      <c r="P664" t="s">
        <v>831</v>
      </c>
      <c r="Q664" t="s">
        <v>932</v>
      </c>
      <c r="R664" s="140" t="s">
        <v>4462</v>
      </c>
    </row>
    <row r="665" spans="1:19">
      <c r="A665" s="59">
        <v>144</v>
      </c>
      <c r="B665" t="s">
        <v>234</v>
      </c>
      <c r="D665" s="81" t="s">
        <v>1589</v>
      </c>
      <c r="E665" s="97">
        <v>3</v>
      </c>
      <c r="F665" s="97" t="s">
        <v>927</v>
      </c>
      <c r="G665" t="s">
        <v>27</v>
      </c>
      <c r="H665" t="s">
        <v>27</v>
      </c>
      <c r="I665" t="s">
        <v>27</v>
      </c>
      <c r="J665" t="s">
        <v>28</v>
      </c>
      <c r="K665" s="85" t="s">
        <v>828</v>
      </c>
      <c r="L665" s="85"/>
      <c r="M665" s="85" t="s">
        <v>28</v>
      </c>
      <c r="N665" s="85" t="s">
        <v>829</v>
      </c>
      <c r="O665" t="s">
        <v>933</v>
      </c>
      <c r="P665" t="s">
        <v>831</v>
      </c>
      <c r="Q665" t="s">
        <v>932</v>
      </c>
      <c r="R665" s="140" t="s">
        <v>4462</v>
      </c>
    </row>
    <row r="666" spans="1:19">
      <c r="A666" s="59">
        <v>144</v>
      </c>
      <c r="B666" t="s">
        <v>234</v>
      </c>
      <c r="D666" s="81" t="s">
        <v>1589</v>
      </c>
      <c r="E666" s="97">
        <v>3</v>
      </c>
      <c r="F666" s="97" t="s">
        <v>927</v>
      </c>
      <c r="G666" t="s">
        <v>27</v>
      </c>
      <c r="H666" t="s">
        <v>27</v>
      </c>
      <c r="I666" t="s">
        <v>27</v>
      </c>
      <c r="J666" t="s">
        <v>28</v>
      </c>
      <c r="K666" s="85" t="s">
        <v>828</v>
      </c>
      <c r="L666" s="85"/>
      <c r="M666" s="85" t="s">
        <v>28</v>
      </c>
      <c r="N666" s="85" t="s">
        <v>829</v>
      </c>
      <c r="O666" t="s">
        <v>934</v>
      </c>
      <c r="P666" t="s">
        <v>831</v>
      </c>
      <c r="Q666" t="s">
        <v>932</v>
      </c>
      <c r="R666" s="140" t="s">
        <v>4462</v>
      </c>
    </row>
    <row r="667" spans="1:19">
      <c r="A667" s="59">
        <v>144</v>
      </c>
      <c r="B667" t="s">
        <v>234</v>
      </c>
      <c r="D667" s="81" t="s">
        <v>1589</v>
      </c>
      <c r="E667" s="97">
        <v>3</v>
      </c>
      <c r="F667" s="97" t="s">
        <v>927</v>
      </c>
      <c r="G667" t="s">
        <v>27</v>
      </c>
      <c r="H667" t="s">
        <v>27</v>
      </c>
      <c r="I667" t="s">
        <v>27</v>
      </c>
      <c r="J667" t="s">
        <v>28</v>
      </c>
      <c r="K667" s="85" t="s">
        <v>828</v>
      </c>
      <c r="L667" s="85"/>
      <c r="M667" s="85" t="s">
        <v>28</v>
      </c>
      <c r="N667" s="85" t="s">
        <v>829</v>
      </c>
      <c r="O667" t="s">
        <v>935</v>
      </c>
      <c r="P667" t="s">
        <v>831</v>
      </c>
      <c r="Q667" t="s">
        <v>932</v>
      </c>
      <c r="R667" s="140" t="s">
        <v>4462</v>
      </c>
    </row>
    <row r="668" spans="1:19">
      <c r="A668" s="59">
        <v>144</v>
      </c>
      <c r="B668" t="s">
        <v>234</v>
      </c>
      <c r="D668" s="81" t="s">
        <v>1589</v>
      </c>
      <c r="E668" s="97">
        <v>3</v>
      </c>
      <c r="F668" s="97" t="s">
        <v>927</v>
      </c>
      <c r="G668" t="s">
        <v>27</v>
      </c>
      <c r="H668" t="s">
        <v>27</v>
      </c>
      <c r="I668" t="s">
        <v>27</v>
      </c>
      <c r="J668" t="s">
        <v>28</v>
      </c>
      <c r="K668" s="85" t="s">
        <v>828</v>
      </c>
      <c r="L668" s="85"/>
      <c r="M668" s="85" t="s">
        <v>28</v>
      </c>
      <c r="N668" s="85" t="s">
        <v>829</v>
      </c>
      <c r="O668" t="s">
        <v>936</v>
      </c>
      <c r="P668" t="s">
        <v>831</v>
      </c>
      <c r="Q668" t="s">
        <v>932</v>
      </c>
      <c r="R668" s="140" t="s">
        <v>4462</v>
      </c>
    </row>
    <row r="669" spans="1:19" s="130" customFormat="1" hidden="1">
      <c r="A669" s="78">
        <v>145</v>
      </c>
      <c r="B669" s="130" t="s">
        <v>234</v>
      </c>
      <c r="D669" s="81">
        <v>0</v>
      </c>
      <c r="E669" s="97">
        <v>1</v>
      </c>
      <c r="F669" s="98" t="s">
        <v>697</v>
      </c>
      <c r="G669" s="130" t="s">
        <v>27</v>
      </c>
      <c r="H669" s="130" t="s">
        <v>27</v>
      </c>
      <c r="I669" s="130" t="s">
        <v>27</v>
      </c>
      <c r="J669" s="130" t="s">
        <v>27</v>
      </c>
      <c r="K669" s="130" t="s">
        <v>237</v>
      </c>
      <c r="L669" s="130" t="s">
        <v>237</v>
      </c>
      <c r="M669" s="130" t="s">
        <v>240</v>
      </c>
      <c r="N669" s="123" t="s">
        <v>31</v>
      </c>
      <c r="O669" s="130" t="s">
        <v>937</v>
      </c>
      <c r="P669" s="131" t="s">
        <v>239</v>
      </c>
      <c r="Q669" s="131"/>
      <c r="R669" s="131"/>
      <c r="S669" s="131"/>
    </row>
    <row r="670" spans="1:19" s="130" customFormat="1" hidden="1">
      <c r="A670" s="78">
        <v>145</v>
      </c>
      <c r="B670" s="130" t="s">
        <v>234</v>
      </c>
      <c r="D670" s="81">
        <v>0</v>
      </c>
      <c r="E670" s="97">
        <v>1</v>
      </c>
      <c r="F670" s="98" t="s">
        <v>697</v>
      </c>
      <c r="G670" s="130" t="s">
        <v>27</v>
      </c>
      <c r="H670" s="130" t="s">
        <v>27</v>
      </c>
      <c r="I670" s="130" t="s">
        <v>27</v>
      </c>
      <c r="J670" s="130" t="s">
        <v>27</v>
      </c>
      <c r="K670" s="130" t="s">
        <v>237</v>
      </c>
      <c r="L670" s="130" t="s">
        <v>237</v>
      </c>
      <c r="M670" s="130" t="s">
        <v>240</v>
      </c>
      <c r="N670" s="123" t="s">
        <v>31</v>
      </c>
      <c r="O670" s="130" t="s">
        <v>938</v>
      </c>
      <c r="P670" s="131" t="s">
        <v>239</v>
      </c>
      <c r="Q670" s="131"/>
      <c r="R670" s="131"/>
      <c r="S670" s="131"/>
    </row>
    <row r="671" spans="1:19" s="130" customFormat="1" hidden="1">
      <c r="A671" s="78">
        <v>145</v>
      </c>
      <c r="B671" s="130" t="s">
        <v>234</v>
      </c>
      <c r="D671" s="81">
        <v>0</v>
      </c>
      <c r="E671" s="97">
        <v>1</v>
      </c>
      <c r="F671" s="98" t="s">
        <v>697</v>
      </c>
      <c r="G671" s="130" t="s">
        <v>27</v>
      </c>
      <c r="H671" s="130" t="s">
        <v>27</v>
      </c>
      <c r="I671" s="130" t="s">
        <v>27</v>
      </c>
      <c r="J671" s="130" t="s">
        <v>27</v>
      </c>
      <c r="K671" s="130" t="s">
        <v>237</v>
      </c>
      <c r="L671" s="130" t="s">
        <v>237</v>
      </c>
      <c r="M671" s="130" t="s">
        <v>240</v>
      </c>
      <c r="N671" s="123" t="s">
        <v>31</v>
      </c>
      <c r="O671" s="130" t="s">
        <v>939</v>
      </c>
      <c r="P671" s="131" t="s">
        <v>239</v>
      </c>
      <c r="Q671" s="131"/>
      <c r="R671" s="131"/>
      <c r="S671" s="131"/>
    </row>
    <row r="672" spans="1:19">
      <c r="A672" s="38">
        <v>146</v>
      </c>
      <c r="B672" s="115" t="s">
        <v>940</v>
      </c>
      <c r="D672" s="81" t="s">
        <v>1589</v>
      </c>
      <c r="E672" s="97">
        <v>1</v>
      </c>
      <c r="F672" s="97" t="s">
        <v>112</v>
      </c>
      <c r="G672" t="s">
        <v>27</v>
      </c>
      <c r="H672" t="s">
        <v>27</v>
      </c>
      <c r="I672" t="s">
        <v>27</v>
      </c>
      <c r="J672" t="s">
        <v>28</v>
      </c>
      <c r="K672" t="s">
        <v>828</v>
      </c>
      <c r="M672" s="81" t="s">
        <v>240</v>
      </c>
      <c r="N672" s="81" t="s">
        <v>62</v>
      </c>
      <c r="O672" t="s">
        <v>941</v>
      </c>
      <c r="P672" s="134" t="s">
        <v>942</v>
      </c>
      <c r="Q672" s="134" t="s">
        <v>943</v>
      </c>
      <c r="R672" s="140" t="s">
        <v>4453</v>
      </c>
      <c r="S672" s="134"/>
    </row>
    <row r="673" spans="1:25">
      <c r="A673" s="38">
        <v>146</v>
      </c>
      <c r="B673" s="115" t="s">
        <v>940</v>
      </c>
      <c r="D673" s="81" t="s">
        <v>1589</v>
      </c>
      <c r="E673" s="97">
        <v>1</v>
      </c>
      <c r="F673" s="97" t="s">
        <v>112</v>
      </c>
      <c r="G673" t="s">
        <v>27</v>
      </c>
      <c r="H673" t="s">
        <v>27</v>
      </c>
      <c r="I673" t="s">
        <v>27</v>
      </c>
      <c r="J673" t="s">
        <v>28</v>
      </c>
      <c r="K673" t="s">
        <v>828</v>
      </c>
      <c r="M673" s="81" t="s">
        <v>240</v>
      </c>
      <c r="N673" s="81" t="s">
        <v>62</v>
      </c>
      <c r="O673" t="s">
        <v>944</v>
      </c>
      <c r="P673" s="134" t="s">
        <v>942</v>
      </c>
      <c r="Q673" s="134" t="s">
        <v>943</v>
      </c>
      <c r="R673" s="140" t="s">
        <v>4453</v>
      </c>
      <c r="S673" s="134"/>
    </row>
    <row r="674" spans="1:25">
      <c r="A674" s="38">
        <v>146</v>
      </c>
      <c r="B674" s="115" t="s">
        <v>940</v>
      </c>
      <c r="D674" s="81" t="s">
        <v>1589</v>
      </c>
      <c r="E674" s="97">
        <v>1</v>
      </c>
      <c r="F674" s="97" t="s">
        <v>112</v>
      </c>
      <c r="G674" t="s">
        <v>27</v>
      </c>
      <c r="H674" t="s">
        <v>27</v>
      </c>
      <c r="I674" t="s">
        <v>27</v>
      </c>
      <c r="J674" t="s">
        <v>28</v>
      </c>
      <c r="K674" t="s">
        <v>828</v>
      </c>
      <c r="M674" s="81" t="s">
        <v>240</v>
      </c>
      <c r="N674" s="81" t="s">
        <v>62</v>
      </c>
      <c r="O674" t="s">
        <v>945</v>
      </c>
      <c r="P674" s="134" t="s">
        <v>942</v>
      </c>
      <c r="Q674" s="134" t="s">
        <v>943</v>
      </c>
      <c r="R674" s="140" t="s">
        <v>4453</v>
      </c>
      <c r="S674" s="134"/>
    </row>
    <row r="675" spans="1:25" s="130" customFormat="1" hidden="1">
      <c r="A675" s="79">
        <v>72</v>
      </c>
      <c r="B675" s="137" t="s">
        <v>124</v>
      </c>
      <c r="C675" s="137" t="s">
        <v>253</v>
      </c>
      <c r="D675" s="81" t="s">
        <v>4444</v>
      </c>
      <c r="E675" s="97">
        <v>3</v>
      </c>
      <c r="F675" s="97" t="s">
        <v>74</v>
      </c>
      <c r="G675" s="137" t="s">
        <v>27</v>
      </c>
      <c r="H675" s="137" t="s">
        <v>27</v>
      </c>
      <c r="I675" s="137" t="s">
        <v>27</v>
      </c>
      <c r="J675" s="137" t="s">
        <v>27</v>
      </c>
      <c r="K675" s="137" t="s">
        <v>544</v>
      </c>
      <c r="L675" s="137" t="s">
        <v>544</v>
      </c>
      <c r="M675" s="130" t="s">
        <v>28</v>
      </c>
      <c r="N675" s="130" t="s">
        <v>51</v>
      </c>
      <c r="O675" s="137" t="s">
        <v>946</v>
      </c>
      <c r="P675" s="134" t="s">
        <v>853</v>
      </c>
      <c r="Q675" s="134"/>
      <c r="R675" s="134"/>
      <c r="S675" s="134"/>
      <c r="T675" s="137"/>
      <c r="U675" s="137"/>
      <c r="V675" s="137"/>
      <c r="W675" s="137"/>
      <c r="X675" s="137"/>
      <c r="Y675" s="137"/>
    </row>
    <row r="676" spans="1:25">
      <c r="A676" s="38">
        <v>147</v>
      </c>
      <c r="B676" s="115" t="s">
        <v>940</v>
      </c>
      <c r="D676" s="81" t="s">
        <v>1589</v>
      </c>
      <c r="E676" s="97">
        <v>1</v>
      </c>
      <c r="F676" s="97" t="s">
        <v>26</v>
      </c>
      <c r="G676" t="s">
        <v>27</v>
      </c>
      <c r="H676" t="s">
        <v>236</v>
      </c>
      <c r="I676" t="s">
        <v>236</v>
      </c>
      <c r="J676" t="s">
        <v>28</v>
      </c>
      <c r="K676" t="s">
        <v>828</v>
      </c>
      <c r="M676" s="85" t="s">
        <v>28</v>
      </c>
      <c r="N676" s="85" t="s">
        <v>39</v>
      </c>
      <c r="O676" t="s">
        <v>947</v>
      </c>
      <c r="P676" s="134" t="s">
        <v>942</v>
      </c>
      <c r="Q676" s="134" t="s">
        <v>948</v>
      </c>
      <c r="R676" s="140" t="s">
        <v>4453</v>
      </c>
      <c r="S676" s="134"/>
    </row>
    <row r="677" spans="1:25">
      <c r="A677" s="38">
        <v>147</v>
      </c>
      <c r="B677" s="115" t="s">
        <v>940</v>
      </c>
      <c r="D677" s="81" t="s">
        <v>1589</v>
      </c>
      <c r="E677" s="97">
        <v>1</v>
      </c>
      <c r="F677" s="97" t="s">
        <v>26</v>
      </c>
      <c r="G677" t="s">
        <v>27</v>
      </c>
      <c r="H677" t="s">
        <v>236</v>
      </c>
      <c r="I677" t="s">
        <v>236</v>
      </c>
      <c r="J677" t="s">
        <v>28</v>
      </c>
      <c r="K677" t="s">
        <v>828</v>
      </c>
      <c r="M677" s="85" t="s">
        <v>28</v>
      </c>
      <c r="N677" s="85" t="s">
        <v>39</v>
      </c>
      <c r="O677" t="s">
        <v>949</v>
      </c>
      <c r="P677" s="134" t="s">
        <v>942</v>
      </c>
      <c r="Q677" s="134" t="s">
        <v>948</v>
      </c>
      <c r="R677" s="140" t="s">
        <v>4453</v>
      </c>
      <c r="S677" s="134"/>
    </row>
    <row r="678" spans="1:25">
      <c r="A678" s="38">
        <v>147</v>
      </c>
      <c r="B678" s="115" t="s">
        <v>940</v>
      </c>
      <c r="D678" s="81" t="s">
        <v>1589</v>
      </c>
      <c r="E678" s="97">
        <v>1</v>
      </c>
      <c r="F678" s="97" t="s">
        <v>26</v>
      </c>
      <c r="G678" t="s">
        <v>27</v>
      </c>
      <c r="H678" t="s">
        <v>236</v>
      </c>
      <c r="I678" t="s">
        <v>236</v>
      </c>
      <c r="J678" t="s">
        <v>28</v>
      </c>
      <c r="K678" t="s">
        <v>828</v>
      </c>
      <c r="M678" s="85" t="s">
        <v>28</v>
      </c>
      <c r="N678" s="85" t="s">
        <v>39</v>
      </c>
      <c r="O678" t="s">
        <v>950</v>
      </c>
      <c r="P678" s="134" t="s">
        <v>942</v>
      </c>
      <c r="Q678" s="134" t="s">
        <v>948</v>
      </c>
      <c r="R678" s="140" t="s">
        <v>4453</v>
      </c>
      <c r="S678" s="134"/>
    </row>
    <row r="679" spans="1:25">
      <c r="A679" s="59">
        <v>147</v>
      </c>
      <c r="B679" t="s">
        <v>940</v>
      </c>
      <c r="D679" s="81" t="s">
        <v>1589</v>
      </c>
      <c r="E679" s="97">
        <v>1</v>
      </c>
      <c r="F679" s="97" t="s">
        <v>26</v>
      </c>
      <c r="G679" t="s">
        <v>27</v>
      </c>
      <c r="H679" t="s">
        <v>28</v>
      </c>
      <c r="I679" t="s">
        <v>28</v>
      </c>
      <c r="J679" t="s">
        <v>28</v>
      </c>
      <c r="K679" t="s">
        <v>828</v>
      </c>
      <c r="M679" s="85" t="s">
        <v>28</v>
      </c>
      <c r="N679" s="85" t="s">
        <v>39</v>
      </c>
      <c r="O679" t="s">
        <v>951</v>
      </c>
      <c r="P679" t="s">
        <v>767</v>
      </c>
      <c r="Q679" t="s">
        <v>952</v>
      </c>
      <c r="R679" s="140" t="s">
        <v>4453</v>
      </c>
    </row>
    <row r="680" spans="1:25">
      <c r="A680" s="38">
        <v>148</v>
      </c>
      <c r="B680" s="115" t="s">
        <v>940</v>
      </c>
      <c r="D680" s="81" t="s">
        <v>1589</v>
      </c>
      <c r="E680" s="97">
        <v>2</v>
      </c>
      <c r="F680" s="97" t="s">
        <v>54</v>
      </c>
      <c r="G680" t="s">
        <v>27</v>
      </c>
      <c r="H680" t="s">
        <v>236</v>
      </c>
      <c r="I680" t="s">
        <v>236</v>
      </c>
      <c r="J680" t="s">
        <v>28</v>
      </c>
      <c r="K680" t="s">
        <v>828</v>
      </c>
      <c r="M680" s="85" t="s">
        <v>28</v>
      </c>
      <c r="N680" s="85" t="s">
        <v>39</v>
      </c>
      <c r="O680" t="s">
        <v>953</v>
      </c>
      <c r="P680" s="134" t="s">
        <v>942</v>
      </c>
      <c r="Q680" s="134" t="s">
        <v>954</v>
      </c>
      <c r="R680" s="140" t="s">
        <v>4453</v>
      </c>
      <c r="S680" s="134"/>
    </row>
    <row r="681" spans="1:25">
      <c r="A681" s="38">
        <v>148</v>
      </c>
      <c r="B681" s="115" t="s">
        <v>940</v>
      </c>
      <c r="D681" s="81" t="s">
        <v>1589</v>
      </c>
      <c r="E681" s="97">
        <v>2</v>
      </c>
      <c r="F681" s="97" t="s">
        <v>54</v>
      </c>
      <c r="G681" t="s">
        <v>27</v>
      </c>
      <c r="H681" t="s">
        <v>236</v>
      </c>
      <c r="I681" t="s">
        <v>236</v>
      </c>
      <c r="J681" t="s">
        <v>28</v>
      </c>
      <c r="K681" t="s">
        <v>828</v>
      </c>
      <c r="M681" s="85" t="s">
        <v>28</v>
      </c>
      <c r="N681" s="85" t="s">
        <v>39</v>
      </c>
      <c r="O681" t="s">
        <v>955</v>
      </c>
      <c r="P681" s="134" t="s">
        <v>942</v>
      </c>
      <c r="Q681" s="134" t="s">
        <v>954</v>
      </c>
      <c r="R681" s="140" t="s">
        <v>4453</v>
      </c>
      <c r="S681" s="134"/>
    </row>
    <row r="682" spans="1:25">
      <c r="A682" s="38">
        <v>148</v>
      </c>
      <c r="B682" s="115" t="s">
        <v>940</v>
      </c>
      <c r="D682" s="81" t="s">
        <v>1589</v>
      </c>
      <c r="E682" s="97">
        <v>2</v>
      </c>
      <c r="F682" s="97" t="s">
        <v>54</v>
      </c>
      <c r="G682" t="s">
        <v>27</v>
      </c>
      <c r="H682" t="s">
        <v>236</v>
      </c>
      <c r="I682" t="s">
        <v>236</v>
      </c>
      <c r="J682" t="s">
        <v>28</v>
      </c>
      <c r="K682" t="s">
        <v>828</v>
      </c>
      <c r="M682" s="85" t="s">
        <v>28</v>
      </c>
      <c r="N682" s="85" t="s">
        <v>39</v>
      </c>
      <c r="O682" t="s">
        <v>956</v>
      </c>
      <c r="P682" s="134" t="s">
        <v>942</v>
      </c>
      <c r="Q682" s="134" t="s">
        <v>954</v>
      </c>
      <c r="R682" s="140" t="s">
        <v>4453</v>
      </c>
      <c r="S682" s="134"/>
    </row>
    <row r="683" spans="1:25" s="130" customFormat="1" hidden="1">
      <c r="A683" s="79">
        <v>72</v>
      </c>
      <c r="B683" s="137" t="s">
        <v>124</v>
      </c>
      <c r="C683" s="137" t="s">
        <v>253</v>
      </c>
      <c r="D683" s="81" t="s">
        <v>4444</v>
      </c>
      <c r="E683" s="97">
        <v>3</v>
      </c>
      <c r="F683" s="97" t="s">
        <v>74</v>
      </c>
      <c r="G683" s="137" t="s">
        <v>27</v>
      </c>
      <c r="H683" s="137" t="s">
        <v>27</v>
      </c>
      <c r="I683" s="137" t="s">
        <v>27</v>
      </c>
      <c r="J683" s="137" t="s">
        <v>27</v>
      </c>
      <c r="K683" s="137" t="s">
        <v>544</v>
      </c>
      <c r="L683" s="137" t="s">
        <v>544</v>
      </c>
      <c r="M683" s="130" t="s">
        <v>28</v>
      </c>
      <c r="N683" s="130" t="s">
        <v>51</v>
      </c>
      <c r="O683" s="137" t="s">
        <v>957</v>
      </c>
      <c r="P683" s="134" t="s">
        <v>853</v>
      </c>
      <c r="Q683" s="134"/>
      <c r="R683" s="134"/>
      <c r="S683" s="134"/>
      <c r="T683" s="137"/>
      <c r="U683" s="137"/>
      <c r="V683" s="137"/>
      <c r="W683" s="137"/>
      <c r="X683" s="137"/>
      <c r="Y683" s="137"/>
    </row>
    <row r="684" spans="1:25">
      <c r="A684" s="38">
        <v>149</v>
      </c>
      <c r="B684" s="115" t="s">
        <v>940</v>
      </c>
      <c r="D684" s="81" t="s">
        <v>1589</v>
      </c>
      <c r="E684" s="97">
        <v>2</v>
      </c>
      <c r="F684" s="97" t="s">
        <v>49</v>
      </c>
      <c r="G684" t="s">
        <v>27</v>
      </c>
      <c r="H684" t="s">
        <v>27</v>
      </c>
      <c r="I684" t="s">
        <v>27</v>
      </c>
      <c r="J684" t="s">
        <v>28</v>
      </c>
      <c r="K684" t="s">
        <v>828</v>
      </c>
      <c r="M684" s="81" t="s">
        <v>240</v>
      </c>
      <c r="N684" s="81" t="s">
        <v>62</v>
      </c>
      <c r="O684" t="s">
        <v>958</v>
      </c>
      <c r="P684" s="134" t="s">
        <v>942</v>
      </c>
      <c r="Q684" s="134" t="s">
        <v>959</v>
      </c>
      <c r="R684" s="140" t="s">
        <v>4453</v>
      </c>
      <c r="S684" s="134"/>
    </row>
    <row r="685" spans="1:25">
      <c r="A685" s="38">
        <v>149</v>
      </c>
      <c r="B685" s="115" t="s">
        <v>940</v>
      </c>
      <c r="D685" s="81" t="s">
        <v>1589</v>
      </c>
      <c r="E685" s="97">
        <v>2</v>
      </c>
      <c r="F685" s="97" t="s">
        <v>49</v>
      </c>
      <c r="G685" t="s">
        <v>27</v>
      </c>
      <c r="H685" t="s">
        <v>27</v>
      </c>
      <c r="I685" t="s">
        <v>27</v>
      </c>
      <c r="J685" t="s">
        <v>28</v>
      </c>
      <c r="K685" t="s">
        <v>828</v>
      </c>
      <c r="M685" s="81" t="s">
        <v>240</v>
      </c>
      <c r="N685" s="81" t="s">
        <v>62</v>
      </c>
      <c r="O685" t="s">
        <v>960</v>
      </c>
      <c r="P685" s="134" t="s">
        <v>942</v>
      </c>
      <c r="Q685" s="134" t="s">
        <v>959</v>
      </c>
      <c r="R685" s="140" t="s">
        <v>4453</v>
      </c>
      <c r="S685" s="134"/>
    </row>
    <row r="686" spans="1:25">
      <c r="A686" s="38">
        <v>149</v>
      </c>
      <c r="B686" s="115" t="s">
        <v>940</v>
      </c>
      <c r="D686" s="81" t="s">
        <v>1589</v>
      </c>
      <c r="E686" s="97">
        <v>2</v>
      </c>
      <c r="F686" s="97" t="s">
        <v>49</v>
      </c>
      <c r="G686" t="s">
        <v>27</v>
      </c>
      <c r="H686" t="s">
        <v>27</v>
      </c>
      <c r="I686" t="s">
        <v>27</v>
      </c>
      <c r="J686" t="s">
        <v>28</v>
      </c>
      <c r="K686" t="s">
        <v>828</v>
      </c>
      <c r="M686" s="81" t="s">
        <v>240</v>
      </c>
      <c r="N686" s="81" t="s">
        <v>62</v>
      </c>
      <c r="O686" t="s">
        <v>961</v>
      </c>
      <c r="P686" s="134" t="s">
        <v>942</v>
      </c>
      <c r="Q686" s="134" t="s">
        <v>959</v>
      </c>
      <c r="R686" s="140" t="s">
        <v>4453</v>
      </c>
      <c r="S686" s="134"/>
    </row>
    <row r="687" spans="1:25">
      <c r="A687" s="59">
        <v>149</v>
      </c>
      <c r="B687" t="s">
        <v>940</v>
      </c>
      <c r="D687" s="81" t="s">
        <v>1589</v>
      </c>
      <c r="E687" s="97">
        <v>2</v>
      </c>
      <c r="F687" s="97" t="s">
        <v>49</v>
      </c>
      <c r="G687" t="s">
        <v>27</v>
      </c>
      <c r="H687" t="s">
        <v>27</v>
      </c>
      <c r="I687" t="s">
        <v>27</v>
      </c>
      <c r="J687" t="s">
        <v>28</v>
      </c>
      <c r="K687" t="s">
        <v>828</v>
      </c>
      <c r="M687" s="85" t="s">
        <v>28</v>
      </c>
      <c r="N687" s="85" t="s">
        <v>39</v>
      </c>
      <c r="O687" t="s">
        <v>962</v>
      </c>
      <c r="P687" t="s">
        <v>767</v>
      </c>
      <c r="Q687" t="s">
        <v>963</v>
      </c>
      <c r="R687" s="140" t="s">
        <v>4453</v>
      </c>
    </row>
    <row r="688" spans="1:25" s="130" customFormat="1" hidden="1">
      <c r="A688" s="79">
        <v>72</v>
      </c>
      <c r="B688" s="137" t="s">
        <v>124</v>
      </c>
      <c r="C688" s="137" t="s">
        <v>253</v>
      </c>
      <c r="D688" s="81" t="s">
        <v>4444</v>
      </c>
      <c r="E688" s="97">
        <v>3</v>
      </c>
      <c r="F688" s="97" t="s">
        <v>74</v>
      </c>
      <c r="G688" s="137" t="s">
        <v>27</v>
      </c>
      <c r="H688" s="137" t="s">
        <v>27</v>
      </c>
      <c r="I688" s="137" t="s">
        <v>27</v>
      </c>
      <c r="J688" s="137" t="s">
        <v>27</v>
      </c>
      <c r="K688" s="137" t="s">
        <v>544</v>
      </c>
      <c r="L688" s="137" t="s">
        <v>544</v>
      </c>
      <c r="M688" s="130" t="s">
        <v>28</v>
      </c>
      <c r="N688" s="130" t="s">
        <v>51</v>
      </c>
      <c r="O688" s="137" t="s">
        <v>964</v>
      </c>
      <c r="P688" s="134" t="s">
        <v>853</v>
      </c>
      <c r="Q688" s="134"/>
      <c r="R688" s="134"/>
      <c r="S688" s="134"/>
      <c r="T688" s="137"/>
      <c r="U688" s="137"/>
      <c r="V688" s="137"/>
      <c r="W688" s="137"/>
      <c r="X688" s="137"/>
      <c r="Y688" s="137"/>
    </row>
    <row r="689" spans="1:25">
      <c r="A689" s="77">
        <v>150</v>
      </c>
      <c r="B689" s="115" t="s">
        <v>940</v>
      </c>
      <c r="D689" s="81" t="s">
        <v>1589</v>
      </c>
      <c r="E689" s="97">
        <v>2</v>
      </c>
      <c r="F689" s="97" t="s">
        <v>67</v>
      </c>
      <c r="G689" t="s">
        <v>27</v>
      </c>
      <c r="H689" t="s">
        <v>27</v>
      </c>
      <c r="I689" t="s">
        <v>27</v>
      </c>
      <c r="J689" t="s">
        <v>28</v>
      </c>
      <c r="K689" t="s">
        <v>828</v>
      </c>
      <c r="M689" s="85" t="s">
        <v>28</v>
      </c>
      <c r="N689" s="85" t="s">
        <v>39</v>
      </c>
      <c r="O689" t="s">
        <v>965</v>
      </c>
      <c r="P689" t="s">
        <v>353</v>
      </c>
      <c r="Q689" t="s">
        <v>966</v>
      </c>
      <c r="R689" s="140" t="s">
        <v>4453</v>
      </c>
      <c r="T689" t="s">
        <v>828</v>
      </c>
      <c r="U689">
        <v>0</v>
      </c>
      <c r="X689">
        <v>0</v>
      </c>
      <c r="Y689">
        <v>0</v>
      </c>
    </row>
    <row r="690" spans="1:25">
      <c r="A690" s="77">
        <v>150</v>
      </c>
      <c r="B690" s="115" t="s">
        <v>940</v>
      </c>
      <c r="D690" s="81" t="s">
        <v>1589</v>
      </c>
      <c r="E690" s="97">
        <v>2</v>
      </c>
      <c r="F690" s="97" t="s">
        <v>67</v>
      </c>
      <c r="G690" t="s">
        <v>27</v>
      </c>
      <c r="H690" t="s">
        <v>27</v>
      </c>
      <c r="I690" t="s">
        <v>27</v>
      </c>
      <c r="J690" t="s">
        <v>28</v>
      </c>
      <c r="K690" t="s">
        <v>828</v>
      </c>
      <c r="M690" s="85" t="s">
        <v>28</v>
      </c>
      <c r="N690" s="85" t="s">
        <v>39</v>
      </c>
      <c r="O690" t="s">
        <v>967</v>
      </c>
      <c r="P690" t="s">
        <v>353</v>
      </c>
      <c r="Q690" t="s">
        <v>966</v>
      </c>
      <c r="R690" s="140" t="s">
        <v>4453</v>
      </c>
      <c r="T690" t="s">
        <v>828</v>
      </c>
      <c r="U690">
        <v>0</v>
      </c>
      <c r="X690">
        <v>0</v>
      </c>
      <c r="Y690">
        <v>0</v>
      </c>
    </row>
    <row r="691" spans="1:25">
      <c r="A691" s="77">
        <v>150</v>
      </c>
      <c r="B691" s="115" t="s">
        <v>940</v>
      </c>
      <c r="D691" s="81" t="s">
        <v>1589</v>
      </c>
      <c r="E691" s="97">
        <v>2</v>
      </c>
      <c r="F691" s="97" t="s">
        <v>67</v>
      </c>
      <c r="G691" t="s">
        <v>27</v>
      </c>
      <c r="H691" t="s">
        <v>27</v>
      </c>
      <c r="I691" t="s">
        <v>27</v>
      </c>
      <c r="J691" t="s">
        <v>28</v>
      </c>
      <c r="K691" t="s">
        <v>828</v>
      </c>
      <c r="M691" s="85" t="s">
        <v>28</v>
      </c>
      <c r="N691" s="85" t="s">
        <v>39</v>
      </c>
      <c r="O691" t="s">
        <v>968</v>
      </c>
      <c r="P691" t="s">
        <v>353</v>
      </c>
      <c r="Q691" t="s">
        <v>966</v>
      </c>
      <c r="R691" s="140" t="s">
        <v>4453</v>
      </c>
      <c r="T691" t="s">
        <v>828</v>
      </c>
      <c r="U691">
        <v>0</v>
      </c>
      <c r="X691">
        <v>0</v>
      </c>
      <c r="Y691">
        <v>0</v>
      </c>
    </row>
    <row r="692" spans="1:25" hidden="1">
      <c r="A692" s="78">
        <v>40</v>
      </c>
      <c r="B692" s="130" t="s">
        <v>124</v>
      </c>
      <c r="C692" s="130" t="s">
        <v>66</v>
      </c>
      <c r="D692" s="81" t="s">
        <v>4445</v>
      </c>
      <c r="E692" s="97">
        <v>1</v>
      </c>
      <c r="F692" s="98" t="s">
        <v>112</v>
      </c>
      <c r="G692" s="130" t="s">
        <v>27</v>
      </c>
      <c r="H692" s="130" t="s">
        <v>27</v>
      </c>
      <c r="I692" s="130" t="s">
        <v>27</v>
      </c>
      <c r="J692" s="130" t="s">
        <v>27</v>
      </c>
      <c r="K692" s="130" t="s">
        <v>124</v>
      </c>
      <c r="L692" s="130" t="s">
        <v>969</v>
      </c>
      <c r="M692" s="130" t="s">
        <v>28</v>
      </c>
      <c r="N692" s="130" t="s">
        <v>51</v>
      </c>
      <c r="O692" s="130" t="s">
        <v>970</v>
      </c>
      <c r="P692" s="130" t="s">
        <v>971</v>
      </c>
      <c r="Q692" s="130"/>
      <c r="R692" s="130"/>
      <c r="S692" s="130"/>
      <c r="T692" s="130"/>
      <c r="U692" s="130"/>
      <c r="V692" s="130"/>
      <c r="W692" s="130"/>
      <c r="X692" s="130"/>
      <c r="Y692" s="130"/>
    </row>
    <row r="693" spans="1:25" hidden="1">
      <c r="A693" s="78">
        <v>40</v>
      </c>
      <c r="B693" s="130" t="s">
        <v>124</v>
      </c>
      <c r="C693" s="130" t="s">
        <v>66</v>
      </c>
      <c r="D693" s="81" t="s">
        <v>4445</v>
      </c>
      <c r="E693" s="97">
        <v>1</v>
      </c>
      <c r="F693" s="98" t="s">
        <v>112</v>
      </c>
      <c r="G693" s="130" t="s">
        <v>27</v>
      </c>
      <c r="H693" s="130" t="s">
        <v>27</v>
      </c>
      <c r="I693" s="130" t="s">
        <v>27</v>
      </c>
      <c r="J693" s="130" t="s">
        <v>27</v>
      </c>
      <c r="K693" s="130" t="s">
        <v>124</v>
      </c>
      <c r="L693" s="130" t="s">
        <v>969</v>
      </c>
      <c r="M693" s="130" t="s">
        <v>28</v>
      </c>
      <c r="N693" s="130" t="s">
        <v>51</v>
      </c>
      <c r="O693" s="130" t="s">
        <v>972</v>
      </c>
      <c r="P693" s="130" t="s">
        <v>971</v>
      </c>
      <c r="Q693" s="130"/>
      <c r="R693" s="130"/>
      <c r="S693" s="130"/>
      <c r="T693" s="130"/>
      <c r="U693" s="130"/>
      <c r="V693" s="130"/>
      <c r="W693" s="130"/>
      <c r="X693" s="130"/>
      <c r="Y693" s="130"/>
    </row>
    <row r="694" spans="1:25" hidden="1">
      <c r="A694" s="78">
        <v>40</v>
      </c>
      <c r="B694" s="130" t="s">
        <v>124</v>
      </c>
      <c r="C694" s="130" t="s">
        <v>66</v>
      </c>
      <c r="D694" s="81" t="s">
        <v>4445</v>
      </c>
      <c r="E694" s="97">
        <v>1</v>
      </c>
      <c r="F694" s="98" t="s">
        <v>112</v>
      </c>
      <c r="G694" s="130" t="s">
        <v>27</v>
      </c>
      <c r="H694" s="130" t="s">
        <v>27</v>
      </c>
      <c r="I694" s="130" t="s">
        <v>27</v>
      </c>
      <c r="J694" s="130" t="s">
        <v>27</v>
      </c>
      <c r="K694" s="130" t="s">
        <v>124</v>
      </c>
      <c r="L694" s="130" t="s">
        <v>969</v>
      </c>
      <c r="M694" s="130" t="s">
        <v>28</v>
      </c>
      <c r="N694" s="130" t="s">
        <v>51</v>
      </c>
      <c r="O694" s="130" t="s">
        <v>973</v>
      </c>
      <c r="P694" s="130" t="s">
        <v>971</v>
      </c>
      <c r="Q694" s="130"/>
      <c r="R694" s="130"/>
      <c r="S694" s="130"/>
      <c r="T694" s="130"/>
      <c r="U694" s="130"/>
      <c r="V694" s="130"/>
      <c r="W694" s="130"/>
      <c r="X694" s="130"/>
      <c r="Y694" s="130"/>
    </row>
    <row r="695" spans="1:25" hidden="1">
      <c r="A695" s="78">
        <v>151</v>
      </c>
      <c r="B695" s="116" t="s">
        <v>940</v>
      </c>
      <c r="C695" s="130"/>
      <c r="D695" s="81">
        <v>0</v>
      </c>
      <c r="E695" s="97">
        <v>3</v>
      </c>
      <c r="F695" s="97" t="s">
        <v>74</v>
      </c>
      <c r="G695" s="130" t="s">
        <v>27</v>
      </c>
      <c r="H695" s="130" t="s">
        <v>27</v>
      </c>
      <c r="I695" s="130" t="s">
        <v>27</v>
      </c>
      <c r="J695" s="130" t="s">
        <v>27</v>
      </c>
      <c r="K695" s="130" t="s">
        <v>237</v>
      </c>
      <c r="L695" s="130" t="s">
        <v>237</v>
      </c>
      <c r="M695" s="130" t="s">
        <v>240</v>
      </c>
      <c r="N695" s="123" t="s">
        <v>31</v>
      </c>
      <c r="O695" s="130" t="s">
        <v>974</v>
      </c>
      <c r="P695" s="130" t="s">
        <v>975</v>
      </c>
      <c r="Q695" s="130"/>
      <c r="R695" s="130"/>
      <c r="S695" s="130"/>
      <c r="T695" s="130"/>
      <c r="U695" s="130"/>
      <c r="V695" s="130"/>
      <c r="W695" s="130"/>
      <c r="X695" s="130"/>
      <c r="Y695" s="130"/>
    </row>
    <row r="696" spans="1:25" hidden="1">
      <c r="A696" s="78">
        <v>151</v>
      </c>
      <c r="B696" s="116" t="s">
        <v>940</v>
      </c>
      <c r="C696" s="130"/>
      <c r="D696" s="81">
        <v>0</v>
      </c>
      <c r="E696" s="97">
        <v>3</v>
      </c>
      <c r="F696" s="97" t="s">
        <v>74</v>
      </c>
      <c r="G696" s="130" t="s">
        <v>27</v>
      </c>
      <c r="H696" s="130" t="s">
        <v>27</v>
      </c>
      <c r="I696" s="130" t="s">
        <v>27</v>
      </c>
      <c r="J696" s="130" t="s">
        <v>27</v>
      </c>
      <c r="K696" s="130" t="s">
        <v>237</v>
      </c>
      <c r="L696" s="130" t="s">
        <v>237</v>
      </c>
      <c r="M696" s="130" t="s">
        <v>240</v>
      </c>
      <c r="N696" s="123" t="s">
        <v>31</v>
      </c>
      <c r="O696" s="130" t="s">
        <v>976</v>
      </c>
      <c r="P696" s="130" t="s">
        <v>975</v>
      </c>
      <c r="Q696" s="130"/>
      <c r="R696" s="130"/>
      <c r="S696" s="130"/>
      <c r="T696" s="130"/>
      <c r="U696" s="130"/>
      <c r="V696" s="130"/>
      <c r="W696" s="130"/>
      <c r="X696" s="130"/>
      <c r="Y696" s="130"/>
    </row>
    <row r="697" spans="1:25" hidden="1">
      <c r="A697" s="78">
        <v>151</v>
      </c>
      <c r="B697" s="116" t="s">
        <v>940</v>
      </c>
      <c r="C697" s="130"/>
      <c r="D697" s="81">
        <v>0</v>
      </c>
      <c r="E697" s="97">
        <v>3</v>
      </c>
      <c r="F697" s="97" t="s">
        <v>74</v>
      </c>
      <c r="G697" s="130" t="s">
        <v>27</v>
      </c>
      <c r="H697" s="130" t="s">
        <v>27</v>
      </c>
      <c r="I697" s="130" t="s">
        <v>27</v>
      </c>
      <c r="J697" s="130" t="s">
        <v>27</v>
      </c>
      <c r="K697" s="130" t="s">
        <v>237</v>
      </c>
      <c r="L697" s="130" t="s">
        <v>237</v>
      </c>
      <c r="M697" s="130" t="s">
        <v>240</v>
      </c>
      <c r="N697" s="123" t="s">
        <v>31</v>
      </c>
      <c r="O697" s="130" t="s">
        <v>977</v>
      </c>
      <c r="P697" s="130" t="s">
        <v>975</v>
      </c>
      <c r="Q697" s="130"/>
      <c r="R697" s="130"/>
      <c r="S697" s="130"/>
      <c r="T697" s="130"/>
      <c r="U697" s="130"/>
      <c r="V697" s="130"/>
      <c r="W697" s="130"/>
      <c r="X697" s="130"/>
      <c r="Y697" s="130"/>
    </row>
    <row r="698" spans="1:25" s="130" customFormat="1" hidden="1">
      <c r="A698" s="78">
        <v>108</v>
      </c>
      <c r="B698" s="130" t="s">
        <v>111</v>
      </c>
      <c r="D698" s="81">
        <v>0</v>
      </c>
      <c r="E698" s="97" t="s">
        <v>136</v>
      </c>
      <c r="F698" s="97" t="s">
        <v>137</v>
      </c>
      <c r="G698" s="130" t="s">
        <v>27</v>
      </c>
      <c r="H698" s="130" t="s">
        <v>28</v>
      </c>
      <c r="I698" s="130" t="s">
        <v>27</v>
      </c>
      <c r="J698" s="130" t="s">
        <v>27</v>
      </c>
      <c r="K698" s="130" t="s">
        <v>978</v>
      </c>
      <c r="L698" s="130" t="s">
        <v>978</v>
      </c>
      <c r="M698" s="130" t="s">
        <v>28</v>
      </c>
      <c r="N698" s="130" t="s">
        <v>51</v>
      </c>
      <c r="O698" s="130" t="s">
        <v>979</v>
      </c>
      <c r="P698" s="136" t="s">
        <v>671</v>
      </c>
      <c r="Q698" s="136"/>
      <c r="R698" s="136"/>
      <c r="S698" s="136"/>
    </row>
    <row r="699" spans="1:25">
      <c r="A699" s="59">
        <v>151</v>
      </c>
      <c r="B699" t="s">
        <v>940</v>
      </c>
      <c r="D699" s="81" t="s">
        <v>1589</v>
      </c>
      <c r="E699" s="97">
        <v>3</v>
      </c>
      <c r="F699" s="97" t="s">
        <v>74</v>
      </c>
      <c r="G699" t="s">
        <v>27</v>
      </c>
      <c r="H699" t="s">
        <v>27</v>
      </c>
      <c r="I699" t="s">
        <v>27</v>
      </c>
      <c r="J699" t="s">
        <v>28</v>
      </c>
      <c r="K699" s="85" t="s">
        <v>828</v>
      </c>
      <c r="L699" s="85"/>
      <c r="M699" s="85" t="s">
        <v>28</v>
      </c>
      <c r="N699" s="85" t="s">
        <v>829</v>
      </c>
      <c r="O699" t="s">
        <v>980</v>
      </c>
      <c r="P699" t="s">
        <v>831</v>
      </c>
      <c r="Q699" t="s">
        <v>981</v>
      </c>
      <c r="R699" s="140" t="s">
        <v>4453</v>
      </c>
    </row>
    <row r="700" spans="1:25">
      <c r="A700" s="59">
        <v>151</v>
      </c>
      <c r="B700" t="s">
        <v>940</v>
      </c>
      <c r="D700" s="81" t="s">
        <v>1589</v>
      </c>
      <c r="E700" s="97">
        <v>3</v>
      </c>
      <c r="F700" s="97" t="s">
        <v>74</v>
      </c>
      <c r="G700" t="s">
        <v>27</v>
      </c>
      <c r="H700" t="s">
        <v>27</v>
      </c>
      <c r="I700" t="s">
        <v>27</v>
      </c>
      <c r="J700" t="s">
        <v>28</v>
      </c>
      <c r="K700" s="85" t="s">
        <v>828</v>
      </c>
      <c r="L700" s="85"/>
      <c r="M700" s="85" t="s">
        <v>28</v>
      </c>
      <c r="N700" s="85" t="s">
        <v>829</v>
      </c>
      <c r="O700" t="s">
        <v>982</v>
      </c>
      <c r="P700" t="s">
        <v>831</v>
      </c>
      <c r="Q700" t="s">
        <v>981</v>
      </c>
      <c r="R700" s="140" t="s">
        <v>4453</v>
      </c>
    </row>
    <row r="701" spans="1:25">
      <c r="A701" s="59">
        <v>151</v>
      </c>
      <c r="B701" t="s">
        <v>940</v>
      </c>
      <c r="D701" s="81" t="s">
        <v>1589</v>
      </c>
      <c r="E701" s="97">
        <v>3</v>
      </c>
      <c r="F701" s="97" t="s">
        <v>74</v>
      </c>
      <c r="G701" t="s">
        <v>27</v>
      </c>
      <c r="H701" t="s">
        <v>27</v>
      </c>
      <c r="I701" t="s">
        <v>27</v>
      </c>
      <c r="J701" t="s">
        <v>28</v>
      </c>
      <c r="K701" s="85" t="s">
        <v>828</v>
      </c>
      <c r="L701" s="85"/>
      <c r="M701" s="85" t="s">
        <v>28</v>
      </c>
      <c r="N701" s="85" t="s">
        <v>829</v>
      </c>
      <c r="O701" t="s">
        <v>983</v>
      </c>
      <c r="P701" t="s">
        <v>831</v>
      </c>
      <c r="Q701" t="s">
        <v>981</v>
      </c>
      <c r="R701" s="140" t="s">
        <v>4453</v>
      </c>
    </row>
    <row r="702" spans="1:25">
      <c r="A702" s="59">
        <v>151</v>
      </c>
      <c r="B702" t="s">
        <v>940</v>
      </c>
      <c r="D702" s="81" t="s">
        <v>1589</v>
      </c>
      <c r="E702" s="97">
        <v>3</v>
      </c>
      <c r="F702" s="97" t="s">
        <v>74</v>
      </c>
      <c r="G702" t="s">
        <v>27</v>
      </c>
      <c r="H702" t="s">
        <v>27</v>
      </c>
      <c r="I702" t="s">
        <v>27</v>
      </c>
      <c r="J702" t="s">
        <v>28</v>
      </c>
      <c r="K702" s="85" t="s">
        <v>828</v>
      </c>
      <c r="L702" s="85"/>
      <c r="M702" s="85" t="s">
        <v>28</v>
      </c>
      <c r="N702" s="85" t="s">
        <v>829</v>
      </c>
      <c r="O702" t="s">
        <v>984</v>
      </c>
      <c r="P702" t="s">
        <v>831</v>
      </c>
      <c r="Q702" t="s">
        <v>981</v>
      </c>
      <c r="R702" s="140" t="s">
        <v>4453</v>
      </c>
    </row>
    <row r="703" spans="1:25">
      <c r="A703" s="59">
        <v>151</v>
      </c>
      <c r="B703" t="s">
        <v>940</v>
      </c>
      <c r="D703" s="81" t="s">
        <v>1589</v>
      </c>
      <c r="E703" s="97">
        <v>3</v>
      </c>
      <c r="F703" s="97" t="s">
        <v>74</v>
      </c>
      <c r="G703" t="s">
        <v>27</v>
      </c>
      <c r="H703" t="s">
        <v>27</v>
      </c>
      <c r="I703" t="s">
        <v>27</v>
      </c>
      <c r="J703" t="s">
        <v>28</v>
      </c>
      <c r="K703" s="85" t="s">
        <v>828</v>
      </c>
      <c r="L703" s="85"/>
      <c r="M703" s="85" t="s">
        <v>28</v>
      </c>
      <c r="N703" s="85" t="s">
        <v>829</v>
      </c>
      <c r="O703" t="s">
        <v>985</v>
      </c>
      <c r="P703" t="s">
        <v>831</v>
      </c>
      <c r="Q703" t="s">
        <v>981</v>
      </c>
      <c r="R703" s="140" t="s">
        <v>4453</v>
      </c>
    </row>
    <row r="704" spans="1:25" hidden="1">
      <c r="A704" s="78">
        <v>152</v>
      </c>
      <c r="B704" s="116" t="s">
        <v>940</v>
      </c>
      <c r="C704" s="130"/>
      <c r="D704" s="81">
        <v>0</v>
      </c>
      <c r="E704" s="97">
        <v>3</v>
      </c>
      <c r="F704" s="97" t="s">
        <v>180</v>
      </c>
      <c r="G704" s="130" t="s">
        <v>27</v>
      </c>
      <c r="H704" s="130" t="s">
        <v>27</v>
      </c>
      <c r="I704" s="130" t="s">
        <v>27</v>
      </c>
      <c r="J704" s="130" t="s">
        <v>27</v>
      </c>
      <c r="K704" s="130" t="s">
        <v>237</v>
      </c>
      <c r="L704" s="130" t="s">
        <v>237</v>
      </c>
      <c r="M704" s="130" t="s">
        <v>240</v>
      </c>
      <c r="N704" s="123" t="s">
        <v>31</v>
      </c>
      <c r="O704" s="130" t="s">
        <v>986</v>
      </c>
      <c r="P704" s="95" t="s">
        <v>975</v>
      </c>
      <c r="Q704" s="130"/>
      <c r="R704" s="130"/>
      <c r="S704" s="130"/>
      <c r="T704" s="130"/>
      <c r="U704" s="130"/>
      <c r="V704" s="130"/>
      <c r="W704" s="130"/>
      <c r="X704" s="130"/>
      <c r="Y704" s="130"/>
    </row>
    <row r="705" spans="1:25" hidden="1">
      <c r="A705" s="78">
        <v>152</v>
      </c>
      <c r="B705" s="116" t="s">
        <v>940</v>
      </c>
      <c r="C705" s="130"/>
      <c r="D705" s="81">
        <v>0</v>
      </c>
      <c r="E705" s="97">
        <v>3</v>
      </c>
      <c r="F705" s="97" t="s">
        <v>180</v>
      </c>
      <c r="G705" s="130" t="s">
        <v>27</v>
      </c>
      <c r="H705" s="130" t="s">
        <v>27</v>
      </c>
      <c r="I705" s="130" t="s">
        <v>27</v>
      </c>
      <c r="J705" s="130" t="s">
        <v>27</v>
      </c>
      <c r="K705" s="130" t="s">
        <v>237</v>
      </c>
      <c r="L705" s="130" t="s">
        <v>237</v>
      </c>
      <c r="M705" s="130" t="s">
        <v>240</v>
      </c>
      <c r="N705" s="123" t="s">
        <v>31</v>
      </c>
      <c r="O705" s="130" t="s">
        <v>987</v>
      </c>
      <c r="P705" s="130" t="s">
        <v>975</v>
      </c>
      <c r="Q705" s="130"/>
      <c r="R705" s="130"/>
      <c r="S705" s="130"/>
      <c r="T705" s="130"/>
      <c r="U705" s="130"/>
      <c r="V705" s="130"/>
      <c r="W705" s="130"/>
      <c r="X705" s="130"/>
      <c r="Y705" s="130"/>
    </row>
    <row r="706" spans="1:25" s="130" customFormat="1" hidden="1">
      <c r="A706" s="78">
        <v>152</v>
      </c>
      <c r="B706" s="116" t="s">
        <v>940</v>
      </c>
      <c r="D706" s="81">
        <v>0</v>
      </c>
      <c r="E706" s="97">
        <v>3</v>
      </c>
      <c r="F706" s="97" t="s">
        <v>180</v>
      </c>
      <c r="G706" s="130" t="s">
        <v>27</v>
      </c>
      <c r="H706" s="130" t="s">
        <v>27</v>
      </c>
      <c r="I706" s="130" t="s">
        <v>27</v>
      </c>
      <c r="J706" s="130" t="s">
        <v>27</v>
      </c>
      <c r="K706" s="130" t="s">
        <v>237</v>
      </c>
      <c r="L706" s="130" t="s">
        <v>237</v>
      </c>
      <c r="M706" s="130" t="s">
        <v>240</v>
      </c>
      <c r="N706" s="123" t="s">
        <v>31</v>
      </c>
      <c r="O706" s="130" t="s">
        <v>988</v>
      </c>
      <c r="P706" s="130" t="s">
        <v>975</v>
      </c>
    </row>
    <row r="707" spans="1:25" s="130" customFormat="1">
      <c r="A707" s="59">
        <v>152</v>
      </c>
      <c r="B707" t="s">
        <v>940</v>
      </c>
      <c r="D707" s="81" t="s">
        <v>1589</v>
      </c>
      <c r="E707" s="97">
        <v>3</v>
      </c>
      <c r="F707" s="97" t="s">
        <v>180</v>
      </c>
      <c r="G707" t="s">
        <v>27</v>
      </c>
      <c r="H707" t="s">
        <v>27</v>
      </c>
      <c r="I707" t="s">
        <v>27</v>
      </c>
      <c r="J707" t="s">
        <v>28</v>
      </c>
      <c r="K707" t="s">
        <v>828</v>
      </c>
      <c r="M707" s="85" t="s">
        <v>28</v>
      </c>
      <c r="N707" s="85" t="s">
        <v>39</v>
      </c>
      <c r="O707" t="s">
        <v>989</v>
      </c>
      <c r="P707" t="s">
        <v>767</v>
      </c>
      <c r="Q707" t="s">
        <v>990</v>
      </c>
      <c r="R707" s="140" t="s">
        <v>4453</v>
      </c>
    </row>
    <row r="708" spans="1:25" s="130" customFormat="1">
      <c r="A708" s="38">
        <v>153</v>
      </c>
      <c r="B708" s="115" t="s">
        <v>991</v>
      </c>
      <c r="D708" s="81" t="s">
        <v>1589</v>
      </c>
      <c r="E708" s="97" t="s">
        <v>488</v>
      </c>
      <c r="F708" s="97" t="s">
        <v>489</v>
      </c>
      <c r="G708" t="s">
        <v>27</v>
      </c>
      <c r="H708" t="s">
        <v>27</v>
      </c>
      <c r="I708" t="s">
        <v>27</v>
      </c>
      <c r="J708" t="s">
        <v>28</v>
      </c>
      <c r="K708" t="s">
        <v>828</v>
      </c>
      <c r="M708" s="81" t="s">
        <v>240</v>
      </c>
      <c r="N708" s="81" t="s">
        <v>62</v>
      </c>
      <c r="O708" t="s">
        <v>992</v>
      </c>
      <c r="P708" t="s">
        <v>975</v>
      </c>
      <c r="Q708" t="s">
        <v>993</v>
      </c>
      <c r="R708" s="140" t="s">
        <v>4449</v>
      </c>
    </row>
    <row r="709" spans="1:25" s="130" customFormat="1">
      <c r="A709" s="38">
        <v>153</v>
      </c>
      <c r="B709" s="115" t="s">
        <v>991</v>
      </c>
      <c r="D709" s="81" t="s">
        <v>1589</v>
      </c>
      <c r="E709" s="97" t="s">
        <v>488</v>
      </c>
      <c r="F709" s="97" t="s">
        <v>489</v>
      </c>
      <c r="G709" t="s">
        <v>27</v>
      </c>
      <c r="H709" t="s">
        <v>27</v>
      </c>
      <c r="I709" t="s">
        <v>27</v>
      </c>
      <c r="J709" t="s">
        <v>28</v>
      </c>
      <c r="K709" t="s">
        <v>828</v>
      </c>
      <c r="M709" s="81" t="s">
        <v>240</v>
      </c>
      <c r="N709" s="81" t="s">
        <v>62</v>
      </c>
      <c r="O709" t="s">
        <v>994</v>
      </c>
      <c r="P709" t="s">
        <v>975</v>
      </c>
      <c r="Q709" t="s">
        <v>993</v>
      </c>
      <c r="R709" s="140" t="s">
        <v>4449</v>
      </c>
    </row>
    <row r="710" spans="1:25" s="130" customFormat="1">
      <c r="A710" s="38">
        <v>153</v>
      </c>
      <c r="B710" s="115" t="s">
        <v>991</v>
      </c>
      <c r="D710" s="81" t="s">
        <v>1589</v>
      </c>
      <c r="E710" s="97" t="s">
        <v>488</v>
      </c>
      <c r="F710" s="97" t="s">
        <v>489</v>
      </c>
      <c r="G710" t="s">
        <v>27</v>
      </c>
      <c r="H710" t="s">
        <v>27</v>
      </c>
      <c r="I710" t="s">
        <v>27</v>
      </c>
      <c r="J710" t="s">
        <v>28</v>
      </c>
      <c r="K710" t="s">
        <v>828</v>
      </c>
      <c r="M710" s="81" t="s">
        <v>240</v>
      </c>
      <c r="N710" s="81" t="s">
        <v>62</v>
      </c>
      <c r="O710" t="s">
        <v>995</v>
      </c>
      <c r="P710" s="69" t="s">
        <v>975</v>
      </c>
      <c r="Q710" t="s">
        <v>993</v>
      </c>
      <c r="R710" s="140" t="s">
        <v>4449</v>
      </c>
    </row>
    <row r="711" spans="1:25" s="130" customFormat="1">
      <c r="A711" s="38">
        <v>154</v>
      </c>
      <c r="B711" s="115" t="s">
        <v>991</v>
      </c>
      <c r="D711" s="81" t="s">
        <v>1589</v>
      </c>
      <c r="E711" s="97" t="s">
        <v>488</v>
      </c>
      <c r="F711" s="97" t="s">
        <v>508</v>
      </c>
      <c r="G711" t="s">
        <v>27</v>
      </c>
      <c r="H711" t="s">
        <v>27</v>
      </c>
      <c r="I711" t="s">
        <v>27</v>
      </c>
      <c r="J711" t="s">
        <v>28</v>
      </c>
      <c r="K711" t="s">
        <v>828</v>
      </c>
      <c r="M711" s="81" t="s">
        <v>240</v>
      </c>
      <c r="N711" s="81" t="s">
        <v>62</v>
      </c>
      <c r="O711" t="s">
        <v>996</v>
      </c>
      <c r="P711" t="s">
        <v>975</v>
      </c>
      <c r="Q711" t="s">
        <v>997</v>
      </c>
      <c r="R711" s="140" t="s">
        <v>4449</v>
      </c>
    </row>
    <row r="712" spans="1:25" s="130" customFormat="1">
      <c r="A712" s="38">
        <v>154</v>
      </c>
      <c r="B712" s="115" t="s">
        <v>991</v>
      </c>
      <c r="D712" s="81" t="s">
        <v>1589</v>
      </c>
      <c r="E712" s="97" t="s">
        <v>488</v>
      </c>
      <c r="F712" s="97" t="s">
        <v>508</v>
      </c>
      <c r="G712" t="s">
        <v>27</v>
      </c>
      <c r="H712" t="s">
        <v>27</v>
      </c>
      <c r="I712" t="s">
        <v>27</v>
      </c>
      <c r="J712" t="s">
        <v>28</v>
      </c>
      <c r="K712" t="s">
        <v>828</v>
      </c>
      <c r="M712" s="81" t="s">
        <v>240</v>
      </c>
      <c r="N712" s="81" t="s">
        <v>62</v>
      </c>
      <c r="O712" t="s">
        <v>998</v>
      </c>
      <c r="P712" t="s">
        <v>975</v>
      </c>
      <c r="Q712" t="s">
        <v>997</v>
      </c>
      <c r="R712" s="140" t="s">
        <v>4449</v>
      </c>
    </row>
    <row r="713" spans="1:25" s="130" customFormat="1">
      <c r="A713" s="38">
        <v>154</v>
      </c>
      <c r="B713" s="115" t="s">
        <v>991</v>
      </c>
      <c r="D713" s="81" t="s">
        <v>1589</v>
      </c>
      <c r="E713" s="97" t="s">
        <v>488</v>
      </c>
      <c r="F713" s="97" t="s">
        <v>508</v>
      </c>
      <c r="G713" t="s">
        <v>27</v>
      </c>
      <c r="H713" t="s">
        <v>27</v>
      </c>
      <c r="I713" t="s">
        <v>27</v>
      </c>
      <c r="J713" t="s">
        <v>28</v>
      </c>
      <c r="K713" t="s">
        <v>828</v>
      </c>
      <c r="M713" s="81" t="s">
        <v>240</v>
      </c>
      <c r="N713" s="81" t="s">
        <v>62</v>
      </c>
      <c r="O713" t="s">
        <v>999</v>
      </c>
      <c r="P713" t="s">
        <v>975</v>
      </c>
      <c r="Q713" t="s">
        <v>997</v>
      </c>
      <c r="R713" s="140" t="s">
        <v>4449</v>
      </c>
    </row>
    <row r="714" spans="1:25" s="130" customFormat="1">
      <c r="A714" s="38">
        <v>155</v>
      </c>
      <c r="B714" s="115" t="s">
        <v>991</v>
      </c>
      <c r="D714" s="81" t="s">
        <v>1589</v>
      </c>
      <c r="E714" s="97" t="s">
        <v>125</v>
      </c>
      <c r="F714" s="97" t="s">
        <v>536</v>
      </c>
      <c r="G714" t="s">
        <v>27</v>
      </c>
      <c r="H714" t="s">
        <v>27</v>
      </c>
      <c r="I714" t="s">
        <v>27</v>
      </c>
      <c r="J714" t="s">
        <v>28</v>
      </c>
      <c r="K714" t="s">
        <v>828</v>
      </c>
      <c r="M714" s="81" t="s">
        <v>240</v>
      </c>
      <c r="N714" s="81" t="s">
        <v>62</v>
      </c>
      <c r="O714" t="s">
        <v>1000</v>
      </c>
      <c r="P714" t="s">
        <v>975</v>
      </c>
      <c r="Q714" t="s">
        <v>1001</v>
      </c>
      <c r="R714" s="140" t="s">
        <v>4449</v>
      </c>
    </row>
    <row r="715" spans="1:25" s="130" customFormat="1">
      <c r="A715" s="38">
        <v>155</v>
      </c>
      <c r="B715" s="115" t="s">
        <v>991</v>
      </c>
      <c r="D715" s="81" t="s">
        <v>1589</v>
      </c>
      <c r="E715" s="97" t="s">
        <v>125</v>
      </c>
      <c r="F715" s="97" t="s">
        <v>536</v>
      </c>
      <c r="G715" t="s">
        <v>27</v>
      </c>
      <c r="H715" t="s">
        <v>27</v>
      </c>
      <c r="I715" t="s">
        <v>27</v>
      </c>
      <c r="J715" t="s">
        <v>28</v>
      </c>
      <c r="K715" t="s">
        <v>828</v>
      </c>
      <c r="M715" s="81" t="s">
        <v>240</v>
      </c>
      <c r="N715" s="81" t="s">
        <v>62</v>
      </c>
      <c r="O715" t="s">
        <v>1002</v>
      </c>
      <c r="P715" t="s">
        <v>975</v>
      </c>
      <c r="Q715" t="s">
        <v>1001</v>
      </c>
      <c r="R715" s="140" t="s">
        <v>4449</v>
      </c>
    </row>
    <row r="716" spans="1:25" s="130" customFormat="1">
      <c r="A716" s="38">
        <v>155</v>
      </c>
      <c r="B716" s="115" t="s">
        <v>991</v>
      </c>
      <c r="D716" s="81" t="s">
        <v>1589</v>
      </c>
      <c r="E716" s="97" t="s">
        <v>125</v>
      </c>
      <c r="F716" s="97" t="s">
        <v>536</v>
      </c>
      <c r="G716" t="s">
        <v>27</v>
      </c>
      <c r="H716" t="s">
        <v>27</v>
      </c>
      <c r="I716" t="s">
        <v>27</v>
      </c>
      <c r="J716" t="s">
        <v>28</v>
      </c>
      <c r="K716" t="s">
        <v>828</v>
      </c>
      <c r="M716" s="81" t="s">
        <v>240</v>
      </c>
      <c r="N716" s="81" t="s">
        <v>62</v>
      </c>
      <c r="O716" s="60" t="s">
        <v>1003</v>
      </c>
      <c r="P716" s="60" t="s">
        <v>975</v>
      </c>
      <c r="Q716" t="s">
        <v>1001</v>
      </c>
      <c r="R716" s="140" t="s">
        <v>4449</v>
      </c>
    </row>
    <row r="717" spans="1:25" s="130" customFormat="1">
      <c r="A717" s="38">
        <v>156</v>
      </c>
      <c r="B717" s="115" t="s">
        <v>991</v>
      </c>
      <c r="D717" s="81" t="s">
        <v>1589</v>
      </c>
      <c r="E717" s="97" t="s">
        <v>125</v>
      </c>
      <c r="F717" s="97" t="s">
        <v>126</v>
      </c>
      <c r="G717" t="s">
        <v>27</v>
      </c>
      <c r="H717" t="s">
        <v>27</v>
      </c>
      <c r="I717" t="s">
        <v>27</v>
      </c>
      <c r="J717" t="s">
        <v>28</v>
      </c>
      <c r="K717" t="s">
        <v>828</v>
      </c>
      <c r="M717" s="81" t="s">
        <v>240</v>
      </c>
      <c r="N717" s="81" t="s">
        <v>62</v>
      </c>
      <c r="O717" s="60" t="s">
        <v>1004</v>
      </c>
      <c r="P717" s="60" t="s">
        <v>975</v>
      </c>
      <c r="Q717" t="s">
        <v>1005</v>
      </c>
      <c r="R717" s="140" t="s">
        <v>4449</v>
      </c>
    </row>
    <row r="718" spans="1:25" s="130" customFormat="1">
      <c r="A718" s="38">
        <v>156</v>
      </c>
      <c r="B718" s="115" t="s">
        <v>991</v>
      </c>
      <c r="D718" s="81" t="s">
        <v>1589</v>
      </c>
      <c r="E718" s="97" t="s">
        <v>125</v>
      </c>
      <c r="F718" s="97" t="s">
        <v>126</v>
      </c>
      <c r="G718" t="s">
        <v>27</v>
      </c>
      <c r="H718" t="s">
        <v>27</v>
      </c>
      <c r="I718" t="s">
        <v>27</v>
      </c>
      <c r="J718" t="s">
        <v>28</v>
      </c>
      <c r="K718" t="s">
        <v>828</v>
      </c>
      <c r="M718" s="81" t="s">
        <v>240</v>
      </c>
      <c r="N718" s="81" t="s">
        <v>62</v>
      </c>
      <c r="O718" s="60" t="s">
        <v>1006</v>
      </c>
      <c r="P718" s="60" t="s">
        <v>975</v>
      </c>
      <c r="Q718" t="s">
        <v>1005</v>
      </c>
      <c r="R718" s="140" t="s">
        <v>4449</v>
      </c>
    </row>
    <row r="719" spans="1:25" s="130" customFormat="1">
      <c r="A719" s="102">
        <v>156</v>
      </c>
      <c r="B719" s="115" t="s">
        <v>991</v>
      </c>
      <c r="C719" s="70"/>
      <c r="D719" s="81" t="s">
        <v>1589</v>
      </c>
      <c r="E719" s="97" t="s">
        <v>125</v>
      </c>
      <c r="F719" s="97" t="s">
        <v>126</v>
      </c>
      <c r="G719" t="s">
        <v>27</v>
      </c>
      <c r="H719" t="s">
        <v>27</v>
      </c>
      <c r="I719" t="s">
        <v>27</v>
      </c>
      <c r="J719" t="s">
        <v>28</v>
      </c>
      <c r="K719" t="s">
        <v>828</v>
      </c>
      <c r="M719" s="81" t="s">
        <v>240</v>
      </c>
      <c r="N719" s="81" t="s">
        <v>62</v>
      </c>
      <c r="O719" s="70" t="s">
        <v>1007</v>
      </c>
      <c r="P719" s="60" t="s">
        <v>975</v>
      </c>
      <c r="Q719" t="s">
        <v>1005</v>
      </c>
      <c r="R719" s="140" t="s">
        <v>4449</v>
      </c>
    </row>
    <row r="720" spans="1:25" s="130" customFormat="1">
      <c r="A720" s="102">
        <v>157</v>
      </c>
      <c r="B720" s="115" t="s">
        <v>991</v>
      </c>
      <c r="C720" s="70"/>
      <c r="D720" s="81" t="s">
        <v>1589</v>
      </c>
      <c r="E720" s="97" t="s">
        <v>125</v>
      </c>
      <c r="F720" s="97" t="s">
        <v>543</v>
      </c>
      <c r="G720" t="s">
        <v>27</v>
      </c>
      <c r="H720" t="s">
        <v>27</v>
      </c>
      <c r="I720" t="s">
        <v>27</v>
      </c>
      <c r="J720" t="s">
        <v>28</v>
      </c>
      <c r="K720" t="s">
        <v>828</v>
      </c>
      <c r="M720" s="81" t="s">
        <v>240</v>
      </c>
      <c r="N720" s="81" t="s">
        <v>62</v>
      </c>
      <c r="O720" s="70" t="s">
        <v>1008</v>
      </c>
      <c r="P720" s="60" t="s">
        <v>975</v>
      </c>
      <c r="Q720" t="s">
        <v>1009</v>
      </c>
      <c r="R720" s="140" t="s">
        <v>4449</v>
      </c>
    </row>
    <row r="721" spans="1:25" s="130" customFormat="1">
      <c r="A721" s="102">
        <v>157</v>
      </c>
      <c r="B721" s="115" t="s">
        <v>991</v>
      </c>
      <c r="C721" s="70"/>
      <c r="D721" s="81" t="s">
        <v>1589</v>
      </c>
      <c r="E721" s="97" t="s">
        <v>125</v>
      </c>
      <c r="F721" s="97" t="s">
        <v>543</v>
      </c>
      <c r="G721" t="s">
        <v>27</v>
      </c>
      <c r="H721" t="s">
        <v>27</v>
      </c>
      <c r="I721" t="s">
        <v>27</v>
      </c>
      <c r="J721" t="s">
        <v>28</v>
      </c>
      <c r="K721" t="s">
        <v>828</v>
      </c>
      <c r="M721" s="81" t="s">
        <v>240</v>
      </c>
      <c r="N721" s="81" t="s">
        <v>62</v>
      </c>
      <c r="O721" s="70" t="s">
        <v>1010</v>
      </c>
      <c r="P721" s="60" t="s">
        <v>975</v>
      </c>
      <c r="Q721" t="s">
        <v>1009</v>
      </c>
      <c r="R721" s="140" t="s">
        <v>4449</v>
      </c>
    </row>
    <row r="722" spans="1:25" s="130" customFormat="1">
      <c r="A722" s="102">
        <v>157</v>
      </c>
      <c r="B722" s="115" t="s">
        <v>991</v>
      </c>
      <c r="C722" s="70"/>
      <c r="D722" s="81" t="s">
        <v>1589</v>
      </c>
      <c r="E722" s="97" t="s">
        <v>125</v>
      </c>
      <c r="F722" s="97" t="s">
        <v>543</v>
      </c>
      <c r="G722" t="s">
        <v>27</v>
      </c>
      <c r="H722" t="s">
        <v>27</v>
      </c>
      <c r="I722" t="s">
        <v>27</v>
      </c>
      <c r="J722" t="s">
        <v>28</v>
      </c>
      <c r="K722" t="s">
        <v>828</v>
      </c>
      <c r="M722" s="81" t="s">
        <v>240</v>
      </c>
      <c r="N722" s="81" t="s">
        <v>62</v>
      </c>
      <c r="O722" s="70" t="s">
        <v>1011</v>
      </c>
      <c r="P722" s="60" t="s">
        <v>975</v>
      </c>
      <c r="Q722" t="s">
        <v>1009</v>
      </c>
      <c r="R722" s="140" t="s">
        <v>4449</v>
      </c>
    </row>
    <row r="723" spans="1:25" s="130" customFormat="1">
      <c r="A723" s="102">
        <v>158</v>
      </c>
      <c r="B723" s="115" t="s">
        <v>991</v>
      </c>
      <c r="C723" s="70"/>
      <c r="D723" s="81" t="s">
        <v>1589</v>
      </c>
      <c r="E723" s="97" t="s">
        <v>136</v>
      </c>
      <c r="F723" s="97" t="s">
        <v>137</v>
      </c>
      <c r="G723" t="s">
        <v>27</v>
      </c>
      <c r="H723" t="s">
        <v>27</v>
      </c>
      <c r="I723" t="s">
        <v>27</v>
      </c>
      <c r="J723" t="s">
        <v>28</v>
      </c>
      <c r="K723" t="s">
        <v>828</v>
      </c>
      <c r="M723" s="81" t="s">
        <v>240</v>
      </c>
      <c r="N723" s="81" t="s">
        <v>62</v>
      </c>
      <c r="O723" s="70" t="s">
        <v>1012</v>
      </c>
      <c r="P723" s="60" t="s">
        <v>975</v>
      </c>
      <c r="Q723" t="s">
        <v>1013</v>
      </c>
      <c r="R723" s="140" t="s">
        <v>4449</v>
      </c>
    </row>
    <row r="724" spans="1:25" s="130" customFormat="1">
      <c r="A724" s="102">
        <v>158</v>
      </c>
      <c r="B724" s="115" t="s">
        <v>991</v>
      </c>
      <c r="C724" s="70"/>
      <c r="D724" s="81" t="s">
        <v>1589</v>
      </c>
      <c r="E724" s="97" t="s">
        <v>136</v>
      </c>
      <c r="F724" s="97" t="s">
        <v>137</v>
      </c>
      <c r="G724" t="s">
        <v>27</v>
      </c>
      <c r="H724" t="s">
        <v>27</v>
      </c>
      <c r="I724" t="s">
        <v>27</v>
      </c>
      <c r="J724" t="s">
        <v>28</v>
      </c>
      <c r="K724" t="s">
        <v>828</v>
      </c>
      <c r="M724" s="81" t="s">
        <v>240</v>
      </c>
      <c r="N724" s="81" t="s">
        <v>62</v>
      </c>
      <c r="O724" s="70" t="s">
        <v>1014</v>
      </c>
      <c r="P724" s="60" t="s">
        <v>975</v>
      </c>
      <c r="Q724" t="s">
        <v>1013</v>
      </c>
      <c r="R724" s="140" t="s">
        <v>4449</v>
      </c>
    </row>
    <row r="725" spans="1:25" s="130" customFormat="1">
      <c r="A725" s="102">
        <v>158</v>
      </c>
      <c r="B725" s="115" t="s">
        <v>991</v>
      </c>
      <c r="C725" s="70"/>
      <c r="D725" s="81" t="s">
        <v>1589</v>
      </c>
      <c r="E725" s="97" t="s">
        <v>136</v>
      </c>
      <c r="F725" s="97" t="s">
        <v>137</v>
      </c>
      <c r="G725" t="s">
        <v>27</v>
      </c>
      <c r="H725" t="s">
        <v>27</v>
      </c>
      <c r="I725" t="s">
        <v>27</v>
      </c>
      <c r="J725" t="s">
        <v>28</v>
      </c>
      <c r="K725" t="s">
        <v>828</v>
      </c>
      <c r="M725" s="81" t="s">
        <v>240</v>
      </c>
      <c r="N725" s="81" t="s">
        <v>62</v>
      </c>
      <c r="O725" s="70" t="s">
        <v>1015</v>
      </c>
      <c r="P725" s="60" t="s">
        <v>975</v>
      </c>
      <c r="Q725" t="s">
        <v>1013</v>
      </c>
      <c r="R725" s="140" t="s">
        <v>4449</v>
      </c>
    </row>
    <row r="726" spans="1:25" s="130" customFormat="1">
      <c r="A726" s="102">
        <v>159</v>
      </c>
      <c r="B726" s="115" t="s">
        <v>991</v>
      </c>
      <c r="C726" s="70"/>
      <c r="D726" s="81" t="s">
        <v>1589</v>
      </c>
      <c r="E726" s="97" t="s">
        <v>136</v>
      </c>
      <c r="F726" s="97" t="s">
        <v>561</v>
      </c>
      <c r="G726" t="s">
        <v>27</v>
      </c>
      <c r="H726" t="s">
        <v>27</v>
      </c>
      <c r="I726" t="s">
        <v>27</v>
      </c>
      <c r="J726" t="s">
        <v>28</v>
      </c>
      <c r="K726" t="s">
        <v>828</v>
      </c>
      <c r="M726" s="81" t="s">
        <v>240</v>
      </c>
      <c r="N726" s="81" t="s">
        <v>62</v>
      </c>
      <c r="O726" s="70" t="s">
        <v>1016</v>
      </c>
      <c r="P726" s="60" t="s">
        <v>975</v>
      </c>
      <c r="Q726" t="s">
        <v>1017</v>
      </c>
      <c r="R726" s="140" t="s">
        <v>4449</v>
      </c>
    </row>
    <row r="727" spans="1:25" s="130" customFormat="1">
      <c r="A727" s="102">
        <v>159</v>
      </c>
      <c r="B727" s="115" t="s">
        <v>991</v>
      </c>
      <c r="C727" s="70"/>
      <c r="D727" s="81" t="s">
        <v>1589</v>
      </c>
      <c r="E727" s="97" t="s">
        <v>136</v>
      </c>
      <c r="F727" s="97" t="s">
        <v>561</v>
      </c>
      <c r="G727" t="s">
        <v>27</v>
      </c>
      <c r="H727" t="s">
        <v>27</v>
      </c>
      <c r="I727" t="s">
        <v>27</v>
      </c>
      <c r="J727" t="s">
        <v>28</v>
      </c>
      <c r="K727" t="s">
        <v>828</v>
      </c>
      <c r="M727" s="81" t="s">
        <v>240</v>
      </c>
      <c r="N727" s="81" t="s">
        <v>62</v>
      </c>
      <c r="O727" s="70" t="s">
        <v>1018</v>
      </c>
      <c r="P727" s="60" t="s">
        <v>975</v>
      </c>
      <c r="Q727" t="s">
        <v>1017</v>
      </c>
      <c r="R727" s="140" t="s">
        <v>4449</v>
      </c>
    </row>
    <row r="728" spans="1:25" s="130" customFormat="1">
      <c r="A728" s="102">
        <v>159</v>
      </c>
      <c r="B728" s="115" t="s">
        <v>991</v>
      </c>
      <c r="C728" s="70"/>
      <c r="D728" s="81" t="s">
        <v>1589</v>
      </c>
      <c r="E728" s="97" t="s">
        <v>136</v>
      </c>
      <c r="F728" s="97" t="s">
        <v>561</v>
      </c>
      <c r="G728" t="s">
        <v>27</v>
      </c>
      <c r="H728" t="s">
        <v>27</v>
      </c>
      <c r="I728" t="s">
        <v>27</v>
      </c>
      <c r="J728" t="s">
        <v>28</v>
      </c>
      <c r="K728" t="s">
        <v>828</v>
      </c>
      <c r="M728" s="81" t="s">
        <v>240</v>
      </c>
      <c r="N728" s="81" t="s">
        <v>62</v>
      </c>
      <c r="O728" s="70" t="s">
        <v>1019</v>
      </c>
      <c r="P728" s="60" t="s">
        <v>975</v>
      </c>
      <c r="Q728" t="s">
        <v>1017</v>
      </c>
      <c r="R728" s="140" t="s">
        <v>4449</v>
      </c>
    </row>
    <row r="729" spans="1:25" s="130" customFormat="1" hidden="1">
      <c r="A729" s="102">
        <v>160</v>
      </c>
      <c r="B729" s="70" t="s">
        <v>405</v>
      </c>
      <c r="C729" s="70"/>
      <c r="D729" s="81">
        <v>0</v>
      </c>
      <c r="E729" s="97">
        <v>1</v>
      </c>
      <c r="F729" s="97" t="s">
        <v>26</v>
      </c>
      <c r="G729" t="s">
        <v>27</v>
      </c>
      <c r="H729" t="s">
        <v>27</v>
      </c>
      <c r="I729" t="s">
        <v>27</v>
      </c>
      <c r="J729" s="130" t="s">
        <v>27</v>
      </c>
      <c r="K729" s="130" t="s">
        <v>237</v>
      </c>
      <c r="L729" s="130" t="s">
        <v>237</v>
      </c>
      <c r="M729" s="130" t="s">
        <v>240</v>
      </c>
      <c r="N729" s="123" t="s">
        <v>31</v>
      </c>
      <c r="O729" s="111" t="s">
        <v>1020</v>
      </c>
      <c r="P729" s="106" t="s">
        <v>239</v>
      </c>
      <c r="Q729" s="134"/>
      <c r="R729" s="134"/>
      <c r="S729" s="134"/>
    </row>
    <row r="730" spans="1:25" s="130" customFormat="1" hidden="1">
      <c r="A730" s="102">
        <v>160</v>
      </c>
      <c r="B730" s="70" t="s">
        <v>405</v>
      </c>
      <c r="C730" s="70"/>
      <c r="D730" s="81">
        <v>0</v>
      </c>
      <c r="E730" s="97">
        <v>1</v>
      </c>
      <c r="F730" s="97" t="s">
        <v>26</v>
      </c>
      <c r="G730" t="s">
        <v>27</v>
      </c>
      <c r="H730" t="s">
        <v>27</v>
      </c>
      <c r="I730" t="s">
        <v>27</v>
      </c>
      <c r="J730" s="130" t="s">
        <v>27</v>
      </c>
      <c r="K730" s="130" t="s">
        <v>237</v>
      </c>
      <c r="L730" s="130" t="s">
        <v>237</v>
      </c>
      <c r="M730" s="130" t="s">
        <v>240</v>
      </c>
      <c r="N730" s="123" t="s">
        <v>31</v>
      </c>
      <c r="O730" s="111" t="s">
        <v>1021</v>
      </c>
      <c r="P730" s="106" t="s">
        <v>239</v>
      </c>
      <c r="Q730" s="134"/>
      <c r="R730" s="134"/>
      <c r="S730" s="134"/>
    </row>
    <row r="731" spans="1:25" hidden="1">
      <c r="A731" s="102">
        <v>160</v>
      </c>
      <c r="B731" s="70" t="s">
        <v>405</v>
      </c>
      <c r="C731" s="70"/>
      <c r="D731" s="81">
        <v>0</v>
      </c>
      <c r="E731" s="97">
        <v>1</v>
      </c>
      <c r="F731" s="97" t="s">
        <v>26</v>
      </c>
      <c r="G731" t="s">
        <v>27</v>
      </c>
      <c r="H731" t="s">
        <v>27</v>
      </c>
      <c r="I731" t="s">
        <v>27</v>
      </c>
      <c r="J731" s="130" t="s">
        <v>27</v>
      </c>
      <c r="K731" s="130" t="s">
        <v>237</v>
      </c>
      <c r="L731" s="130" t="s">
        <v>237</v>
      </c>
      <c r="M731" s="130" t="s">
        <v>240</v>
      </c>
      <c r="N731" s="123" t="s">
        <v>31</v>
      </c>
      <c r="O731" s="111" t="s">
        <v>1022</v>
      </c>
      <c r="P731" s="106" t="s">
        <v>239</v>
      </c>
      <c r="Q731" s="134"/>
      <c r="R731" s="134"/>
      <c r="S731" s="134"/>
    </row>
    <row r="732" spans="1:25" hidden="1">
      <c r="A732" s="83">
        <v>25</v>
      </c>
      <c r="B732" s="70" t="s">
        <v>38</v>
      </c>
      <c r="C732" s="111" t="s">
        <v>253</v>
      </c>
      <c r="D732" s="81" t="s">
        <v>4445</v>
      </c>
      <c r="E732" s="97">
        <v>2</v>
      </c>
      <c r="F732" s="97" t="s">
        <v>49</v>
      </c>
      <c r="G732" t="s">
        <v>28</v>
      </c>
      <c r="H732" t="s">
        <v>28</v>
      </c>
      <c r="I732" t="s">
        <v>28</v>
      </c>
      <c r="J732" s="137" t="s">
        <v>27</v>
      </c>
      <c r="K732" s="137" t="s">
        <v>105</v>
      </c>
      <c r="L732" s="137" t="s">
        <v>105</v>
      </c>
      <c r="M732" s="137" t="s">
        <v>28</v>
      </c>
      <c r="N732" s="137" t="s">
        <v>51</v>
      </c>
      <c r="O732" s="111" t="s">
        <v>1023</v>
      </c>
      <c r="P732" s="68" t="s">
        <v>271</v>
      </c>
      <c r="Q732" s="137"/>
      <c r="R732" s="137"/>
      <c r="S732" s="137"/>
      <c r="T732" s="137" t="s">
        <v>105</v>
      </c>
      <c r="U732" s="137" t="s">
        <v>105</v>
      </c>
      <c r="V732" s="137"/>
      <c r="W732" s="137"/>
      <c r="X732" s="137" t="s">
        <v>105</v>
      </c>
      <c r="Y732" s="137" t="s">
        <v>105</v>
      </c>
    </row>
    <row r="733" spans="1:25" hidden="1">
      <c r="A733" s="83">
        <v>235</v>
      </c>
      <c r="B733" s="75" t="s">
        <v>124</v>
      </c>
      <c r="C733" s="75" t="s">
        <v>253</v>
      </c>
      <c r="D733" s="81" t="s">
        <v>4445</v>
      </c>
      <c r="E733" s="97">
        <v>1</v>
      </c>
      <c r="F733" s="97" t="s">
        <v>112</v>
      </c>
      <c r="G733" s="130" t="s">
        <v>28</v>
      </c>
      <c r="H733" s="130" t="s">
        <v>28</v>
      </c>
      <c r="I733" s="130" t="s">
        <v>28</v>
      </c>
      <c r="J733" s="130" t="s">
        <v>27</v>
      </c>
      <c r="K733" s="130" t="s">
        <v>105</v>
      </c>
      <c r="L733" s="130" t="s">
        <v>105</v>
      </c>
      <c r="M733" s="88" t="s">
        <v>28</v>
      </c>
      <c r="N733" s="88" t="s">
        <v>51</v>
      </c>
      <c r="O733" s="75" t="s">
        <v>1024</v>
      </c>
      <c r="P733" s="61" t="s">
        <v>271</v>
      </c>
      <c r="Q733" s="130"/>
      <c r="R733" s="130"/>
      <c r="S733" s="130"/>
      <c r="T733" s="130" t="s">
        <v>105</v>
      </c>
      <c r="U733" s="130" t="s">
        <v>105</v>
      </c>
      <c r="V733" s="130"/>
      <c r="W733" s="130"/>
      <c r="X733" s="130" t="s">
        <v>105</v>
      </c>
      <c r="Y733" s="130" t="s">
        <v>105</v>
      </c>
    </row>
    <row r="734" spans="1:25" hidden="1">
      <c r="A734" s="83">
        <v>17</v>
      </c>
      <c r="B734" s="75" t="s">
        <v>38</v>
      </c>
      <c r="C734" s="75" t="s">
        <v>66</v>
      </c>
      <c r="D734" s="81" t="s">
        <v>4445</v>
      </c>
      <c r="E734" s="97">
        <v>1</v>
      </c>
      <c r="F734" s="98" t="s">
        <v>26</v>
      </c>
      <c r="G734" s="130" t="s">
        <v>28</v>
      </c>
      <c r="H734" s="130" t="s">
        <v>28</v>
      </c>
      <c r="I734" s="130" t="s">
        <v>28</v>
      </c>
      <c r="J734" s="130" t="s">
        <v>27</v>
      </c>
      <c r="K734" s="130" t="s">
        <v>29</v>
      </c>
      <c r="L734" s="130" t="s">
        <v>721</v>
      </c>
      <c r="M734" s="130" t="s">
        <v>28</v>
      </c>
      <c r="N734" s="130" t="s">
        <v>51</v>
      </c>
      <c r="O734" s="75" t="s">
        <v>1025</v>
      </c>
      <c r="P734" s="61" t="s">
        <v>213</v>
      </c>
      <c r="Q734" s="130"/>
      <c r="R734" s="130"/>
      <c r="S734" s="130"/>
      <c r="T734" s="130" t="s">
        <v>29</v>
      </c>
      <c r="U734" s="130">
        <v>1</v>
      </c>
      <c r="V734" s="130"/>
      <c r="W734" s="130"/>
      <c r="X734" s="130">
        <v>0</v>
      </c>
      <c r="Y734" s="130">
        <v>0</v>
      </c>
    </row>
    <row r="735" spans="1:25" s="130" customFormat="1">
      <c r="A735" s="82">
        <v>162</v>
      </c>
      <c r="B735" s="70" t="s">
        <v>405</v>
      </c>
      <c r="C735" s="70"/>
      <c r="D735" s="81" t="s">
        <v>1589</v>
      </c>
      <c r="E735" s="97">
        <v>2</v>
      </c>
      <c r="F735" s="97" t="s">
        <v>54</v>
      </c>
      <c r="G735" t="s">
        <v>27</v>
      </c>
      <c r="H735" t="s">
        <v>27</v>
      </c>
      <c r="I735" t="s">
        <v>27</v>
      </c>
      <c r="J735" t="s">
        <v>28</v>
      </c>
      <c r="K735" t="s">
        <v>828</v>
      </c>
      <c r="M735" s="85" t="s">
        <v>28</v>
      </c>
      <c r="N735" s="85" t="s">
        <v>39</v>
      </c>
      <c r="O735" t="s">
        <v>1026</v>
      </c>
      <c r="P735" s="60" t="s">
        <v>353</v>
      </c>
      <c r="Q735" t="s">
        <v>1027</v>
      </c>
      <c r="R735" s="140" t="s">
        <v>4454</v>
      </c>
      <c r="T735" t="s">
        <v>828</v>
      </c>
      <c r="U735">
        <v>0</v>
      </c>
      <c r="X735">
        <v>0</v>
      </c>
      <c r="Y735">
        <v>0</v>
      </c>
    </row>
    <row r="736" spans="1:25" s="130" customFormat="1">
      <c r="A736" s="82">
        <v>162</v>
      </c>
      <c r="B736" s="70" t="s">
        <v>405</v>
      </c>
      <c r="C736" s="70"/>
      <c r="D736" s="81" t="s">
        <v>1589</v>
      </c>
      <c r="E736" s="97">
        <v>2</v>
      </c>
      <c r="F736" s="97" t="s">
        <v>54</v>
      </c>
      <c r="G736" t="s">
        <v>27</v>
      </c>
      <c r="H736" t="s">
        <v>27</v>
      </c>
      <c r="I736" t="s">
        <v>27</v>
      </c>
      <c r="J736" t="s">
        <v>28</v>
      </c>
      <c r="K736" t="s">
        <v>828</v>
      </c>
      <c r="M736" s="85" t="s">
        <v>28</v>
      </c>
      <c r="N736" s="85" t="s">
        <v>39</v>
      </c>
      <c r="O736" t="s">
        <v>1028</v>
      </c>
      <c r="P736" s="60" t="s">
        <v>353</v>
      </c>
      <c r="Q736" t="s">
        <v>1027</v>
      </c>
      <c r="R736" s="140" t="s">
        <v>4454</v>
      </c>
      <c r="T736" t="s">
        <v>828</v>
      </c>
      <c r="U736">
        <v>0</v>
      </c>
      <c r="X736">
        <v>0</v>
      </c>
      <c r="Y736">
        <v>0</v>
      </c>
    </row>
    <row r="737" spans="1:25" s="130" customFormat="1" hidden="1">
      <c r="A737" s="83">
        <v>26</v>
      </c>
      <c r="B737" s="75" t="s">
        <v>38</v>
      </c>
      <c r="C737" s="75" t="s">
        <v>253</v>
      </c>
      <c r="D737" s="81" t="s">
        <v>4444</v>
      </c>
      <c r="E737" s="97">
        <v>2</v>
      </c>
      <c r="F737" s="97" t="s">
        <v>67</v>
      </c>
      <c r="G737" s="130" t="s">
        <v>28</v>
      </c>
      <c r="H737" s="130" t="s">
        <v>28</v>
      </c>
      <c r="I737" s="130" t="s">
        <v>28</v>
      </c>
      <c r="J737" s="130" t="s">
        <v>27</v>
      </c>
      <c r="K737" s="130" t="s">
        <v>1029</v>
      </c>
      <c r="L737" s="130" t="s">
        <v>1029</v>
      </c>
      <c r="M737" s="130" t="s">
        <v>28</v>
      </c>
      <c r="N737" s="130" t="s">
        <v>51</v>
      </c>
      <c r="O737" s="130" t="s">
        <v>1030</v>
      </c>
      <c r="P737" s="61" t="s">
        <v>213</v>
      </c>
      <c r="T737" s="130" t="s">
        <v>29</v>
      </c>
      <c r="U737" s="130">
        <v>1</v>
      </c>
      <c r="X737" s="130">
        <v>0</v>
      </c>
      <c r="Y737" s="130">
        <v>0</v>
      </c>
    </row>
    <row r="738" spans="1:25" s="130" customFormat="1" hidden="1">
      <c r="A738" s="83">
        <v>235</v>
      </c>
      <c r="B738" s="75" t="s">
        <v>124</v>
      </c>
      <c r="C738" s="111" t="s">
        <v>253</v>
      </c>
      <c r="D738" s="81" t="s">
        <v>4445</v>
      </c>
      <c r="E738" s="97">
        <v>1</v>
      </c>
      <c r="F738" s="97" t="s">
        <v>112</v>
      </c>
      <c r="G738" s="137" t="s">
        <v>28</v>
      </c>
      <c r="H738" s="137" t="s">
        <v>28</v>
      </c>
      <c r="I738" s="137" t="s">
        <v>28</v>
      </c>
      <c r="J738" s="137" t="s">
        <v>27</v>
      </c>
      <c r="K738" s="88" t="s">
        <v>1031</v>
      </c>
      <c r="L738" s="88" t="s">
        <v>1031</v>
      </c>
      <c r="M738" s="88" t="s">
        <v>28</v>
      </c>
      <c r="N738" s="88" t="s">
        <v>51</v>
      </c>
      <c r="O738" s="137" t="s">
        <v>1032</v>
      </c>
      <c r="P738" s="68" t="s">
        <v>213</v>
      </c>
      <c r="Q738" s="137"/>
      <c r="R738" s="137"/>
      <c r="S738" s="137"/>
      <c r="T738" s="137" t="s">
        <v>29</v>
      </c>
      <c r="U738" s="137">
        <v>1</v>
      </c>
      <c r="V738" s="137"/>
      <c r="W738" s="137"/>
      <c r="X738" s="137">
        <v>0</v>
      </c>
      <c r="Y738" s="137">
        <v>0</v>
      </c>
    </row>
    <row r="739" spans="1:25" s="130" customFormat="1" hidden="1">
      <c r="A739" s="78">
        <v>103</v>
      </c>
      <c r="B739" s="75" t="s">
        <v>111</v>
      </c>
      <c r="C739" s="75"/>
      <c r="D739" s="81">
        <v>0</v>
      </c>
      <c r="E739" s="97">
        <v>2</v>
      </c>
      <c r="F739" s="97" t="s">
        <v>26</v>
      </c>
      <c r="G739" s="130" t="s">
        <v>27</v>
      </c>
      <c r="H739" s="130" t="s">
        <v>28</v>
      </c>
      <c r="I739" s="130" t="s">
        <v>28</v>
      </c>
      <c r="J739" s="130" t="s">
        <v>27</v>
      </c>
      <c r="K739" t="s">
        <v>113</v>
      </c>
      <c r="L739" s="130" t="s">
        <v>237</v>
      </c>
      <c r="M739" s="130" t="s">
        <v>28</v>
      </c>
      <c r="N739" s="130" t="s">
        <v>51</v>
      </c>
      <c r="O739" s="130" t="s">
        <v>1033</v>
      </c>
      <c r="P739" s="61" t="s">
        <v>353</v>
      </c>
      <c r="T739" s="130" t="s">
        <v>113</v>
      </c>
      <c r="U739" s="130">
        <v>1</v>
      </c>
      <c r="X739" s="130">
        <v>0</v>
      </c>
      <c r="Y739" s="130">
        <v>0</v>
      </c>
    </row>
    <row r="740" spans="1:25" hidden="1">
      <c r="A740" s="102">
        <v>162</v>
      </c>
      <c r="B740" s="70" t="s">
        <v>405</v>
      </c>
      <c r="C740" s="70"/>
      <c r="D740" s="81">
        <v>0</v>
      </c>
      <c r="E740" s="97">
        <v>2</v>
      </c>
      <c r="F740" s="97" t="s">
        <v>54</v>
      </c>
      <c r="G740" t="s">
        <v>27</v>
      </c>
      <c r="H740" t="s">
        <v>27</v>
      </c>
      <c r="I740" t="s">
        <v>27</v>
      </c>
      <c r="J740" s="130" t="s">
        <v>27</v>
      </c>
      <c r="K740" s="130" t="s">
        <v>237</v>
      </c>
      <c r="L740" s="130" t="s">
        <v>237</v>
      </c>
      <c r="M740" s="130" t="s">
        <v>240</v>
      </c>
      <c r="N740" s="123" t="s">
        <v>31</v>
      </c>
      <c r="O740" s="111" t="s">
        <v>1034</v>
      </c>
      <c r="P740" s="106" t="s">
        <v>239</v>
      </c>
      <c r="Q740" s="134"/>
      <c r="R740" s="134"/>
      <c r="S740" s="134"/>
    </row>
    <row r="741" spans="1:25" hidden="1">
      <c r="A741" s="102">
        <v>162</v>
      </c>
      <c r="B741" s="70" t="s">
        <v>405</v>
      </c>
      <c r="C741" s="70"/>
      <c r="D741" s="81">
        <v>0</v>
      </c>
      <c r="E741" s="97">
        <v>2</v>
      </c>
      <c r="F741" s="97" t="s">
        <v>54</v>
      </c>
      <c r="G741" t="s">
        <v>27</v>
      </c>
      <c r="H741" t="s">
        <v>27</v>
      </c>
      <c r="I741" t="s">
        <v>27</v>
      </c>
      <c r="J741" s="130" t="s">
        <v>27</v>
      </c>
      <c r="K741" s="130" t="s">
        <v>237</v>
      </c>
      <c r="L741" s="130" t="s">
        <v>237</v>
      </c>
      <c r="M741" s="130" t="s">
        <v>240</v>
      </c>
      <c r="N741" s="123" t="s">
        <v>31</v>
      </c>
      <c r="O741" s="111" t="s">
        <v>1035</v>
      </c>
      <c r="P741" s="106" t="s">
        <v>239</v>
      </c>
      <c r="Q741" s="134"/>
      <c r="R741" s="134"/>
      <c r="S741" s="134"/>
    </row>
    <row r="742" spans="1:25" hidden="1">
      <c r="A742" s="102">
        <v>162</v>
      </c>
      <c r="B742" s="70" t="s">
        <v>405</v>
      </c>
      <c r="C742" s="70"/>
      <c r="D742" s="81">
        <v>0</v>
      </c>
      <c r="E742" s="97">
        <v>2</v>
      </c>
      <c r="F742" s="97" t="s">
        <v>54</v>
      </c>
      <c r="G742" t="s">
        <v>27</v>
      </c>
      <c r="H742" t="s">
        <v>27</v>
      </c>
      <c r="I742" t="s">
        <v>27</v>
      </c>
      <c r="J742" s="130" t="s">
        <v>27</v>
      </c>
      <c r="K742" s="130" t="s">
        <v>237</v>
      </c>
      <c r="L742" s="130" t="s">
        <v>237</v>
      </c>
      <c r="M742" s="130" t="s">
        <v>240</v>
      </c>
      <c r="N742" s="123" t="s">
        <v>31</v>
      </c>
      <c r="O742" s="111" t="s">
        <v>1036</v>
      </c>
      <c r="P742" s="106" t="s">
        <v>239</v>
      </c>
      <c r="Q742" s="134"/>
      <c r="R742" s="134"/>
      <c r="S742" s="134"/>
    </row>
    <row r="743" spans="1:25">
      <c r="A743" s="107">
        <v>162</v>
      </c>
      <c r="B743" s="70" t="s">
        <v>405</v>
      </c>
      <c r="C743" s="70"/>
      <c r="D743" s="81" t="s">
        <v>1589</v>
      </c>
      <c r="E743" s="97">
        <v>2</v>
      </c>
      <c r="F743" s="97" t="s">
        <v>54</v>
      </c>
      <c r="G743" t="s">
        <v>27</v>
      </c>
      <c r="H743" t="s">
        <v>27</v>
      </c>
      <c r="I743" t="s">
        <v>27</v>
      </c>
      <c r="J743" t="s">
        <v>28</v>
      </c>
      <c r="K743" t="s">
        <v>828</v>
      </c>
      <c r="M743" s="85" t="s">
        <v>28</v>
      </c>
      <c r="N743" s="85" t="s">
        <v>39</v>
      </c>
      <c r="O743" s="70" t="s">
        <v>1037</v>
      </c>
      <c r="P743" s="60" t="s">
        <v>767</v>
      </c>
      <c r="Q743" t="s">
        <v>1027</v>
      </c>
      <c r="R743" s="140" t="s">
        <v>4454</v>
      </c>
    </row>
    <row r="744" spans="1:25">
      <c r="A744" s="107">
        <v>162</v>
      </c>
      <c r="B744" s="70" t="s">
        <v>405</v>
      </c>
      <c r="C744" s="70"/>
      <c r="D744" s="81" t="s">
        <v>1589</v>
      </c>
      <c r="E744" s="97">
        <v>2</v>
      </c>
      <c r="F744" s="97" t="s">
        <v>54</v>
      </c>
      <c r="G744" t="s">
        <v>27</v>
      </c>
      <c r="H744" t="s">
        <v>27</v>
      </c>
      <c r="I744" t="s">
        <v>27</v>
      </c>
      <c r="J744" t="s">
        <v>28</v>
      </c>
      <c r="K744" t="s">
        <v>828</v>
      </c>
      <c r="M744" s="85" t="s">
        <v>28</v>
      </c>
      <c r="N744" s="85" t="s">
        <v>39</v>
      </c>
      <c r="O744" s="70" t="s">
        <v>1038</v>
      </c>
      <c r="P744" s="60" t="s">
        <v>767</v>
      </c>
      <c r="Q744" t="s">
        <v>1027</v>
      </c>
      <c r="R744" s="140" t="s">
        <v>4454</v>
      </c>
    </row>
    <row r="745" spans="1:25">
      <c r="A745" s="107">
        <v>162</v>
      </c>
      <c r="B745" s="70" t="s">
        <v>405</v>
      </c>
      <c r="C745" s="70"/>
      <c r="D745" s="81" t="s">
        <v>1589</v>
      </c>
      <c r="E745" s="97">
        <v>2</v>
      </c>
      <c r="F745" s="97" t="s">
        <v>54</v>
      </c>
      <c r="G745" t="s">
        <v>27</v>
      </c>
      <c r="H745" t="s">
        <v>27</v>
      </c>
      <c r="I745" t="s">
        <v>27</v>
      </c>
      <c r="J745" t="s">
        <v>28</v>
      </c>
      <c r="K745" t="s">
        <v>828</v>
      </c>
      <c r="M745" s="85" t="s">
        <v>28</v>
      </c>
      <c r="N745" s="85" t="s">
        <v>39</v>
      </c>
      <c r="O745" s="70" t="s">
        <v>1039</v>
      </c>
      <c r="P745" s="60" t="s">
        <v>767</v>
      </c>
      <c r="Q745" t="s">
        <v>1027</v>
      </c>
      <c r="R745" s="140" t="s">
        <v>4454</v>
      </c>
    </row>
    <row r="746" spans="1:25" hidden="1">
      <c r="A746" s="83">
        <v>103</v>
      </c>
      <c r="B746" s="75" t="s">
        <v>111</v>
      </c>
      <c r="C746" s="75"/>
      <c r="D746" s="81">
        <v>0</v>
      </c>
      <c r="E746" s="97">
        <v>2</v>
      </c>
      <c r="F746" s="97" t="s">
        <v>26</v>
      </c>
      <c r="G746" s="130" t="s">
        <v>27</v>
      </c>
      <c r="H746" s="130" t="s">
        <v>28</v>
      </c>
      <c r="I746" s="130" t="s">
        <v>28</v>
      </c>
      <c r="J746" s="130" t="s">
        <v>27</v>
      </c>
      <c r="K746" t="s">
        <v>113</v>
      </c>
      <c r="L746" s="130" t="s">
        <v>237</v>
      </c>
      <c r="M746" s="130" t="s">
        <v>28</v>
      </c>
      <c r="N746" s="130" t="s">
        <v>51</v>
      </c>
      <c r="O746" s="75" t="s">
        <v>1040</v>
      </c>
      <c r="P746" s="61" t="s">
        <v>353</v>
      </c>
      <c r="Q746" s="130"/>
      <c r="R746" s="130"/>
      <c r="S746" s="130"/>
      <c r="T746" s="130" t="s">
        <v>113</v>
      </c>
      <c r="U746" s="130">
        <v>1</v>
      </c>
      <c r="V746" s="130"/>
      <c r="W746" s="130"/>
      <c r="X746" s="130">
        <v>0</v>
      </c>
      <c r="Y746" s="130">
        <v>0</v>
      </c>
    </row>
    <row r="747" spans="1:25" s="137" customFormat="1" hidden="1">
      <c r="A747" s="83">
        <v>103</v>
      </c>
      <c r="B747" s="75" t="s">
        <v>111</v>
      </c>
      <c r="C747" s="75"/>
      <c r="D747" s="81">
        <v>0</v>
      </c>
      <c r="E747" s="97">
        <v>2</v>
      </c>
      <c r="F747" s="97" t="s">
        <v>26</v>
      </c>
      <c r="G747" s="130" t="s">
        <v>27</v>
      </c>
      <c r="H747" s="130" t="s">
        <v>28</v>
      </c>
      <c r="I747" s="130" t="s">
        <v>28</v>
      </c>
      <c r="J747" s="130" t="s">
        <v>27</v>
      </c>
      <c r="K747" t="s">
        <v>113</v>
      </c>
      <c r="L747" s="130" t="s">
        <v>237</v>
      </c>
      <c r="M747" s="130" t="s">
        <v>28</v>
      </c>
      <c r="N747" s="130" t="s">
        <v>51</v>
      </c>
      <c r="O747" s="75" t="s">
        <v>1041</v>
      </c>
      <c r="P747" s="61" t="s">
        <v>353</v>
      </c>
      <c r="Q747" s="130"/>
      <c r="R747" s="130"/>
      <c r="S747" s="130"/>
      <c r="T747" s="130" t="s">
        <v>113</v>
      </c>
      <c r="U747" s="130">
        <v>1</v>
      </c>
      <c r="V747" s="130"/>
      <c r="W747" s="130"/>
      <c r="X747" s="130">
        <v>0</v>
      </c>
      <c r="Y747" s="130">
        <v>0</v>
      </c>
    </row>
    <row r="748" spans="1:25" hidden="1">
      <c r="A748" s="83">
        <v>150</v>
      </c>
      <c r="B748" s="127" t="s">
        <v>940</v>
      </c>
      <c r="C748" s="75"/>
      <c r="D748" s="81">
        <v>0</v>
      </c>
      <c r="E748" s="97">
        <v>2</v>
      </c>
      <c r="F748" s="97" t="s">
        <v>67</v>
      </c>
      <c r="G748" s="130" t="s">
        <v>27</v>
      </c>
      <c r="H748" s="130" t="s">
        <v>27</v>
      </c>
      <c r="I748" s="130" t="s">
        <v>27</v>
      </c>
      <c r="J748" s="130" t="s">
        <v>27</v>
      </c>
      <c r="K748" s="130" t="s">
        <v>237</v>
      </c>
      <c r="L748" s="130" t="s">
        <v>237</v>
      </c>
      <c r="M748" s="130" t="s">
        <v>28</v>
      </c>
      <c r="N748" s="130" t="s">
        <v>51</v>
      </c>
      <c r="O748" s="75" t="s">
        <v>1042</v>
      </c>
      <c r="P748" s="61" t="s">
        <v>353</v>
      </c>
      <c r="Q748" s="130"/>
      <c r="R748" s="130"/>
      <c r="S748" s="130"/>
      <c r="T748" s="130" t="s">
        <v>828</v>
      </c>
      <c r="U748" s="130">
        <v>0</v>
      </c>
      <c r="V748" s="130"/>
      <c r="W748" s="130"/>
      <c r="X748" s="130">
        <v>0</v>
      </c>
      <c r="Y748" s="130">
        <v>0</v>
      </c>
    </row>
    <row r="749" spans="1:25" s="130" customFormat="1" hidden="1">
      <c r="A749" s="83">
        <v>163</v>
      </c>
      <c r="B749" s="75" t="s">
        <v>405</v>
      </c>
      <c r="C749" s="75"/>
      <c r="D749" s="81">
        <v>0</v>
      </c>
      <c r="E749" s="97">
        <v>2</v>
      </c>
      <c r="F749" s="98" t="s">
        <v>49</v>
      </c>
      <c r="G749" s="130" t="s">
        <v>27</v>
      </c>
      <c r="H749" s="130" t="s">
        <v>27</v>
      </c>
      <c r="I749" s="130" t="s">
        <v>27</v>
      </c>
      <c r="J749" s="130" t="s">
        <v>27</v>
      </c>
      <c r="K749" s="130" t="s">
        <v>237</v>
      </c>
      <c r="L749" s="130" t="s">
        <v>237</v>
      </c>
      <c r="M749" s="130" t="s">
        <v>240</v>
      </c>
      <c r="N749" s="123" t="s">
        <v>31</v>
      </c>
      <c r="O749" s="75" t="s">
        <v>1043</v>
      </c>
      <c r="P749" s="67" t="s">
        <v>239</v>
      </c>
      <c r="Q749" s="131"/>
      <c r="R749" s="131"/>
      <c r="S749" s="131"/>
    </row>
    <row r="750" spans="1:25" s="130" customFormat="1" hidden="1">
      <c r="A750" s="83">
        <v>163</v>
      </c>
      <c r="B750" s="75" t="s">
        <v>405</v>
      </c>
      <c r="C750" s="75"/>
      <c r="D750" s="81">
        <v>0</v>
      </c>
      <c r="E750" s="97">
        <v>2</v>
      </c>
      <c r="F750" s="98" t="s">
        <v>49</v>
      </c>
      <c r="G750" s="130" t="s">
        <v>27</v>
      </c>
      <c r="H750" s="130" t="s">
        <v>27</v>
      </c>
      <c r="I750" s="130" t="s">
        <v>27</v>
      </c>
      <c r="J750" s="130" t="s">
        <v>27</v>
      </c>
      <c r="K750" s="130" t="s">
        <v>237</v>
      </c>
      <c r="L750" s="130" t="s">
        <v>237</v>
      </c>
      <c r="M750" s="130" t="s">
        <v>240</v>
      </c>
      <c r="N750" s="123" t="s">
        <v>31</v>
      </c>
      <c r="O750" s="75" t="s">
        <v>1044</v>
      </c>
      <c r="P750" s="67" t="s">
        <v>239</v>
      </c>
      <c r="Q750" s="131"/>
      <c r="R750" s="131"/>
      <c r="S750" s="131"/>
    </row>
    <row r="751" spans="1:25" s="130" customFormat="1" hidden="1">
      <c r="A751" s="83">
        <v>163</v>
      </c>
      <c r="B751" s="75" t="s">
        <v>405</v>
      </c>
      <c r="C751" s="75"/>
      <c r="D751" s="81">
        <v>0</v>
      </c>
      <c r="E751" s="97">
        <v>2</v>
      </c>
      <c r="F751" s="98" t="s">
        <v>49</v>
      </c>
      <c r="G751" s="130" t="s">
        <v>27</v>
      </c>
      <c r="H751" s="130" t="s">
        <v>27</v>
      </c>
      <c r="I751" s="130" t="s">
        <v>27</v>
      </c>
      <c r="J751" s="130" t="s">
        <v>27</v>
      </c>
      <c r="K751" s="130" t="s">
        <v>237</v>
      </c>
      <c r="L751" s="130" t="s">
        <v>237</v>
      </c>
      <c r="M751" s="130" t="s">
        <v>240</v>
      </c>
      <c r="N751" s="123" t="s">
        <v>31</v>
      </c>
      <c r="O751" s="75" t="s">
        <v>1045</v>
      </c>
      <c r="P751" s="67" t="s">
        <v>239</v>
      </c>
      <c r="Q751" s="131"/>
      <c r="R751" s="131"/>
      <c r="S751" s="131"/>
    </row>
    <row r="752" spans="1:25" s="130" customFormat="1" hidden="1">
      <c r="A752" s="83">
        <v>164</v>
      </c>
      <c r="B752" s="75" t="s">
        <v>405</v>
      </c>
      <c r="C752" s="75"/>
      <c r="D752" s="81">
        <v>0</v>
      </c>
      <c r="E752" s="97">
        <v>2</v>
      </c>
      <c r="F752" s="98" t="s">
        <v>67</v>
      </c>
      <c r="G752" s="130" t="s">
        <v>27</v>
      </c>
      <c r="H752" s="130" t="s">
        <v>27</v>
      </c>
      <c r="I752" s="130" t="s">
        <v>27</v>
      </c>
      <c r="J752" s="130" t="s">
        <v>27</v>
      </c>
      <c r="K752" s="130" t="s">
        <v>237</v>
      </c>
      <c r="L752" s="130" t="s">
        <v>237</v>
      </c>
      <c r="M752" s="130" t="s">
        <v>240</v>
      </c>
      <c r="N752" s="123" t="s">
        <v>31</v>
      </c>
      <c r="O752" s="75" t="s">
        <v>1046</v>
      </c>
      <c r="P752" s="67" t="s">
        <v>239</v>
      </c>
      <c r="Q752" s="131"/>
      <c r="R752" s="131"/>
      <c r="S752" s="131"/>
    </row>
    <row r="753" spans="1:25" s="130" customFormat="1" hidden="1">
      <c r="A753" s="83">
        <v>164</v>
      </c>
      <c r="B753" s="75" t="s">
        <v>405</v>
      </c>
      <c r="C753" s="75"/>
      <c r="D753" s="81">
        <v>0</v>
      </c>
      <c r="E753" s="97">
        <v>2</v>
      </c>
      <c r="F753" s="98" t="s">
        <v>67</v>
      </c>
      <c r="G753" s="130" t="s">
        <v>27</v>
      </c>
      <c r="H753" s="130" t="s">
        <v>27</v>
      </c>
      <c r="I753" s="130" t="s">
        <v>27</v>
      </c>
      <c r="J753" s="130" t="s">
        <v>27</v>
      </c>
      <c r="K753" s="130" t="s">
        <v>237</v>
      </c>
      <c r="L753" s="130" t="s">
        <v>237</v>
      </c>
      <c r="M753" s="130" t="s">
        <v>240</v>
      </c>
      <c r="N753" s="123" t="s">
        <v>31</v>
      </c>
      <c r="O753" s="75" t="s">
        <v>1047</v>
      </c>
      <c r="P753" s="67" t="s">
        <v>239</v>
      </c>
      <c r="Q753" s="131"/>
      <c r="R753" s="131"/>
      <c r="S753" s="131"/>
    </row>
    <row r="754" spans="1:25" s="130" customFormat="1" hidden="1">
      <c r="A754" s="83">
        <v>164</v>
      </c>
      <c r="B754" s="75" t="s">
        <v>405</v>
      </c>
      <c r="C754" s="75"/>
      <c r="D754" s="81">
        <v>0</v>
      </c>
      <c r="E754" s="97">
        <v>2</v>
      </c>
      <c r="F754" s="98" t="s">
        <v>67</v>
      </c>
      <c r="G754" s="130" t="s">
        <v>27</v>
      </c>
      <c r="H754" s="130" t="s">
        <v>27</v>
      </c>
      <c r="I754" s="130" t="s">
        <v>27</v>
      </c>
      <c r="J754" s="130" t="s">
        <v>27</v>
      </c>
      <c r="K754" s="130" t="s">
        <v>237</v>
      </c>
      <c r="L754" s="130" t="s">
        <v>237</v>
      </c>
      <c r="M754" s="130" t="s">
        <v>240</v>
      </c>
      <c r="N754" s="123" t="s">
        <v>31</v>
      </c>
      <c r="O754" s="75" t="s">
        <v>1048</v>
      </c>
      <c r="P754" s="67" t="s">
        <v>239</v>
      </c>
      <c r="Q754" s="131"/>
      <c r="R754" s="131"/>
      <c r="S754" s="131"/>
    </row>
    <row r="755" spans="1:25" s="130" customFormat="1" hidden="1">
      <c r="A755" s="83">
        <v>150</v>
      </c>
      <c r="B755" s="127" t="s">
        <v>940</v>
      </c>
      <c r="C755" s="75"/>
      <c r="D755" s="81">
        <v>0</v>
      </c>
      <c r="E755" s="97">
        <v>2</v>
      </c>
      <c r="F755" s="97" t="s">
        <v>67</v>
      </c>
      <c r="G755" s="130" t="s">
        <v>27</v>
      </c>
      <c r="H755" s="130" t="s">
        <v>27</v>
      </c>
      <c r="I755" s="130" t="s">
        <v>27</v>
      </c>
      <c r="J755" s="130" t="s">
        <v>27</v>
      </c>
      <c r="K755" s="130" t="s">
        <v>237</v>
      </c>
      <c r="L755" s="130" t="s">
        <v>237</v>
      </c>
      <c r="M755" s="130" t="s">
        <v>28</v>
      </c>
      <c r="N755" s="130" t="s">
        <v>51</v>
      </c>
      <c r="O755" s="75" t="s">
        <v>1049</v>
      </c>
      <c r="P755" s="61" t="s">
        <v>353</v>
      </c>
      <c r="T755" s="130" t="s">
        <v>828</v>
      </c>
      <c r="U755" s="130">
        <v>0</v>
      </c>
      <c r="X755" s="130">
        <v>0</v>
      </c>
      <c r="Y755" s="130">
        <v>0</v>
      </c>
    </row>
    <row r="756" spans="1:25" s="130" customFormat="1" hidden="1">
      <c r="A756" s="83">
        <v>150</v>
      </c>
      <c r="B756" s="127" t="s">
        <v>940</v>
      </c>
      <c r="C756" s="75"/>
      <c r="D756" s="81">
        <v>0</v>
      </c>
      <c r="E756" s="97">
        <v>2</v>
      </c>
      <c r="F756" s="97" t="s">
        <v>67</v>
      </c>
      <c r="G756" s="130" t="s">
        <v>27</v>
      </c>
      <c r="H756" s="130" t="s">
        <v>27</v>
      </c>
      <c r="I756" s="130" t="s">
        <v>27</v>
      </c>
      <c r="J756" s="130" t="s">
        <v>27</v>
      </c>
      <c r="K756" s="130" t="s">
        <v>237</v>
      </c>
      <c r="L756" s="130" t="s">
        <v>237</v>
      </c>
      <c r="M756" s="130" t="s">
        <v>28</v>
      </c>
      <c r="N756" s="130" t="s">
        <v>51</v>
      </c>
      <c r="O756" s="75" t="s">
        <v>1050</v>
      </c>
      <c r="P756" s="61" t="s">
        <v>353</v>
      </c>
      <c r="T756" s="130" t="s">
        <v>828</v>
      </c>
      <c r="U756" s="130">
        <v>0</v>
      </c>
      <c r="X756" s="130">
        <v>0</v>
      </c>
      <c r="Y756" s="130">
        <v>0</v>
      </c>
    </row>
    <row r="757" spans="1:25" s="130" customFormat="1" hidden="1">
      <c r="A757" s="83">
        <v>162</v>
      </c>
      <c r="B757" s="75" t="s">
        <v>405</v>
      </c>
      <c r="C757" s="75"/>
      <c r="D757" s="81">
        <v>0</v>
      </c>
      <c r="E757" s="97">
        <v>2</v>
      </c>
      <c r="F757" s="97" t="s">
        <v>54</v>
      </c>
      <c r="G757" s="130" t="s">
        <v>27</v>
      </c>
      <c r="H757" s="130" t="s">
        <v>27</v>
      </c>
      <c r="I757" s="130" t="s">
        <v>27</v>
      </c>
      <c r="J757" s="130" t="s">
        <v>27</v>
      </c>
      <c r="K757" s="130" t="s">
        <v>237</v>
      </c>
      <c r="L757" s="130" t="s">
        <v>237</v>
      </c>
      <c r="M757" s="130" t="s">
        <v>28</v>
      </c>
      <c r="N757" s="130" t="s">
        <v>51</v>
      </c>
      <c r="O757" s="75" t="s">
        <v>1051</v>
      </c>
      <c r="P757" s="61" t="s">
        <v>353</v>
      </c>
      <c r="T757" s="130" t="s">
        <v>828</v>
      </c>
      <c r="U757" s="130">
        <v>0</v>
      </c>
      <c r="X757" s="130">
        <v>0</v>
      </c>
      <c r="Y757" s="130">
        <v>0</v>
      </c>
    </row>
    <row r="758" spans="1:25" s="130" customFormat="1" hidden="1">
      <c r="A758" s="83">
        <v>166</v>
      </c>
      <c r="B758" s="75" t="s">
        <v>405</v>
      </c>
      <c r="C758" s="75"/>
      <c r="D758" s="81">
        <v>0</v>
      </c>
      <c r="E758" s="97">
        <v>3</v>
      </c>
      <c r="F758" s="98" t="s">
        <v>180</v>
      </c>
      <c r="G758" s="130" t="s">
        <v>27</v>
      </c>
      <c r="H758" s="130" t="s">
        <v>27</v>
      </c>
      <c r="I758" s="130" t="s">
        <v>27</v>
      </c>
      <c r="J758" s="130" t="s">
        <v>27</v>
      </c>
      <c r="K758" s="130" t="s">
        <v>237</v>
      </c>
      <c r="L758" s="130" t="s">
        <v>237</v>
      </c>
      <c r="M758" s="130" t="s">
        <v>240</v>
      </c>
      <c r="N758" s="123" t="s">
        <v>31</v>
      </c>
      <c r="O758" s="75" t="s">
        <v>1052</v>
      </c>
      <c r="P758" s="67" t="s">
        <v>239</v>
      </c>
      <c r="Q758" s="131"/>
      <c r="R758" s="131"/>
      <c r="S758" s="131"/>
    </row>
    <row r="759" spans="1:25" s="130" customFormat="1" hidden="1">
      <c r="A759" s="83">
        <v>166</v>
      </c>
      <c r="B759" s="75" t="s">
        <v>405</v>
      </c>
      <c r="C759" s="75"/>
      <c r="D759" s="81">
        <v>0</v>
      </c>
      <c r="E759" s="97">
        <v>3</v>
      </c>
      <c r="F759" s="98" t="s">
        <v>180</v>
      </c>
      <c r="G759" s="130" t="s">
        <v>27</v>
      </c>
      <c r="H759" s="130" t="s">
        <v>27</v>
      </c>
      <c r="I759" s="130" t="s">
        <v>27</v>
      </c>
      <c r="J759" s="130" t="s">
        <v>27</v>
      </c>
      <c r="K759" s="130" t="s">
        <v>237</v>
      </c>
      <c r="L759" s="130" t="s">
        <v>237</v>
      </c>
      <c r="M759" s="130" t="s">
        <v>240</v>
      </c>
      <c r="N759" s="123" t="s">
        <v>31</v>
      </c>
      <c r="O759" s="75" t="s">
        <v>1053</v>
      </c>
      <c r="P759" s="67" t="s">
        <v>239</v>
      </c>
      <c r="Q759" s="131"/>
      <c r="R759" s="131"/>
      <c r="S759" s="131"/>
    </row>
    <row r="760" spans="1:25" s="130" customFormat="1" hidden="1">
      <c r="A760" s="83">
        <v>166</v>
      </c>
      <c r="B760" s="75" t="s">
        <v>405</v>
      </c>
      <c r="C760" s="75"/>
      <c r="D760" s="81">
        <v>0</v>
      </c>
      <c r="E760" s="97">
        <v>3</v>
      </c>
      <c r="F760" s="98" t="s">
        <v>180</v>
      </c>
      <c r="G760" s="130" t="s">
        <v>27</v>
      </c>
      <c r="H760" s="130" t="s">
        <v>27</v>
      </c>
      <c r="I760" s="130" t="s">
        <v>27</v>
      </c>
      <c r="J760" s="130" t="s">
        <v>27</v>
      </c>
      <c r="K760" s="130" t="s">
        <v>828</v>
      </c>
      <c r="L760" s="130" t="s">
        <v>721</v>
      </c>
      <c r="M760" s="130" t="s">
        <v>240</v>
      </c>
      <c r="N760" s="123" t="s">
        <v>31</v>
      </c>
      <c r="O760" s="75" t="s">
        <v>1054</v>
      </c>
      <c r="P760" s="67" t="s">
        <v>239</v>
      </c>
      <c r="Q760" s="131"/>
      <c r="R760" s="131"/>
      <c r="S760" s="131"/>
    </row>
    <row r="761" spans="1:25">
      <c r="A761" s="102">
        <v>167</v>
      </c>
      <c r="B761" s="70" t="s">
        <v>1055</v>
      </c>
      <c r="C761" s="70"/>
      <c r="D761" s="81" t="s">
        <v>1589</v>
      </c>
      <c r="E761" s="97" t="s">
        <v>488</v>
      </c>
      <c r="F761" s="97" t="s">
        <v>489</v>
      </c>
      <c r="G761" t="s">
        <v>27</v>
      </c>
      <c r="H761" t="s">
        <v>27</v>
      </c>
      <c r="I761" t="s">
        <v>27</v>
      </c>
      <c r="J761" t="s">
        <v>28</v>
      </c>
      <c r="K761" t="s">
        <v>828</v>
      </c>
      <c r="M761" s="81" t="s">
        <v>240</v>
      </c>
      <c r="N761" s="81" t="s">
        <v>62</v>
      </c>
      <c r="O761" s="70" t="s">
        <v>1056</v>
      </c>
      <c r="P761" s="106" t="s">
        <v>239</v>
      </c>
      <c r="Q761" s="134" t="s">
        <v>1057</v>
      </c>
      <c r="R761" s="140" t="s">
        <v>4449</v>
      </c>
      <c r="S761" s="134"/>
    </row>
    <row r="762" spans="1:25">
      <c r="A762" s="102">
        <v>167</v>
      </c>
      <c r="B762" s="70" t="s">
        <v>1055</v>
      </c>
      <c r="C762" s="70"/>
      <c r="D762" s="81" t="s">
        <v>1589</v>
      </c>
      <c r="E762" s="97" t="s">
        <v>488</v>
      </c>
      <c r="F762" s="97" t="s">
        <v>489</v>
      </c>
      <c r="G762" t="s">
        <v>27</v>
      </c>
      <c r="H762" t="s">
        <v>27</v>
      </c>
      <c r="I762" t="s">
        <v>27</v>
      </c>
      <c r="J762" t="s">
        <v>28</v>
      </c>
      <c r="K762" t="s">
        <v>828</v>
      </c>
      <c r="M762" s="81" t="s">
        <v>240</v>
      </c>
      <c r="N762" s="81" t="s">
        <v>62</v>
      </c>
      <c r="O762" s="60" t="s">
        <v>1058</v>
      </c>
      <c r="P762" s="106" t="s">
        <v>239</v>
      </c>
      <c r="Q762" s="134" t="s">
        <v>1057</v>
      </c>
      <c r="R762" s="140" t="s">
        <v>4449</v>
      </c>
      <c r="S762" s="134"/>
    </row>
    <row r="763" spans="1:25">
      <c r="A763" s="102">
        <v>167</v>
      </c>
      <c r="B763" s="70" t="s">
        <v>1055</v>
      </c>
      <c r="C763" s="70"/>
      <c r="D763" s="81" t="s">
        <v>1589</v>
      </c>
      <c r="E763" s="97" t="s">
        <v>488</v>
      </c>
      <c r="F763" s="97" t="s">
        <v>489</v>
      </c>
      <c r="G763" t="s">
        <v>27</v>
      </c>
      <c r="H763" t="s">
        <v>27</v>
      </c>
      <c r="I763" t="s">
        <v>27</v>
      </c>
      <c r="J763" t="s">
        <v>28</v>
      </c>
      <c r="K763" t="s">
        <v>828</v>
      </c>
      <c r="M763" s="81" t="s">
        <v>240</v>
      </c>
      <c r="N763" s="81" t="s">
        <v>62</v>
      </c>
      <c r="O763" s="60" t="s">
        <v>1059</v>
      </c>
      <c r="P763" s="106" t="s">
        <v>239</v>
      </c>
      <c r="Q763" s="134" t="s">
        <v>1057</v>
      </c>
      <c r="R763" s="140" t="s">
        <v>4449</v>
      </c>
      <c r="S763" s="134"/>
    </row>
    <row r="764" spans="1:25" s="130" customFormat="1">
      <c r="A764" s="102">
        <v>168</v>
      </c>
      <c r="B764" s="70" t="s">
        <v>1055</v>
      </c>
      <c r="C764" s="70"/>
      <c r="D764" s="81" t="s">
        <v>1589</v>
      </c>
      <c r="E764" s="97" t="s">
        <v>488</v>
      </c>
      <c r="F764" s="97" t="s">
        <v>508</v>
      </c>
      <c r="G764" t="s">
        <v>27</v>
      </c>
      <c r="H764" t="s">
        <v>27</v>
      </c>
      <c r="I764" t="s">
        <v>27</v>
      </c>
      <c r="J764" t="s">
        <v>28</v>
      </c>
      <c r="K764" t="s">
        <v>828</v>
      </c>
      <c r="M764" s="81" t="s">
        <v>240</v>
      </c>
      <c r="N764" s="81" t="s">
        <v>62</v>
      </c>
      <c r="O764" s="70" t="s">
        <v>1060</v>
      </c>
      <c r="P764" s="106" t="s">
        <v>239</v>
      </c>
      <c r="Q764" s="134" t="s">
        <v>1061</v>
      </c>
      <c r="R764" s="140" t="s">
        <v>4449</v>
      </c>
      <c r="S764" s="134"/>
    </row>
    <row r="765" spans="1:25" s="130" customFormat="1">
      <c r="A765" s="102">
        <v>168</v>
      </c>
      <c r="B765" s="70" t="s">
        <v>1055</v>
      </c>
      <c r="C765" s="70"/>
      <c r="D765" s="81" t="s">
        <v>1589</v>
      </c>
      <c r="E765" s="97" t="s">
        <v>488</v>
      </c>
      <c r="F765" s="97" t="s">
        <v>508</v>
      </c>
      <c r="G765" t="s">
        <v>27</v>
      </c>
      <c r="H765" t="s">
        <v>27</v>
      </c>
      <c r="I765" t="s">
        <v>27</v>
      </c>
      <c r="J765" t="s">
        <v>28</v>
      </c>
      <c r="K765" t="s">
        <v>828</v>
      </c>
      <c r="M765" s="81" t="s">
        <v>240</v>
      </c>
      <c r="N765" s="81" t="s">
        <v>62</v>
      </c>
      <c r="O765" s="70" t="s">
        <v>1062</v>
      </c>
      <c r="P765" s="106" t="s">
        <v>239</v>
      </c>
      <c r="Q765" s="134" t="s">
        <v>1061</v>
      </c>
      <c r="R765" s="140" t="s">
        <v>4449</v>
      </c>
      <c r="S765" s="134"/>
    </row>
    <row r="766" spans="1:25" s="130" customFormat="1">
      <c r="A766" s="102">
        <v>168</v>
      </c>
      <c r="B766" s="70" t="s">
        <v>1055</v>
      </c>
      <c r="C766" s="70"/>
      <c r="D766" s="81" t="s">
        <v>1589</v>
      </c>
      <c r="E766" s="97" t="s">
        <v>488</v>
      </c>
      <c r="F766" s="97" t="s">
        <v>508</v>
      </c>
      <c r="G766" t="s">
        <v>27</v>
      </c>
      <c r="H766" t="s">
        <v>27</v>
      </c>
      <c r="I766" t="s">
        <v>27</v>
      </c>
      <c r="J766" t="s">
        <v>28</v>
      </c>
      <c r="K766" t="s">
        <v>828</v>
      </c>
      <c r="M766" s="81" t="s">
        <v>240</v>
      </c>
      <c r="N766" s="81" t="s">
        <v>62</v>
      </c>
      <c r="O766" s="70" t="s">
        <v>1063</v>
      </c>
      <c r="P766" s="106" t="s">
        <v>239</v>
      </c>
      <c r="Q766" s="134" t="s">
        <v>1061</v>
      </c>
      <c r="R766" s="140" t="s">
        <v>4449</v>
      </c>
      <c r="S766" s="134"/>
    </row>
    <row r="767" spans="1:25" s="130" customFormat="1">
      <c r="A767" s="102">
        <v>169</v>
      </c>
      <c r="B767" s="70" t="s">
        <v>1055</v>
      </c>
      <c r="C767" s="70"/>
      <c r="D767" s="81" t="s">
        <v>1589</v>
      </c>
      <c r="E767" s="97" t="s">
        <v>125</v>
      </c>
      <c r="F767" s="97" t="s">
        <v>536</v>
      </c>
      <c r="G767" t="s">
        <v>27</v>
      </c>
      <c r="H767" t="s">
        <v>27</v>
      </c>
      <c r="I767" t="s">
        <v>27</v>
      </c>
      <c r="J767" t="s">
        <v>28</v>
      </c>
      <c r="K767" t="s">
        <v>828</v>
      </c>
      <c r="M767" s="81" t="s">
        <v>240</v>
      </c>
      <c r="N767" s="81" t="s">
        <v>62</v>
      </c>
      <c r="O767" s="70" t="s">
        <v>1064</v>
      </c>
      <c r="P767" s="106" t="s">
        <v>239</v>
      </c>
      <c r="Q767" s="134" t="s">
        <v>1065</v>
      </c>
      <c r="R767" s="140" t="s">
        <v>4449</v>
      </c>
      <c r="S767" s="134"/>
    </row>
    <row r="768" spans="1:25">
      <c r="A768" s="102">
        <v>169</v>
      </c>
      <c r="B768" s="70" t="s">
        <v>1055</v>
      </c>
      <c r="C768" s="70"/>
      <c r="D768" s="81" t="s">
        <v>1589</v>
      </c>
      <c r="E768" s="97" t="s">
        <v>125</v>
      </c>
      <c r="F768" s="97" t="s">
        <v>536</v>
      </c>
      <c r="G768" t="s">
        <v>27</v>
      </c>
      <c r="H768" t="s">
        <v>27</v>
      </c>
      <c r="I768" t="s">
        <v>27</v>
      </c>
      <c r="J768" t="s">
        <v>28</v>
      </c>
      <c r="K768" t="s">
        <v>828</v>
      </c>
      <c r="M768" s="81" t="s">
        <v>240</v>
      </c>
      <c r="N768" s="81" t="s">
        <v>62</v>
      </c>
      <c r="O768" s="70" t="s">
        <v>1066</v>
      </c>
      <c r="P768" s="106" t="s">
        <v>239</v>
      </c>
      <c r="Q768" s="134" t="s">
        <v>1065</v>
      </c>
      <c r="R768" s="140" t="s">
        <v>4449</v>
      </c>
      <c r="S768" s="134"/>
    </row>
    <row r="769" spans="1:25">
      <c r="A769" s="102">
        <v>169</v>
      </c>
      <c r="B769" s="70" t="s">
        <v>1055</v>
      </c>
      <c r="C769" s="70"/>
      <c r="D769" s="81" t="s">
        <v>1589</v>
      </c>
      <c r="E769" s="97" t="s">
        <v>125</v>
      </c>
      <c r="F769" s="97" t="s">
        <v>536</v>
      </c>
      <c r="G769" t="s">
        <v>27</v>
      </c>
      <c r="H769" t="s">
        <v>27</v>
      </c>
      <c r="I769" t="s">
        <v>27</v>
      </c>
      <c r="J769" t="s">
        <v>28</v>
      </c>
      <c r="K769" t="s">
        <v>828</v>
      </c>
      <c r="M769" s="81" t="s">
        <v>240</v>
      </c>
      <c r="N769" s="81" t="s">
        <v>62</v>
      </c>
      <c r="O769" s="70" t="s">
        <v>1067</v>
      </c>
      <c r="P769" s="106" t="s">
        <v>239</v>
      </c>
      <c r="Q769" s="134" t="s">
        <v>1065</v>
      </c>
      <c r="R769" s="140" t="s">
        <v>4449</v>
      </c>
      <c r="S769" s="134"/>
    </row>
    <row r="770" spans="1:25">
      <c r="A770" s="102">
        <v>170</v>
      </c>
      <c r="B770" s="70" t="s">
        <v>1055</v>
      </c>
      <c r="C770" s="70"/>
      <c r="D770" s="81" t="s">
        <v>1589</v>
      </c>
      <c r="E770" s="97" t="s">
        <v>125</v>
      </c>
      <c r="F770" s="97" t="s">
        <v>126</v>
      </c>
      <c r="G770" t="s">
        <v>27</v>
      </c>
      <c r="H770" t="s">
        <v>27</v>
      </c>
      <c r="I770" t="s">
        <v>27</v>
      </c>
      <c r="J770" t="s">
        <v>28</v>
      </c>
      <c r="K770" t="s">
        <v>828</v>
      </c>
      <c r="M770" s="81" t="s">
        <v>240</v>
      </c>
      <c r="N770" s="81" t="s">
        <v>62</v>
      </c>
      <c r="O770" s="70" t="s">
        <v>1068</v>
      </c>
      <c r="P770" s="106" t="s">
        <v>239</v>
      </c>
      <c r="Q770" s="134" t="s">
        <v>1069</v>
      </c>
      <c r="R770" s="140" t="s">
        <v>4449</v>
      </c>
      <c r="S770" s="134"/>
    </row>
    <row r="771" spans="1:25">
      <c r="A771" s="102">
        <v>170</v>
      </c>
      <c r="B771" s="70" t="s">
        <v>1055</v>
      </c>
      <c r="C771" s="70"/>
      <c r="D771" s="81" t="s">
        <v>1589</v>
      </c>
      <c r="E771" s="97" t="s">
        <v>125</v>
      </c>
      <c r="F771" s="97" t="s">
        <v>126</v>
      </c>
      <c r="G771" t="s">
        <v>27</v>
      </c>
      <c r="H771" t="s">
        <v>27</v>
      </c>
      <c r="I771" t="s">
        <v>27</v>
      </c>
      <c r="J771" t="s">
        <v>28</v>
      </c>
      <c r="K771" t="s">
        <v>828</v>
      </c>
      <c r="M771" s="81" t="s">
        <v>240</v>
      </c>
      <c r="N771" s="81" t="s">
        <v>62</v>
      </c>
      <c r="O771" s="70" t="s">
        <v>1070</v>
      </c>
      <c r="P771" s="106" t="s">
        <v>239</v>
      </c>
      <c r="Q771" s="134" t="s">
        <v>1069</v>
      </c>
      <c r="R771" s="140" t="s">
        <v>4449</v>
      </c>
      <c r="S771" s="134"/>
    </row>
    <row r="772" spans="1:25">
      <c r="A772" s="102">
        <v>170</v>
      </c>
      <c r="B772" s="70" t="s">
        <v>1055</v>
      </c>
      <c r="C772" s="70"/>
      <c r="D772" s="81" t="s">
        <v>1589</v>
      </c>
      <c r="E772" s="97" t="s">
        <v>125</v>
      </c>
      <c r="F772" s="97" t="s">
        <v>126</v>
      </c>
      <c r="G772" t="s">
        <v>27</v>
      </c>
      <c r="H772" t="s">
        <v>27</v>
      </c>
      <c r="I772" t="s">
        <v>27</v>
      </c>
      <c r="J772" t="s">
        <v>28</v>
      </c>
      <c r="K772" t="s">
        <v>828</v>
      </c>
      <c r="M772" s="81" t="s">
        <v>240</v>
      </c>
      <c r="N772" s="81" t="s">
        <v>62</v>
      </c>
      <c r="O772" s="70" t="s">
        <v>1071</v>
      </c>
      <c r="P772" s="106" t="s">
        <v>239</v>
      </c>
      <c r="Q772" s="134" t="s">
        <v>1069</v>
      </c>
      <c r="R772" s="140" t="s">
        <v>4449</v>
      </c>
      <c r="S772" s="134"/>
    </row>
    <row r="773" spans="1:25">
      <c r="A773" s="102">
        <v>171</v>
      </c>
      <c r="B773" s="70" t="s">
        <v>1055</v>
      </c>
      <c r="C773" s="70"/>
      <c r="D773" s="81" t="s">
        <v>1589</v>
      </c>
      <c r="E773" s="97" t="s">
        <v>125</v>
      </c>
      <c r="F773" s="97" t="s">
        <v>543</v>
      </c>
      <c r="G773" t="s">
        <v>27</v>
      </c>
      <c r="H773" t="s">
        <v>27</v>
      </c>
      <c r="I773" t="s">
        <v>27</v>
      </c>
      <c r="J773" t="s">
        <v>28</v>
      </c>
      <c r="K773" t="s">
        <v>828</v>
      </c>
      <c r="M773" s="81" t="s">
        <v>240</v>
      </c>
      <c r="N773" s="81" t="s">
        <v>62</v>
      </c>
      <c r="O773" s="70" t="s">
        <v>1072</v>
      </c>
      <c r="P773" s="106" t="s">
        <v>239</v>
      </c>
      <c r="Q773" s="134" t="s">
        <v>1073</v>
      </c>
      <c r="R773" s="140" t="s">
        <v>4449</v>
      </c>
      <c r="S773" s="134"/>
    </row>
    <row r="774" spans="1:25">
      <c r="A774" s="102">
        <v>171</v>
      </c>
      <c r="B774" s="70" t="s">
        <v>1055</v>
      </c>
      <c r="C774" s="70"/>
      <c r="D774" s="81" t="s">
        <v>1589</v>
      </c>
      <c r="E774" s="97" t="s">
        <v>125</v>
      </c>
      <c r="F774" s="97" t="s">
        <v>543</v>
      </c>
      <c r="G774" t="s">
        <v>27</v>
      </c>
      <c r="H774" t="s">
        <v>27</v>
      </c>
      <c r="I774" t="s">
        <v>27</v>
      </c>
      <c r="J774" t="s">
        <v>28</v>
      </c>
      <c r="K774" t="s">
        <v>828</v>
      </c>
      <c r="M774" s="81" t="s">
        <v>240</v>
      </c>
      <c r="N774" s="81" t="s">
        <v>62</v>
      </c>
      <c r="O774" s="70" t="s">
        <v>1074</v>
      </c>
      <c r="P774" s="106" t="s">
        <v>239</v>
      </c>
      <c r="Q774" s="134" t="s">
        <v>1073</v>
      </c>
      <c r="R774" s="140" t="s">
        <v>4449</v>
      </c>
      <c r="S774" s="134"/>
    </row>
    <row r="775" spans="1:25">
      <c r="A775" s="102">
        <v>171</v>
      </c>
      <c r="B775" s="70" t="s">
        <v>1055</v>
      </c>
      <c r="C775" s="70"/>
      <c r="D775" s="81" t="s">
        <v>1589</v>
      </c>
      <c r="E775" s="97" t="s">
        <v>125</v>
      </c>
      <c r="F775" s="97" t="s">
        <v>543</v>
      </c>
      <c r="G775" t="s">
        <v>27</v>
      </c>
      <c r="H775" t="s">
        <v>27</v>
      </c>
      <c r="I775" t="s">
        <v>27</v>
      </c>
      <c r="J775" t="s">
        <v>28</v>
      </c>
      <c r="K775" t="s">
        <v>828</v>
      </c>
      <c r="M775" s="81" t="s">
        <v>240</v>
      </c>
      <c r="N775" s="81" t="s">
        <v>62</v>
      </c>
      <c r="O775" s="70" t="s">
        <v>1075</v>
      </c>
      <c r="P775" s="106" t="s">
        <v>239</v>
      </c>
      <c r="Q775" s="134" t="s">
        <v>1073</v>
      </c>
      <c r="R775" s="140" t="s">
        <v>4449</v>
      </c>
      <c r="S775" s="134"/>
    </row>
    <row r="776" spans="1:25">
      <c r="A776" s="102">
        <v>172</v>
      </c>
      <c r="B776" s="70" t="s">
        <v>1055</v>
      </c>
      <c r="C776" s="70"/>
      <c r="D776" s="81" t="s">
        <v>1589</v>
      </c>
      <c r="E776" s="97" t="s">
        <v>136</v>
      </c>
      <c r="F776" s="97" t="s">
        <v>137</v>
      </c>
      <c r="G776" t="s">
        <v>27</v>
      </c>
      <c r="H776" t="s">
        <v>27</v>
      </c>
      <c r="I776" t="s">
        <v>27</v>
      </c>
      <c r="J776" t="s">
        <v>28</v>
      </c>
      <c r="K776" t="s">
        <v>828</v>
      </c>
      <c r="M776" s="81" t="s">
        <v>240</v>
      </c>
      <c r="N776" s="81" t="s">
        <v>62</v>
      </c>
      <c r="O776" s="70" t="s">
        <v>1076</v>
      </c>
      <c r="P776" s="106" t="s">
        <v>239</v>
      </c>
      <c r="Q776" s="134" t="s">
        <v>1077</v>
      </c>
      <c r="R776" s="140" t="s">
        <v>4449</v>
      </c>
      <c r="S776" s="134"/>
    </row>
    <row r="777" spans="1:25">
      <c r="A777" s="102">
        <v>172</v>
      </c>
      <c r="B777" s="70" t="s">
        <v>1055</v>
      </c>
      <c r="C777" s="70"/>
      <c r="D777" s="81" t="s">
        <v>1589</v>
      </c>
      <c r="E777" s="97" t="s">
        <v>136</v>
      </c>
      <c r="F777" s="97" t="s">
        <v>137</v>
      </c>
      <c r="G777" t="s">
        <v>27</v>
      </c>
      <c r="H777" t="s">
        <v>27</v>
      </c>
      <c r="I777" t="s">
        <v>27</v>
      </c>
      <c r="J777" t="s">
        <v>28</v>
      </c>
      <c r="K777" t="s">
        <v>828</v>
      </c>
      <c r="M777" s="81" t="s">
        <v>240</v>
      </c>
      <c r="N777" s="81" t="s">
        <v>62</v>
      </c>
      <c r="O777" s="70" t="s">
        <v>1078</v>
      </c>
      <c r="P777" s="106" t="s">
        <v>239</v>
      </c>
      <c r="Q777" s="134" t="s">
        <v>1077</v>
      </c>
      <c r="R777" s="140" t="s">
        <v>4449</v>
      </c>
      <c r="S777" s="134"/>
    </row>
    <row r="778" spans="1:25">
      <c r="A778" s="102">
        <v>172</v>
      </c>
      <c r="B778" s="70" t="s">
        <v>1055</v>
      </c>
      <c r="C778" s="70"/>
      <c r="D778" s="81" t="s">
        <v>1589</v>
      </c>
      <c r="E778" s="97" t="s">
        <v>136</v>
      </c>
      <c r="F778" s="97" t="s">
        <v>137</v>
      </c>
      <c r="G778" t="s">
        <v>27</v>
      </c>
      <c r="H778" t="s">
        <v>27</v>
      </c>
      <c r="I778" t="s">
        <v>27</v>
      </c>
      <c r="J778" t="s">
        <v>28</v>
      </c>
      <c r="K778" t="s">
        <v>828</v>
      </c>
      <c r="M778" s="81" t="s">
        <v>240</v>
      </c>
      <c r="N778" s="81" t="s">
        <v>62</v>
      </c>
      <c r="O778" s="70" t="s">
        <v>1079</v>
      </c>
      <c r="P778" s="106" t="s">
        <v>239</v>
      </c>
      <c r="Q778" s="134" t="s">
        <v>1077</v>
      </c>
      <c r="R778" s="140" t="s">
        <v>4449</v>
      </c>
      <c r="S778" s="134"/>
    </row>
    <row r="779" spans="1:25">
      <c r="A779" s="102">
        <v>173</v>
      </c>
      <c r="B779" s="70" t="s">
        <v>1055</v>
      </c>
      <c r="C779" s="70"/>
      <c r="D779" s="81" t="s">
        <v>1589</v>
      </c>
      <c r="E779" s="97" t="s">
        <v>136</v>
      </c>
      <c r="F779" s="97" t="s">
        <v>561</v>
      </c>
      <c r="G779" t="s">
        <v>27</v>
      </c>
      <c r="H779" t="s">
        <v>27</v>
      </c>
      <c r="I779" t="s">
        <v>27</v>
      </c>
      <c r="J779" t="s">
        <v>28</v>
      </c>
      <c r="K779" t="s">
        <v>828</v>
      </c>
      <c r="M779" s="81" t="s">
        <v>240</v>
      </c>
      <c r="N779" s="81" t="s">
        <v>62</v>
      </c>
      <c r="O779" s="70" t="s">
        <v>1080</v>
      </c>
      <c r="P779" s="106" t="s">
        <v>239</v>
      </c>
      <c r="Q779" s="134" t="s">
        <v>1081</v>
      </c>
      <c r="R779" s="140" t="s">
        <v>4449</v>
      </c>
      <c r="S779" s="134"/>
    </row>
    <row r="780" spans="1:25">
      <c r="A780" s="102">
        <v>173</v>
      </c>
      <c r="B780" s="70" t="s">
        <v>1055</v>
      </c>
      <c r="C780" s="70"/>
      <c r="D780" s="81" t="s">
        <v>1589</v>
      </c>
      <c r="E780" s="97" t="s">
        <v>136</v>
      </c>
      <c r="F780" s="97" t="s">
        <v>561</v>
      </c>
      <c r="G780" t="s">
        <v>27</v>
      </c>
      <c r="H780" t="s">
        <v>27</v>
      </c>
      <c r="I780" t="s">
        <v>27</v>
      </c>
      <c r="J780" t="s">
        <v>28</v>
      </c>
      <c r="K780" t="s">
        <v>828</v>
      </c>
      <c r="M780" s="81" t="s">
        <v>240</v>
      </c>
      <c r="N780" s="81" t="s">
        <v>62</v>
      </c>
      <c r="O780" s="70" t="s">
        <v>1082</v>
      </c>
      <c r="P780" s="106" t="s">
        <v>239</v>
      </c>
      <c r="Q780" s="134" t="s">
        <v>1081</v>
      </c>
      <c r="R780" s="140" t="s">
        <v>4449</v>
      </c>
      <c r="S780" s="134"/>
    </row>
    <row r="781" spans="1:25">
      <c r="A781" s="102">
        <v>173</v>
      </c>
      <c r="B781" s="70" t="s">
        <v>1055</v>
      </c>
      <c r="C781" s="70"/>
      <c r="D781" s="81" t="s">
        <v>1589</v>
      </c>
      <c r="E781" s="97" t="s">
        <v>136</v>
      </c>
      <c r="F781" s="97" t="s">
        <v>561</v>
      </c>
      <c r="G781" t="s">
        <v>27</v>
      </c>
      <c r="H781" t="s">
        <v>27</v>
      </c>
      <c r="I781" t="s">
        <v>27</v>
      </c>
      <c r="J781" t="s">
        <v>28</v>
      </c>
      <c r="K781" t="s">
        <v>828</v>
      </c>
      <c r="M781" s="81" t="s">
        <v>240</v>
      </c>
      <c r="N781" s="81" t="s">
        <v>62</v>
      </c>
      <c r="O781" s="70" t="s">
        <v>1083</v>
      </c>
      <c r="P781" s="106" t="s">
        <v>239</v>
      </c>
      <c r="Q781" s="134" t="s">
        <v>1081</v>
      </c>
      <c r="R781" s="140" t="s">
        <v>4449</v>
      </c>
      <c r="S781" s="134"/>
    </row>
    <row r="782" spans="1:25" s="130" customFormat="1" hidden="1">
      <c r="A782" s="83">
        <v>176</v>
      </c>
      <c r="B782" s="75" t="s">
        <v>1084</v>
      </c>
      <c r="C782" s="75"/>
      <c r="D782" s="81">
        <v>0</v>
      </c>
      <c r="E782" s="97">
        <v>2</v>
      </c>
      <c r="F782" s="98" t="s">
        <v>54</v>
      </c>
      <c r="G782" s="130" t="s">
        <v>27</v>
      </c>
      <c r="H782" s="130" t="s">
        <v>28</v>
      </c>
      <c r="I782" s="130" t="s">
        <v>28</v>
      </c>
      <c r="J782" s="130" t="s">
        <v>27</v>
      </c>
      <c r="K782" s="130" t="s">
        <v>828</v>
      </c>
      <c r="L782" s="130" t="s">
        <v>721</v>
      </c>
      <c r="M782" s="130" t="s">
        <v>240</v>
      </c>
      <c r="N782" s="123" t="s">
        <v>31</v>
      </c>
      <c r="O782" s="130" t="s">
        <v>1085</v>
      </c>
      <c r="P782" s="61" t="s">
        <v>1086</v>
      </c>
      <c r="T782" s="130" t="s">
        <v>828</v>
      </c>
      <c r="U782" s="130">
        <v>0</v>
      </c>
      <c r="X782" s="130">
        <v>0</v>
      </c>
      <c r="Y782" s="130">
        <v>0</v>
      </c>
    </row>
    <row r="783" spans="1:25" s="130" customFormat="1" hidden="1">
      <c r="A783" s="83">
        <v>176</v>
      </c>
      <c r="B783" s="75" t="s">
        <v>1084</v>
      </c>
      <c r="C783" s="75"/>
      <c r="D783" s="81">
        <v>0</v>
      </c>
      <c r="E783" s="97">
        <v>2</v>
      </c>
      <c r="F783" s="98" t="s">
        <v>54</v>
      </c>
      <c r="G783" s="130" t="s">
        <v>27</v>
      </c>
      <c r="H783" s="130" t="s">
        <v>28</v>
      </c>
      <c r="I783" s="130" t="s">
        <v>28</v>
      </c>
      <c r="J783" s="130" t="s">
        <v>27</v>
      </c>
      <c r="K783" s="130" t="s">
        <v>828</v>
      </c>
      <c r="L783" s="130" t="s">
        <v>721</v>
      </c>
      <c r="M783" s="130" t="s">
        <v>240</v>
      </c>
      <c r="N783" s="123" t="s">
        <v>31</v>
      </c>
      <c r="O783" s="130" t="s">
        <v>1087</v>
      </c>
      <c r="P783" s="61" t="s">
        <v>1086</v>
      </c>
      <c r="T783" s="130" t="s">
        <v>828</v>
      </c>
      <c r="U783" s="130">
        <v>0</v>
      </c>
      <c r="X783" s="130">
        <v>0</v>
      </c>
      <c r="Y783" s="130">
        <v>0</v>
      </c>
    </row>
    <row r="784" spans="1:25" s="130" customFormat="1" hidden="1">
      <c r="A784" s="83">
        <v>176</v>
      </c>
      <c r="B784" s="75" t="s">
        <v>1084</v>
      </c>
      <c r="C784" s="75"/>
      <c r="D784" s="81">
        <v>0</v>
      </c>
      <c r="E784" s="97">
        <v>2</v>
      </c>
      <c r="F784" s="98" t="s">
        <v>54</v>
      </c>
      <c r="G784" s="130" t="s">
        <v>27</v>
      </c>
      <c r="H784" s="130" t="s">
        <v>28</v>
      </c>
      <c r="I784" s="130" t="s">
        <v>28</v>
      </c>
      <c r="J784" s="130" t="s">
        <v>27</v>
      </c>
      <c r="K784" s="130" t="s">
        <v>828</v>
      </c>
      <c r="L784" s="130" t="s">
        <v>721</v>
      </c>
      <c r="M784" s="130" t="s">
        <v>240</v>
      </c>
      <c r="N784" s="123" t="s">
        <v>31</v>
      </c>
      <c r="O784" s="130" t="s">
        <v>1088</v>
      </c>
      <c r="P784" s="61" t="s">
        <v>1086</v>
      </c>
      <c r="T784" s="130" t="s">
        <v>828</v>
      </c>
      <c r="U784" s="130">
        <v>0</v>
      </c>
      <c r="X784" s="130">
        <v>0</v>
      </c>
      <c r="Y784" s="130">
        <v>0</v>
      </c>
    </row>
    <row r="785" spans="1:25" s="130" customFormat="1" hidden="1">
      <c r="A785" s="83">
        <v>176</v>
      </c>
      <c r="B785" s="75" t="s">
        <v>1084</v>
      </c>
      <c r="C785" s="75"/>
      <c r="D785" s="81">
        <v>0</v>
      </c>
      <c r="E785" s="97">
        <v>2</v>
      </c>
      <c r="F785" s="98" t="s">
        <v>54</v>
      </c>
      <c r="G785" s="130" t="s">
        <v>27</v>
      </c>
      <c r="H785" s="130" t="s">
        <v>28</v>
      </c>
      <c r="I785" s="130" t="s">
        <v>28</v>
      </c>
      <c r="J785" s="130" t="s">
        <v>27</v>
      </c>
      <c r="K785" s="130" t="s">
        <v>828</v>
      </c>
      <c r="L785" s="130" t="s">
        <v>721</v>
      </c>
      <c r="M785" s="130" t="s">
        <v>240</v>
      </c>
      <c r="N785" s="123" t="s">
        <v>31</v>
      </c>
      <c r="O785" s="130" t="s">
        <v>1089</v>
      </c>
      <c r="P785" s="61" t="s">
        <v>1086</v>
      </c>
      <c r="T785" s="130" t="s">
        <v>828</v>
      </c>
      <c r="U785" s="130">
        <v>0</v>
      </c>
      <c r="X785" s="130">
        <v>0</v>
      </c>
      <c r="Y785" s="130">
        <v>0</v>
      </c>
    </row>
    <row r="786" spans="1:25">
      <c r="A786" s="82">
        <v>176</v>
      </c>
      <c r="B786" s="70" t="s">
        <v>1084</v>
      </c>
      <c r="C786" s="133" t="s">
        <v>1688</v>
      </c>
      <c r="D786" s="81" t="s">
        <v>1589</v>
      </c>
      <c r="E786" s="97">
        <v>2</v>
      </c>
      <c r="F786" s="97" t="s">
        <v>54</v>
      </c>
      <c r="G786" t="s">
        <v>27</v>
      </c>
      <c r="H786" t="s">
        <v>28</v>
      </c>
      <c r="I786" t="s">
        <v>28</v>
      </c>
      <c r="J786" t="s">
        <v>28</v>
      </c>
      <c r="K786" t="s">
        <v>828</v>
      </c>
      <c r="M786" s="81" t="s">
        <v>28</v>
      </c>
      <c r="N786" s="85" t="s">
        <v>39</v>
      </c>
      <c r="O786" s="137" t="s">
        <v>1090</v>
      </c>
      <c r="P786" s="60" t="s">
        <v>353</v>
      </c>
      <c r="Q786" t="s">
        <v>1091</v>
      </c>
      <c r="R786" s="140" t="s">
        <v>4459</v>
      </c>
      <c r="T786" t="s">
        <v>828</v>
      </c>
      <c r="U786">
        <v>0</v>
      </c>
      <c r="X786">
        <v>0</v>
      </c>
      <c r="Y786">
        <v>0</v>
      </c>
    </row>
    <row r="787" spans="1:25" s="130" customFormat="1" hidden="1">
      <c r="A787" s="83">
        <v>176</v>
      </c>
      <c r="B787" s="75" t="s">
        <v>1084</v>
      </c>
      <c r="C787" s="75"/>
      <c r="D787" s="81">
        <v>0</v>
      </c>
      <c r="E787" s="98">
        <v>2</v>
      </c>
      <c r="F787" s="98" t="s">
        <v>54</v>
      </c>
      <c r="G787" s="130" t="s">
        <v>27</v>
      </c>
      <c r="H787" s="130" t="s">
        <v>28</v>
      </c>
      <c r="I787" s="130" t="s">
        <v>28</v>
      </c>
      <c r="J787" s="130" t="s">
        <v>27</v>
      </c>
      <c r="K787" s="130" t="s">
        <v>828</v>
      </c>
      <c r="L787" s="130" t="s">
        <v>157</v>
      </c>
      <c r="M787" s="130" t="s">
        <v>28</v>
      </c>
      <c r="N787" s="130" t="s">
        <v>1092</v>
      </c>
      <c r="O787" s="75" t="s">
        <v>1093</v>
      </c>
      <c r="P787" s="61" t="s">
        <v>353</v>
      </c>
      <c r="T787" s="130" t="s">
        <v>828</v>
      </c>
      <c r="U787" s="130">
        <v>0</v>
      </c>
      <c r="X787" s="130">
        <v>0</v>
      </c>
      <c r="Y787" s="130">
        <v>0</v>
      </c>
    </row>
    <row r="788" spans="1:25">
      <c r="A788" s="82">
        <v>176</v>
      </c>
      <c r="B788" s="70" t="s">
        <v>1084</v>
      </c>
      <c r="C788" s="133" t="s">
        <v>1688</v>
      </c>
      <c r="D788" s="81" t="s">
        <v>1589</v>
      </c>
      <c r="E788" s="97">
        <v>2</v>
      </c>
      <c r="F788" s="97" t="s">
        <v>54</v>
      </c>
      <c r="G788" t="s">
        <v>27</v>
      </c>
      <c r="H788" t="s">
        <v>28</v>
      </c>
      <c r="I788" t="s">
        <v>28</v>
      </c>
      <c r="J788" t="s">
        <v>28</v>
      </c>
      <c r="K788" t="s">
        <v>828</v>
      </c>
      <c r="M788" s="81" t="s">
        <v>28</v>
      </c>
      <c r="N788" s="85" t="s">
        <v>39</v>
      </c>
      <c r="O788" s="110" t="s">
        <v>1094</v>
      </c>
      <c r="P788" s="60" t="s">
        <v>353</v>
      </c>
      <c r="Q788" t="s">
        <v>1091</v>
      </c>
      <c r="R788" s="140" t="s">
        <v>4459</v>
      </c>
      <c r="T788" t="s">
        <v>828</v>
      </c>
      <c r="U788">
        <v>0</v>
      </c>
      <c r="X788">
        <v>0</v>
      </c>
      <c r="Y788">
        <v>0</v>
      </c>
    </row>
    <row r="789" spans="1:25" hidden="1">
      <c r="A789" s="83">
        <v>162</v>
      </c>
      <c r="B789" s="75" t="s">
        <v>405</v>
      </c>
      <c r="C789" s="75"/>
      <c r="D789" s="81">
        <v>0</v>
      </c>
      <c r="E789" s="97">
        <v>2</v>
      </c>
      <c r="F789" s="97" t="s">
        <v>54</v>
      </c>
      <c r="G789" s="130" t="s">
        <v>27</v>
      </c>
      <c r="H789" s="130" t="s">
        <v>27</v>
      </c>
      <c r="I789" s="130" t="s">
        <v>27</v>
      </c>
      <c r="J789" s="130" t="s">
        <v>27</v>
      </c>
      <c r="K789" s="130" t="s">
        <v>237</v>
      </c>
      <c r="L789" s="130" t="s">
        <v>237</v>
      </c>
      <c r="M789" s="130" t="s">
        <v>28</v>
      </c>
      <c r="N789" s="130" t="s">
        <v>51</v>
      </c>
      <c r="O789" s="75" t="s">
        <v>1095</v>
      </c>
      <c r="P789" s="61" t="s">
        <v>353</v>
      </c>
      <c r="Q789" s="130"/>
      <c r="R789" s="130"/>
      <c r="S789" s="130"/>
      <c r="T789" s="130" t="s">
        <v>828</v>
      </c>
      <c r="U789" s="130">
        <v>0</v>
      </c>
      <c r="V789" s="130"/>
      <c r="W789" s="130"/>
      <c r="X789" s="130">
        <v>0</v>
      </c>
      <c r="Y789" s="130">
        <v>0</v>
      </c>
    </row>
    <row r="790" spans="1:25" hidden="1">
      <c r="A790" s="83">
        <v>162</v>
      </c>
      <c r="B790" s="75" t="s">
        <v>405</v>
      </c>
      <c r="C790" s="75"/>
      <c r="D790" s="81">
        <v>0</v>
      </c>
      <c r="E790" s="97">
        <v>2</v>
      </c>
      <c r="F790" s="97" t="s">
        <v>54</v>
      </c>
      <c r="G790" s="130" t="s">
        <v>27</v>
      </c>
      <c r="H790" s="130" t="s">
        <v>27</v>
      </c>
      <c r="I790" s="130" t="s">
        <v>27</v>
      </c>
      <c r="J790" s="130" t="s">
        <v>27</v>
      </c>
      <c r="K790" s="130" t="s">
        <v>237</v>
      </c>
      <c r="L790" s="130" t="s">
        <v>237</v>
      </c>
      <c r="M790" s="130" t="s">
        <v>28</v>
      </c>
      <c r="N790" s="130" t="s">
        <v>51</v>
      </c>
      <c r="O790" s="130" t="s">
        <v>1096</v>
      </c>
      <c r="P790" s="61" t="s">
        <v>353</v>
      </c>
      <c r="Q790" s="130"/>
      <c r="R790" s="130"/>
      <c r="S790" s="130"/>
      <c r="T790" s="130" t="s">
        <v>828</v>
      </c>
      <c r="U790" s="130">
        <v>0</v>
      </c>
      <c r="V790" s="130"/>
      <c r="W790" s="130"/>
      <c r="X790" s="130">
        <v>0</v>
      </c>
      <c r="Y790" s="130">
        <v>0</v>
      </c>
    </row>
    <row r="791" spans="1:25" hidden="1">
      <c r="A791" s="83">
        <v>176</v>
      </c>
      <c r="B791" s="75" t="s">
        <v>1084</v>
      </c>
      <c r="C791" s="75"/>
      <c r="D791" s="81">
        <v>0</v>
      </c>
      <c r="E791" s="97">
        <v>2</v>
      </c>
      <c r="F791" s="97" t="s">
        <v>54</v>
      </c>
      <c r="G791" s="130" t="s">
        <v>27</v>
      </c>
      <c r="H791" s="130" t="s">
        <v>28</v>
      </c>
      <c r="I791" s="130" t="s">
        <v>27</v>
      </c>
      <c r="J791" s="130" t="s">
        <v>27</v>
      </c>
      <c r="K791" s="130" t="s">
        <v>237</v>
      </c>
      <c r="L791" s="130" t="s">
        <v>237</v>
      </c>
      <c r="M791" s="130" t="s">
        <v>28</v>
      </c>
      <c r="N791" s="130" t="s">
        <v>51</v>
      </c>
      <c r="O791" s="130" t="s">
        <v>1097</v>
      </c>
      <c r="P791" s="61" t="s">
        <v>353</v>
      </c>
      <c r="Q791" s="130"/>
      <c r="R791" s="130"/>
      <c r="S791" s="130"/>
      <c r="T791" s="130" t="s">
        <v>828</v>
      </c>
      <c r="U791" s="130">
        <v>0</v>
      </c>
      <c r="V791" s="130"/>
      <c r="W791" s="130"/>
      <c r="X791" s="130">
        <v>0</v>
      </c>
      <c r="Y791" s="130">
        <v>0</v>
      </c>
    </row>
    <row r="792" spans="1:25" hidden="1">
      <c r="A792" s="83">
        <v>176</v>
      </c>
      <c r="B792" s="75" t="s">
        <v>1084</v>
      </c>
      <c r="C792" s="75"/>
      <c r="D792" s="81">
        <v>0</v>
      </c>
      <c r="E792" s="97">
        <v>2</v>
      </c>
      <c r="F792" s="97" t="s">
        <v>54</v>
      </c>
      <c r="G792" s="130" t="s">
        <v>27</v>
      </c>
      <c r="H792" s="130" t="s">
        <v>28</v>
      </c>
      <c r="I792" s="130" t="s">
        <v>27</v>
      </c>
      <c r="J792" s="130" t="s">
        <v>27</v>
      </c>
      <c r="K792" s="130" t="s">
        <v>237</v>
      </c>
      <c r="L792" s="130" t="s">
        <v>237</v>
      </c>
      <c r="M792" s="130" t="s">
        <v>28</v>
      </c>
      <c r="N792" s="130" t="s">
        <v>51</v>
      </c>
      <c r="O792" s="130" t="s">
        <v>1098</v>
      </c>
      <c r="P792" s="61" t="s">
        <v>353</v>
      </c>
      <c r="Q792" s="130"/>
      <c r="R792" s="130"/>
      <c r="S792" s="130"/>
      <c r="T792" s="130" t="s">
        <v>828</v>
      </c>
      <c r="U792" s="130">
        <v>0</v>
      </c>
      <c r="V792" s="130"/>
      <c r="W792" s="130"/>
      <c r="X792" s="130">
        <v>0</v>
      </c>
      <c r="Y792" s="130">
        <v>0</v>
      </c>
    </row>
    <row r="793" spans="1:25" hidden="1">
      <c r="A793" s="83">
        <v>176</v>
      </c>
      <c r="B793" s="75" t="s">
        <v>1084</v>
      </c>
      <c r="C793" s="75"/>
      <c r="D793" s="81">
        <v>0</v>
      </c>
      <c r="E793" s="97">
        <v>2</v>
      </c>
      <c r="F793" s="97" t="s">
        <v>54</v>
      </c>
      <c r="G793" s="130" t="s">
        <v>27</v>
      </c>
      <c r="H793" s="130" t="s">
        <v>28</v>
      </c>
      <c r="I793" s="130" t="s">
        <v>27</v>
      </c>
      <c r="J793" s="130" t="s">
        <v>27</v>
      </c>
      <c r="K793" s="130" t="s">
        <v>237</v>
      </c>
      <c r="L793" s="130" t="s">
        <v>237</v>
      </c>
      <c r="M793" s="130" t="s">
        <v>28</v>
      </c>
      <c r="N793" s="130" t="s">
        <v>51</v>
      </c>
      <c r="O793" s="130" t="s">
        <v>1099</v>
      </c>
      <c r="P793" s="61" t="s">
        <v>353</v>
      </c>
      <c r="Q793" s="130"/>
      <c r="R793" s="130"/>
      <c r="S793" s="130"/>
      <c r="T793" s="130" t="s">
        <v>828</v>
      </c>
      <c r="U793" s="130">
        <v>0</v>
      </c>
      <c r="V793" s="130"/>
      <c r="W793" s="130"/>
      <c r="X793" s="130">
        <v>0</v>
      </c>
      <c r="Y793" s="130">
        <v>0</v>
      </c>
    </row>
    <row r="794" spans="1:25">
      <c r="A794" s="107">
        <v>176</v>
      </c>
      <c r="B794" s="70" t="s">
        <v>1084</v>
      </c>
      <c r="C794" s="133" t="s">
        <v>1688</v>
      </c>
      <c r="D794" s="81" t="s">
        <v>1589</v>
      </c>
      <c r="E794" s="97">
        <v>2</v>
      </c>
      <c r="F794" s="97" t="s">
        <v>54</v>
      </c>
      <c r="G794" t="s">
        <v>27</v>
      </c>
      <c r="H794" t="s">
        <v>28</v>
      </c>
      <c r="I794" t="s">
        <v>28</v>
      </c>
      <c r="J794" t="s">
        <v>28</v>
      </c>
      <c r="K794" t="s">
        <v>828</v>
      </c>
      <c r="M794" s="81" t="s">
        <v>28</v>
      </c>
      <c r="N794" s="85" t="s">
        <v>39</v>
      </c>
      <c r="O794" s="70" t="s">
        <v>1100</v>
      </c>
      <c r="P794" s="60" t="s">
        <v>767</v>
      </c>
      <c r="Q794" t="s">
        <v>1091</v>
      </c>
      <c r="R794" s="140" t="s">
        <v>4459</v>
      </c>
    </row>
    <row r="795" spans="1:25">
      <c r="A795" s="107">
        <v>176</v>
      </c>
      <c r="B795" s="70" t="s">
        <v>1084</v>
      </c>
      <c r="C795" s="133" t="s">
        <v>1688</v>
      </c>
      <c r="D795" s="81" t="s">
        <v>1589</v>
      </c>
      <c r="E795" s="97">
        <v>2</v>
      </c>
      <c r="F795" s="97" t="s">
        <v>54</v>
      </c>
      <c r="G795" t="s">
        <v>27</v>
      </c>
      <c r="H795" t="s">
        <v>28</v>
      </c>
      <c r="I795" t="s">
        <v>28</v>
      </c>
      <c r="J795" t="s">
        <v>28</v>
      </c>
      <c r="K795" t="s">
        <v>828</v>
      </c>
      <c r="M795" s="81" t="s">
        <v>28</v>
      </c>
      <c r="N795" s="85" t="s">
        <v>39</v>
      </c>
      <c r="O795" s="70" t="s">
        <v>1101</v>
      </c>
      <c r="P795" s="60" t="s">
        <v>767</v>
      </c>
      <c r="Q795" t="s">
        <v>1091</v>
      </c>
      <c r="R795" s="140" t="s">
        <v>4459</v>
      </c>
    </row>
    <row r="796" spans="1:25">
      <c r="A796" s="107">
        <v>176</v>
      </c>
      <c r="B796" s="70" t="s">
        <v>1084</v>
      </c>
      <c r="C796" s="133" t="s">
        <v>1688</v>
      </c>
      <c r="D796" s="81" t="s">
        <v>1589</v>
      </c>
      <c r="E796" s="97">
        <v>2</v>
      </c>
      <c r="F796" s="97" t="s">
        <v>54</v>
      </c>
      <c r="G796" t="s">
        <v>27</v>
      </c>
      <c r="H796" t="s">
        <v>28</v>
      </c>
      <c r="I796" t="s">
        <v>28</v>
      </c>
      <c r="J796" t="s">
        <v>28</v>
      </c>
      <c r="K796" t="s">
        <v>828</v>
      </c>
      <c r="M796" s="81" t="s">
        <v>28</v>
      </c>
      <c r="N796" s="85" t="s">
        <v>39</v>
      </c>
      <c r="O796" s="70" t="s">
        <v>1102</v>
      </c>
      <c r="P796" s="60" t="s">
        <v>767</v>
      </c>
      <c r="Q796" t="s">
        <v>1091</v>
      </c>
      <c r="R796" s="140" t="s">
        <v>4459</v>
      </c>
    </row>
    <row r="797" spans="1:25" hidden="1">
      <c r="A797" s="83">
        <v>177</v>
      </c>
      <c r="B797" s="75" t="s">
        <v>1084</v>
      </c>
      <c r="C797" s="75"/>
      <c r="D797" s="81">
        <v>0</v>
      </c>
      <c r="E797" s="97">
        <v>2</v>
      </c>
      <c r="F797" s="97" t="s">
        <v>49</v>
      </c>
      <c r="G797" s="130" t="s">
        <v>27</v>
      </c>
      <c r="H797" s="130" t="s">
        <v>27</v>
      </c>
      <c r="I797" s="130" t="s">
        <v>27</v>
      </c>
      <c r="J797" s="130" t="s">
        <v>27</v>
      </c>
      <c r="K797" s="137" t="s">
        <v>828</v>
      </c>
      <c r="L797" s="130" t="s">
        <v>237</v>
      </c>
      <c r="M797" s="137" t="s">
        <v>240</v>
      </c>
      <c r="N797" s="122" t="s">
        <v>31</v>
      </c>
      <c r="O797" s="75" t="s">
        <v>1103</v>
      </c>
      <c r="P797" s="61" t="s">
        <v>1086</v>
      </c>
      <c r="Q797" s="130"/>
      <c r="R797" s="130"/>
      <c r="S797" s="130"/>
      <c r="T797" s="130" t="s">
        <v>828</v>
      </c>
      <c r="U797" s="130">
        <v>0</v>
      </c>
      <c r="V797" s="130"/>
      <c r="W797" s="130"/>
      <c r="X797" s="130">
        <v>0</v>
      </c>
      <c r="Y797" s="130">
        <v>0</v>
      </c>
    </row>
    <row r="798" spans="1:25" hidden="1">
      <c r="A798" s="78">
        <v>177</v>
      </c>
      <c r="B798" s="75" t="s">
        <v>1084</v>
      </c>
      <c r="C798" s="75"/>
      <c r="D798" s="81">
        <v>0</v>
      </c>
      <c r="E798" s="97">
        <v>2</v>
      </c>
      <c r="F798" s="97" t="s">
        <v>49</v>
      </c>
      <c r="G798" s="130" t="s">
        <v>27</v>
      </c>
      <c r="H798" s="130" t="s">
        <v>27</v>
      </c>
      <c r="I798" s="130" t="s">
        <v>27</v>
      </c>
      <c r="J798" s="130" t="s">
        <v>27</v>
      </c>
      <c r="K798" s="137" t="s">
        <v>828</v>
      </c>
      <c r="L798" s="130" t="s">
        <v>237</v>
      </c>
      <c r="M798" s="137" t="s">
        <v>240</v>
      </c>
      <c r="N798" s="122" t="s">
        <v>31</v>
      </c>
      <c r="O798" s="130" t="s">
        <v>1104</v>
      </c>
      <c r="P798" s="61" t="s">
        <v>1086</v>
      </c>
      <c r="Q798" s="130"/>
      <c r="R798" s="130"/>
      <c r="S798" s="130"/>
      <c r="T798" s="130" t="s">
        <v>828</v>
      </c>
      <c r="U798" s="130">
        <v>0</v>
      </c>
      <c r="V798" s="130"/>
      <c r="W798" s="130"/>
      <c r="X798" s="130">
        <v>0</v>
      </c>
      <c r="Y798" s="130">
        <v>0</v>
      </c>
    </row>
    <row r="799" spans="1:25" hidden="1">
      <c r="A799" s="78">
        <v>177</v>
      </c>
      <c r="B799" s="75" t="s">
        <v>1084</v>
      </c>
      <c r="C799" s="75"/>
      <c r="D799" s="81">
        <v>0</v>
      </c>
      <c r="E799" s="97">
        <v>2</v>
      </c>
      <c r="F799" s="97" t="s">
        <v>49</v>
      </c>
      <c r="G799" s="130" t="s">
        <v>27</v>
      </c>
      <c r="H799" s="130" t="s">
        <v>27</v>
      </c>
      <c r="I799" s="130" t="s">
        <v>27</v>
      </c>
      <c r="J799" s="130" t="s">
        <v>27</v>
      </c>
      <c r="K799" s="137" t="s">
        <v>828</v>
      </c>
      <c r="L799" s="130" t="s">
        <v>237</v>
      </c>
      <c r="M799" s="137" t="s">
        <v>240</v>
      </c>
      <c r="N799" s="122" t="s">
        <v>31</v>
      </c>
      <c r="O799" s="130" t="s">
        <v>1105</v>
      </c>
      <c r="P799" s="61" t="s">
        <v>1086</v>
      </c>
      <c r="Q799" s="130"/>
      <c r="R799" s="130"/>
      <c r="S799" s="130"/>
      <c r="T799" s="130" t="s">
        <v>828</v>
      </c>
      <c r="U799" s="130">
        <v>0</v>
      </c>
      <c r="V799" s="130"/>
      <c r="W799" s="130"/>
      <c r="X799" s="130">
        <v>0</v>
      </c>
      <c r="Y799" s="130">
        <v>0</v>
      </c>
    </row>
    <row r="800" spans="1:25" hidden="1">
      <c r="A800" s="78">
        <v>177</v>
      </c>
      <c r="B800" s="75" t="s">
        <v>1084</v>
      </c>
      <c r="C800" s="75"/>
      <c r="D800" s="81">
        <v>0</v>
      </c>
      <c r="E800" s="97">
        <v>2</v>
      </c>
      <c r="F800" s="97" t="s">
        <v>49</v>
      </c>
      <c r="G800" s="130" t="s">
        <v>27</v>
      </c>
      <c r="H800" s="130" t="s">
        <v>27</v>
      </c>
      <c r="I800" s="130" t="s">
        <v>27</v>
      </c>
      <c r="J800" s="130" t="s">
        <v>27</v>
      </c>
      <c r="K800" s="137" t="s">
        <v>828</v>
      </c>
      <c r="L800" s="130" t="s">
        <v>237</v>
      </c>
      <c r="M800" s="137" t="s">
        <v>240</v>
      </c>
      <c r="N800" s="122" t="s">
        <v>31</v>
      </c>
      <c r="O800" s="130" t="s">
        <v>1106</v>
      </c>
      <c r="P800" s="61" t="s">
        <v>1086</v>
      </c>
      <c r="Q800" s="130"/>
      <c r="R800" s="130"/>
      <c r="S800" s="130"/>
      <c r="T800" s="130" t="s">
        <v>828</v>
      </c>
      <c r="U800" s="130">
        <v>0</v>
      </c>
      <c r="V800" s="130"/>
      <c r="W800" s="130"/>
      <c r="X800" s="130">
        <v>0</v>
      </c>
      <c r="Y800" s="130">
        <v>0</v>
      </c>
    </row>
    <row r="801" spans="1:25" hidden="1">
      <c r="A801" s="130">
        <v>178</v>
      </c>
      <c r="B801" s="75" t="s">
        <v>1084</v>
      </c>
      <c r="C801" s="75"/>
      <c r="D801" s="81">
        <v>0</v>
      </c>
      <c r="E801" s="97" t="s">
        <v>350</v>
      </c>
      <c r="F801" s="98" t="s">
        <v>351</v>
      </c>
      <c r="G801" s="130" t="s">
        <v>27</v>
      </c>
      <c r="H801" s="130" t="s">
        <v>27</v>
      </c>
      <c r="I801" s="130" t="s">
        <v>27</v>
      </c>
      <c r="J801" s="130" t="s">
        <v>27</v>
      </c>
      <c r="K801" s="137" t="s">
        <v>828</v>
      </c>
      <c r="L801" s="130" t="s">
        <v>237</v>
      </c>
      <c r="M801" s="137" t="s">
        <v>240</v>
      </c>
      <c r="N801" s="122" t="s">
        <v>31</v>
      </c>
      <c r="O801" s="130" t="s">
        <v>1107</v>
      </c>
      <c r="P801" s="61" t="s">
        <v>277</v>
      </c>
      <c r="Q801" s="130"/>
      <c r="R801" s="130"/>
      <c r="S801" s="130"/>
      <c r="T801" s="130"/>
      <c r="U801" s="130"/>
      <c r="V801" s="130"/>
      <c r="W801" s="130"/>
      <c r="X801" s="130"/>
      <c r="Y801" s="130"/>
    </row>
    <row r="802" spans="1:25" hidden="1">
      <c r="A802" s="130">
        <v>178</v>
      </c>
      <c r="B802" s="75" t="s">
        <v>1084</v>
      </c>
      <c r="C802" s="75"/>
      <c r="D802" s="81">
        <v>0</v>
      </c>
      <c r="E802" s="97" t="s">
        <v>350</v>
      </c>
      <c r="F802" s="98" t="s">
        <v>351</v>
      </c>
      <c r="G802" s="130" t="s">
        <v>27</v>
      </c>
      <c r="H802" s="130" t="s">
        <v>27</v>
      </c>
      <c r="I802" s="130" t="s">
        <v>27</v>
      </c>
      <c r="J802" s="130" t="s">
        <v>27</v>
      </c>
      <c r="K802" s="137" t="s">
        <v>828</v>
      </c>
      <c r="L802" s="130" t="s">
        <v>237</v>
      </c>
      <c r="M802" s="137" t="s">
        <v>240</v>
      </c>
      <c r="N802" s="122" t="s">
        <v>31</v>
      </c>
      <c r="O802" s="130" t="s">
        <v>1108</v>
      </c>
      <c r="P802" s="61" t="s">
        <v>277</v>
      </c>
      <c r="Q802" s="130"/>
      <c r="R802" s="130"/>
      <c r="S802" s="130"/>
      <c r="T802" s="130"/>
      <c r="U802" s="130"/>
      <c r="V802" s="130"/>
      <c r="W802" s="130"/>
      <c r="X802" s="130"/>
      <c r="Y802" s="130"/>
    </row>
    <row r="803" spans="1:25" hidden="1">
      <c r="A803" s="130">
        <v>178</v>
      </c>
      <c r="B803" s="75" t="s">
        <v>1084</v>
      </c>
      <c r="C803" s="75"/>
      <c r="D803" s="81">
        <v>0</v>
      </c>
      <c r="E803" s="97" t="s">
        <v>350</v>
      </c>
      <c r="F803" s="98" t="s">
        <v>351</v>
      </c>
      <c r="G803" s="130" t="s">
        <v>27</v>
      </c>
      <c r="H803" s="130" t="s">
        <v>27</v>
      </c>
      <c r="I803" s="130" t="s">
        <v>27</v>
      </c>
      <c r="J803" s="130" t="s">
        <v>27</v>
      </c>
      <c r="K803" s="137" t="s">
        <v>828</v>
      </c>
      <c r="L803" s="130" t="s">
        <v>237</v>
      </c>
      <c r="M803" s="137" t="s">
        <v>240</v>
      </c>
      <c r="N803" s="122" t="s">
        <v>31</v>
      </c>
      <c r="O803" s="130" t="s">
        <v>1109</v>
      </c>
      <c r="P803" s="61"/>
      <c r="Q803" s="130"/>
      <c r="R803" s="130"/>
      <c r="S803" s="130"/>
      <c r="T803" s="130"/>
      <c r="U803" s="130"/>
      <c r="V803" s="130"/>
      <c r="W803" s="130"/>
      <c r="X803" s="130"/>
      <c r="Y803" s="130"/>
    </row>
    <row r="804" spans="1:25" hidden="1">
      <c r="A804" s="130">
        <v>179</v>
      </c>
      <c r="B804" s="75" t="s">
        <v>1084</v>
      </c>
      <c r="C804" s="75"/>
      <c r="D804" s="81">
        <v>0</v>
      </c>
      <c r="E804" s="97" t="s">
        <v>350</v>
      </c>
      <c r="F804" s="119" t="s">
        <v>1110</v>
      </c>
      <c r="G804" s="130" t="s">
        <v>27</v>
      </c>
      <c r="H804" s="130" t="s">
        <v>27</v>
      </c>
      <c r="I804" s="130" t="s">
        <v>27</v>
      </c>
      <c r="J804" s="130" t="s">
        <v>27</v>
      </c>
      <c r="K804" s="137" t="s">
        <v>828</v>
      </c>
      <c r="L804" s="130" t="s">
        <v>237</v>
      </c>
      <c r="M804" s="137" t="s">
        <v>240</v>
      </c>
      <c r="N804" s="122" t="s">
        <v>31</v>
      </c>
      <c r="O804" s="118" t="s">
        <v>1111</v>
      </c>
      <c r="P804" s="61"/>
      <c r="Q804" s="130"/>
      <c r="R804" s="130"/>
      <c r="S804" s="130"/>
      <c r="T804" s="130"/>
      <c r="U804" s="130"/>
      <c r="V804" s="130"/>
      <c r="W804" s="130"/>
      <c r="X804" s="130"/>
      <c r="Y804" s="130"/>
    </row>
    <row r="805" spans="1:25" hidden="1">
      <c r="A805" s="130">
        <v>179</v>
      </c>
      <c r="B805" s="75" t="s">
        <v>1084</v>
      </c>
      <c r="C805" s="75"/>
      <c r="D805" s="81">
        <v>0</v>
      </c>
      <c r="E805" s="97" t="s">
        <v>350</v>
      </c>
      <c r="F805" s="119" t="s">
        <v>1110</v>
      </c>
      <c r="G805" s="130" t="s">
        <v>27</v>
      </c>
      <c r="H805" s="130" t="s">
        <v>27</v>
      </c>
      <c r="I805" s="130" t="s">
        <v>27</v>
      </c>
      <c r="J805" s="130" t="s">
        <v>27</v>
      </c>
      <c r="K805" s="137" t="s">
        <v>828</v>
      </c>
      <c r="L805" s="130" t="s">
        <v>237</v>
      </c>
      <c r="M805" s="137" t="s">
        <v>240</v>
      </c>
      <c r="N805" s="122" t="s">
        <v>31</v>
      </c>
      <c r="O805" s="118" t="s">
        <v>1112</v>
      </c>
      <c r="P805" s="61"/>
      <c r="Q805" s="130"/>
      <c r="R805" s="130"/>
      <c r="S805" s="130"/>
      <c r="T805" s="130"/>
      <c r="U805" s="130"/>
      <c r="V805" s="130"/>
      <c r="W805" s="130"/>
      <c r="X805" s="130"/>
      <c r="Y805" s="130"/>
    </row>
    <row r="806" spans="1:25" hidden="1">
      <c r="A806" s="130">
        <v>179</v>
      </c>
      <c r="B806" s="75" t="s">
        <v>1084</v>
      </c>
      <c r="C806" s="75"/>
      <c r="D806" s="81">
        <v>0</v>
      </c>
      <c r="E806" s="97" t="s">
        <v>350</v>
      </c>
      <c r="F806" s="119" t="s">
        <v>1110</v>
      </c>
      <c r="G806" s="130" t="s">
        <v>27</v>
      </c>
      <c r="H806" s="130" t="s">
        <v>27</v>
      </c>
      <c r="I806" s="130" t="s">
        <v>27</v>
      </c>
      <c r="J806" s="130" t="s">
        <v>27</v>
      </c>
      <c r="K806" s="137" t="s">
        <v>828</v>
      </c>
      <c r="L806" s="130" t="s">
        <v>237</v>
      </c>
      <c r="M806" s="137" t="s">
        <v>240</v>
      </c>
      <c r="N806" s="122" t="s">
        <v>31</v>
      </c>
      <c r="O806" s="118" t="s">
        <v>1113</v>
      </c>
      <c r="P806" s="61"/>
      <c r="Q806" s="130"/>
      <c r="R806" s="130"/>
      <c r="S806" s="130"/>
      <c r="T806" s="130"/>
      <c r="U806" s="130"/>
      <c r="V806" s="130"/>
      <c r="W806" s="130"/>
      <c r="X806" s="130"/>
      <c r="Y806" s="130"/>
    </row>
    <row r="807" spans="1:25" hidden="1">
      <c r="A807" s="130">
        <v>179</v>
      </c>
      <c r="B807" s="75" t="s">
        <v>1084</v>
      </c>
      <c r="C807" s="75"/>
      <c r="D807" s="81">
        <v>0</v>
      </c>
      <c r="E807" s="97" t="s">
        <v>350</v>
      </c>
      <c r="F807" s="119" t="s">
        <v>1110</v>
      </c>
      <c r="G807" s="130" t="s">
        <v>27</v>
      </c>
      <c r="H807" s="130" t="s">
        <v>27</v>
      </c>
      <c r="I807" s="130" t="s">
        <v>27</v>
      </c>
      <c r="J807" s="130" t="s">
        <v>27</v>
      </c>
      <c r="K807" s="137" t="s">
        <v>828</v>
      </c>
      <c r="L807" s="130" t="s">
        <v>237</v>
      </c>
      <c r="M807" s="137" t="s">
        <v>240</v>
      </c>
      <c r="N807" s="122" t="s">
        <v>31</v>
      </c>
      <c r="O807" s="118" t="s">
        <v>1114</v>
      </c>
      <c r="P807" s="61"/>
      <c r="Q807" s="130"/>
      <c r="R807" s="130"/>
      <c r="S807" s="130"/>
      <c r="T807" s="130"/>
      <c r="U807" s="130"/>
      <c r="V807" s="130"/>
      <c r="W807" s="130"/>
      <c r="X807" s="130"/>
      <c r="Y807" s="130"/>
    </row>
    <row r="808" spans="1:25" hidden="1">
      <c r="A808" s="78">
        <v>180</v>
      </c>
      <c r="B808" s="75" t="s">
        <v>1084</v>
      </c>
      <c r="C808" s="75"/>
      <c r="D808" s="81">
        <v>0</v>
      </c>
      <c r="E808" s="97">
        <v>3</v>
      </c>
      <c r="F808" s="97" t="s">
        <v>74</v>
      </c>
      <c r="G808" s="130" t="s">
        <v>27</v>
      </c>
      <c r="H808" s="130" t="s">
        <v>28</v>
      </c>
      <c r="I808" s="130" t="s">
        <v>28</v>
      </c>
      <c r="J808" s="130" t="s">
        <v>27</v>
      </c>
      <c r="K808" s="137" t="s">
        <v>828</v>
      </c>
      <c r="L808" s="130" t="s">
        <v>237</v>
      </c>
      <c r="M808" s="137" t="s">
        <v>240</v>
      </c>
      <c r="N808" s="122" t="s">
        <v>31</v>
      </c>
      <c r="O808" s="130" t="s">
        <v>1115</v>
      </c>
      <c r="P808" s="61" t="s">
        <v>1086</v>
      </c>
      <c r="Q808" s="130"/>
      <c r="R808" s="130"/>
      <c r="S808" s="130"/>
      <c r="T808" s="130" t="s">
        <v>828</v>
      </c>
      <c r="U808" s="130">
        <v>0</v>
      </c>
      <c r="V808" s="130"/>
      <c r="W808" s="130"/>
      <c r="X808" s="130">
        <v>0</v>
      </c>
      <c r="Y808" s="130">
        <v>0</v>
      </c>
    </row>
    <row r="809" spans="1:25" hidden="1">
      <c r="A809" s="78">
        <v>180</v>
      </c>
      <c r="B809" s="75" t="s">
        <v>1084</v>
      </c>
      <c r="C809" s="75"/>
      <c r="D809" s="81">
        <v>0</v>
      </c>
      <c r="E809" s="97">
        <v>3</v>
      </c>
      <c r="F809" s="97" t="s">
        <v>74</v>
      </c>
      <c r="G809" s="130" t="s">
        <v>27</v>
      </c>
      <c r="H809" s="130" t="s">
        <v>28</v>
      </c>
      <c r="I809" s="130" t="s">
        <v>28</v>
      </c>
      <c r="J809" s="130" t="s">
        <v>27</v>
      </c>
      <c r="K809" s="137" t="s">
        <v>828</v>
      </c>
      <c r="L809" s="130" t="s">
        <v>237</v>
      </c>
      <c r="M809" s="137" t="s">
        <v>240</v>
      </c>
      <c r="N809" s="122" t="s">
        <v>31</v>
      </c>
      <c r="O809" s="130" t="s">
        <v>1116</v>
      </c>
      <c r="P809" s="61" t="s">
        <v>1086</v>
      </c>
      <c r="Q809" s="130"/>
      <c r="R809" s="130"/>
      <c r="S809" s="130"/>
      <c r="T809" s="130" t="s">
        <v>828</v>
      </c>
      <c r="U809" s="130">
        <v>0</v>
      </c>
      <c r="V809" s="130"/>
      <c r="W809" s="130"/>
      <c r="X809" s="130">
        <v>0</v>
      </c>
      <c r="Y809" s="130">
        <v>0</v>
      </c>
    </row>
    <row r="810" spans="1:25" hidden="1">
      <c r="A810" s="78">
        <v>180</v>
      </c>
      <c r="B810" s="75" t="s">
        <v>1084</v>
      </c>
      <c r="C810" s="75"/>
      <c r="D810" s="81">
        <v>0</v>
      </c>
      <c r="E810" s="97">
        <v>3</v>
      </c>
      <c r="F810" s="97" t="s">
        <v>74</v>
      </c>
      <c r="G810" s="130" t="s">
        <v>27</v>
      </c>
      <c r="H810" s="130" t="s">
        <v>28</v>
      </c>
      <c r="I810" s="130" t="s">
        <v>28</v>
      </c>
      <c r="J810" s="130" t="s">
        <v>27</v>
      </c>
      <c r="K810" s="137" t="s">
        <v>828</v>
      </c>
      <c r="L810" s="130" t="s">
        <v>237</v>
      </c>
      <c r="M810" s="137" t="s">
        <v>240</v>
      </c>
      <c r="N810" s="122" t="s">
        <v>31</v>
      </c>
      <c r="O810" s="130" t="s">
        <v>1117</v>
      </c>
      <c r="P810" s="61" t="s">
        <v>1086</v>
      </c>
      <c r="Q810" s="130"/>
      <c r="R810" s="130"/>
      <c r="S810" s="130"/>
      <c r="T810" s="130" t="s">
        <v>828</v>
      </c>
      <c r="U810" s="130">
        <v>0</v>
      </c>
      <c r="V810" s="130"/>
      <c r="W810" s="130"/>
      <c r="X810" s="130">
        <v>0</v>
      </c>
      <c r="Y810" s="130">
        <v>0</v>
      </c>
    </row>
    <row r="811" spans="1:25" hidden="1">
      <c r="A811" s="78">
        <v>180</v>
      </c>
      <c r="B811" s="75" t="s">
        <v>1084</v>
      </c>
      <c r="C811" s="75"/>
      <c r="D811" s="81">
        <v>0</v>
      </c>
      <c r="E811" s="97">
        <v>3</v>
      </c>
      <c r="F811" s="97" t="s">
        <v>74</v>
      </c>
      <c r="G811" s="130" t="s">
        <v>27</v>
      </c>
      <c r="H811" s="130" t="s">
        <v>28</v>
      </c>
      <c r="I811" s="130" t="s">
        <v>28</v>
      </c>
      <c r="J811" s="130" t="s">
        <v>27</v>
      </c>
      <c r="K811" s="137" t="s">
        <v>828</v>
      </c>
      <c r="L811" s="130" t="s">
        <v>237</v>
      </c>
      <c r="M811" s="137" t="s">
        <v>240</v>
      </c>
      <c r="N811" s="122" t="s">
        <v>31</v>
      </c>
      <c r="O811" s="130" t="s">
        <v>1118</v>
      </c>
      <c r="P811" s="61" t="s">
        <v>1086</v>
      </c>
      <c r="Q811" s="130"/>
      <c r="R811" s="130"/>
      <c r="S811" s="130"/>
      <c r="T811" s="130" t="s">
        <v>828</v>
      </c>
      <c r="U811" s="130">
        <v>0</v>
      </c>
      <c r="V811" s="130"/>
      <c r="W811" s="130"/>
      <c r="X811" s="130">
        <v>0</v>
      </c>
      <c r="Y811" s="130">
        <v>0</v>
      </c>
    </row>
    <row r="812" spans="1:25" hidden="1">
      <c r="A812" s="78">
        <v>181</v>
      </c>
      <c r="B812" s="75" t="s">
        <v>1084</v>
      </c>
      <c r="C812" s="75"/>
      <c r="D812" s="81">
        <v>0</v>
      </c>
      <c r="E812" s="97">
        <v>3</v>
      </c>
      <c r="F812" s="97" t="s">
        <v>180</v>
      </c>
      <c r="G812" s="130" t="s">
        <v>27</v>
      </c>
      <c r="H812" s="130" t="s">
        <v>27</v>
      </c>
      <c r="I812" s="130" t="s">
        <v>27</v>
      </c>
      <c r="J812" s="130" t="s">
        <v>27</v>
      </c>
      <c r="K812" s="137" t="s">
        <v>828</v>
      </c>
      <c r="L812" s="130" t="s">
        <v>237</v>
      </c>
      <c r="M812" s="137" t="s">
        <v>240</v>
      </c>
      <c r="N812" s="122" t="s">
        <v>31</v>
      </c>
      <c r="O812" s="130" t="s">
        <v>1119</v>
      </c>
      <c r="P812" s="61" t="s">
        <v>1086</v>
      </c>
      <c r="Q812" s="130"/>
      <c r="R812" s="130"/>
      <c r="S812" s="130"/>
      <c r="T812" s="130" t="s">
        <v>828</v>
      </c>
      <c r="U812" s="130">
        <v>0</v>
      </c>
      <c r="V812" s="130"/>
      <c r="W812" s="130"/>
      <c r="X812" s="130">
        <v>0</v>
      </c>
      <c r="Y812" s="130">
        <v>0</v>
      </c>
    </row>
    <row r="813" spans="1:25" hidden="1">
      <c r="A813" s="78">
        <v>181</v>
      </c>
      <c r="B813" s="75" t="s">
        <v>1084</v>
      </c>
      <c r="C813" s="75"/>
      <c r="D813" s="81">
        <v>0</v>
      </c>
      <c r="E813" s="97">
        <v>3</v>
      </c>
      <c r="F813" s="97" t="s">
        <v>180</v>
      </c>
      <c r="G813" s="130" t="s">
        <v>27</v>
      </c>
      <c r="H813" s="130" t="s">
        <v>27</v>
      </c>
      <c r="I813" s="130" t="s">
        <v>27</v>
      </c>
      <c r="J813" s="130" t="s">
        <v>27</v>
      </c>
      <c r="K813" s="137" t="s">
        <v>828</v>
      </c>
      <c r="L813" s="130" t="s">
        <v>237</v>
      </c>
      <c r="M813" s="137" t="s">
        <v>240</v>
      </c>
      <c r="N813" s="122" t="s">
        <v>31</v>
      </c>
      <c r="O813" s="130" t="s">
        <v>1120</v>
      </c>
      <c r="P813" s="61" t="s">
        <v>1086</v>
      </c>
      <c r="Q813" s="130"/>
      <c r="R813" s="130"/>
      <c r="S813" s="130"/>
      <c r="T813" s="130" t="s">
        <v>828</v>
      </c>
      <c r="U813" s="130">
        <v>0</v>
      </c>
      <c r="V813" s="130"/>
      <c r="W813" s="130"/>
      <c r="X813" s="130">
        <v>0</v>
      </c>
      <c r="Y813" s="130">
        <v>0</v>
      </c>
    </row>
    <row r="814" spans="1:25" hidden="1">
      <c r="A814" s="78">
        <v>181</v>
      </c>
      <c r="B814" s="75" t="s">
        <v>1084</v>
      </c>
      <c r="C814" s="75"/>
      <c r="D814" s="81">
        <v>0</v>
      </c>
      <c r="E814" s="97">
        <v>3</v>
      </c>
      <c r="F814" s="97" t="s">
        <v>180</v>
      </c>
      <c r="G814" s="130" t="s">
        <v>27</v>
      </c>
      <c r="H814" s="130" t="s">
        <v>27</v>
      </c>
      <c r="I814" s="130" t="s">
        <v>27</v>
      </c>
      <c r="J814" s="130" t="s">
        <v>27</v>
      </c>
      <c r="K814" s="137" t="s">
        <v>828</v>
      </c>
      <c r="L814" s="130" t="s">
        <v>237</v>
      </c>
      <c r="M814" s="137" t="s">
        <v>240</v>
      </c>
      <c r="N814" s="122" t="s">
        <v>31</v>
      </c>
      <c r="O814" s="130" t="s">
        <v>1121</v>
      </c>
      <c r="P814" s="61" t="s">
        <v>1086</v>
      </c>
      <c r="Q814" s="130"/>
      <c r="R814" s="130"/>
      <c r="S814" s="130"/>
      <c r="T814" s="130" t="s">
        <v>828</v>
      </c>
      <c r="U814" s="130">
        <v>0</v>
      </c>
      <c r="V814" s="130"/>
      <c r="W814" s="130"/>
      <c r="X814" s="130">
        <v>0</v>
      </c>
      <c r="Y814" s="130">
        <v>0</v>
      </c>
    </row>
    <row r="815" spans="1:25" hidden="1">
      <c r="A815" s="83">
        <v>181</v>
      </c>
      <c r="B815" s="75" t="s">
        <v>1084</v>
      </c>
      <c r="C815" s="75"/>
      <c r="D815" s="81">
        <v>0</v>
      </c>
      <c r="E815" s="97">
        <v>3</v>
      </c>
      <c r="F815" s="97" t="s">
        <v>180</v>
      </c>
      <c r="G815" s="130" t="s">
        <v>27</v>
      </c>
      <c r="H815" s="130" t="s">
        <v>27</v>
      </c>
      <c r="I815" s="130" t="s">
        <v>27</v>
      </c>
      <c r="J815" s="130" t="s">
        <v>27</v>
      </c>
      <c r="K815" s="137" t="s">
        <v>828</v>
      </c>
      <c r="L815" s="130" t="s">
        <v>237</v>
      </c>
      <c r="M815" s="137" t="s">
        <v>240</v>
      </c>
      <c r="N815" s="122" t="s">
        <v>31</v>
      </c>
      <c r="O815" s="75" t="s">
        <v>1122</v>
      </c>
      <c r="P815" s="61" t="s">
        <v>1086</v>
      </c>
      <c r="Q815" s="130"/>
      <c r="R815" s="130"/>
      <c r="S815" s="130"/>
      <c r="T815" s="130" t="s">
        <v>828</v>
      </c>
      <c r="U815" s="130">
        <v>0</v>
      </c>
      <c r="V815" s="130"/>
      <c r="W815" s="130"/>
      <c r="X815" s="130">
        <v>0</v>
      </c>
      <c r="Y815" s="130">
        <v>0</v>
      </c>
    </row>
    <row r="816" spans="1:25" hidden="1">
      <c r="A816" s="83">
        <v>181</v>
      </c>
      <c r="B816" s="75" t="s">
        <v>1084</v>
      </c>
      <c r="C816" s="75"/>
      <c r="D816" s="81">
        <v>0</v>
      </c>
      <c r="E816" s="97">
        <v>3</v>
      </c>
      <c r="F816" s="97" t="s">
        <v>180</v>
      </c>
      <c r="G816" s="130" t="s">
        <v>27</v>
      </c>
      <c r="H816" s="130" t="s">
        <v>27</v>
      </c>
      <c r="I816" s="130" t="s">
        <v>27</v>
      </c>
      <c r="J816" s="130" t="s">
        <v>27</v>
      </c>
      <c r="K816" s="137" t="s">
        <v>828</v>
      </c>
      <c r="L816" s="130" t="s">
        <v>237</v>
      </c>
      <c r="M816" s="137" t="s">
        <v>240</v>
      </c>
      <c r="N816" s="122" t="s">
        <v>31</v>
      </c>
      <c r="O816" s="75" t="s">
        <v>1123</v>
      </c>
      <c r="P816" s="61"/>
      <c r="Q816" s="130"/>
      <c r="R816" s="130"/>
      <c r="S816" s="130"/>
      <c r="T816" s="130"/>
      <c r="U816" s="130"/>
      <c r="V816" s="130"/>
      <c r="W816" s="130"/>
      <c r="X816" s="130"/>
      <c r="Y816" s="130"/>
    </row>
    <row r="817" spans="1:25" hidden="1">
      <c r="A817" s="83">
        <v>181</v>
      </c>
      <c r="B817" s="75" t="s">
        <v>1084</v>
      </c>
      <c r="C817" s="75"/>
      <c r="D817" s="81">
        <v>0</v>
      </c>
      <c r="E817" s="97">
        <v>3</v>
      </c>
      <c r="F817" s="97" t="s">
        <v>180</v>
      </c>
      <c r="G817" s="130" t="s">
        <v>27</v>
      </c>
      <c r="H817" s="130" t="s">
        <v>27</v>
      </c>
      <c r="I817" s="130" t="s">
        <v>27</v>
      </c>
      <c r="J817" s="130" t="s">
        <v>27</v>
      </c>
      <c r="K817" s="137" t="s">
        <v>828</v>
      </c>
      <c r="L817" s="130" t="s">
        <v>237</v>
      </c>
      <c r="M817" s="137" t="s">
        <v>240</v>
      </c>
      <c r="N817" s="122" t="s">
        <v>31</v>
      </c>
      <c r="O817" s="75" t="s">
        <v>1124</v>
      </c>
      <c r="P817" s="61"/>
      <c r="Q817" s="130"/>
      <c r="R817" s="130"/>
      <c r="S817" s="130"/>
      <c r="T817" s="130"/>
      <c r="U817" s="130"/>
      <c r="V817" s="130"/>
      <c r="W817" s="130"/>
      <c r="X817" s="130"/>
      <c r="Y817" s="130"/>
    </row>
    <row r="818" spans="1:25" hidden="1">
      <c r="A818" s="83">
        <v>181</v>
      </c>
      <c r="B818" s="75" t="s">
        <v>1084</v>
      </c>
      <c r="C818" s="75"/>
      <c r="D818" s="81">
        <v>0</v>
      </c>
      <c r="E818" s="97">
        <v>3</v>
      </c>
      <c r="F818" s="97" t="s">
        <v>180</v>
      </c>
      <c r="G818" s="130" t="s">
        <v>27</v>
      </c>
      <c r="H818" s="130" t="s">
        <v>27</v>
      </c>
      <c r="I818" s="130" t="s">
        <v>27</v>
      </c>
      <c r="J818" s="130" t="s">
        <v>27</v>
      </c>
      <c r="K818" s="137" t="s">
        <v>828</v>
      </c>
      <c r="L818" s="130" t="s">
        <v>237</v>
      </c>
      <c r="M818" s="137" t="s">
        <v>240</v>
      </c>
      <c r="N818" s="122" t="s">
        <v>31</v>
      </c>
      <c r="O818" s="75" t="s">
        <v>1125</v>
      </c>
      <c r="P818" s="61"/>
      <c r="Q818" s="130"/>
      <c r="R818" s="130"/>
      <c r="S818" s="130"/>
      <c r="T818" s="130"/>
      <c r="U818" s="130"/>
      <c r="V818" s="130"/>
      <c r="W818" s="130"/>
      <c r="X818" s="130"/>
      <c r="Y818" s="130"/>
    </row>
    <row r="819" spans="1:25" hidden="1">
      <c r="A819" s="83">
        <v>181</v>
      </c>
      <c r="B819" s="75" t="s">
        <v>1084</v>
      </c>
      <c r="C819" s="75"/>
      <c r="D819" s="81">
        <v>0</v>
      </c>
      <c r="E819" s="97">
        <v>3</v>
      </c>
      <c r="F819" s="97" t="s">
        <v>180</v>
      </c>
      <c r="G819" s="130" t="s">
        <v>27</v>
      </c>
      <c r="H819" s="130" t="s">
        <v>27</v>
      </c>
      <c r="I819" s="130" t="s">
        <v>27</v>
      </c>
      <c r="J819" s="130" t="s">
        <v>27</v>
      </c>
      <c r="K819" s="137" t="s">
        <v>828</v>
      </c>
      <c r="L819" s="130" t="s">
        <v>237</v>
      </c>
      <c r="M819" s="137" t="s">
        <v>240</v>
      </c>
      <c r="N819" s="122" t="s">
        <v>31</v>
      </c>
      <c r="O819" s="75" t="s">
        <v>1126</v>
      </c>
      <c r="P819" s="61"/>
      <c r="Q819" s="130"/>
      <c r="R819" s="130"/>
      <c r="S819" s="130"/>
      <c r="T819" s="130"/>
      <c r="U819" s="130"/>
      <c r="V819" s="130"/>
      <c r="W819" s="130"/>
      <c r="X819" s="130"/>
      <c r="Y819" s="130"/>
    </row>
    <row r="820" spans="1:25" hidden="1">
      <c r="A820" s="83">
        <v>181</v>
      </c>
      <c r="B820" s="75" t="s">
        <v>1084</v>
      </c>
      <c r="C820" s="75"/>
      <c r="D820" s="81">
        <v>0</v>
      </c>
      <c r="E820" s="97">
        <v>3</v>
      </c>
      <c r="F820" s="97" t="s">
        <v>180</v>
      </c>
      <c r="G820" s="130" t="s">
        <v>27</v>
      </c>
      <c r="H820" s="130" t="s">
        <v>27</v>
      </c>
      <c r="I820" s="130" t="s">
        <v>27</v>
      </c>
      <c r="J820" s="130" t="s">
        <v>27</v>
      </c>
      <c r="K820" s="137" t="s">
        <v>828</v>
      </c>
      <c r="L820" s="130" t="s">
        <v>237</v>
      </c>
      <c r="M820" s="137" t="s">
        <v>240</v>
      </c>
      <c r="N820" s="122" t="s">
        <v>31</v>
      </c>
      <c r="O820" s="75" t="s">
        <v>1127</v>
      </c>
      <c r="P820" s="61"/>
      <c r="Q820" s="130"/>
      <c r="R820" s="130"/>
      <c r="S820" s="130"/>
      <c r="T820" s="130"/>
      <c r="U820" s="130"/>
      <c r="V820" s="130"/>
      <c r="W820" s="130"/>
      <c r="X820" s="130"/>
      <c r="Y820" s="130"/>
    </row>
    <row r="821" spans="1:25" hidden="1">
      <c r="A821" s="83">
        <v>182</v>
      </c>
      <c r="B821" s="75" t="s">
        <v>38</v>
      </c>
      <c r="C821" s="75" t="s">
        <v>43</v>
      </c>
      <c r="D821" s="81" t="s">
        <v>4444</v>
      </c>
      <c r="E821" s="97">
        <v>1</v>
      </c>
      <c r="F821" s="97" t="s">
        <v>26</v>
      </c>
      <c r="G821" s="130" t="s">
        <v>27</v>
      </c>
      <c r="H821" s="130" t="s">
        <v>28</v>
      </c>
      <c r="I821" s="130" t="s">
        <v>28</v>
      </c>
      <c r="J821" s="130" t="s">
        <v>27</v>
      </c>
      <c r="K821" t="s">
        <v>29</v>
      </c>
      <c r="L821" s="130" t="s">
        <v>30</v>
      </c>
      <c r="M821" s="137" t="s">
        <v>240</v>
      </c>
      <c r="N821" s="122" t="s">
        <v>31</v>
      </c>
      <c r="O821" s="75" t="s">
        <v>1128</v>
      </c>
      <c r="P821" s="61" t="s">
        <v>33</v>
      </c>
      <c r="Q821" s="130"/>
      <c r="R821" s="130"/>
      <c r="S821" s="130"/>
      <c r="T821" s="130"/>
      <c r="U821" s="130"/>
      <c r="V821" s="130"/>
      <c r="W821" s="130"/>
      <c r="X821" s="130"/>
      <c r="Y821" s="130"/>
    </row>
    <row r="822" spans="1:25" hidden="1">
      <c r="A822" s="114">
        <v>2</v>
      </c>
      <c r="B822" s="75" t="s">
        <v>38</v>
      </c>
      <c r="C822" s="75" t="s">
        <v>43</v>
      </c>
      <c r="D822" s="81" t="s">
        <v>4444</v>
      </c>
      <c r="E822" s="97">
        <v>1</v>
      </c>
      <c r="F822" s="98" t="s">
        <v>26</v>
      </c>
      <c r="G822" s="130" t="s">
        <v>27</v>
      </c>
      <c r="H822" s="130" t="s">
        <v>28</v>
      </c>
      <c r="I822" s="130" t="s">
        <v>28</v>
      </c>
      <c r="J822" s="130" t="s">
        <v>27</v>
      </c>
      <c r="K822" s="130" t="s">
        <v>237</v>
      </c>
      <c r="L822" s="130" t="s">
        <v>237</v>
      </c>
      <c r="M822" s="130" t="s">
        <v>28</v>
      </c>
      <c r="N822" s="130" t="s">
        <v>51</v>
      </c>
      <c r="O822" s="75" t="s">
        <v>1129</v>
      </c>
      <c r="P822" s="61" t="s">
        <v>767</v>
      </c>
      <c r="Q822" s="130"/>
      <c r="R822" s="130"/>
      <c r="S822" s="130"/>
      <c r="T822" s="130"/>
      <c r="U822" s="130"/>
      <c r="V822" s="130"/>
      <c r="W822" s="130"/>
      <c r="X822" s="130"/>
      <c r="Y822" s="130"/>
    </row>
    <row r="823" spans="1:25" hidden="1">
      <c r="A823" s="114">
        <v>10</v>
      </c>
      <c r="B823" s="75" t="s">
        <v>38</v>
      </c>
      <c r="C823" s="75" t="s">
        <v>48</v>
      </c>
      <c r="D823" s="81" t="s">
        <v>4445</v>
      </c>
      <c r="E823" s="97">
        <v>2</v>
      </c>
      <c r="F823" s="98" t="s">
        <v>54</v>
      </c>
      <c r="G823" s="130" t="s">
        <v>27</v>
      </c>
      <c r="H823" s="130" t="s">
        <v>28</v>
      </c>
      <c r="I823" s="130" t="s">
        <v>28</v>
      </c>
      <c r="J823" s="130" t="s">
        <v>27</v>
      </c>
      <c r="K823" s="130" t="s">
        <v>29</v>
      </c>
      <c r="L823" s="130" t="s">
        <v>50</v>
      </c>
      <c r="M823" s="130" t="s">
        <v>28</v>
      </c>
      <c r="N823" s="130" t="s">
        <v>51</v>
      </c>
      <c r="O823" s="75" t="s">
        <v>1130</v>
      </c>
      <c r="P823" s="61" t="s">
        <v>767</v>
      </c>
      <c r="Q823" s="130"/>
      <c r="R823" s="130"/>
      <c r="S823" s="130"/>
      <c r="T823" s="130"/>
      <c r="U823" s="130"/>
      <c r="V823" s="130"/>
      <c r="W823" s="130"/>
      <c r="X823" s="130"/>
      <c r="Y823" s="130"/>
    </row>
    <row r="824" spans="1:25" hidden="1">
      <c r="A824" s="114">
        <v>12</v>
      </c>
      <c r="B824" s="75" t="s">
        <v>38</v>
      </c>
      <c r="C824" s="75" t="s">
        <v>48</v>
      </c>
      <c r="D824" s="81" t="s">
        <v>4445</v>
      </c>
      <c r="E824" s="97">
        <v>2</v>
      </c>
      <c r="F824" s="98" t="s">
        <v>49</v>
      </c>
      <c r="G824" s="130" t="s">
        <v>27</v>
      </c>
      <c r="H824" s="130" t="s">
        <v>28</v>
      </c>
      <c r="I824" s="130" t="s">
        <v>28</v>
      </c>
      <c r="J824" s="130" t="s">
        <v>27</v>
      </c>
      <c r="K824" s="130" t="s">
        <v>237</v>
      </c>
      <c r="L824" s="130" t="s">
        <v>237</v>
      </c>
      <c r="M824" s="130" t="s">
        <v>28</v>
      </c>
      <c r="N824" s="130" t="s">
        <v>51</v>
      </c>
      <c r="O824" s="75" t="s">
        <v>1131</v>
      </c>
      <c r="P824" s="61" t="s">
        <v>767</v>
      </c>
      <c r="Q824" s="130"/>
      <c r="R824" s="130"/>
      <c r="S824" s="130"/>
      <c r="T824" s="130"/>
      <c r="U824" s="130"/>
      <c r="V824" s="130"/>
      <c r="W824" s="130"/>
      <c r="X824" s="130"/>
      <c r="Y824" s="130"/>
    </row>
    <row r="825" spans="1:25" hidden="1">
      <c r="A825" s="114">
        <v>14</v>
      </c>
      <c r="B825" s="75" t="s">
        <v>38</v>
      </c>
      <c r="C825" s="75" t="s">
        <v>48</v>
      </c>
      <c r="D825" s="81" t="s">
        <v>4445</v>
      </c>
      <c r="E825" s="97">
        <v>3</v>
      </c>
      <c r="F825" s="98" t="s">
        <v>74</v>
      </c>
      <c r="G825" s="130" t="s">
        <v>27</v>
      </c>
      <c r="H825" s="130" t="s">
        <v>28</v>
      </c>
      <c r="I825" s="130" t="s">
        <v>28</v>
      </c>
      <c r="J825" s="130" t="s">
        <v>27</v>
      </c>
      <c r="K825" s="130" t="s">
        <v>29</v>
      </c>
      <c r="L825" s="130" t="s">
        <v>50</v>
      </c>
      <c r="M825" s="130" t="s">
        <v>28</v>
      </c>
      <c r="N825" s="130" t="s">
        <v>51</v>
      </c>
      <c r="O825" s="75" t="s">
        <v>1132</v>
      </c>
      <c r="P825" s="61" t="s">
        <v>767</v>
      </c>
      <c r="Q825" s="130"/>
      <c r="R825" s="130"/>
      <c r="S825" s="130"/>
      <c r="T825" s="130"/>
      <c r="U825" s="130"/>
      <c r="V825" s="130"/>
      <c r="W825" s="130"/>
      <c r="X825" s="130"/>
      <c r="Y825" s="130"/>
    </row>
    <row r="826" spans="1:25" hidden="1">
      <c r="A826" s="83">
        <v>182</v>
      </c>
      <c r="B826" s="75" t="s">
        <v>1133</v>
      </c>
      <c r="C826" s="75"/>
      <c r="D826" s="81" t="s">
        <v>4444</v>
      </c>
      <c r="E826" s="97">
        <v>1</v>
      </c>
      <c r="F826" s="97" t="s">
        <v>26</v>
      </c>
      <c r="G826" s="130"/>
      <c r="H826" s="130" t="s">
        <v>28</v>
      </c>
      <c r="I826" s="130" t="s">
        <v>28</v>
      </c>
      <c r="J826" s="130" t="s">
        <v>27</v>
      </c>
      <c r="K826" t="s">
        <v>29</v>
      </c>
      <c r="L826" s="75" t="s">
        <v>1133</v>
      </c>
      <c r="M826" s="137" t="s">
        <v>240</v>
      </c>
      <c r="N826" s="122" t="s">
        <v>31</v>
      </c>
      <c r="O826" s="76" t="s">
        <v>1134</v>
      </c>
      <c r="P826" s="61" t="s">
        <v>173</v>
      </c>
      <c r="Q826" s="130"/>
      <c r="R826" s="130"/>
      <c r="S826" s="130"/>
      <c r="T826" s="130"/>
      <c r="U826" s="130"/>
      <c r="V826" s="130"/>
      <c r="W826" s="130"/>
      <c r="X826" s="130"/>
      <c r="Y826" s="130"/>
    </row>
    <row r="827" spans="1:25" s="130" customFormat="1" hidden="1">
      <c r="A827" s="114">
        <v>104</v>
      </c>
      <c r="B827" s="75" t="s">
        <v>111</v>
      </c>
      <c r="C827" s="75"/>
      <c r="D827" s="81">
        <v>0</v>
      </c>
      <c r="E827" s="97">
        <v>2</v>
      </c>
      <c r="F827" s="98" t="s">
        <v>54</v>
      </c>
      <c r="G827" s="130" t="s">
        <v>27</v>
      </c>
      <c r="H827" s="130" t="s">
        <v>27</v>
      </c>
      <c r="I827" s="130" t="s">
        <v>28</v>
      </c>
      <c r="J827" s="130" t="s">
        <v>27</v>
      </c>
      <c r="K827" s="130" t="s">
        <v>765</v>
      </c>
      <c r="L827" s="130" t="s">
        <v>765</v>
      </c>
      <c r="M827" s="130" t="s">
        <v>28</v>
      </c>
      <c r="N827" s="130" t="s">
        <v>51</v>
      </c>
      <c r="O827" s="61" t="s">
        <v>1135</v>
      </c>
      <c r="P827" s="61" t="s">
        <v>767</v>
      </c>
    </row>
    <row r="828" spans="1:25" s="130" customFormat="1" hidden="1">
      <c r="A828" s="114">
        <v>104</v>
      </c>
      <c r="B828" s="75" t="s">
        <v>111</v>
      </c>
      <c r="C828" s="75"/>
      <c r="D828" s="81">
        <v>0</v>
      </c>
      <c r="E828" s="97">
        <v>2</v>
      </c>
      <c r="F828" s="98" t="s">
        <v>54</v>
      </c>
      <c r="G828" s="130" t="s">
        <v>27</v>
      </c>
      <c r="H828" s="130" t="s">
        <v>27</v>
      </c>
      <c r="I828" s="130" t="s">
        <v>28</v>
      </c>
      <c r="J828" s="130" t="s">
        <v>27</v>
      </c>
      <c r="K828" s="130" t="s">
        <v>1136</v>
      </c>
      <c r="L828" s="130" t="s">
        <v>1136</v>
      </c>
      <c r="M828" s="130" t="s">
        <v>28</v>
      </c>
      <c r="N828" s="130" t="s">
        <v>51</v>
      </c>
      <c r="O828" s="61" t="s">
        <v>1137</v>
      </c>
      <c r="P828" s="61" t="s">
        <v>767</v>
      </c>
    </row>
    <row r="829" spans="1:25" s="130" customFormat="1" hidden="1">
      <c r="A829" s="114">
        <v>146</v>
      </c>
      <c r="B829" s="75" t="s">
        <v>940</v>
      </c>
      <c r="C829" s="75"/>
      <c r="D829" s="81">
        <v>0</v>
      </c>
      <c r="E829" s="97">
        <v>1</v>
      </c>
      <c r="F829" s="98" t="s">
        <v>112</v>
      </c>
      <c r="G829" s="130" t="s">
        <v>27</v>
      </c>
      <c r="H829" s="130" t="s">
        <v>27</v>
      </c>
      <c r="I829" s="130" t="s">
        <v>27</v>
      </c>
      <c r="J829" s="130" t="s">
        <v>27</v>
      </c>
      <c r="K829" s="130" t="s">
        <v>828</v>
      </c>
      <c r="L829" s="130" t="s">
        <v>237</v>
      </c>
      <c r="M829" s="130" t="s">
        <v>28</v>
      </c>
      <c r="N829" s="130" t="s">
        <v>51</v>
      </c>
      <c r="O829" s="61" t="s">
        <v>1138</v>
      </c>
      <c r="P829" s="61" t="s">
        <v>767</v>
      </c>
    </row>
    <row r="830" spans="1:25" hidden="1">
      <c r="A830" s="114">
        <v>148</v>
      </c>
      <c r="B830" s="75" t="s">
        <v>940</v>
      </c>
      <c r="C830" s="75"/>
      <c r="D830" s="81">
        <v>0</v>
      </c>
      <c r="E830" s="97">
        <v>2</v>
      </c>
      <c r="F830" s="98" t="s">
        <v>54</v>
      </c>
      <c r="G830" s="130" t="s">
        <v>27</v>
      </c>
      <c r="H830" s="130" t="s">
        <v>28</v>
      </c>
      <c r="I830" s="130" t="s">
        <v>28</v>
      </c>
      <c r="J830" s="130" t="s">
        <v>27</v>
      </c>
      <c r="K830" s="130" t="s">
        <v>828</v>
      </c>
      <c r="L830" s="130" t="s">
        <v>237</v>
      </c>
      <c r="M830" s="130" t="s">
        <v>28</v>
      </c>
      <c r="N830" s="130" t="s">
        <v>51</v>
      </c>
      <c r="O830" s="75" t="s">
        <v>1139</v>
      </c>
      <c r="P830" s="61" t="s">
        <v>767</v>
      </c>
      <c r="Q830" s="130"/>
      <c r="R830" s="130"/>
      <c r="S830" s="130"/>
      <c r="T830" s="130"/>
      <c r="U830" s="130"/>
      <c r="V830" s="130"/>
      <c r="W830" s="130"/>
      <c r="X830" s="130"/>
      <c r="Y830" s="130"/>
    </row>
    <row r="831" spans="1:25">
      <c r="A831" s="82">
        <v>182</v>
      </c>
      <c r="B831" s="70" t="s">
        <v>38</v>
      </c>
      <c r="C831" s="70" t="s">
        <v>43</v>
      </c>
      <c r="D831" s="81" t="s">
        <v>4444</v>
      </c>
      <c r="E831" s="97">
        <v>1</v>
      </c>
      <c r="F831" s="97" t="s">
        <v>26</v>
      </c>
      <c r="G831" t="s">
        <v>27</v>
      </c>
      <c r="H831" s="81" t="s">
        <v>28</v>
      </c>
      <c r="I831" s="81" t="s">
        <v>28</v>
      </c>
      <c r="J831" t="s">
        <v>28</v>
      </c>
      <c r="K831" t="s">
        <v>29</v>
      </c>
      <c r="M831" s="81" t="s">
        <v>28</v>
      </c>
      <c r="N831" s="85" t="s">
        <v>39</v>
      </c>
      <c r="O831" s="70" t="s">
        <v>1140</v>
      </c>
      <c r="P831" s="60" t="s">
        <v>213</v>
      </c>
      <c r="Q831" t="s">
        <v>1141</v>
      </c>
      <c r="R831" s="140" t="s">
        <v>4464</v>
      </c>
      <c r="T831" t="s">
        <v>29</v>
      </c>
      <c r="U831">
        <v>1</v>
      </c>
      <c r="X831">
        <v>0</v>
      </c>
      <c r="Y831">
        <v>0</v>
      </c>
    </row>
    <row r="832" spans="1:25">
      <c r="A832" s="82">
        <v>182</v>
      </c>
      <c r="B832" s="70" t="s">
        <v>38</v>
      </c>
      <c r="C832" s="70" t="s">
        <v>43</v>
      </c>
      <c r="D832" s="81" t="s">
        <v>4444</v>
      </c>
      <c r="E832" s="97">
        <v>1</v>
      </c>
      <c r="F832" s="97" t="s">
        <v>26</v>
      </c>
      <c r="G832" t="s">
        <v>27</v>
      </c>
      <c r="H832" s="81" t="s">
        <v>28</v>
      </c>
      <c r="I832" s="81" t="s">
        <v>28</v>
      </c>
      <c r="J832" t="s">
        <v>28</v>
      </c>
      <c r="K832" t="s">
        <v>29</v>
      </c>
      <c r="M832" s="81" t="s">
        <v>28</v>
      </c>
      <c r="N832" s="85" t="s">
        <v>39</v>
      </c>
      <c r="O832" s="70" t="s">
        <v>1142</v>
      </c>
      <c r="P832" s="60" t="s">
        <v>213</v>
      </c>
      <c r="Q832" t="s">
        <v>1141</v>
      </c>
      <c r="R832" s="140" t="s">
        <v>4464</v>
      </c>
      <c r="T832" t="s">
        <v>29</v>
      </c>
      <c r="U832">
        <v>1</v>
      </c>
      <c r="X832">
        <v>0</v>
      </c>
      <c r="Y832">
        <v>0</v>
      </c>
    </row>
    <row r="833" spans="1:25">
      <c r="A833" s="82">
        <v>182</v>
      </c>
      <c r="B833" s="70" t="s">
        <v>38</v>
      </c>
      <c r="C833" s="70" t="s">
        <v>43</v>
      </c>
      <c r="D833" s="81" t="s">
        <v>4444</v>
      </c>
      <c r="E833" s="97">
        <v>1</v>
      </c>
      <c r="F833" s="97" t="s">
        <v>26</v>
      </c>
      <c r="G833" t="s">
        <v>27</v>
      </c>
      <c r="H833" s="81" t="s">
        <v>28</v>
      </c>
      <c r="I833" s="81" t="s">
        <v>28</v>
      </c>
      <c r="J833" t="s">
        <v>28</v>
      </c>
      <c r="K833" t="s">
        <v>29</v>
      </c>
      <c r="M833" s="81" t="s">
        <v>28</v>
      </c>
      <c r="N833" s="85" t="s">
        <v>39</v>
      </c>
      <c r="O833" s="70" t="s">
        <v>1143</v>
      </c>
      <c r="P833" s="60" t="s">
        <v>213</v>
      </c>
      <c r="Q833" t="s">
        <v>1141</v>
      </c>
      <c r="R833" s="140" t="s">
        <v>4464</v>
      </c>
      <c r="T833" t="s">
        <v>29</v>
      </c>
      <c r="U833">
        <v>1</v>
      </c>
      <c r="X833">
        <v>0</v>
      </c>
      <c r="Y833">
        <v>0</v>
      </c>
    </row>
    <row r="834" spans="1:25">
      <c r="A834" s="82">
        <v>182</v>
      </c>
      <c r="B834" s="70" t="s">
        <v>38</v>
      </c>
      <c r="C834" s="70" t="s">
        <v>43</v>
      </c>
      <c r="D834" s="81" t="s">
        <v>4444</v>
      </c>
      <c r="E834" s="97">
        <v>1</v>
      </c>
      <c r="F834" s="97" t="s">
        <v>26</v>
      </c>
      <c r="G834" t="s">
        <v>27</v>
      </c>
      <c r="H834" s="81" t="s">
        <v>28</v>
      </c>
      <c r="I834" s="81" t="s">
        <v>28</v>
      </c>
      <c r="J834" t="s">
        <v>28</v>
      </c>
      <c r="K834" t="s">
        <v>29</v>
      </c>
      <c r="M834" s="81" t="s">
        <v>28</v>
      </c>
      <c r="N834" s="85" t="s">
        <v>39</v>
      </c>
      <c r="O834" s="60" t="s">
        <v>1144</v>
      </c>
      <c r="P834" s="60" t="s">
        <v>213</v>
      </c>
      <c r="Q834" t="s">
        <v>1141</v>
      </c>
      <c r="R834" s="140" t="s">
        <v>4464</v>
      </c>
      <c r="T834" t="s">
        <v>29</v>
      </c>
      <c r="U834">
        <v>1</v>
      </c>
      <c r="X834">
        <v>0</v>
      </c>
      <c r="Y834">
        <v>0</v>
      </c>
    </row>
    <row r="835" spans="1:25" hidden="1">
      <c r="A835" s="83">
        <v>182</v>
      </c>
      <c r="B835" s="75" t="s">
        <v>38</v>
      </c>
      <c r="C835" s="75" t="s">
        <v>43</v>
      </c>
      <c r="D835" s="81" t="s">
        <v>4444</v>
      </c>
      <c r="E835" s="97">
        <v>1</v>
      </c>
      <c r="F835" s="97" t="s">
        <v>26</v>
      </c>
      <c r="G835" s="130" t="s">
        <v>27</v>
      </c>
      <c r="H835" s="130" t="s">
        <v>28</v>
      </c>
      <c r="I835" s="130" t="s">
        <v>28</v>
      </c>
      <c r="J835" s="130" t="s">
        <v>27</v>
      </c>
      <c r="K835" t="s">
        <v>29</v>
      </c>
      <c r="L835" s="130" t="s">
        <v>105</v>
      </c>
      <c r="M835" s="137" t="s">
        <v>240</v>
      </c>
      <c r="N835" s="122" t="s">
        <v>31</v>
      </c>
      <c r="O835" s="61" t="s">
        <v>1145</v>
      </c>
      <c r="P835" s="130" t="s">
        <v>1146</v>
      </c>
      <c r="Q835" s="130"/>
      <c r="R835" s="130"/>
      <c r="S835" s="130"/>
      <c r="T835" s="130"/>
      <c r="U835" s="130"/>
      <c r="V835" s="130"/>
      <c r="W835" s="130"/>
      <c r="X835" s="130"/>
      <c r="Y835" s="130"/>
    </row>
    <row r="836" spans="1:25" hidden="1">
      <c r="A836" s="83">
        <v>182</v>
      </c>
      <c r="B836" s="75" t="s">
        <v>38</v>
      </c>
      <c r="C836" s="75" t="s">
        <v>43</v>
      </c>
      <c r="D836" s="81" t="s">
        <v>4444</v>
      </c>
      <c r="E836" s="97">
        <v>1</v>
      </c>
      <c r="F836" s="97" t="s">
        <v>26</v>
      </c>
      <c r="G836" s="130" t="s">
        <v>27</v>
      </c>
      <c r="H836" s="130" t="s">
        <v>28</v>
      </c>
      <c r="I836" s="130" t="s">
        <v>28</v>
      </c>
      <c r="J836" s="130" t="s">
        <v>27</v>
      </c>
      <c r="K836" t="s">
        <v>29</v>
      </c>
      <c r="L836" s="130" t="s">
        <v>105</v>
      </c>
      <c r="M836" s="137" t="s">
        <v>240</v>
      </c>
      <c r="N836" s="122" t="s">
        <v>31</v>
      </c>
      <c r="O836" s="61" t="s">
        <v>1147</v>
      </c>
      <c r="P836" s="130" t="s">
        <v>1146</v>
      </c>
      <c r="Q836" s="130"/>
      <c r="R836" s="130"/>
      <c r="S836" s="130"/>
      <c r="T836" s="130"/>
      <c r="U836" s="130"/>
      <c r="V836" s="130"/>
      <c r="W836" s="130"/>
      <c r="X836" s="130"/>
      <c r="Y836" s="130"/>
    </row>
    <row r="837" spans="1:25" hidden="1">
      <c r="A837" s="78">
        <v>182</v>
      </c>
      <c r="B837" s="130" t="s">
        <v>38</v>
      </c>
      <c r="C837" s="130" t="s">
        <v>43</v>
      </c>
      <c r="D837" s="81" t="s">
        <v>4444</v>
      </c>
      <c r="E837" s="97">
        <v>1</v>
      </c>
      <c r="F837" s="97" t="s">
        <v>26</v>
      </c>
      <c r="G837" s="130" t="s">
        <v>27</v>
      </c>
      <c r="H837" s="130" t="s">
        <v>28</v>
      </c>
      <c r="I837" s="130" t="s">
        <v>28</v>
      </c>
      <c r="J837" s="130" t="s">
        <v>27</v>
      </c>
      <c r="K837" t="s">
        <v>29</v>
      </c>
      <c r="L837" s="130" t="s">
        <v>105</v>
      </c>
      <c r="M837" s="137" t="s">
        <v>240</v>
      </c>
      <c r="N837" s="122" t="s">
        <v>31</v>
      </c>
      <c r="O837" s="130" t="s">
        <v>1148</v>
      </c>
      <c r="P837" s="130" t="s">
        <v>1146</v>
      </c>
      <c r="Q837" s="130"/>
      <c r="R837" s="130"/>
      <c r="S837" s="130"/>
      <c r="T837" s="130"/>
      <c r="U837" s="130"/>
      <c r="V837" s="130"/>
      <c r="W837" s="130"/>
      <c r="X837" s="130"/>
      <c r="Y837" s="130"/>
    </row>
    <row r="838" spans="1:25" hidden="1">
      <c r="A838" s="78">
        <v>182</v>
      </c>
      <c r="B838" s="130" t="s">
        <v>38</v>
      </c>
      <c r="C838" s="130" t="s">
        <v>43</v>
      </c>
      <c r="D838" s="81" t="s">
        <v>4444</v>
      </c>
      <c r="E838" s="97">
        <v>1</v>
      </c>
      <c r="F838" s="97" t="s">
        <v>26</v>
      </c>
      <c r="G838" s="130" t="s">
        <v>27</v>
      </c>
      <c r="H838" s="130" t="s">
        <v>28</v>
      </c>
      <c r="I838" s="130" t="s">
        <v>28</v>
      </c>
      <c r="J838" s="130" t="s">
        <v>27</v>
      </c>
      <c r="K838" t="s">
        <v>29</v>
      </c>
      <c r="L838" s="130" t="s">
        <v>105</v>
      </c>
      <c r="M838" s="137" t="s">
        <v>240</v>
      </c>
      <c r="N838" s="122" t="s">
        <v>31</v>
      </c>
      <c r="O838" s="130" t="s">
        <v>1149</v>
      </c>
      <c r="P838" s="130" t="s">
        <v>1146</v>
      </c>
      <c r="Q838" s="130"/>
      <c r="R838" s="130"/>
      <c r="S838" s="130"/>
      <c r="T838" s="130"/>
      <c r="U838" s="130"/>
      <c r="V838" s="130"/>
      <c r="W838" s="130"/>
      <c r="X838" s="130"/>
      <c r="Y838" s="130"/>
    </row>
    <row r="839" spans="1:25" hidden="1">
      <c r="A839" s="79">
        <v>182</v>
      </c>
      <c r="B839" s="130" t="s">
        <v>38</v>
      </c>
      <c r="C839" s="130" t="s">
        <v>43</v>
      </c>
      <c r="D839" s="81" t="s">
        <v>4444</v>
      </c>
      <c r="E839" s="97">
        <v>1</v>
      </c>
      <c r="F839" s="97" t="s">
        <v>26</v>
      </c>
      <c r="G839" s="130" t="s">
        <v>27</v>
      </c>
      <c r="H839" s="130" t="s">
        <v>28</v>
      </c>
      <c r="I839" s="130" t="s">
        <v>28</v>
      </c>
      <c r="J839" s="130" t="s">
        <v>27</v>
      </c>
      <c r="K839" s="137" t="s">
        <v>1133</v>
      </c>
      <c r="L839" s="137" t="s">
        <v>1133</v>
      </c>
      <c r="M839" s="137" t="s">
        <v>240</v>
      </c>
      <c r="N839" s="122" t="s">
        <v>31</v>
      </c>
      <c r="O839" s="130" t="s">
        <v>1149</v>
      </c>
      <c r="P839" s="130" t="s">
        <v>1146</v>
      </c>
      <c r="Q839" s="130"/>
      <c r="R839" s="130"/>
      <c r="S839" s="130"/>
      <c r="T839" s="130"/>
      <c r="U839" s="130"/>
      <c r="V839" s="130"/>
      <c r="W839" s="130"/>
      <c r="X839" s="130"/>
      <c r="Y839" s="130"/>
    </row>
    <row r="840" spans="1:25">
      <c r="A840" s="77">
        <v>183</v>
      </c>
      <c r="B840" t="s">
        <v>38</v>
      </c>
      <c r="C840" t="s">
        <v>43</v>
      </c>
      <c r="D840" s="81" t="s">
        <v>4444</v>
      </c>
      <c r="E840" s="97">
        <v>2</v>
      </c>
      <c r="F840" s="97" t="s">
        <v>54</v>
      </c>
      <c r="G840" t="s">
        <v>27</v>
      </c>
      <c r="H840" t="s">
        <v>28</v>
      </c>
      <c r="I840" t="s">
        <v>28</v>
      </c>
      <c r="J840" t="s">
        <v>28</v>
      </c>
      <c r="K840" t="s">
        <v>29</v>
      </c>
      <c r="M840" s="81" t="s">
        <v>28</v>
      </c>
      <c r="N840" s="85" t="s">
        <v>39</v>
      </c>
      <c r="O840" t="s">
        <v>1150</v>
      </c>
      <c r="P840" t="s">
        <v>33</v>
      </c>
      <c r="Q840" t="s">
        <v>1151</v>
      </c>
      <c r="R840" s="140" t="s">
        <v>4464</v>
      </c>
    </row>
    <row r="841" spans="1:25">
      <c r="A841" s="77">
        <v>183</v>
      </c>
      <c r="B841" t="s">
        <v>38</v>
      </c>
      <c r="C841" t="s">
        <v>43</v>
      </c>
      <c r="D841" s="81" t="s">
        <v>4444</v>
      </c>
      <c r="E841" s="97">
        <v>2</v>
      </c>
      <c r="F841" s="97" t="s">
        <v>54</v>
      </c>
      <c r="G841" t="s">
        <v>27</v>
      </c>
      <c r="H841" t="s">
        <v>28</v>
      </c>
      <c r="I841" t="s">
        <v>28</v>
      </c>
      <c r="J841" t="s">
        <v>28</v>
      </c>
      <c r="K841" t="s">
        <v>29</v>
      </c>
      <c r="M841" s="81" t="s">
        <v>28</v>
      </c>
      <c r="N841" s="85" t="s">
        <v>39</v>
      </c>
      <c r="O841" t="s">
        <v>1152</v>
      </c>
      <c r="P841" t="s">
        <v>754</v>
      </c>
      <c r="Q841" t="s">
        <v>1151</v>
      </c>
      <c r="R841" s="140" t="s">
        <v>4464</v>
      </c>
    </row>
    <row r="842" spans="1:25">
      <c r="A842" s="77">
        <v>183</v>
      </c>
      <c r="B842" t="s">
        <v>38</v>
      </c>
      <c r="C842" t="s">
        <v>43</v>
      </c>
      <c r="D842" s="81" t="s">
        <v>4444</v>
      </c>
      <c r="E842" s="97">
        <v>2</v>
      </c>
      <c r="F842" s="97" t="s">
        <v>54</v>
      </c>
      <c r="G842" t="s">
        <v>27</v>
      </c>
      <c r="H842" t="s">
        <v>28</v>
      </c>
      <c r="I842" t="s">
        <v>28</v>
      </c>
      <c r="J842" t="s">
        <v>28</v>
      </c>
      <c r="K842" t="s">
        <v>29</v>
      </c>
      <c r="M842" s="81" t="s">
        <v>28</v>
      </c>
      <c r="N842" s="85" t="s">
        <v>39</v>
      </c>
      <c r="O842" t="s">
        <v>1153</v>
      </c>
      <c r="P842" t="s">
        <v>754</v>
      </c>
      <c r="Q842" t="s">
        <v>1151</v>
      </c>
      <c r="R842" s="140" t="s">
        <v>4464</v>
      </c>
    </row>
    <row r="843" spans="1:25" s="130" customFormat="1" hidden="1">
      <c r="A843" s="130">
        <v>149</v>
      </c>
      <c r="B843" s="130" t="s">
        <v>940</v>
      </c>
      <c r="D843" s="81">
        <v>0</v>
      </c>
      <c r="E843" s="97">
        <v>2</v>
      </c>
      <c r="F843" s="98" t="s">
        <v>49</v>
      </c>
      <c r="G843" s="130" t="s">
        <v>27</v>
      </c>
      <c r="H843" s="130" t="s">
        <v>27</v>
      </c>
      <c r="I843" s="130" t="s">
        <v>27</v>
      </c>
      <c r="J843" s="130" t="s">
        <v>27</v>
      </c>
      <c r="K843" s="130" t="s">
        <v>828</v>
      </c>
      <c r="L843" s="130" t="s">
        <v>237</v>
      </c>
      <c r="M843" s="130" t="s">
        <v>28</v>
      </c>
      <c r="N843" s="130" t="s">
        <v>51</v>
      </c>
      <c r="O843" s="130" t="s">
        <v>1154</v>
      </c>
      <c r="P843" s="130" t="s">
        <v>767</v>
      </c>
    </row>
    <row r="844" spans="1:25">
      <c r="A844" s="77">
        <v>184</v>
      </c>
      <c r="B844" t="s">
        <v>38</v>
      </c>
      <c r="C844" t="s">
        <v>43</v>
      </c>
      <c r="D844" s="81" t="s">
        <v>4444</v>
      </c>
      <c r="E844" s="97">
        <v>2</v>
      </c>
      <c r="F844" s="97" t="s">
        <v>49</v>
      </c>
      <c r="G844" t="s">
        <v>27</v>
      </c>
      <c r="H844" t="s">
        <v>28</v>
      </c>
      <c r="I844" t="s">
        <v>28</v>
      </c>
      <c r="J844" t="s">
        <v>28</v>
      </c>
      <c r="K844" t="s">
        <v>29</v>
      </c>
      <c r="M844" s="81" t="s">
        <v>28</v>
      </c>
      <c r="N844" s="85" t="s">
        <v>39</v>
      </c>
      <c r="O844" t="s">
        <v>1155</v>
      </c>
      <c r="P844" t="s">
        <v>33</v>
      </c>
      <c r="Q844" t="s">
        <v>1156</v>
      </c>
      <c r="R844" s="140" t="s">
        <v>4464</v>
      </c>
    </row>
    <row r="845" spans="1:25">
      <c r="A845" s="77">
        <v>184</v>
      </c>
      <c r="B845" t="s">
        <v>38</v>
      </c>
      <c r="C845" t="s">
        <v>43</v>
      </c>
      <c r="D845" s="81" t="s">
        <v>4444</v>
      </c>
      <c r="E845" s="97">
        <v>2</v>
      </c>
      <c r="F845" s="97" t="s">
        <v>49</v>
      </c>
      <c r="G845" t="s">
        <v>27</v>
      </c>
      <c r="H845" t="s">
        <v>28</v>
      </c>
      <c r="I845" t="s">
        <v>28</v>
      </c>
      <c r="J845" t="s">
        <v>28</v>
      </c>
      <c r="K845" t="s">
        <v>29</v>
      </c>
      <c r="M845" s="81" t="s">
        <v>28</v>
      </c>
      <c r="N845" s="85" t="s">
        <v>39</v>
      </c>
      <c r="O845" t="s">
        <v>1157</v>
      </c>
      <c r="P845" t="s">
        <v>754</v>
      </c>
      <c r="Q845" t="s">
        <v>1156</v>
      </c>
      <c r="R845" s="140" t="s">
        <v>4464</v>
      </c>
    </row>
    <row r="846" spans="1:25">
      <c r="A846" s="77">
        <v>184</v>
      </c>
      <c r="B846" t="s">
        <v>38</v>
      </c>
      <c r="C846" t="s">
        <v>43</v>
      </c>
      <c r="D846" s="81" t="s">
        <v>4444</v>
      </c>
      <c r="E846" s="97">
        <v>2</v>
      </c>
      <c r="F846" s="97" t="s">
        <v>49</v>
      </c>
      <c r="G846" t="s">
        <v>27</v>
      </c>
      <c r="H846" t="s">
        <v>28</v>
      </c>
      <c r="I846" t="s">
        <v>28</v>
      </c>
      <c r="J846" t="s">
        <v>28</v>
      </c>
      <c r="K846" t="s">
        <v>29</v>
      </c>
      <c r="M846" s="81" t="s">
        <v>28</v>
      </c>
      <c r="N846" s="85" t="s">
        <v>39</v>
      </c>
      <c r="O846" t="s">
        <v>1158</v>
      </c>
      <c r="P846" t="s">
        <v>754</v>
      </c>
      <c r="Q846" t="s">
        <v>1156</v>
      </c>
      <c r="R846" s="140" t="s">
        <v>4464</v>
      </c>
    </row>
    <row r="847" spans="1:25">
      <c r="A847" s="77">
        <v>184</v>
      </c>
      <c r="B847" t="s">
        <v>38</v>
      </c>
      <c r="C847" t="s">
        <v>43</v>
      </c>
      <c r="D847" s="81" t="s">
        <v>4444</v>
      </c>
      <c r="E847" s="97">
        <v>2</v>
      </c>
      <c r="F847" s="97" t="s">
        <v>49</v>
      </c>
      <c r="G847" t="s">
        <v>27</v>
      </c>
      <c r="H847" t="s">
        <v>28</v>
      </c>
      <c r="I847" t="s">
        <v>28</v>
      </c>
      <c r="J847" t="s">
        <v>28</v>
      </c>
      <c r="K847" t="s">
        <v>29</v>
      </c>
      <c r="M847" s="81" t="s">
        <v>28</v>
      </c>
      <c r="N847" s="85" t="s">
        <v>39</v>
      </c>
      <c r="O847" t="s">
        <v>1159</v>
      </c>
      <c r="P847" t="s">
        <v>754</v>
      </c>
      <c r="Q847" t="s">
        <v>1156</v>
      </c>
      <c r="R847" s="140" t="s">
        <v>4464</v>
      </c>
    </row>
    <row r="848" spans="1:25">
      <c r="A848" s="77">
        <v>184</v>
      </c>
      <c r="B848" t="s">
        <v>38</v>
      </c>
      <c r="C848" t="s">
        <v>43</v>
      </c>
      <c r="D848" s="81" t="s">
        <v>4444</v>
      </c>
      <c r="E848" s="97">
        <v>2</v>
      </c>
      <c r="F848" s="97" t="s">
        <v>49</v>
      </c>
      <c r="G848" t="s">
        <v>27</v>
      </c>
      <c r="H848" t="s">
        <v>28</v>
      </c>
      <c r="I848" t="s">
        <v>28</v>
      </c>
      <c r="J848" t="s">
        <v>28</v>
      </c>
      <c r="K848" t="s">
        <v>29</v>
      </c>
      <c r="M848" s="81" t="s">
        <v>28</v>
      </c>
      <c r="N848" s="85" t="s">
        <v>39</v>
      </c>
      <c r="O848" s="132" t="s">
        <v>1160</v>
      </c>
      <c r="P848" t="s">
        <v>41</v>
      </c>
      <c r="Q848" t="s">
        <v>1161</v>
      </c>
      <c r="R848" s="140" t="s">
        <v>4464</v>
      </c>
    </row>
    <row r="849" spans="1:19" s="130" customFormat="1" hidden="1">
      <c r="A849" s="78">
        <v>185</v>
      </c>
      <c r="B849" s="130" t="s">
        <v>38</v>
      </c>
      <c r="C849" s="130" t="s">
        <v>43</v>
      </c>
      <c r="D849" s="81" t="s">
        <v>4444</v>
      </c>
      <c r="E849" s="98">
        <v>2</v>
      </c>
      <c r="F849" s="98" t="s">
        <v>67</v>
      </c>
      <c r="G849" s="130" t="s">
        <v>27</v>
      </c>
      <c r="H849" s="130" t="s">
        <v>28</v>
      </c>
      <c r="I849" s="130" t="s">
        <v>28</v>
      </c>
      <c r="J849" s="130" t="s">
        <v>27</v>
      </c>
      <c r="K849" s="130" t="s">
        <v>29</v>
      </c>
      <c r="L849" s="130" t="s">
        <v>157</v>
      </c>
      <c r="M849" s="130" t="s">
        <v>28</v>
      </c>
      <c r="N849" s="130" t="s">
        <v>1162</v>
      </c>
      <c r="O849" s="130" t="s">
        <v>1163</v>
      </c>
      <c r="P849" s="130" t="s">
        <v>33</v>
      </c>
    </row>
    <row r="850" spans="1:19">
      <c r="A850" s="77">
        <v>185</v>
      </c>
      <c r="B850" t="s">
        <v>38</v>
      </c>
      <c r="C850" t="s">
        <v>43</v>
      </c>
      <c r="D850" s="81" t="s">
        <v>4444</v>
      </c>
      <c r="E850" s="97">
        <v>2</v>
      </c>
      <c r="F850" s="97" t="s">
        <v>67</v>
      </c>
      <c r="G850" t="s">
        <v>27</v>
      </c>
      <c r="H850" t="s">
        <v>28</v>
      </c>
      <c r="I850" t="s">
        <v>28</v>
      </c>
      <c r="J850" t="s">
        <v>28</v>
      </c>
      <c r="K850" t="s">
        <v>29</v>
      </c>
      <c r="M850" s="81" t="s">
        <v>28</v>
      </c>
      <c r="N850" s="85" t="s">
        <v>39</v>
      </c>
      <c r="O850" t="s">
        <v>1164</v>
      </c>
      <c r="P850" t="s">
        <v>754</v>
      </c>
      <c r="Q850" t="s">
        <v>1165</v>
      </c>
      <c r="R850" s="140" t="s">
        <v>4464</v>
      </c>
    </row>
    <row r="851" spans="1:19">
      <c r="A851" s="77">
        <v>185</v>
      </c>
      <c r="B851" t="s">
        <v>38</v>
      </c>
      <c r="C851" t="s">
        <v>43</v>
      </c>
      <c r="D851" s="81" t="s">
        <v>4444</v>
      </c>
      <c r="E851" s="97">
        <v>2</v>
      </c>
      <c r="F851" s="97" t="s">
        <v>67</v>
      </c>
      <c r="G851" t="s">
        <v>27</v>
      </c>
      <c r="H851" t="s">
        <v>28</v>
      </c>
      <c r="I851" t="s">
        <v>28</v>
      </c>
      <c r="J851" t="s">
        <v>28</v>
      </c>
      <c r="K851" t="s">
        <v>29</v>
      </c>
      <c r="M851" s="81" t="s">
        <v>28</v>
      </c>
      <c r="N851" s="85" t="s">
        <v>39</v>
      </c>
      <c r="O851" t="s">
        <v>1166</v>
      </c>
      <c r="P851" t="s">
        <v>754</v>
      </c>
      <c r="Q851" t="s">
        <v>1165</v>
      </c>
      <c r="R851" s="140" t="s">
        <v>4464</v>
      </c>
    </row>
    <row r="852" spans="1:19">
      <c r="A852" s="77">
        <v>185</v>
      </c>
      <c r="B852" t="s">
        <v>38</v>
      </c>
      <c r="C852" t="s">
        <v>43</v>
      </c>
      <c r="D852" s="81" t="s">
        <v>4444</v>
      </c>
      <c r="E852" s="97">
        <v>2</v>
      </c>
      <c r="F852" s="97" t="s">
        <v>67</v>
      </c>
      <c r="G852" t="s">
        <v>27</v>
      </c>
      <c r="H852" t="s">
        <v>28</v>
      </c>
      <c r="I852" t="s">
        <v>28</v>
      </c>
      <c r="J852" t="s">
        <v>28</v>
      </c>
      <c r="K852" t="s">
        <v>29</v>
      </c>
      <c r="M852" s="81" t="s">
        <v>28</v>
      </c>
      <c r="N852" s="85" t="s">
        <v>39</v>
      </c>
      <c r="O852" t="s">
        <v>1167</v>
      </c>
      <c r="P852" t="s">
        <v>754</v>
      </c>
      <c r="Q852" t="s">
        <v>1165</v>
      </c>
      <c r="R852" s="140" t="s">
        <v>4464</v>
      </c>
    </row>
    <row r="853" spans="1:19" s="130" customFormat="1">
      <c r="A853" s="77">
        <v>186</v>
      </c>
      <c r="B853" t="s">
        <v>38</v>
      </c>
      <c r="C853" t="s">
        <v>43</v>
      </c>
      <c r="D853" s="81" t="s">
        <v>4444</v>
      </c>
      <c r="E853" s="97">
        <v>3</v>
      </c>
      <c r="F853" s="97" t="s">
        <v>74</v>
      </c>
      <c r="G853" t="s">
        <v>27</v>
      </c>
      <c r="H853" t="s">
        <v>28</v>
      </c>
      <c r="I853" t="s">
        <v>28</v>
      </c>
      <c r="J853" t="s">
        <v>28</v>
      </c>
      <c r="K853" t="s">
        <v>29</v>
      </c>
      <c r="M853" s="81" t="s">
        <v>28</v>
      </c>
      <c r="N853" s="85" t="s">
        <v>39</v>
      </c>
      <c r="O853" t="s">
        <v>1168</v>
      </c>
      <c r="P853" t="s">
        <v>33</v>
      </c>
      <c r="Q853" t="s">
        <v>1169</v>
      </c>
      <c r="R853" s="140" t="s">
        <v>4464</v>
      </c>
    </row>
    <row r="854" spans="1:19" s="130" customFormat="1">
      <c r="A854" s="77">
        <v>186</v>
      </c>
      <c r="B854" t="s">
        <v>38</v>
      </c>
      <c r="C854" t="s">
        <v>43</v>
      </c>
      <c r="D854" s="81" t="s">
        <v>4444</v>
      </c>
      <c r="E854" s="97">
        <v>3</v>
      </c>
      <c r="F854" s="97" t="s">
        <v>74</v>
      </c>
      <c r="G854" t="s">
        <v>27</v>
      </c>
      <c r="H854" t="s">
        <v>28</v>
      </c>
      <c r="I854" t="s">
        <v>28</v>
      </c>
      <c r="J854" t="s">
        <v>28</v>
      </c>
      <c r="K854" t="s">
        <v>29</v>
      </c>
      <c r="M854" s="81" t="s">
        <v>28</v>
      </c>
      <c r="N854" s="85" t="s">
        <v>39</v>
      </c>
      <c r="O854" t="s">
        <v>1170</v>
      </c>
      <c r="P854" t="s">
        <v>754</v>
      </c>
      <c r="Q854" t="s">
        <v>1169</v>
      </c>
      <c r="R854" s="140" t="s">
        <v>4464</v>
      </c>
    </row>
    <row r="855" spans="1:19" s="130" customFormat="1">
      <c r="A855" s="77">
        <v>186</v>
      </c>
      <c r="B855" t="s">
        <v>38</v>
      </c>
      <c r="C855" t="s">
        <v>43</v>
      </c>
      <c r="D855" s="81" t="s">
        <v>4444</v>
      </c>
      <c r="E855" s="97">
        <v>3</v>
      </c>
      <c r="F855" s="97" t="s">
        <v>74</v>
      </c>
      <c r="G855" t="s">
        <v>27</v>
      </c>
      <c r="H855" t="s">
        <v>28</v>
      </c>
      <c r="I855" t="s">
        <v>28</v>
      </c>
      <c r="J855" t="s">
        <v>28</v>
      </c>
      <c r="K855" t="s">
        <v>29</v>
      </c>
      <c r="M855" s="81" t="s">
        <v>28</v>
      </c>
      <c r="N855" s="85" t="s">
        <v>39</v>
      </c>
      <c r="O855" t="s">
        <v>1171</v>
      </c>
      <c r="P855" t="s">
        <v>754</v>
      </c>
      <c r="Q855" t="s">
        <v>1169</v>
      </c>
      <c r="R855" s="140" t="s">
        <v>4464</v>
      </c>
    </row>
    <row r="856" spans="1:19">
      <c r="A856" s="77">
        <v>186</v>
      </c>
      <c r="B856" t="s">
        <v>38</v>
      </c>
      <c r="C856" t="s">
        <v>43</v>
      </c>
      <c r="D856" s="81" t="s">
        <v>4444</v>
      </c>
      <c r="E856" s="97">
        <v>3</v>
      </c>
      <c r="F856" s="97" t="s">
        <v>74</v>
      </c>
      <c r="G856" t="s">
        <v>27</v>
      </c>
      <c r="H856" t="s">
        <v>28</v>
      </c>
      <c r="I856" t="s">
        <v>28</v>
      </c>
      <c r="J856" t="s">
        <v>28</v>
      </c>
      <c r="K856" t="s">
        <v>29</v>
      </c>
      <c r="M856" s="81" t="s">
        <v>28</v>
      </c>
      <c r="N856" s="85" t="s">
        <v>39</v>
      </c>
      <c r="O856" t="s">
        <v>1172</v>
      </c>
      <c r="P856" t="s">
        <v>754</v>
      </c>
      <c r="Q856" t="s">
        <v>1169</v>
      </c>
      <c r="R856" s="140" t="s">
        <v>4464</v>
      </c>
    </row>
    <row r="857" spans="1:19">
      <c r="A857" s="77">
        <v>187</v>
      </c>
      <c r="B857" t="s">
        <v>38</v>
      </c>
      <c r="C857" t="s">
        <v>43</v>
      </c>
      <c r="D857" s="81" t="s">
        <v>4444</v>
      </c>
      <c r="E857" s="97">
        <v>3</v>
      </c>
      <c r="F857" s="97" t="s">
        <v>180</v>
      </c>
      <c r="G857" t="s">
        <v>27</v>
      </c>
      <c r="H857" t="s">
        <v>28</v>
      </c>
      <c r="I857" t="s">
        <v>28</v>
      </c>
      <c r="J857" t="s">
        <v>28</v>
      </c>
      <c r="K857" t="s">
        <v>29</v>
      </c>
      <c r="M857" s="81" t="s">
        <v>28</v>
      </c>
      <c r="N857" s="85" t="s">
        <v>39</v>
      </c>
      <c r="O857" t="s">
        <v>1173</v>
      </c>
      <c r="P857" t="s">
        <v>33</v>
      </c>
      <c r="Q857" t="s">
        <v>1174</v>
      </c>
      <c r="R857" s="140" t="s">
        <v>4464</v>
      </c>
    </row>
    <row r="858" spans="1:19">
      <c r="A858" s="77">
        <v>187</v>
      </c>
      <c r="B858" t="s">
        <v>38</v>
      </c>
      <c r="C858" t="s">
        <v>43</v>
      </c>
      <c r="D858" s="81" t="s">
        <v>4444</v>
      </c>
      <c r="E858" s="97">
        <v>3</v>
      </c>
      <c r="F858" s="97" t="s">
        <v>180</v>
      </c>
      <c r="G858" t="s">
        <v>27</v>
      </c>
      <c r="H858" t="s">
        <v>28</v>
      </c>
      <c r="I858" t="s">
        <v>28</v>
      </c>
      <c r="J858" t="s">
        <v>28</v>
      </c>
      <c r="K858" t="s">
        <v>29</v>
      </c>
      <c r="M858" s="81" t="s">
        <v>28</v>
      </c>
      <c r="N858" s="85" t="s">
        <v>39</v>
      </c>
      <c r="O858" t="s">
        <v>1175</v>
      </c>
      <c r="P858" t="s">
        <v>1176</v>
      </c>
      <c r="Q858" t="s">
        <v>1177</v>
      </c>
      <c r="R858" s="140" t="s">
        <v>4464</v>
      </c>
    </row>
    <row r="859" spans="1:19">
      <c r="A859" s="77">
        <v>187</v>
      </c>
      <c r="B859" t="s">
        <v>38</v>
      </c>
      <c r="C859" t="s">
        <v>43</v>
      </c>
      <c r="D859" s="81" t="s">
        <v>4444</v>
      </c>
      <c r="E859" s="97">
        <v>3</v>
      </c>
      <c r="F859" s="97" t="s">
        <v>180</v>
      </c>
      <c r="G859" t="s">
        <v>27</v>
      </c>
      <c r="H859" t="s">
        <v>28</v>
      </c>
      <c r="I859" t="s">
        <v>28</v>
      </c>
      <c r="J859" t="s">
        <v>28</v>
      </c>
      <c r="K859" t="s">
        <v>29</v>
      </c>
      <c r="M859" s="81" t="s">
        <v>28</v>
      </c>
      <c r="N859" s="85" t="s">
        <v>39</v>
      </c>
      <c r="O859" t="s">
        <v>1178</v>
      </c>
      <c r="P859" t="s">
        <v>1176</v>
      </c>
      <c r="Q859" t="s">
        <v>1179</v>
      </c>
      <c r="R859" s="140" t="s">
        <v>4464</v>
      </c>
    </row>
    <row r="860" spans="1:19">
      <c r="A860" s="77">
        <v>187</v>
      </c>
      <c r="B860" t="s">
        <v>38</v>
      </c>
      <c r="C860" t="s">
        <v>43</v>
      </c>
      <c r="D860" s="81" t="s">
        <v>4444</v>
      </c>
      <c r="E860" s="97">
        <v>3</v>
      </c>
      <c r="F860" s="97" t="s">
        <v>180</v>
      </c>
      <c r="G860" t="s">
        <v>27</v>
      </c>
      <c r="H860" t="s">
        <v>28</v>
      </c>
      <c r="I860" t="s">
        <v>28</v>
      </c>
      <c r="J860" t="s">
        <v>28</v>
      </c>
      <c r="K860" t="s">
        <v>29</v>
      </c>
      <c r="M860" s="81" t="s">
        <v>28</v>
      </c>
      <c r="N860" s="85" t="s">
        <v>39</v>
      </c>
      <c r="O860" t="s">
        <v>1180</v>
      </c>
      <c r="P860" t="s">
        <v>1176</v>
      </c>
      <c r="Q860" t="s">
        <v>1179</v>
      </c>
      <c r="R860" s="140" t="s">
        <v>4464</v>
      </c>
    </row>
    <row r="861" spans="1:19" s="130" customFormat="1" hidden="1">
      <c r="A861" s="130">
        <v>151</v>
      </c>
      <c r="B861" s="130" t="s">
        <v>940</v>
      </c>
      <c r="D861" s="81">
        <v>0</v>
      </c>
      <c r="E861" s="97">
        <v>3</v>
      </c>
      <c r="F861" s="98" t="s">
        <v>74</v>
      </c>
      <c r="G861" s="130" t="s">
        <v>27</v>
      </c>
      <c r="H861" s="130" t="s">
        <v>27</v>
      </c>
      <c r="I861" s="130" t="s">
        <v>27</v>
      </c>
      <c r="J861" s="130" t="s">
        <v>27</v>
      </c>
      <c r="K861" s="130" t="s">
        <v>828</v>
      </c>
      <c r="L861" s="130" t="s">
        <v>721</v>
      </c>
      <c r="M861" s="130" t="s">
        <v>28</v>
      </c>
      <c r="N861" s="130" t="s">
        <v>51</v>
      </c>
      <c r="O861" s="130" t="s">
        <v>1181</v>
      </c>
      <c r="P861" s="130" t="s">
        <v>767</v>
      </c>
    </row>
    <row r="862" spans="1:19" s="130" customFormat="1">
      <c r="A862" s="77">
        <v>188</v>
      </c>
      <c r="B862" t="s">
        <v>38</v>
      </c>
      <c r="C862" t="s">
        <v>48</v>
      </c>
      <c r="D862" s="81" t="s">
        <v>4445</v>
      </c>
      <c r="E862" s="97">
        <v>1</v>
      </c>
      <c r="F862" s="97" t="s">
        <v>26</v>
      </c>
      <c r="G862" t="s">
        <v>27</v>
      </c>
      <c r="H862" t="s">
        <v>28</v>
      </c>
      <c r="I862" t="s">
        <v>27</v>
      </c>
      <c r="J862" t="s">
        <v>28</v>
      </c>
      <c r="K862" t="s">
        <v>29</v>
      </c>
      <c r="M862" s="81" t="s">
        <v>28</v>
      </c>
      <c r="N862" s="85" t="s">
        <v>39</v>
      </c>
      <c r="O862" t="s">
        <v>1182</v>
      </c>
      <c r="P862" s="132" t="s">
        <v>93</v>
      </c>
      <c r="Q862" s="132" t="s">
        <v>1183</v>
      </c>
      <c r="R862" s="140" t="s">
        <v>4463</v>
      </c>
      <c r="S862" s="132"/>
    </row>
    <row r="863" spans="1:19" s="130" customFormat="1">
      <c r="A863" s="77">
        <v>188</v>
      </c>
      <c r="B863" t="s">
        <v>38</v>
      </c>
      <c r="C863" t="s">
        <v>48</v>
      </c>
      <c r="D863" s="81" t="s">
        <v>4445</v>
      </c>
      <c r="E863" s="97">
        <v>1</v>
      </c>
      <c r="F863" s="97" t="s">
        <v>26</v>
      </c>
      <c r="G863" t="s">
        <v>27</v>
      </c>
      <c r="H863" t="s">
        <v>28</v>
      </c>
      <c r="I863" t="s">
        <v>27</v>
      </c>
      <c r="J863" t="s">
        <v>28</v>
      </c>
      <c r="K863" t="s">
        <v>29</v>
      </c>
      <c r="M863" s="81" t="s">
        <v>240</v>
      </c>
      <c r="N863" s="85" t="s">
        <v>62</v>
      </c>
      <c r="O863" t="s">
        <v>1184</v>
      </c>
      <c r="P863" s="132" t="s">
        <v>752</v>
      </c>
      <c r="Q863" s="132" t="s">
        <v>1185</v>
      </c>
      <c r="R863" s="140" t="s">
        <v>4463</v>
      </c>
      <c r="S863" s="132"/>
    </row>
    <row r="864" spans="1:19">
      <c r="A864" s="77">
        <v>188</v>
      </c>
      <c r="B864" t="s">
        <v>38</v>
      </c>
      <c r="C864" t="s">
        <v>48</v>
      </c>
      <c r="D864" s="81" t="s">
        <v>4445</v>
      </c>
      <c r="E864" s="97">
        <v>1</v>
      </c>
      <c r="F864" s="97" t="s">
        <v>26</v>
      </c>
      <c r="G864" t="s">
        <v>27</v>
      </c>
      <c r="H864" t="s">
        <v>28</v>
      </c>
      <c r="I864" t="s">
        <v>27</v>
      </c>
      <c r="J864" t="s">
        <v>28</v>
      </c>
      <c r="K864" t="s">
        <v>29</v>
      </c>
      <c r="M864" s="81" t="s">
        <v>240</v>
      </c>
      <c r="N864" s="85" t="s">
        <v>62</v>
      </c>
      <c r="O864" t="s">
        <v>1186</v>
      </c>
      <c r="P864" s="132" t="s">
        <v>752</v>
      </c>
      <c r="Q864" s="132" t="s">
        <v>1185</v>
      </c>
      <c r="R864" s="140" t="s">
        <v>4463</v>
      </c>
      <c r="S864" s="132"/>
    </row>
    <row r="865" spans="1:25" hidden="1">
      <c r="A865" s="78">
        <v>188</v>
      </c>
      <c r="B865" s="130" t="s">
        <v>38</v>
      </c>
      <c r="C865" s="130" t="s">
        <v>48</v>
      </c>
      <c r="D865" s="81" t="s">
        <v>4445</v>
      </c>
      <c r="E865" s="97">
        <v>1</v>
      </c>
      <c r="F865" s="97" t="s">
        <v>26</v>
      </c>
      <c r="G865" s="130" t="s">
        <v>27</v>
      </c>
      <c r="H865" s="130" t="s">
        <v>28</v>
      </c>
      <c r="I865" s="130" t="s">
        <v>27</v>
      </c>
      <c r="J865" s="130" t="s">
        <v>27</v>
      </c>
      <c r="K865" s="130" t="s">
        <v>1187</v>
      </c>
      <c r="L865" s="130" t="s">
        <v>1187</v>
      </c>
      <c r="M865" s="130" t="s">
        <v>240</v>
      </c>
      <c r="N865" s="123" t="s">
        <v>31</v>
      </c>
      <c r="O865" s="130" t="s">
        <v>1188</v>
      </c>
      <c r="P865" s="136" t="s">
        <v>752</v>
      </c>
      <c r="Q865" s="136"/>
      <c r="R865" s="136"/>
      <c r="S865" s="136"/>
      <c r="T865" s="130"/>
      <c r="U865" s="130"/>
      <c r="V865" s="130"/>
      <c r="W865" s="130"/>
      <c r="X865" s="130"/>
      <c r="Y865" s="130"/>
    </row>
    <row r="866" spans="1:25" hidden="1">
      <c r="A866" s="78">
        <v>189</v>
      </c>
      <c r="B866" s="130" t="s">
        <v>38</v>
      </c>
      <c r="C866" s="130" t="s">
        <v>48</v>
      </c>
      <c r="D866" s="81" t="s">
        <v>4444</v>
      </c>
      <c r="E866" s="97">
        <v>2</v>
      </c>
      <c r="F866" s="97" t="s">
        <v>54</v>
      </c>
      <c r="G866" s="130" t="s">
        <v>27</v>
      </c>
      <c r="H866" s="130" t="s">
        <v>28</v>
      </c>
      <c r="I866" s="130" t="s">
        <v>27</v>
      </c>
      <c r="J866" s="130" t="s">
        <v>27</v>
      </c>
      <c r="K866" s="130" t="s">
        <v>1187</v>
      </c>
      <c r="L866" s="130" t="s">
        <v>1187</v>
      </c>
      <c r="M866" s="130" t="s">
        <v>240</v>
      </c>
      <c r="N866" s="123" t="s">
        <v>31</v>
      </c>
      <c r="O866" s="130" t="s">
        <v>1189</v>
      </c>
      <c r="P866" s="136" t="s">
        <v>380</v>
      </c>
      <c r="Q866" s="136"/>
      <c r="R866" s="136"/>
      <c r="S866" s="136"/>
      <c r="T866" s="130"/>
      <c r="U866" s="130"/>
      <c r="V866" s="130"/>
      <c r="W866" s="130"/>
      <c r="X866" s="130"/>
      <c r="Y866" s="130"/>
    </row>
    <row r="867" spans="1:25" hidden="1">
      <c r="A867" s="78">
        <v>189</v>
      </c>
      <c r="B867" s="130" t="s">
        <v>38</v>
      </c>
      <c r="C867" s="130" t="s">
        <v>48</v>
      </c>
      <c r="D867" s="81" t="s">
        <v>4444</v>
      </c>
      <c r="E867" s="97">
        <v>2</v>
      </c>
      <c r="F867" s="97" t="s">
        <v>54</v>
      </c>
      <c r="G867" s="130" t="s">
        <v>27</v>
      </c>
      <c r="H867" s="130" t="s">
        <v>28</v>
      </c>
      <c r="I867" s="130" t="s">
        <v>27</v>
      </c>
      <c r="J867" s="130" t="s">
        <v>27</v>
      </c>
      <c r="K867" s="130" t="s">
        <v>1187</v>
      </c>
      <c r="L867" s="130" t="s">
        <v>1187</v>
      </c>
      <c r="M867" s="130" t="s">
        <v>240</v>
      </c>
      <c r="N867" s="123" t="s">
        <v>31</v>
      </c>
      <c r="O867" s="130" t="s">
        <v>1190</v>
      </c>
      <c r="P867" s="136" t="s">
        <v>380</v>
      </c>
      <c r="Q867" s="136"/>
      <c r="R867" s="136"/>
      <c r="S867" s="136"/>
      <c r="T867" s="130"/>
      <c r="U867" s="130"/>
      <c r="V867" s="130"/>
      <c r="W867" s="130"/>
      <c r="X867" s="130"/>
      <c r="Y867" s="130"/>
    </row>
    <row r="868" spans="1:25" s="130" customFormat="1" hidden="1">
      <c r="A868" s="78">
        <v>189</v>
      </c>
      <c r="B868" s="130" t="s">
        <v>38</v>
      </c>
      <c r="C868" s="130" t="s">
        <v>48</v>
      </c>
      <c r="D868" s="81" t="s">
        <v>4444</v>
      </c>
      <c r="E868" s="97">
        <v>2</v>
      </c>
      <c r="F868" s="97" t="s">
        <v>54</v>
      </c>
      <c r="G868" s="130" t="s">
        <v>27</v>
      </c>
      <c r="H868" s="130" t="s">
        <v>28</v>
      </c>
      <c r="I868" s="130" t="s">
        <v>27</v>
      </c>
      <c r="J868" s="130" t="s">
        <v>27</v>
      </c>
      <c r="K868" s="130" t="s">
        <v>1187</v>
      </c>
      <c r="L868" s="130" t="s">
        <v>1187</v>
      </c>
      <c r="M868" s="130" t="s">
        <v>240</v>
      </c>
      <c r="N868" s="123" t="s">
        <v>31</v>
      </c>
      <c r="O868" s="130" t="s">
        <v>1191</v>
      </c>
      <c r="P868" s="136" t="s">
        <v>380</v>
      </c>
      <c r="Q868" s="136"/>
      <c r="R868" s="136"/>
      <c r="S868" s="136"/>
    </row>
    <row r="869" spans="1:25" s="130" customFormat="1">
      <c r="A869" s="103">
        <v>189</v>
      </c>
      <c r="B869" s="85" t="s">
        <v>38</v>
      </c>
      <c r="C869" s="85" t="s">
        <v>48</v>
      </c>
      <c r="D869" s="81" t="s">
        <v>4444</v>
      </c>
      <c r="E869" s="97">
        <v>2</v>
      </c>
      <c r="F869" s="97" t="s">
        <v>54</v>
      </c>
      <c r="G869" t="s">
        <v>27</v>
      </c>
      <c r="H869" t="s">
        <v>28</v>
      </c>
      <c r="I869" t="s">
        <v>27</v>
      </c>
      <c r="J869" t="s">
        <v>28</v>
      </c>
      <c r="K869" t="s">
        <v>29</v>
      </c>
      <c r="M869" s="81" t="s">
        <v>28</v>
      </c>
      <c r="N869" s="85" t="s">
        <v>39</v>
      </c>
      <c r="O869" s="132" t="s">
        <v>1192</v>
      </c>
      <c r="P869" s="132" t="s">
        <v>475</v>
      </c>
      <c r="Q869" s="132" t="s">
        <v>1193</v>
      </c>
      <c r="R869" s="140" t="s">
        <v>4464</v>
      </c>
      <c r="S869" s="132"/>
    </row>
    <row r="870" spans="1:25" s="130" customFormat="1">
      <c r="A870" s="103">
        <v>189</v>
      </c>
      <c r="B870" s="85" t="s">
        <v>38</v>
      </c>
      <c r="C870" s="85" t="s">
        <v>48</v>
      </c>
      <c r="D870" s="81" t="s">
        <v>4444</v>
      </c>
      <c r="E870" s="97">
        <v>2</v>
      </c>
      <c r="F870" s="97" t="s">
        <v>54</v>
      </c>
      <c r="G870" t="s">
        <v>27</v>
      </c>
      <c r="H870" t="s">
        <v>28</v>
      </c>
      <c r="I870" t="s">
        <v>27</v>
      </c>
      <c r="J870" t="s">
        <v>28</v>
      </c>
      <c r="K870" t="s">
        <v>29</v>
      </c>
      <c r="M870" s="81" t="s">
        <v>28</v>
      </c>
      <c r="N870" s="85" t="s">
        <v>39</v>
      </c>
      <c r="O870" s="132" t="s">
        <v>1194</v>
      </c>
      <c r="P870" s="132" t="s">
        <v>475</v>
      </c>
      <c r="Q870" s="132" t="s">
        <v>1193</v>
      </c>
      <c r="R870" s="140" t="s">
        <v>4464</v>
      </c>
      <c r="S870" s="132"/>
    </row>
    <row r="871" spans="1:25">
      <c r="A871" s="103">
        <v>189</v>
      </c>
      <c r="B871" s="85" t="s">
        <v>38</v>
      </c>
      <c r="C871" s="85" t="s">
        <v>48</v>
      </c>
      <c r="D871" s="81" t="s">
        <v>4444</v>
      </c>
      <c r="E871" s="97">
        <v>2</v>
      </c>
      <c r="F871" s="97" t="s">
        <v>54</v>
      </c>
      <c r="G871" t="s">
        <v>27</v>
      </c>
      <c r="H871" t="s">
        <v>28</v>
      </c>
      <c r="I871" t="s">
        <v>27</v>
      </c>
      <c r="J871" t="s">
        <v>28</v>
      </c>
      <c r="K871" t="s">
        <v>29</v>
      </c>
      <c r="M871" s="81" t="s">
        <v>28</v>
      </c>
      <c r="N871" s="85" t="s">
        <v>39</v>
      </c>
      <c r="O871" s="132" t="s">
        <v>1195</v>
      </c>
      <c r="P871" s="132" t="s">
        <v>475</v>
      </c>
      <c r="Q871" s="132" t="s">
        <v>1193</v>
      </c>
      <c r="R871" s="140" t="s">
        <v>4464</v>
      </c>
      <c r="S871" s="132"/>
    </row>
    <row r="872" spans="1:25" s="130" customFormat="1" hidden="1">
      <c r="A872" s="130">
        <v>162</v>
      </c>
      <c r="B872" s="130" t="s">
        <v>405</v>
      </c>
      <c r="D872" s="81">
        <v>0</v>
      </c>
      <c r="E872" s="97">
        <v>2</v>
      </c>
      <c r="F872" s="98" t="s">
        <v>54</v>
      </c>
      <c r="G872" s="130" t="s">
        <v>27</v>
      </c>
      <c r="H872" s="130" t="s">
        <v>27</v>
      </c>
      <c r="I872" s="130" t="s">
        <v>27</v>
      </c>
      <c r="J872" s="130" t="s">
        <v>27</v>
      </c>
      <c r="K872" s="130" t="s">
        <v>828</v>
      </c>
      <c r="L872" s="130" t="s">
        <v>237</v>
      </c>
      <c r="M872" s="130" t="s">
        <v>28</v>
      </c>
      <c r="N872" s="130" t="s">
        <v>51</v>
      </c>
      <c r="O872" s="130" t="s">
        <v>1196</v>
      </c>
      <c r="P872" s="130" t="s">
        <v>767</v>
      </c>
    </row>
    <row r="873" spans="1:25">
      <c r="A873" s="77">
        <v>190</v>
      </c>
      <c r="B873" t="s">
        <v>38</v>
      </c>
      <c r="C873" t="s">
        <v>48</v>
      </c>
      <c r="D873" s="81" t="s">
        <v>4445</v>
      </c>
      <c r="E873" s="97">
        <v>2</v>
      </c>
      <c r="F873" s="97" t="s">
        <v>49</v>
      </c>
      <c r="G873" t="s">
        <v>27</v>
      </c>
      <c r="H873" t="s">
        <v>28</v>
      </c>
      <c r="I873" t="s">
        <v>27</v>
      </c>
      <c r="J873" t="s">
        <v>28</v>
      </c>
      <c r="K873" t="s">
        <v>29</v>
      </c>
      <c r="M873" s="81" t="s">
        <v>28</v>
      </c>
      <c r="N873" s="85" t="s">
        <v>39</v>
      </c>
      <c r="O873" t="s">
        <v>1197</v>
      </c>
      <c r="P873" s="132" t="s">
        <v>752</v>
      </c>
      <c r="Q873" s="132" t="s">
        <v>1198</v>
      </c>
      <c r="R873" s="140" t="s">
        <v>4463</v>
      </c>
      <c r="S873" s="132"/>
    </row>
    <row r="874" spans="1:25">
      <c r="A874" s="77">
        <v>190</v>
      </c>
      <c r="B874" t="s">
        <v>38</v>
      </c>
      <c r="C874" t="s">
        <v>48</v>
      </c>
      <c r="D874" s="81" t="s">
        <v>4445</v>
      </c>
      <c r="E874" s="97">
        <v>2</v>
      </c>
      <c r="F874" s="97" t="s">
        <v>49</v>
      </c>
      <c r="G874" t="s">
        <v>27</v>
      </c>
      <c r="H874" t="s">
        <v>28</v>
      </c>
      <c r="I874" t="s">
        <v>27</v>
      </c>
      <c r="J874" t="s">
        <v>28</v>
      </c>
      <c r="K874" t="s">
        <v>29</v>
      </c>
      <c r="M874" s="81" t="s">
        <v>28</v>
      </c>
      <c r="N874" s="85" t="s">
        <v>39</v>
      </c>
      <c r="O874" t="s">
        <v>1199</v>
      </c>
      <c r="P874" s="132" t="s">
        <v>752</v>
      </c>
      <c r="Q874" s="132" t="s">
        <v>1198</v>
      </c>
      <c r="R874" s="140" t="s">
        <v>4463</v>
      </c>
      <c r="S874" s="132"/>
    </row>
    <row r="875" spans="1:25" s="130" customFormat="1" hidden="1">
      <c r="A875" s="130">
        <v>162</v>
      </c>
      <c r="B875" s="130" t="s">
        <v>405</v>
      </c>
      <c r="D875" s="81">
        <v>0</v>
      </c>
      <c r="E875" s="97">
        <v>2</v>
      </c>
      <c r="F875" s="98" t="s">
        <v>54</v>
      </c>
      <c r="G875" s="130" t="s">
        <v>27</v>
      </c>
      <c r="H875" s="130" t="s">
        <v>27</v>
      </c>
      <c r="I875" s="130" t="s">
        <v>27</v>
      </c>
      <c r="J875" s="130" t="s">
        <v>27</v>
      </c>
      <c r="K875" s="130" t="s">
        <v>828</v>
      </c>
      <c r="L875" s="130" t="s">
        <v>237</v>
      </c>
      <c r="M875" s="130" t="s">
        <v>28</v>
      </c>
      <c r="N875" s="130" t="s">
        <v>51</v>
      </c>
      <c r="O875" s="130" t="s">
        <v>1200</v>
      </c>
      <c r="P875" s="130" t="s">
        <v>767</v>
      </c>
    </row>
    <row r="876" spans="1:25" s="130" customFormat="1" hidden="1">
      <c r="A876" s="130">
        <v>162</v>
      </c>
      <c r="B876" s="130" t="s">
        <v>405</v>
      </c>
      <c r="D876" s="81">
        <v>0</v>
      </c>
      <c r="E876" s="97">
        <v>2</v>
      </c>
      <c r="F876" s="98" t="s">
        <v>54</v>
      </c>
      <c r="G876" s="130" t="s">
        <v>27</v>
      </c>
      <c r="H876" s="130" t="s">
        <v>27</v>
      </c>
      <c r="I876" s="130" t="s">
        <v>27</v>
      </c>
      <c r="J876" s="130" t="s">
        <v>27</v>
      </c>
      <c r="K876" s="130" t="s">
        <v>828</v>
      </c>
      <c r="L876" s="130" t="s">
        <v>237</v>
      </c>
      <c r="M876" s="130" t="s">
        <v>28</v>
      </c>
      <c r="N876" s="130" t="s">
        <v>51</v>
      </c>
      <c r="O876" s="130" t="s">
        <v>1201</v>
      </c>
      <c r="P876" s="130" t="s">
        <v>767</v>
      </c>
    </row>
    <row r="877" spans="1:25">
      <c r="A877" s="77">
        <v>191</v>
      </c>
      <c r="B877" t="s">
        <v>38</v>
      </c>
      <c r="C877" t="s">
        <v>48</v>
      </c>
      <c r="D877" s="81" t="s">
        <v>4444</v>
      </c>
      <c r="E877" s="97">
        <v>2</v>
      </c>
      <c r="F877" s="97" t="s">
        <v>67</v>
      </c>
      <c r="G877" t="s">
        <v>27</v>
      </c>
      <c r="H877" t="s">
        <v>28</v>
      </c>
      <c r="I877" t="s">
        <v>27</v>
      </c>
      <c r="J877" t="s">
        <v>28</v>
      </c>
      <c r="K877" t="s">
        <v>29</v>
      </c>
      <c r="M877" s="81" t="s">
        <v>28</v>
      </c>
      <c r="N877" s="85" t="s">
        <v>39</v>
      </c>
      <c r="O877" t="s">
        <v>1202</v>
      </c>
      <c r="P877" s="132" t="s">
        <v>475</v>
      </c>
      <c r="Q877" s="132" t="s">
        <v>1203</v>
      </c>
      <c r="R877" s="140" t="s">
        <v>4464</v>
      </c>
      <c r="S877" s="132"/>
    </row>
    <row r="878" spans="1:25">
      <c r="A878" s="77">
        <v>191</v>
      </c>
      <c r="B878" t="s">
        <v>38</v>
      </c>
      <c r="C878" t="s">
        <v>48</v>
      </c>
      <c r="D878" s="81" t="s">
        <v>4444</v>
      </c>
      <c r="E878" s="97">
        <v>2</v>
      </c>
      <c r="F878" s="97" t="s">
        <v>67</v>
      </c>
      <c r="G878" t="s">
        <v>27</v>
      </c>
      <c r="H878" t="s">
        <v>28</v>
      </c>
      <c r="I878" t="s">
        <v>27</v>
      </c>
      <c r="J878" t="s">
        <v>28</v>
      </c>
      <c r="K878" t="s">
        <v>29</v>
      </c>
      <c r="M878" s="81" t="s">
        <v>28</v>
      </c>
      <c r="N878" s="85" t="s">
        <v>39</v>
      </c>
      <c r="O878" t="s">
        <v>1204</v>
      </c>
      <c r="P878" s="132" t="s">
        <v>475</v>
      </c>
      <c r="Q878" s="132" t="s">
        <v>1203</v>
      </c>
      <c r="R878" s="140" t="s">
        <v>4464</v>
      </c>
      <c r="S878" s="132"/>
    </row>
    <row r="879" spans="1:25" s="137" customFormat="1">
      <c r="A879" s="77">
        <v>191</v>
      </c>
      <c r="B879" t="s">
        <v>38</v>
      </c>
      <c r="C879" t="s">
        <v>48</v>
      </c>
      <c r="D879" s="81" t="s">
        <v>4444</v>
      </c>
      <c r="E879" s="97">
        <v>2</v>
      </c>
      <c r="F879" s="97" t="s">
        <v>67</v>
      </c>
      <c r="G879" t="s">
        <v>27</v>
      </c>
      <c r="H879" t="s">
        <v>28</v>
      </c>
      <c r="I879" t="s">
        <v>27</v>
      </c>
      <c r="J879" t="s">
        <v>28</v>
      </c>
      <c r="K879" t="s">
        <v>29</v>
      </c>
      <c r="M879" s="81" t="s">
        <v>28</v>
      </c>
      <c r="N879" s="85" t="s">
        <v>39</v>
      </c>
      <c r="O879" t="s">
        <v>1205</v>
      </c>
      <c r="P879" s="132" t="s">
        <v>475</v>
      </c>
      <c r="Q879" s="132" t="s">
        <v>1203</v>
      </c>
      <c r="R879" s="140" t="s">
        <v>4464</v>
      </c>
      <c r="S879" s="132"/>
    </row>
    <row r="880" spans="1:25" s="137" customFormat="1">
      <c r="A880" s="77">
        <v>192</v>
      </c>
      <c r="B880" t="s">
        <v>38</v>
      </c>
      <c r="C880" t="s">
        <v>48</v>
      </c>
      <c r="D880" s="81" t="s">
        <v>4445</v>
      </c>
      <c r="E880" s="97">
        <v>3</v>
      </c>
      <c r="F880" s="97" t="s">
        <v>74</v>
      </c>
      <c r="G880" t="s">
        <v>27</v>
      </c>
      <c r="H880" t="s">
        <v>28</v>
      </c>
      <c r="I880" t="s">
        <v>27</v>
      </c>
      <c r="J880" t="s">
        <v>28</v>
      </c>
      <c r="K880" t="s">
        <v>29</v>
      </c>
      <c r="M880" s="81" t="s">
        <v>28</v>
      </c>
      <c r="N880" s="85" t="s">
        <v>39</v>
      </c>
      <c r="O880" t="s">
        <v>1206</v>
      </c>
      <c r="P880" s="132" t="s">
        <v>93</v>
      </c>
      <c r="Q880" s="132" t="s">
        <v>1207</v>
      </c>
      <c r="R880" s="140" t="s">
        <v>4463</v>
      </c>
      <c r="S880" s="132"/>
    </row>
    <row r="881" spans="1:19">
      <c r="A881" s="77">
        <v>192</v>
      </c>
      <c r="B881" t="s">
        <v>38</v>
      </c>
      <c r="C881" t="s">
        <v>48</v>
      </c>
      <c r="D881" s="81" t="s">
        <v>4445</v>
      </c>
      <c r="E881" s="97">
        <v>3</v>
      </c>
      <c r="F881" s="97" t="s">
        <v>74</v>
      </c>
      <c r="G881" t="s">
        <v>27</v>
      </c>
      <c r="H881" t="s">
        <v>28</v>
      </c>
      <c r="I881" t="s">
        <v>27</v>
      </c>
      <c r="J881" t="s">
        <v>28</v>
      </c>
      <c r="K881" t="s">
        <v>29</v>
      </c>
      <c r="M881" s="81" t="s">
        <v>28</v>
      </c>
      <c r="N881" s="85" t="s">
        <v>39</v>
      </c>
      <c r="O881" t="s">
        <v>1208</v>
      </c>
      <c r="P881" s="132" t="s">
        <v>752</v>
      </c>
      <c r="Q881" s="132" t="s">
        <v>1207</v>
      </c>
      <c r="R881" s="140" t="s">
        <v>4463</v>
      </c>
      <c r="S881" s="132"/>
    </row>
    <row r="882" spans="1:19">
      <c r="A882" s="77">
        <v>192</v>
      </c>
      <c r="B882" t="s">
        <v>38</v>
      </c>
      <c r="C882" t="s">
        <v>48</v>
      </c>
      <c r="D882" s="81" t="s">
        <v>4445</v>
      </c>
      <c r="E882" s="97">
        <v>3</v>
      </c>
      <c r="F882" s="97" t="s">
        <v>74</v>
      </c>
      <c r="G882" t="s">
        <v>27</v>
      </c>
      <c r="H882" t="s">
        <v>28</v>
      </c>
      <c r="I882" t="s">
        <v>27</v>
      </c>
      <c r="J882" t="s">
        <v>28</v>
      </c>
      <c r="K882" t="s">
        <v>29</v>
      </c>
      <c r="M882" s="81" t="s">
        <v>28</v>
      </c>
      <c r="N882" s="85" t="s">
        <v>39</v>
      </c>
      <c r="O882" t="s">
        <v>1209</v>
      </c>
      <c r="P882" s="132" t="s">
        <v>752</v>
      </c>
      <c r="Q882" s="132" t="s">
        <v>1207</v>
      </c>
      <c r="R882" s="140" t="s">
        <v>4463</v>
      </c>
      <c r="S882" s="132"/>
    </row>
    <row r="883" spans="1:19">
      <c r="A883" s="77">
        <v>192</v>
      </c>
      <c r="B883" t="s">
        <v>38</v>
      </c>
      <c r="C883" t="s">
        <v>48</v>
      </c>
      <c r="D883" s="81" t="s">
        <v>4445</v>
      </c>
      <c r="E883" s="97">
        <v>3</v>
      </c>
      <c r="F883" s="97" t="s">
        <v>74</v>
      </c>
      <c r="G883" t="s">
        <v>27</v>
      </c>
      <c r="H883" t="s">
        <v>28</v>
      </c>
      <c r="I883" t="s">
        <v>27</v>
      </c>
      <c r="J883" t="s">
        <v>28</v>
      </c>
      <c r="K883" t="s">
        <v>29</v>
      </c>
      <c r="M883" s="81" t="s">
        <v>28</v>
      </c>
      <c r="N883" s="85" t="s">
        <v>39</v>
      </c>
      <c r="O883" t="s">
        <v>1210</v>
      </c>
      <c r="P883" s="132" t="s">
        <v>752</v>
      </c>
      <c r="Q883" s="132" t="s">
        <v>1207</v>
      </c>
      <c r="R883" s="140" t="s">
        <v>4463</v>
      </c>
      <c r="S883" s="132"/>
    </row>
    <row r="884" spans="1:19">
      <c r="A884" s="77">
        <v>192</v>
      </c>
      <c r="B884" t="s">
        <v>38</v>
      </c>
      <c r="C884" t="s">
        <v>48</v>
      </c>
      <c r="D884" s="81" t="s">
        <v>4445</v>
      </c>
      <c r="E884" s="97">
        <v>3</v>
      </c>
      <c r="F884" s="97" t="s">
        <v>74</v>
      </c>
      <c r="G884" t="s">
        <v>28</v>
      </c>
      <c r="H884" t="s">
        <v>28</v>
      </c>
      <c r="I884" t="s">
        <v>27</v>
      </c>
      <c r="J884" t="s">
        <v>28</v>
      </c>
      <c r="K884" t="s">
        <v>29</v>
      </c>
      <c r="M884" s="81" t="s">
        <v>240</v>
      </c>
      <c r="N884" s="85" t="s">
        <v>62</v>
      </c>
      <c r="O884" t="s">
        <v>1211</v>
      </c>
      <c r="P884" s="132" t="s">
        <v>191</v>
      </c>
      <c r="Q884" s="132" t="s">
        <v>1212</v>
      </c>
      <c r="R884" s="140" t="s">
        <v>4464</v>
      </c>
      <c r="S884" s="132"/>
    </row>
    <row r="885" spans="1:19">
      <c r="A885" s="77">
        <v>192</v>
      </c>
      <c r="B885" t="s">
        <v>38</v>
      </c>
      <c r="C885" t="s">
        <v>48</v>
      </c>
      <c r="D885" s="81" t="s">
        <v>4445</v>
      </c>
      <c r="E885" s="97">
        <v>3</v>
      </c>
      <c r="F885" s="97" t="s">
        <v>74</v>
      </c>
      <c r="G885" t="s">
        <v>28</v>
      </c>
      <c r="H885" t="s">
        <v>28</v>
      </c>
      <c r="I885" t="s">
        <v>27</v>
      </c>
      <c r="J885" t="s">
        <v>28</v>
      </c>
      <c r="K885" t="s">
        <v>29</v>
      </c>
      <c r="M885" s="81" t="s">
        <v>240</v>
      </c>
      <c r="N885" s="85" t="s">
        <v>62</v>
      </c>
      <c r="O885" t="s">
        <v>1213</v>
      </c>
      <c r="P885" s="132" t="s">
        <v>191</v>
      </c>
      <c r="Q885" s="132" t="s">
        <v>1212</v>
      </c>
      <c r="R885" s="140" t="s">
        <v>4464</v>
      </c>
      <c r="S885" s="132"/>
    </row>
    <row r="886" spans="1:19">
      <c r="A886" s="77">
        <v>192</v>
      </c>
      <c r="B886" t="s">
        <v>38</v>
      </c>
      <c r="C886" t="s">
        <v>48</v>
      </c>
      <c r="D886" s="81" t="s">
        <v>4445</v>
      </c>
      <c r="E886" s="97">
        <v>3</v>
      </c>
      <c r="F886" s="97" t="s">
        <v>74</v>
      </c>
      <c r="G886" t="s">
        <v>28</v>
      </c>
      <c r="H886" t="s">
        <v>28</v>
      </c>
      <c r="I886" t="s">
        <v>27</v>
      </c>
      <c r="J886" t="s">
        <v>28</v>
      </c>
      <c r="K886" t="s">
        <v>29</v>
      </c>
      <c r="M886" s="81" t="s">
        <v>240</v>
      </c>
      <c r="N886" s="85" t="s">
        <v>62</v>
      </c>
      <c r="O886" t="s">
        <v>1214</v>
      </c>
      <c r="P886" s="132" t="s">
        <v>191</v>
      </c>
      <c r="Q886" s="132" t="s">
        <v>1212</v>
      </c>
      <c r="R886" s="140" t="s">
        <v>4464</v>
      </c>
      <c r="S886" s="132"/>
    </row>
    <row r="887" spans="1:19">
      <c r="A887" s="77">
        <v>192</v>
      </c>
      <c r="B887" t="s">
        <v>38</v>
      </c>
      <c r="C887" t="s">
        <v>48</v>
      </c>
      <c r="D887" s="81" t="s">
        <v>4445</v>
      </c>
      <c r="E887" s="97">
        <v>3</v>
      </c>
      <c r="F887" s="97" t="s">
        <v>74</v>
      </c>
      <c r="G887" t="s">
        <v>28</v>
      </c>
      <c r="H887" t="s">
        <v>28</v>
      </c>
      <c r="I887" t="s">
        <v>27</v>
      </c>
      <c r="J887" t="s">
        <v>28</v>
      </c>
      <c r="K887" t="s">
        <v>29</v>
      </c>
      <c r="M887" s="81" t="s">
        <v>240</v>
      </c>
      <c r="N887" s="85" t="s">
        <v>62</v>
      </c>
      <c r="O887" t="s">
        <v>1215</v>
      </c>
      <c r="P887" s="132" t="s">
        <v>191</v>
      </c>
      <c r="Q887" s="132" t="s">
        <v>1212</v>
      </c>
      <c r="R887" s="140" t="s">
        <v>4464</v>
      </c>
      <c r="S887" s="132"/>
    </row>
    <row r="888" spans="1:19">
      <c r="A888" s="77">
        <v>192</v>
      </c>
      <c r="B888" t="s">
        <v>38</v>
      </c>
      <c r="C888" t="s">
        <v>48</v>
      </c>
      <c r="D888" s="81" t="s">
        <v>4445</v>
      </c>
      <c r="E888" s="97">
        <v>3</v>
      </c>
      <c r="F888" s="97" t="s">
        <v>74</v>
      </c>
      <c r="G888" t="s">
        <v>28</v>
      </c>
      <c r="H888" t="s">
        <v>28</v>
      </c>
      <c r="I888" t="s">
        <v>27</v>
      </c>
      <c r="J888" t="s">
        <v>28</v>
      </c>
      <c r="K888" t="s">
        <v>29</v>
      </c>
      <c r="M888" s="81" t="s">
        <v>240</v>
      </c>
      <c r="N888" s="85" t="s">
        <v>62</v>
      </c>
      <c r="O888" t="s">
        <v>1216</v>
      </c>
      <c r="P888" s="132" t="s">
        <v>191</v>
      </c>
      <c r="Q888" s="132" t="s">
        <v>1212</v>
      </c>
      <c r="R888" s="140" t="s">
        <v>4464</v>
      </c>
      <c r="S888" s="132"/>
    </row>
    <row r="889" spans="1:19">
      <c r="A889" s="77">
        <v>193</v>
      </c>
      <c r="B889" t="s">
        <v>38</v>
      </c>
      <c r="C889" t="s">
        <v>48</v>
      </c>
      <c r="D889" s="81" t="s">
        <v>4444</v>
      </c>
      <c r="E889" s="97">
        <v>3</v>
      </c>
      <c r="F889" s="97" t="s">
        <v>180</v>
      </c>
      <c r="G889" t="s">
        <v>27</v>
      </c>
      <c r="H889" t="s">
        <v>28</v>
      </c>
      <c r="I889" t="s">
        <v>27</v>
      </c>
      <c r="J889" t="s">
        <v>28</v>
      </c>
      <c r="K889" t="s">
        <v>29</v>
      </c>
      <c r="M889" s="81" t="s">
        <v>28</v>
      </c>
      <c r="N889" s="85" t="s">
        <v>39</v>
      </c>
      <c r="O889" t="s">
        <v>1217</v>
      </c>
      <c r="P889" s="132" t="s">
        <v>475</v>
      </c>
      <c r="Q889" s="132" t="s">
        <v>1218</v>
      </c>
      <c r="R889" s="140" t="s">
        <v>4464</v>
      </c>
      <c r="S889" s="132"/>
    </row>
    <row r="890" spans="1:19">
      <c r="A890" s="77">
        <v>193</v>
      </c>
      <c r="B890" t="s">
        <v>38</v>
      </c>
      <c r="C890" t="s">
        <v>48</v>
      </c>
      <c r="D890" s="81" t="s">
        <v>4444</v>
      </c>
      <c r="E890" s="97">
        <v>3</v>
      </c>
      <c r="F890" s="97" t="s">
        <v>180</v>
      </c>
      <c r="G890" t="s">
        <v>27</v>
      </c>
      <c r="H890" t="s">
        <v>28</v>
      </c>
      <c r="I890" t="s">
        <v>27</v>
      </c>
      <c r="J890" t="s">
        <v>28</v>
      </c>
      <c r="K890" t="s">
        <v>29</v>
      </c>
      <c r="M890" s="81" t="s">
        <v>28</v>
      </c>
      <c r="N890" s="85" t="s">
        <v>39</v>
      </c>
      <c r="O890" t="s">
        <v>1219</v>
      </c>
      <c r="P890" s="132" t="s">
        <v>475</v>
      </c>
      <c r="Q890" s="132" t="s">
        <v>1218</v>
      </c>
      <c r="R890" s="140" t="s">
        <v>4464</v>
      </c>
      <c r="S890" s="132"/>
    </row>
    <row r="891" spans="1:19">
      <c r="A891" s="77">
        <v>193</v>
      </c>
      <c r="B891" t="s">
        <v>38</v>
      </c>
      <c r="C891" t="s">
        <v>48</v>
      </c>
      <c r="D891" s="81" t="s">
        <v>4444</v>
      </c>
      <c r="E891" s="97">
        <v>3</v>
      </c>
      <c r="F891" s="97" t="s">
        <v>180</v>
      </c>
      <c r="G891" t="s">
        <v>27</v>
      </c>
      <c r="H891" t="s">
        <v>28</v>
      </c>
      <c r="I891" t="s">
        <v>27</v>
      </c>
      <c r="J891" t="s">
        <v>28</v>
      </c>
      <c r="K891" t="s">
        <v>29</v>
      </c>
      <c r="M891" s="81" t="s">
        <v>28</v>
      </c>
      <c r="N891" s="85" t="s">
        <v>39</v>
      </c>
      <c r="O891" t="s">
        <v>1220</v>
      </c>
      <c r="P891" s="132" t="s">
        <v>475</v>
      </c>
      <c r="Q891" s="132" t="s">
        <v>1218</v>
      </c>
      <c r="R891" s="140" t="s">
        <v>4464</v>
      </c>
      <c r="S891" s="132"/>
    </row>
    <row r="892" spans="1:19" s="130" customFormat="1" hidden="1">
      <c r="A892" s="78">
        <v>194</v>
      </c>
      <c r="B892" s="130" t="s">
        <v>1221</v>
      </c>
      <c r="C892" s="130" t="s">
        <v>43</v>
      </c>
      <c r="D892" s="81" t="s">
        <v>4445</v>
      </c>
      <c r="E892" s="97">
        <v>1</v>
      </c>
      <c r="F892" s="98" t="s">
        <v>26</v>
      </c>
      <c r="G892" s="130" t="s">
        <v>27</v>
      </c>
      <c r="H892" s="130" t="s">
        <v>27</v>
      </c>
      <c r="I892" s="130" t="s">
        <v>27</v>
      </c>
      <c r="J892" s="130" t="s">
        <v>27</v>
      </c>
      <c r="K892" s="130" t="s">
        <v>29</v>
      </c>
      <c r="L892" s="130" t="s">
        <v>50</v>
      </c>
      <c r="M892" s="130" t="s">
        <v>240</v>
      </c>
      <c r="N892" s="123" t="s">
        <v>31</v>
      </c>
      <c r="O892" s="130" t="s">
        <v>1222</v>
      </c>
      <c r="P892" s="136" t="s">
        <v>93</v>
      </c>
      <c r="Q892" s="136"/>
      <c r="R892" s="136"/>
      <c r="S892" s="136"/>
    </row>
    <row r="893" spans="1:19">
      <c r="A893" s="77">
        <v>194</v>
      </c>
      <c r="B893" t="s">
        <v>1221</v>
      </c>
      <c r="C893" t="s">
        <v>43</v>
      </c>
      <c r="D893" s="81" t="s">
        <v>4445</v>
      </c>
      <c r="E893" s="97">
        <v>1</v>
      </c>
      <c r="F893" s="97" t="s">
        <v>26</v>
      </c>
      <c r="G893" t="s">
        <v>27</v>
      </c>
      <c r="H893" t="s">
        <v>27</v>
      </c>
      <c r="I893" t="s">
        <v>27</v>
      </c>
      <c r="J893" t="s">
        <v>28</v>
      </c>
      <c r="K893" t="s">
        <v>29</v>
      </c>
      <c r="M893" s="81" t="s">
        <v>240</v>
      </c>
      <c r="N893" s="85" t="s">
        <v>62</v>
      </c>
      <c r="O893" t="s">
        <v>1223</v>
      </c>
      <c r="P893" s="132" t="s">
        <v>752</v>
      </c>
      <c r="Q893" s="132" t="s">
        <v>1224</v>
      </c>
      <c r="R893" s="140" t="s">
        <v>4463</v>
      </c>
      <c r="S893" s="132"/>
    </row>
    <row r="894" spans="1:19">
      <c r="A894" s="77">
        <v>194</v>
      </c>
      <c r="B894" t="s">
        <v>1221</v>
      </c>
      <c r="C894" t="s">
        <v>43</v>
      </c>
      <c r="D894" s="81" t="s">
        <v>4445</v>
      </c>
      <c r="E894" s="97">
        <v>1</v>
      </c>
      <c r="F894" s="97" t="s">
        <v>26</v>
      </c>
      <c r="G894" t="s">
        <v>27</v>
      </c>
      <c r="H894" t="s">
        <v>27</v>
      </c>
      <c r="I894" t="s">
        <v>27</v>
      </c>
      <c r="J894" t="s">
        <v>28</v>
      </c>
      <c r="K894" t="s">
        <v>29</v>
      </c>
      <c r="M894" s="81" t="s">
        <v>240</v>
      </c>
      <c r="N894" s="85" t="s">
        <v>62</v>
      </c>
      <c r="O894" t="s">
        <v>1225</v>
      </c>
      <c r="P894" s="132" t="s">
        <v>752</v>
      </c>
      <c r="Q894" s="132" t="s">
        <v>1224</v>
      </c>
      <c r="R894" s="140" t="s">
        <v>4463</v>
      </c>
      <c r="S894" s="132"/>
    </row>
    <row r="895" spans="1:19">
      <c r="A895" s="77">
        <v>194</v>
      </c>
      <c r="B895" t="s">
        <v>1221</v>
      </c>
      <c r="C895" t="s">
        <v>43</v>
      </c>
      <c r="D895" s="81" t="s">
        <v>4445</v>
      </c>
      <c r="E895" s="97">
        <v>1</v>
      </c>
      <c r="F895" s="97" t="s">
        <v>26</v>
      </c>
      <c r="G895" t="s">
        <v>27</v>
      </c>
      <c r="H895" t="s">
        <v>27</v>
      </c>
      <c r="I895" t="s">
        <v>27</v>
      </c>
      <c r="J895" t="s">
        <v>28</v>
      </c>
      <c r="K895" t="s">
        <v>29</v>
      </c>
      <c r="M895" s="81" t="s">
        <v>240</v>
      </c>
      <c r="N895" s="85" t="s">
        <v>62</v>
      </c>
      <c r="O895" t="s">
        <v>1226</v>
      </c>
      <c r="P895" s="132" t="s">
        <v>752</v>
      </c>
      <c r="Q895" s="132" t="s">
        <v>1224</v>
      </c>
      <c r="R895" s="140" t="s">
        <v>4463</v>
      </c>
      <c r="S895" s="132"/>
    </row>
    <row r="896" spans="1:19">
      <c r="A896" s="77">
        <v>195</v>
      </c>
      <c r="B896" t="s">
        <v>1221</v>
      </c>
      <c r="C896" t="s">
        <v>43</v>
      </c>
      <c r="D896" s="81" t="s">
        <v>4445</v>
      </c>
      <c r="E896" s="97">
        <v>2</v>
      </c>
      <c r="F896" s="97" t="s">
        <v>54</v>
      </c>
      <c r="G896" t="s">
        <v>27</v>
      </c>
      <c r="H896" t="s">
        <v>28</v>
      </c>
      <c r="I896" t="s">
        <v>27</v>
      </c>
      <c r="J896" t="s">
        <v>28</v>
      </c>
      <c r="K896" t="s">
        <v>29</v>
      </c>
      <c r="M896" s="81" t="s">
        <v>28</v>
      </c>
      <c r="N896" s="85" t="s">
        <v>39</v>
      </c>
      <c r="O896" t="s">
        <v>1227</v>
      </c>
      <c r="P896" s="129" t="s">
        <v>475</v>
      </c>
      <c r="Q896" s="129" t="s">
        <v>1228</v>
      </c>
      <c r="R896" s="140" t="s">
        <v>4463</v>
      </c>
      <c r="S896" s="129"/>
    </row>
    <row r="897" spans="1:19">
      <c r="A897" s="77">
        <v>195</v>
      </c>
      <c r="B897" t="s">
        <v>1221</v>
      </c>
      <c r="C897" t="s">
        <v>43</v>
      </c>
      <c r="D897" s="81" t="s">
        <v>4445</v>
      </c>
      <c r="E897" s="97">
        <v>2</v>
      </c>
      <c r="F897" s="97" t="s">
        <v>54</v>
      </c>
      <c r="G897" t="s">
        <v>27</v>
      </c>
      <c r="H897" t="s">
        <v>28</v>
      </c>
      <c r="I897" t="s">
        <v>27</v>
      </c>
      <c r="J897" t="s">
        <v>28</v>
      </c>
      <c r="K897" t="s">
        <v>29</v>
      </c>
      <c r="M897" s="81" t="s">
        <v>28</v>
      </c>
      <c r="N897" s="85" t="s">
        <v>39</v>
      </c>
      <c r="O897" t="s">
        <v>1229</v>
      </c>
      <c r="P897" s="129" t="s">
        <v>475</v>
      </c>
      <c r="Q897" s="129" t="s">
        <v>1228</v>
      </c>
      <c r="R897" s="140" t="s">
        <v>4463</v>
      </c>
      <c r="S897" s="129"/>
    </row>
    <row r="898" spans="1:19" s="137" customFormat="1">
      <c r="A898" s="77">
        <v>195</v>
      </c>
      <c r="B898" t="s">
        <v>1221</v>
      </c>
      <c r="C898" t="s">
        <v>43</v>
      </c>
      <c r="D898" s="81" t="s">
        <v>4445</v>
      </c>
      <c r="E898" s="97">
        <v>2</v>
      </c>
      <c r="F898" s="97" t="s">
        <v>54</v>
      </c>
      <c r="G898" t="s">
        <v>27</v>
      </c>
      <c r="H898" t="s">
        <v>28</v>
      </c>
      <c r="I898" t="s">
        <v>27</v>
      </c>
      <c r="J898" t="s">
        <v>28</v>
      </c>
      <c r="K898" t="s">
        <v>29</v>
      </c>
      <c r="M898" s="81" t="s">
        <v>28</v>
      </c>
      <c r="N898" s="85" t="s">
        <v>39</v>
      </c>
      <c r="O898" t="s">
        <v>1230</v>
      </c>
      <c r="P898" s="129" t="s">
        <v>475</v>
      </c>
      <c r="Q898" s="129" t="s">
        <v>1228</v>
      </c>
      <c r="R898" s="140" t="s">
        <v>4463</v>
      </c>
      <c r="S898" s="129"/>
    </row>
    <row r="899" spans="1:19">
      <c r="A899" s="77">
        <v>195</v>
      </c>
      <c r="B899" t="s">
        <v>1221</v>
      </c>
      <c r="C899" t="s">
        <v>43</v>
      </c>
      <c r="D899" s="81" t="s">
        <v>4445</v>
      </c>
      <c r="E899" s="97">
        <v>2</v>
      </c>
      <c r="F899" s="97" t="s">
        <v>54</v>
      </c>
      <c r="G899" t="s">
        <v>27</v>
      </c>
      <c r="H899" t="s">
        <v>28</v>
      </c>
      <c r="I899" t="s">
        <v>27</v>
      </c>
      <c r="J899" t="s">
        <v>28</v>
      </c>
      <c r="K899" t="s">
        <v>29</v>
      </c>
      <c r="M899" s="81" t="s">
        <v>28</v>
      </c>
      <c r="N899" s="85" t="s">
        <v>39</v>
      </c>
      <c r="O899" s="132" t="s">
        <v>1231</v>
      </c>
      <c r="P899" s="129" t="s">
        <v>41</v>
      </c>
      <c r="Q899" s="129" t="s">
        <v>1228</v>
      </c>
      <c r="R899" s="140" t="s">
        <v>4463</v>
      </c>
      <c r="S899" s="129"/>
    </row>
    <row r="900" spans="1:19">
      <c r="A900" s="38">
        <v>196</v>
      </c>
      <c r="B900" t="s">
        <v>1221</v>
      </c>
      <c r="C900" t="s">
        <v>43</v>
      </c>
      <c r="D900" s="81" t="s">
        <v>4445</v>
      </c>
      <c r="E900" s="97">
        <v>2</v>
      </c>
      <c r="F900" s="97" t="s">
        <v>49</v>
      </c>
      <c r="G900" t="s">
        <v>27</v>
      </c>
      <c r="H900" t="s">
        <v>27</v>
      </c>
      <c r="I900" t="s">
        <v>27</v>
      </c>
      <c r="J900" t="s">
        <v>28</v>
      </c>
      <c r="K900" t="s">
        <v>29</v>
      </c>
      <c r="M900" s="81" t="s">
        <v>240</v>
      </c>
      <c r="N900" s="85" t="s">
        <v>62</v>
      </c>
      <c r="O900" t="s">
        <v>1232</v>
      </c>
      <c r="P900" s="132" t="s">
        <v>93</v>
      </c>
      <c r="Q900" s="132" t="s">
        <v>1233</v>
      </c>
      <c r="R900" s="140" t="s">
        <v>4463</v>
      </c>
      <c r="S900" s="132"/>
    </row>
    <row r="901" spans="1:19">
      <c r="A901" s="38">
        <v>196</v>
      </c>
      <c r="B901" t="s">
        <v>1221</v>
      </c>
      <c r="C901" t="s">
        <v>43</v>
      </c>
      <c r="D901" s="81" t="s">
        <v>4445</v>
      </c>
      <c r="E901" s="97">
        <v>2</v>
      </c>
      <c r="F901" s="97" t="s">
        <v>49</v>
      </c>
      <c r="G901" t="s">
        <v>27</v>
      </c>
      <c r="H901" t="s">
        <v>27</v>
      </c>
      <c r="I901" t="s">
        <v>27</v>
      </c>
      <c r="J901" t="s">
        <v>28</v>
      </c>
      <c r="K901" t="s">
        <v>29</v>
      </c>
      <c r="M901" s="81" t="s">
        <v>240</v>
      </c>
      <c r="N901" s="85" t="s">
        <v>62</v>
      </c>
      <c r="O901" t="s">
        <v>1234</v>
      </c>
      <c r="P901" s="132" t="s">
        <v>752</v>
      </c>
      <c r="Q901" s="132" t="s">
        <v>1233</v>
      </c>
      <c r="R901" s="140" t="s">
        <v>4463</v>
      </c>
      <c r="S901" s="132"/>
    </row>
    <row r="902" spans="1:19">
      <c r="A902" s="38">
        <v>196</v>
      </c>
      <c r="B902" t="s">
        <v>1221</v>
      </c>
      <c r="C902" t="s">
        <v>43</v>
      </c>
      <c r="D902" s="81" t="s">
        <v>4445</v>
      </c>
      <c r="E902" s="97">
        <v>2</v>
      </c>
      <c r="F902" s="97" t="s">
        <v>49</v>
      </c>
      <c r="G902" t="s">
        <v>27</v>
      </c>
      <c r="H902" t="s">
        <v>27</v>
      </c>
      <c r="I902" t="s">
        <v>27</v>
      </c>
      <c r="J902" t="s">
        <v>28</v>
      </c>
      <c r="K902" t="s">
        <v>29</v>
      </c>
      <c r="M902" s="81" t="s">
        <v>240</v>
      </c>
      <c r="N902" s="85" t="s">
        <v>62</v>
      </c>
      <c r="O902" t="s">
        <v>1235</v>
      </c>
      <c r="P902" s="132" t="s">
        <v>752</v>
      </c>
      <c r="Q902" s="132" t="s">
        <v>1233</v>
      </c>
      <c r="R902" s="140" t="s">
        <v>4463</v>
      </c>
      <c r="S902" s="132"/>
    </row>
    <row r="903" spans="1:19">
      <c r="A903" s="38">
        <v>196</v>
      </c>
      <c r="B903" t="s">
        <v>1221</v>
      </c>
      <c r="C903" t="s">
        <v>43</v>
      </c>
      <c r="D903" s="81" t="s">
        <v>4445</v>
      </c>
      <c r="E903" s="97">
        <v>2</v>
      </c>
      <c r="F903" s="97" t="s">
        <v>49</v>
      </c>
      <c r="G903" t="s">
        <v>27</v>
      </c>
      <c r="H903" t="s">
        <v>27</v>
      </c>
      <c r="I903" t="s">
        <v>27</v>
      </c>
      <c r="J903" t="s">
        <v>28</v>
      </c>
      <c r="K903" t="s">
        <v>29</v>
      </c>
      <c r="M903" s="81" t="s">
        <v>240</v>
      </c>
      <c r="N903" s="85" t="s">
        <v>62</v>
      </c>
      <c r="O903" t="s">
        <v>1236</v>
      </c>
      <c r="P903" s="132" t="s">
        <v>752</v>
      </c>
      <c r="Q903" s="132" t="s">
        <v>1233</v>
      </c>
      <c r="R903" s="140" t="s">
        <v>4463</v>
      </c>
      <c r="S903" s="132"/>
    </row>
    <row r="904" spans="1:19" s="130" customFormat="1" hidden="1">
      <c r="A904" s="78">
        <v>197</v>
      </c>
      <c r="B904" s="130" t="s">
        <v>1221</v>
      </c>
      <c r="C904" s="130" t="s">
        <v>43</v>
      </c>
      <c r="D904" s="81" t="s">
        <v>4445</v>
      </c>
      <c r="E904" s="98">
        <v>2</v>
      </c>
      <c r="F904" s="98" t="s">
        <v>67</v>
      </c>
      <c r="G904" s="130" t="s">
        <v>27</v>
      </c>
      <c r="H904" s="130" t="s">
        <v>27</v>
      </c>
      <c r="I904" s="130" t="s">
        <v>27</v>
      </c>
      <c r="J904" s="130" t="s">
        <v>27</v>
      </c>
      <c r="K904" s="130" t="s">
        <v>29</v>
      </c>
      <c r="L904" s="130" t="s">
        <v>157</v>
      </c>
      <c r="M904" s="130" t="s">
        <v>240</v>
      </c>
      <c r="N904" s="130" t="s">
        <v>1092</v>
      </c>
      <c r="O904" s="130" t="s">
        <v>1237</v>
      </c>
      <c r="P904" s="136" t="s">
        <v>752</v>
      </c>
      <c r="Q904" s="136" t="s">
        <v>1238</v>
      </c>
      <c r="R904" s="136"/>
      <c r="S904" s="136"/>
    </row>
    <row r="905" spans="1:19">
      <c r="A905" s="38">
        <v>197</v>
      </c>
      <c r="B905" t="s">
        <v>1221</v>
      </c>
      <c r="C905" t="s">
        <v>43</v>
      </c>
      <c r="D905" s="81" t="s">
        <v>4445</v>
      </c>
      <c r="E905" s="97">
        <v>2</v>
      </c>
      <c r="F905" s="97" t="s">
        <v>67</v>
      </c>
      <c r="G905" t="s">
        <v>27</v>
      </c>
      <c r="H905" t="s">
        <v>27</v>
      </c>
      <c r="I905" t="s">
        <v>27</v>
      </c>
      <c r="J905" t="s">
        <v>28</v>
      </c>
      <c r="K905" t="s">
        <v>29</v>
      </c>
      <c r="M905" s="81" t="s">
        <v>240</v>
      </c>
      <c r="N905" s="85" t="s">
        <v>62</v>
      </c>
      <c r="O905" t="s">
        <v>1239</v>
      </c>
      <c r="P905" s="132" t="s">
        <v>752</v>
      </c>
      <c r="Q905" s="132" t="s">
        <v>1238</v>
      </c>
      <c r="R905" s="140" t="s">
        <v>4463</v>
      </c>
      <c r="S905" s="132"/>
    </row>
    <row r="906" spans="1:19">
      <c r="A906" s="38">
        <v>197</v>
      </c>
      <c r="B906" t="s">
        <v>1221</v>
      </c>
      <c r="C906" t="s">
        <v>43</v>
      </c>
      <c r="D906" s="81" t="s">
        <v>4445</v>
      </c>
      <c r="E906" s="97">
        <v>2</v>
      </c>
      <c r="F906" s="97" t="s">
        <v>67</v>
      </c>
      <c r="G906" t="s">
        <v>27</v>
      </c>
      <c r="H906" t="s">
        <v>27</v>
      </c>
      <c r="I906" t="s">
        <v>27</v>
      </c>
      <c r="J906" t="s">
        <v>28</v>
      </c>
      <c r="K906" t="s">
        <v>29</v>
      </c>
      <c r="M906" s="81" t="s">
        <v>240</v>
      </c>
      <c r="N906" s="85" t="s">
        <v>62</v>
      </c>
      <c r="O906" t="s">
        <v>1240</v>
      </c>
      <c r="P906" s="132" t="s">
        <v>752</v>
      </c>
      <c r="Q906" s="132" t="s">
        <v>1238</v>
      </c>
      <c r="R906" s="140" t="s">
        <v>4463</v>
      </c>
      <c r="S906" s="132"/>
    </row>
    <row r="907" spans="1:19">
      <c r="A907" s="38">
        <v>198</v>
      </c>
      <c r="B907" t="s">
        <v>1221</v>
      </c>
      <c r="C907" t="s">
        <v>43</v>
      </c>
      <c r="D907" s="81" t="s">
        <v>4445</v>
      </c>
      <c r="E907" s="97">
        <v>3</v>
      </c>
      <c r="F907" s="97" t="s">
        <v>74</v>
      </c>
      <c r="G907" t="s">
        <v>27</v>
      </c>
      <c r="H907" t="s">
        <v>27</v>
      </c>
      <c r="I907" t="s">
        <v>27</v>
      </c>
      <c r="J907" t="s">
        <v>28</v>
      </c>
      <c r="K907" t="s">
        <v>29</v>
      </c>
      <c r="M907" s="81" t="s">
        <v>240</v>
      </c>
      <c r="N907" s="85" t="s">
        <v>62</v>
      </c>
      <c r="O907" t="s">
        <v>1241</v>
      </c>
      <c r="P907" s="132" t="s">
        <v>93</v>
      </c>
      <c r="Q907" s="132" t="s">
        <v>1242</v>
      </c>
      <c r="R907" s="140" t="s">
        <v>4463</v>
      </c>
      <c r="S907" s="132"/>
    </row>
    <row r="908" spans="1:19">
      <c r="A908" s="38">
        <v>198</v>
      </c>
      <c r="B908" t="s">
        <v>1221</v>
      </c>
      <c r="C908" t="s">
        <v>43</v>
      </c>
      <c r="D908" s="81" t="s">
        <v>4445</v>
      </c>
      <c r="E908" s="97">
        <v>3</v>
      </c>
      <c r="F908" s="97" t="s">
        <v>74</v>
      </c>
      <c r="G908" t="s">
        <v>27</v>
      </c>
      <c r="H908" t="s">
        <v>27</v>
      </c>
      <c r="I908" t="s">
        <v>27</v>
      </c>
      <c r="J908" t="s">
        <v>28</v>
      </c>
      <c r="K908" t="s">
        <v>29</v>
      </c>
      <c r="M908" s="81" t="s">
        <v>240</v>
      </c>
      <c r="N908" s="85" t="s">
        <v>62</v>
      </c>
      <c r="O908" t="s">
        <v>1243</v>
      </c>
      <c r="P908" s="132" t="s">
        <v>752</v>
      </c>
      <c r="Q908" s="132" t="s">
        <v>1242</v>
      </c>
      <c r="R908" s="140" t="s">
        <v>4463</v>
      </c>
      <c r="S908" s="132"/>
    </row>
    <row r="909" spans="1:19">
      <c r="A909" s="38">
        <v>198</v>
      </c>
      <c r="B909" t="s">
        <v>1221</v>
      </c>
      <c r="C909" t="s">
        <v>43</v>
      </c>
      <c r="D909" s="81" t="s">
        <v>4445</v>
      </c>
      <c r="E909" s="97">
        <v>3</v>
      </c>
      <c r="F909" s="97" t="s">
        <v>74</v>
      </c>
      <c r="G909" t="s">
        <v>27</v>
      </c>
      <c r="H909" t="s">
        <v>27</v>
      </c>
      <c r="I909" t="s">
        <v>27</v>
      </c>
      <c r="J909" t="s">
        <v>28</v>
      </c>
      <c r="K909" t="s">
        <v>29</v>
      </c>
      <c r="M909" s="81" t="s">
        <v>240</v>
      </c>
      <c r="N909" s="85" t="s">
        <v>62</v>
      </c>
      <c r="O909" t="s">
        <v>1244</v>
      </c>
      <c r="P909" s="132" t="s">
        <v>752</v>
      </c>
      <c r="Q909" s="132" t="s">
        <v>1242</v>
      </c>
      <c r="R909" s="140" t="s">
        <v>4463</v>
      </c>
      <c r="S909" s="132"/>
    </row>
    <row r="910" spans="1:19" s="130" customFormat="1" hidden="1">
      <c r="A910" s="78">
        <v>198</v>
      </c>
      <c r="B910" s="130" t="s">
        <v>1221</v>
      </c>
      <c r="C910" s="130" t="s">
        <v>43</v>
      </c>
      <c r="D910" s="81" t="s">
        <v>4445</v>
      </c>
      <c r="E910" s="97">
        <v>3</v>
      </c>
      <c r="F910" s="98" t="s">
        <v>74</v>
      </c>
      <c r="G910" s="130" t="s">
        <v>27</v>
      </c>
      <c r="H910" s="130" t="s">
        <v>27</v>
      </c>
      <c r="I910" s="130" t="s">
        <v>27</v>
      </c>
      <c r="J910" s="130" t="s">
        <v>27</v>
      </c>
      <c r="K910" s="130" t="s">
        <v>29</v>
      </c>
      <c r="L910" s="130" t="s">
        <v>50</v>
      </c>
      <c r="M910" s="130" t="s">
        <v>240</v>
      </c>
      <c r="N910" s="123" t="s">
        <v>31</v>
      </c>
      <c r="O910" s="130" t="s">
        <v>1245</v>
      </c>
      <c r="P910" s="136" t="s">
        <v>752</v>
      </c>
      <c r="Q910" s="136"/>
      <c r="R910" s="136"/>
      <c r="S910" s="136"/>
    </row>
    <row r="911" spans="1:19">
      <c r="A911" s="77">
        <v>200</v>
      </c>
      <c r="B911" t="s">
        <v>38</v>
      </c>
      <c r="C911" t="s">
        <v>48</v>
      </c>
      <c r="D911" s="81" t="s">
        <v>4445</v>
      </c>
      <c r="E911" s="97">
        <v>1</v>
      </c>
      <c r="F911" s="97" t="s">
        <v>26</v>
      </c>
      <c r="G911" t="s">
        <v>27</v>
      </c>
      <c r="H911" t="s">
        <v>28</v>
      </c>
      <c r="I911" t="s">
        <v>28</v>
      </c>
      <c r="J911" t="s">
        <v>28</v>
      </c>
      <c r="K911" t="s">
        <v>29</v>
      </c>
      <c r="M911" s="81" t="s">
        <v>28</v>
      </c>
      <c r="N911" s="85" t="s">
        <v>39</v>
      </c>
      <c r="O911" t="s">
        <v>1246</v>
      </c>
      <c r="P911" s="129" t="s">
        <v>93</v>
      </c>
      <c r="Q911" s="129" t="s">
        <v>1247</v>
      </c>
      <c r="R911" s="140" t="s">
        <v>4463</v>
      </c>
      <c r="S911" s="129"/>
    </row>
    <row r="912" spans="1:19">
      <c r="A912" s="77">
        <v>200</v>
      </c>
      <c r="B912" t="s">
        <v>38</v>
      </c>
      <c r="C912" t="s">
        <v>48</v>
      </c>
      <c r="D912" s="81" t="s">
        <v>4445</v>
      </c>
      <c r="E912" s="97">
        <v>1</v>
      </c>
      <c r="F912" s="97" t="s">
        <v>26</v>
      </c>
      <c r="G912" t="s">
        <v>27</v>
      </c>
      <c r="H912" t="s">
        <v>28</v>
      </c>
      <c r="I912" t="s">
        <v>28</v>
      </c>
      <c r="J912" t="s">
        <v>28</v>
      </c>
      <c r="K912" t="s">
        <v>29</v>
      </c>
      <c r="M912" s="81" t="s">
        <v>28</v>
      </c>
      <c r="N912" s="85" t="s">
        <v>39</v>
      </c>
      <c r="O912" t="s">
        <v>1248</v>
      </c>
      <c r="P912" s="129" t="s">
        <v>1249</v>
      </c>
      <c r="Q912" s="129" t="s">
        <v>1247</v>
      </c>
      <c r="R912" s="140" t="s">
        <v>4463</v>
      </c>
      <c r="S912" s="129"/>
    </row>
    <row r="913" spans="1:25">
      <c r="A913" s="77">
        <v>200</v>
      </c>
      <c r="B913" t="s">
        <v>38</v>
      </c>
      <c r="C913" t="s">
        <v>48</v>
      </c>
      <c r="D913" s="81" t="s">
        <v>4445</v>
      </c>
      <c r="E913" s="97">
        <v>1</v>
      </c>
      <c r="F913" s="97" t="s">
        <v>26</v>
      </c>
      <c r="G913" t="s">
        <v>27</v>
      </c>
      <c r="H913" t="s">
        <v>28</v>
      </c>
      <c r="I913" t="s">
        <v>28</v>
      </c>
      <c r="J913" t="s">
        <v>28</v>
      </c>
      <c r="K913" t="s">
        <v>29</v>
      </c>
      <c r="M913" s="81" t="s">
        <v>28</v>
      </c>
      <c r="N913" s="85" t="s">
        <v>39</v>
      </c>
      <c r="O913" t="s">
        <v>1250</v>
      </c>
      <c r="P913" s="129" t="s">
        <v>1249</v>
      </c>
      <c r="Q913" s="129" t="s">
        <v>1247</v>
      </c>
      <c r="R913" s="140" t="s">
        <v>4463</v>
      </c>
      <c r="S913" s="129"/>
    </row>
    <row r="914" spans="1:25">
      <c r="A914" s="77">
        <v>200</v>
      </c>
      <c r="B914" t="s">
        <v>38</v>
      </c>
      <c r="C914" t="s">
        <v>48</v>
      </c>
      <c r="D914" s="81" t="s">
        <v>4445</v>
      </c>
      <c r="E914" s="97">
        <v>1</v>
      </c>
      <c r="F914" s="97" t="s">
        <v>26</v>
      </c>
      <c r="G914" t="s">
        <v>27</v>
      </c>
      <c r="H914" t="s">
        <v>28</v>
      </c>
      <c r="I914" t="s">
        <v>28</v>
      </c>
      <c r="J914" t="s">
        <v>28</v>
      </c>
      <c r="K914" t="s">
        <v>29</v>
      </c>
      <c r="M914" s="81" t="s">
        <v>28</v>
      </c>
      <c r="N914" s="85" t="s">
        <v>39</v>
      </c>
      <c r="O914" t="s">
        <v>1251</v>
      </c>
      <c r="P914" s="129" t="s">
        <v>1249</v>
      </c>
      <c r="Q914" s="129" t="s">
        <v>1247</v>
      </c>
      <c r="R914" s="140" t="s">
        <v>4463</v>
      </c>
      <c r="S914" s="129"/>
    </row>
    <row r="915" spans="1:25">
      <c r="A915" s="77">
        <v>200</v>
      </c>
      <c r="B915" t="s">
        <v>38</v>
      </c>
      <c r="C915" t="s">
        <v>48</v>
      </c>
      <c r="D915" s="81" t="s">
        <v>4445</v>
      </c>
      <c r="E915" s="97">
        <v>1</v>
      </c>
      <c r="F915" s="97" t="s">
        <v>26</v>
      </c>
      <c r="G915" t="s">
        <v>27</v>
      </c>
      <c r="H915" t="s">
        <v>28</v>
      </c>
      <c r="I915" t="s">
        <v>28</v>
      </c>
      <c r="J915" t="s">
        <v>28</v>
      </c>
      <c r="K915" t="s">
        <v>29</v>
      </c>
      <c r="M915" s="81" t="s">
        <v>28</v>
      </c>
      <c r="N915" s="85" t="s">
        <v>39</v>
      </c>
      <c r="O915" t="s">
        <v>1252</v>
      </c>
      <c r="P915" t="s">
        <v>353</v>
      </c>
      <c r="Q915" t="s">
        <v>1253</v>
      </c>
      <c r="R915" s="140" t="s">
        <v>4463</v>
      </c>
      <c r="T915" t="s">
        <v>29</v>
      </c>
      <c r="U915">
        <v>1</v>
      </c>
      <c r="X915">
        <v>0</v>
      </c>
      <c r="Y915">
        <v>0</v>
      </c>
    </row>
    <row r="916" spans="1:25">
      <c r="A916" s="77">
        <v>200</v>
      </c>
      <c r="B916" t="s">
        <v>38</v>
      </c>
      <c r="C916" t="s">
        <v>48</v>
      </c>
      <c r="D916" s="81" t="s">
        <v>4445</v>
      </c>
      <c r="E916" s="97">
        <v>1</v>
      </c>
      <c r="F916" s="97" t="s">
        <v>26</v>
      </c>
      <c r="G916" t="s">
        <v>27</v>
      </c>
      <c r="H916" t="s">
        <v>28</v>
      </c>
      <c r="I916" t="s">
        <v>28</v>
      </c>
      <c r="J916" t="s">
        <v>28</v>
      </c>
      <c r="K916" t="s">
        <v>29</v>
      </c>
      <c r="M916" s="81" t="s">
        <v>28</v>
      </c>
      <c r="N916" s="85" t="s">
        <v>39</v>
      </c>
      <c r="O916" t="s">
        <v>1254</v>
      </c>
      <c r="P916" t="s">
        <v>353</v>
      </c>
      <c r="Q916" t="s">
        <v>1253</v>
      </c>
      <c r="R916" s="140" t="s">
        <v>4463</v>
      </c>
      <c r="T916" t="s">
        <v>29</v>
      </c>
      <c r="U916">
        <v>1</v>
      </c>
      <c r="X916">
        <v>0</v>
      </c>
      <c r="Y916">
        <v>0</v>
      </c>
    </row>
    <row r="917" spans="1:25">
      <c r="A917" s="77">
        <v>200</v>
      </c>
      <c r="B917" t="s">
        <v>38</v>
      </c>
      <c r="C917" t="s">
        <v>48</v>
      </c>
      <c r="D917" s="81" t="s">
        <v>4445</v>
      </c>
      <c r="E917" s="97">
        <v>1</v>
      </c>
      <c r="F917" s="97" t="s">
        <v>26</v>
      </c>
      <c r="G917" t="s">
        <v>27</v>
      </c>
      <c r="H917" t="s">
        <v>28</v>
      </c>
      <c r="I917" t="s">
        <v>28</v>
      </c>
      <c r="J917" t="s">
        <v>28</v>
      </c>
      <c r="K917" t="s">
        <v>29</v>
      </c>
      <c r="M917" s="81" t="s">
        <v>28</v>
      </c>
      <c r="N917" s="85" t="s">
        <v>39</v>
      </c>
      <c r="O917" t="s">
        <v>1255</v>
      </c>
      <c r="P917" t="s">
        <v>353</v>
      </c>
      <c r="Q917" t="s">
        <v>1253</v>
      </c>
      <c r="R917" s="140" t="s">
        <v>4463</v>
      </c>
      <c r="T917" t="s">
        <v>29</v>
      </c>
      <c r="U917">
        <v>1</v>
      </c>
      <c r="X917">
        <v>0</v>
      </c>
      <c r="Y917">
        <v>0</v>
      </c>
    </row>
    <row r="918" spans="1:25">
      <c r="A918" s="59">
        <v>200</v>
      </c>
      <c r="B918" t="s">
        <v>38</v>
      </c>
      <c r="C918" t="s">
        <v>48</v>
      </c>
      <c r="D918" s="81" t="s">
        <v>4445</v>
      </c>
      <c r="E918" s="97">
        <v>1</v>
      </c>
      <c r="F918" s="97" t="s">
        <v>26</v>
      </c>
      <c r="G918" t="s">
        <v>27</v>
      </c>
      <c r="H918" t="s">
        <v>28</v>
      </c>
      <c r="I918" t="s">
        <v>28</v>
      </c>
      <c r="J918" t="s">
        <v>28</v>
      </c>
      <c r="K918" s="85" t="s">
        <v>29</v>
      </c>
      <c r="L918" s="85"/>
      <c r="M918" s="81" t="s">
        <v>240</v>
      </c>
      <c r="N918" s="85" t="s">
        <v>62</v>
      </c>
      <c r="O918" t="s">
        <v>1256</v>
      </c>
      <c r="P918" t="s">
        <v>1257</v>
      </c>
      <c r="Q918" t="s">
        <v>1253</v>
      </c>
      <c r="R918" s="140" t="s">
        <v>4463</v>
      </c>
    </row>
    <row r="919" spans="1:25">
      <c r="A919" s="59">
        <v>200</v>
      </c>
      <c r="B919" t="s">
        <v>38</v>
      </c>
      <c r="C919" t="s">
        <v>48</v>
      </c>
      <c r="D919" s="81" t="s">
        <v>4445</v>
      </c>
      <c r="E919" s="97">
        <v>1</v>
      </c>
      <c r="F919" s="97" t="s">
        <v>26</v>
      </c>
      <c r="G919" t="s">
        <v>27</v>
      </c>
      <c r="H919" t="s">
        <v>28</v>
      </c>
      <c r="I919" t="s">
        <v>28</v>
      </c>
      <c r="J919" t="s">
        <v>28</v>
      </c>
      <c r="K919" s="85" t="s">
        <v>29</v>
      </c>
      <c r="L919" s="85"/>
      <c r="M919" s="81" t="s">
        <v>240</v>
      </c>
      <c r="N919" s="85" t="s">
        <v>62</v>
      </c>
      <c r="O919" t="s">
        <v>1258</v>
      </c>
      <c r="P919" t="s">
        <v>1257</v>
      </c>
      <c r="Q919" t="s">
        <v>1253</v>
      </c>
      <c r="R919" s="140" t="s">
        <v>4463</v>
      </c>
    </row>
    <row r="920" spans="1:25" s="130" customFormat="1">
      <c r="A920" s="59">
        <v>200</v>
      </c>
      <c r="B920" t="s">
        <v>38</v>
      </c>
      <c r="C920" t="s">
        <v>48</v>
      </c>
      <c r="D920" s="81" t="s">
        <v>4445</v>
      </c>
      <c r="E920" s="97">
        <v>1</v>
      </c>
      <c r="F920" s="97" t="s">
        <v>26</v>
      </c>
      <c r="G920" t="s">
        <v>27</v>
      </c>
      <c r="H920" t="s">
        <v>28</v>
      </c>
      <c r="I920" t="s">
        <v>28</v>
      </c>
      <c r="J920" t="s">
        <v>28</v>
      </c>
      <c r="K920" s="85" t="s">
        <v>29</v>
      </c>
      <c r="L920" s="85"/>
      <c r="M920" s="81" t="s">
        <v>240</v>
      </c>
      <c r="N920" s="85" t="s">
        <v>62</v>
      </c>
      <c r="O920" t="s">
        <v>1259</v>
      </c>
      <c r="P920" t="s">
        <v>1257</v>
      </c>
      <c r="Q920" t="s">
        <v>1253</v>
      </c>
      <c r="R920" s="140" t="s">
        <v>4463</v>
      </c>
    </row>
    <row r="921" spans="1:25" s="130" customFormat="1">
      <c r="A921" s="59">
        <v>200</v>
      </c>
      <c r="B921" t="s">
        <v>38</v>
      </c>
      <c r="C921" t="s">
        <v>48</v>
      </c>
      <c r="D921" s="81" t="s">
        <v>4445</v>
      </c>
      <c r="E921" s="97">
        <v>1</v>
      </c>
      <c r="F921" s="97" t="s">
        <v>26</v>
      </c>
      <c r="G921" t="s">
        <v>27</v>
      </c>
      <c r="H921" t="s">
        <v>28</v>
      </c>
      <c r="I921" t="s">
        <v>28</v>
      </c>
      <c r="J921" t="s">
        <v>28</v>
      </c>
      <c r="K921" s="85" t="s">
        <v>29</v>
      </c>
      <c r="L921" s="85"/>
      <c r="M921" s="81" t="s">
        <v>240</v>
      </c>
      <c r="N921" s="85" t="s">
        <v>62</v>
      </c>
      <c r="O921" t="s">
        <v>1260</v>
      </c>
      <c r="P921" t="s">
        <v>1257</v>
      </c>
      <c r="Q921" t="s">
        <v>1253</v>
      </c>
      <c r="R921" s="140" t="s">
        <v>4463</v>
      </c>
    </row>
    <row r="922" spans="1:25" s="130" customFormat="1">
      <c r="A922" s="59">
        <v>200</v>
      </c>
      <c r="B922" t="s">
        <v>38</v>
      </c>
      <c r="C922" t="s">
        <v>48</v>
      </c>
      <c r="D922" s="81" t="s">
        <v>4445</v>
      </c>
      <c r="E922" s="97">
        <v>1</v>
      </c>
      <c r="F922" s="97" t="s">
        <v>26</v>
      </c>
      <c r="G922" t="s">
        <v>27</v>
      </c>
      <c r="H922" t="s">
        <v>28</v>
      </c>
      <c r="I922" t="s">
        <v>28</v>
      </c>
      <c r="J922" t="s">
        <v>28</v>
      </c>
      <c r="K922" s="85" t="s">
        <v>29</v>
      </c>
      <c r="L922" s="85"/>
      <c r="M922" s="81" t="s">
        <v>240</v>
      </c>
      <c r="N922" s="85" t="s">
        <v>62</v>
      </c>
      <c r="O922" t="s">
        <v>1261</v>
      </c>
      <c r="P922" t="s">
        <v>1257</v>
      </c>
      <c r="Q922" t="s">
        <v>1253</v>
      </c>
      <c r="R922" s="140" t="s">
        <v>4463</v>
      </c>
    </row>
    <row r="923" spans="1:25" s="130" customFormat="1">
      <c r="A923" s="59">
        <v>200</v>
      </c>
      <c r="B923" t="s">
        <v>38</v>
      </c>
      <c r="C923" t="s">
        <v>48</v>
      </c>
      <c r="D923" s="81" t="s">
        <v>4445</v>
      </c>
      <c r="E923" s="97">
        <v>1</v>
      </c>
      <c r="F923" s="97" t="s">
        <v>26</v>
      </c>
      <c r="G923" t="s">
        <v>27</v>
      </c>
      <c r="H923" t="s">
        <v>28</v>
      </c>
      <c r="I923" t="s">
        <v>28</v>
      </c>
      <c r="J923" t="s">
        <v>28</v>
      </c>
      <c r="K923" s="85" t="s">
        <v>29</v>
      </c>
      <c r="L923" s="85"/>
      <c r="M923" s="81" t="s">
        <v>240</v>
      </c>
      <c r="N923" s="85" t="s">
        <v>62</v>
      </c>
      <c r="O923" t="s">
        <v>1262</v>
      </c>
      <c r="P923" t="s">
        <v>1257</v>
      </c>
      <c r="Q923" t="s">
        <v>1253</v>
      </c>
      <c r="R923" s="140" t="s">
        <v>4463</v>
      </c>
    </row>
    <row r="924" spans="1:25" s="130" customFormat="1" hidden="1">
      <c r="A924" s="130">
        <v>176</v>
      </c>
      <c r="B924" s="130" t="s">
        <v>1084</v>
      </c>
      <c r="D924" s="81">
        <v>0</v>
      </c>
      <c r="E924" s="97">
        <v>2</v>
      </c>
      <c r="F924" s="98" t="s">
        <v>54</v>
      </c>
      <c r="G924" s="130" t="s">
        <v>27</v>
      </c>
      <c r="H924" s="130" t="s">
        <v>28</v>
      </c>
      <c r="I924" s="130" t="s">
        <v>28</v>
      </c>
      <c r="J924" s="130" t="s">
        <v>27</v>
      </c>
      <c r="K924" s="130" t="s">
        <v>828</v>
      </c>
      <c r="L924" s="130" t="s">
        <v>237</v>
      </c>
      <c r="M924" s="130" t="s">
        <v>28</v>
      </c>
      <c r="N924" s="130" t="s">
        <v>51</v>
      </c>
      <c r="O924" s="130" t="s">
        <v>1263</v>
      </c>
      <c r="P924" s="130" t="s">
        <v>767</v>
      </c>
    </row>
    <row r="925" spans="1:25" s="130" customFormat="1" hidden="1">
      <c r="A925" s="130">
        <v>176</v>
      </c>
      <c r="B925" s="130" t="s">
        <v>1084</v>
      </c>
      <c r="D925" s="81">
        <v>0</v>
      </c>
      <c r="E925" s="97">
        <v>2</v>
      </c>
      <c r="F925" s="98" t="s">
        <v>54</v>
      </c>
      <c r="G925" s="130" t="s">
        <v>27</v>
      </c>
      <c r="H925" s="130" t="s">
        <v>28</v>
      </c>
      <c r="I925" s="130" t="s">
        <v>28</v>
      </c>
      <c r="J925" s="130" t="s">
        <v>27</v>
      </c>
      <c r="K925" s="130" t="s">
        <v>828</v>
      </c>
      <c r="L925" s="130" t="s">
        <v>237</v>
      </c>
      <c r="M925" s="130" t="s">
        <v>28</v>
      </c>
      <c r="N925" s="130" t="s">
        <v>51</v>
      </c>
      <c r="O925" s="130" t="s">
        <v>1264</v>
      </c>
      <c r="P925" s="130" t="s">
        <v>767</v>
      </c>
    </row>
    <row r="926" spans="1:25" s="130" customFormat="1" hidden="1">
      <c r="A926" s="130">
        <v>187</v>
      </c>
      <c r="B926" s="130" t="s">
        <v>38</v>
      </c>
      <c r="C926" s="130" t="s">
        <v>43</v>
      </c>
      <c r="D926" s="81" t="s">
        <v>4444</v>
      </c>
      <c r="E926" s="97">
        <v>3</v>
      </c>
      <c r="F926" s="98" t="s">
        <v>180</v>
      </c>
      <c r="G926" s="130" t="s">
        <v>27</v>
      </c>
      <c r="H926" s="130" t="s">
        <v>28</v>
      </c>
      <c r="I926" s="130" t="s">
        <v>28</v>
      </c>
      <c r="J926" s="130" t="s">
        <v>27</v>
      </c>
      <c r="K926" s="130" t="s">
        <v>237</v>
      </c>
      <c r="L926" s="130" t="s">
        <v>237</v>
      </c>
      <c r="M926" s="130" t="s">
        <v>28</v>
      </c>
      <c r="N926" s="130" t="s">
        <v>51</v>
      </c>
      <c r="O926" s="130" t="s">
        <v>1265</v>
      </c>
      <c r="P926" s="130" t="s">
        <v>767</v>
      </c>
    </row>
    <row r="927" spans="1:25">
      <c r="A927" s="77">
        <v>201</v>
      </c>
      <c r="B927" t="s">
        <v>38</v>
      </c>
      <c r="C927" t="s">
        <v>48</v>
      </c>
      <c r="D927" s="81" t="s">
        <v>4444</v>
      </c>
      <c r="E927" s="97">
        <v>2</v>
      </c>
      <c r="F927" s="97" t="s">
        <v>54</v>
      </c>
      <c r="G927" t="s">
        <v>27</v>
      </c>
      <c r="H927" t="s">
        <v>28</v>
      </c>
      <c r="I927" t="s">
        <v>28</v>
      </c>
      <c r="J927" t="s">
        <v>28</v>
      </c>
      <c r="K927" t="s">
        <v>29</v>
      </c>
      <c r="M927" s="81" t="s">
        <v>28</v>
      </c>
      <c r="N927" s="85" t="s">
        <v>39</v>
      </c>
      <c r="O927" t="s">
        <v>1266</v>
      </c>
      <c r="P927" t="s">
        <v>475</v>
      </c>
      <c r="Q927" t="s">
        <v>1267</v>
      </c>
      <c r="R927" s="140" t="s">
        <v>4464</v>
      </c>
    </row>
    <row r="928" spans="1:25">
      <c r="A928" s="77">
        <v>201</v>
      </c>
      <c r="B928" t="s">
        <v>38</v>
      </c>
      <c r="C928" t="s">
        <v>48</v>
      </c>
      <c r="D928" s="81" t="s">
        <v>4444</v>
      </c>
      <c r="E928" s="97">
        <v>2</v>
      </c>
      <c r="F928" s="97" t="s">
        <v>54</v>
      </c>
      <c r="G928" t="s">
        <v>27</v>
      </c>
      <c r="H928" t="s">
        <v>28</v>
      </c>
      <c r="I928" t="s">
        <v>28</v>
      </c>
      <c r="J928" t="s">
        <v>28</v>
      </c>
      <c r="K928" t="s">
        <v>29</v>
      </c>
      <c r="M928" s="81" t="s">
        <v>28</v>
      </c>
      <c r="N928" s="85" t="s">
        <v>39</v>
      </c>
      <c r="O928" t="s">
        <v>1268</v>
      </c>
      <c r="P928" t="s">
        <v>475</v>
      </c>
      <c r="Q928" t="s">
        <v>1267</v>
      </c>
      <c r="R928" s="140" t="s">
        <v>4464</v>
      </c>
    </row>
    <row r="929" spans="1:19">
      <c r="A929" s="77">
        <v>201</v>
      </c>
      <c r="B929" t="s">
        <v>38</v>
      </c>
      <c r="C929" t="s">
        <v>48</v>
      </c>
      <c r="D929" s="81" t="s">
        <v>4444</v>
      </c>
      <c r="E929" s="97">
        <v>2</v>
      </c>
      <c r="F929" s="97" t="s">
        <v>54</v>
      </c>
      <c r="G929" t="s">
        <v>27</v>
      </c>
      <c r="H929" t="s">
        <v>28</v>
      </c>
      <c r="I929" t="s">
        <v>28</v>
      </c>
      <c r="J929" t="s">
        <v>28</v>
      </c>
      <c r="K929" t="s">
        <v>29</v>
      </c>
      <c r="M929" s="81" t="s">
        <v>28</v>
      </c>
      <c r="N929" s="85" t="s">
        <v>39</v>
      </c>
      <c r="O929" t="s">
        <v>1269</v>
      </c>
      <c r="P929" t="s">
        <v>475</v>
      </c>
      <c r="Q929" t="s">
        <v>1267</v>
      </c>
      <c r="R929" s="140" t="s">
        <v>4464</v>
      </c>
    </row>
    <row r="930" spans="1:19">
      <c r="A930" s="77">
        <v>201</v>
      </c>
      <c r="B930" t="s">
        <v>38</v>
      </c>
      <c r="C930" t="s">
        <v>48</v>
      </c>
      <c r="D930" s="81" t="s">
        <v>4444</v>
      </c>
      <c r="E930" s="97">
        <v>2</v>
      </c>
      <c r="F930" s="97" t="s">
        <v>54</v>
      </c>
      <c r="G930" t="s">
        <v>28</v>
      </c>
      <c r="H930" t="s">
        <v>28</v>
      </c>
      <c r="I930" t="s">
        <v>28</v>
      </c>
      <c r="J930" t="s">
        <v>28</v>
      </c>
      <c r="K930" t="s">
        <v>29</v>
      </c>
      <c r="M930" s="81" t="s">
        <v>28</v>
      </c>
      <c r="N930" s="85" t="s">
        <v>39</v>
      </c>
      <c r="O930" s="132" t="s">
        <v>1270</v>
      </c>
      <c r="P930" t="s">
        <v>86</v>
      </c>
      <c r="Q930" t="s">
        <v>1271</v>
      </c>
      <c r="R930" s="140" t="s">
        <v>4465</v>
      </c>
    </row>
    <row r="931" spans="1:19">
      <c r="A931" s="77">
        <v>201</v>
      </c>
      <c r="B931" t="s">
        <v>38</v>
      </c>
      <c r="C931" t="s">
        <v>48</v>
      </c>
      <c r="D931" s="81" t="s">
        <v>4444</v>
      </c>
      <c r="E931" s="97">
        <v>2</v>
      </c>
      <c r="F931" s="97" t="s">
        <v>54</v>
      </c>
      <c r="G931" t="s">
        <v>28</v>
      </c>
      <c r="H931" t="s">
        <v>28</v>
      </c>
      <c r="I931" t="s">
        <v>28</v>
      </c>
      <c r="J931" t="s">
        <v>28</v>
      </c>
      <c r="K931" t="s">
        <v>29</v>
      </c>
      <c r="M931" s="81" t="s">
        <v>28</v>
      </c>
      <c r="N931" s="85" t="s">
        <v>39</v>
      </c>
      <c r="O931" s="132" t="s">
        <v>1272</v>
      </c>
      <c r="P931" t="s">
        <v>86</v>
      </c>
      <c r="Q931" t="s">
        <v>1271</v>
      </c>
      <c r="R931" s="140" t="s">
        <v>4465</v>
      </c>
    </row>
    <row r="932" spans="1:19">
      <c r="A932" s="77">
        <v>201</v>
      </c>
      <c r="B932" t="s">
        <v>38</v>
      </c>
      <c r="C932" t="s">
        <v>48</v>
      </c>
      <c r="D932" s="81" t="s">
        <v>4444</v>
      </c>
      <c r="E932" s="97">
        <v>2</v>
      </c>
      <c r="F932" s="97" t="s">
        <v>54</v>
      </c>
      <c r="G932" t="s">
        <v>28</v>
      </c>
      <c r="H932" t="s">
        <v>28</v>
      </c>
      <c r="I932" t="s">
        <v>28</v>
      </c>
      <c r="J932" t="s">
        <v>28</v>
      </c>
      <c r="K932" t="s">
        <v>29</v>
      </c>
      <c r="M932" s="81" t="s">
        <v>28</v>
      </c>
      <c r="N932" s="85" t="s">
        <v>39</v>
      </c>
      <c r="O932" s="132" t="s">
        <v>1273</v>
      </c>
      <c r="P932" t="s">
        <v>86</v>
      </c>
      <c r="Q932" t="s">
        <v>1271</v>
      </c>
      <c r="R932" s="140" t="s">
        <v>4465</v>
      </c>
    </row>
    <row r="933" spans="1:19">
      <c r="A933" s="77">
        <v>201</v>
      </c>
      <c r="B933" t="s">
        <v>38</v>
      </c>
      <c r="C933" t="s">
        <v>48</v>
      </c>
      <c r="D933" s="81" t="s">
        <v>4444</v>
      </c>
      <c r="E933" s="97">
        <v>2</v>
      </c>
      <c r="F933" s="97" t="s">
        <v>54</v>
      </c>
      <c r="G933" t="s">
        <v>28</v>
      </c>
      <c r="H933" t="s">
        <v>28</v>
      </c>
      <c r="I933" t="s">
        <v>28</v>
      </c>
      <c r="J933" t="s">
        <v>28</v>
      </c>
      <c r="K933" t="s">
        <v>29</v>
      </c>
      <c r="M933" s="81" t="s">
        <v>28</v>
      </c>
      <c r="N933" s="85" t="s">
        <v>39</v>
      </c>
      <c r="O933" s="132" t="s">
        <v>1274</v>
      </c>
      <c r="P933" t="s">
        <v>86</v>
      </c>
      <c r="Q933" t="s">
        <v>1271</v>
      </c>
      <c r="R933" s="140" t="s">
        <v>4465</v>
      </c>
    </row>
    <row r="934" spans="1:19">
      <c r="A934" s="77">
        <v>201</v>
      </c>
      <c r="B934" t="s">
        <v>38</v>
      </c>
      <c r="C934" t="s">
        <v>48</v>
      </c>
      <c r="D934" s="81" t="s">
        <v>4444</v>
      </c>
      <c r="E934" s="97">
        <v>2</v>
      </c>
      <c r="F934" s="97" t="s">
        <v>54</v>
      </c>
      <c r="G934" t="s">
        <v>28</v>
      </c>
      <c r="H934" t="s">
        <v>28</v>
      </c>
      <c r="I934" t="s">
        <v>28</v>
      </c>
      <c r="J934" t="s">
        <v>28</v>
      </c>
      <c r="K934" t="s">
        <v>29</v>
      </c>
      <c r="M934" s="81" t="s">
        <v>28</v>
      </c>
      <c r="N934" s="85" t="s">
        <v>39</v>
      </c>
      <c r="O934" s="132" t="s">
        <v>1275</v>
      </c>
      <c r="P934" t="s">
        <v>86</v>
      </c>
      <c r="Q934" t="s">
        <v>1271</v>
      </c>
      <c r="R934" s="140" t="s">
        <v>4465</v>
      </c>
    </row>
    <row r="935" spans="1:19">
      <c r="A935" s="77">
        <v>202</v>
      </c>
      <c r="B935" t="s">
        <v>38</v>
      </c>
      <c r="C935" t="s">
        <v>48</v>
      </c>
      <c r="D935" s="81" t="s">
        <v>4445</v>
      </c>
      <c r="E935" s="97">
        <v>2</v>
      </c>
      <c r="F935" s="97" t="s">
        <v>67</v>
      </c>
      <c r="G935" t="s">
        <v>27</v>
      </c>
      <c r="H935" t="s">
        <v>28</v>
      </c>
      <c r="I935" t="s">
        <v>28</v>
      </c>
      <c r="J935" t="s">
        <v>28</v>
      </c>
      <c r="K935" t="s">
        <v>29</v>
      </c>
      <c r="M935" s="81" t="s">
        <v>28</v>
      </c>
      <c r="N935" s="85" t="s">
        <v>39</v>
      </c>
      <c r="O935" t="s">
        <v>1276</v>
      </c>
      <c r="P935" s="129" t="s">
        <v>93</v>
      </c>
      <c r="Q935" s="129" t="s">
        <v>1277</v>
      </c>
      <c r="R935" s="140" t="s">
        <v>4463</v>
      </c>
      <c r="S935" s="129"/>
    </row>
    <row r="936" spans="1:19">
      <c r="A936" s="77">
        <v>202</v>
      </c>
      <c r="B936" t="s">
        <v>38</v>
      </c>
      <c r="C936" t="s">
        <v>48</v>
      </c>
      <c r="D936" s="81" t="s">
        <v>4445</v>
      </c>
      <c r="E936" s="97">
        <v>2</v>
      </c>
      <c r="F936" s="97" t="s">
        <v>67</v>
      </c>
      <c r="G936" t="s">
        <v>27</v>
      </c>
      <c r="H936" t="s">
        <v>28</v>
      </c>
      <c r="I936" t="s">
        <v>28</v>
      </c>
      <c r="J936" t="s">
        <v>28</v>
      </c>
      <c r="K936" t="s">
        <v>29</v>
      </c>
      <c r="M936" s="81" t="s">
        <v>28</v>
      </c>
      <c r="N936" s="85" t="s">
        <v>39</v>
      </c>
      <c r="O936" t="s">
        <v>1278</v>
      </c>
      <c r="P936" s="129" t="s">
        <v>752</v>
      </c>
      <c r="Q936" s="129" t="s">
        <v>1277</v>
      </c>
      <c r="R936" s="140" t="s">
        <v>4463</v>
      </c>
      <c r="S936" s="129"/>
    </row>
    <row r="937" spans="1:19">
      <c r="A937" s="77">
        <v>202</v>
      </c>
      <c r="B937" t="s">
        <v>38</v>
      </c>
      <c r="C937" t="s">
        <v>48</v>
      </c>
      <c r="D937" s="81" t="s">
        <v>4445</v>
      </c>
      <c r="E937" s="97">
        <v>2</v>
      </c>
      <c r="F937" s="97" t="s">
        <v>67</v>
      </c>
      <c r="G937" t="s">
        <v>27</v>
      </c>
      <c r="H937" t="s">
        <v>28</v>
      </c>
      <c r="I937" t="s">
        <v>28</v>
      </c>
      <c r="J937" t="s">
        <v>28</v>
      </c>
      <c r="K937" t="s">
        <v>29</v>
      </c>
      <c r="M937" s="81" t="s">
        <v>28</v>
      </c>
      <c r="N937" s="85" t="s">
        <v>39</v>
      </c>
      <c r="O937" t="s">
        <v>1279</v>
      </c>
      <c r="P937" s="129" t="s">
        <v>752</v>
      </c>
      <c r="Q937" s="129" t="s">
        <v>1277</v>
      </c>
      <c r="R937" s="140" t="s">
        <v>4463</v>
      </c>
      <c r="S937" s="129"/>
    </row>
    <row r="938" spans="1:19">
      <c r="A938" s="77">
        <v>202</v>
      </c>
      <c r="B938" t="s">
        <v>38</v>
      </c>
      <c r="C938" t="s">
        <v>48</v>
      </c>
      <c r="D938" s="81" t="s">
        <v>4445</v>
      </c>
      <c r="E938" s="97">
        <v>2</v>
      </c>
      <c r="F938" s="97" t="s">
        <v>67</v>
      </c>
      <c r="G938" t="s">
        <v>27</v>
      </c>
      <c r="H938" t="s">
        <v>28</v>
      </c>
      <c r="I938" t="s">
        <v>28</v>
      </c>
      <c r="J938" t="s">
        <v>28</v>
      </c>
      <c r="K938" t="s">
        <v>29</v>
      </c>
      <c r="M938" s="81" t="s">
        <v>28</v>
      </c>
      <c r="N938" s="85" t="s">
        <v>39</v>
      </c>
      <c r="O938" t="s">
        <v>1280</v>
      </c>
      <c r="P938" s="129" t="s">
        <v>752</v>
      </c>
      <c r="Q938" s="129" t="s">
        <v>1277</v>
      </c>
      <c r="R938" s="140" t="s">
        <v>4463</v>
      </c>
      <c r="S938" s="129"/>
    </row>
    <row r="939" spans="1:19">
      <c r="A939" s="77">
        <v>203</v>
      </c>
      <c r="B939" t="s">
        <v>38</v>
      </c>
      <c r="C939" t="s">
        <v>48</v>
      </c>
      <c r="D939" s="81" t="s">
        <v>4444</v>
      </c>
      <c r="E939" s="97">
        <v>3</v>
      </c>
      <c r="F939" s="97" t="s">
        <v>180</v>
      </c>
      <c r="G939" t="s">
        <v>27</v>
      </c>
      <c r="H939" t="s">
        <v>28</v>
      </c>
      <c r="I939" t="s">
        <v>28</v>
      </c>
      <c r="J939" t="s">
        <v>28</v>
      </c>
      <c r="K939" t="s">
        <v>29</v>
      </c>
      <c r="M939" s="81" t="s">
        <v>28</v>
      </c>
      <c r="N939" s="85" t="s">
        <v>39</v>
      </c>
      <c r="O939" t="s">
        <v>1281</v>
      </c>
      <c r="P939" t="s">
        <v>475</v>
      </c>
      <c r="Q939" t="s">
        <v>1282</v>
      </c>
      <c r="R939" s="140" t="s">
        <v>4464</v>
      </c>
    </row>
    <row r="940" spans="1:19">
      <c r="A940" s="77">
        <v>203</v>
      </c>
      <c r="B940" t="s">
        <v>38</v>
      </c>
      <c r="C940" t="s">
        <v>48</v>
      </c>
      <c r="D940" s="81" t="s">
        <v>4444</v>
      </c>
      <c r="E940" s="97">
        <v>3</v>
      </c>
      <c r="F940" s="97" t="s">
        <v>180</v>
      </c>
      <c r="G940" t="s">
        <v>27</v>
      </c>
      <c r="H940" t="s">
        <v>28</v>
      </c>
      <c r="I940" t="s">
        <v>28</v>
      </c>
      <c r="J940" t="s">
        <v>28</v>
      </c>
      <c r="K940" t="s">
        <v>29</v>
      </c>
      <c r="M940" s="81" t="s">
        <v>28</v>
      </c>
      <c r="N940" s="85" t="s">
        <v>39</v>
      </c>
      <c r="O940" t="s">
        <v>1283</v>
      </c>
      <c r="P940" t="s">
        <v>475</v>
      </c>
      <c r="Q940" t="s">
        <v>1282</v>
      </c>
      <c r="R940" s="140" t="s">
        <v>4464</v>
      </c>
    </row>
    <row r="941" spans="1:19">
      <c r="A941" s="77">
        <v>203</v>
      </c>
      <c r="B941" t="s">
        <v>38</v>
      </c>
      <c r="C941" t="s">
        <v>48</v>
      </c>
      <c r="D941" s="81" t="s">
        <v>4444</v>
      </c>
      <c r="E941" s="97">
        <v>3</v>
      </c>
      <c r="F941" s="97" t="s">
        <v>180</v>
      </c>
      <c r="G941" t="s">
        <v>27</v>
      </c>
      <c r="H941" t="s">
        <v>28</v>
      </c>
      <c r="I941" t="s">
        <v>28</v>
      </c>
      <c r="J941" t="s">
        <v>28</v>
      </c>
      <c r="K941" t="s">
        <v>29</v>
      </c>
      <c r="M941" s="81" t="s">
        <v>28</v>
      </c>
      <c r="N941" s="85" t="s">
        <v>39</v>
      </c>
      <c r="O941" t="s">
        <v>1284</v>
      </c>
      <c r="P941" t="s">
        <v>475</v>
      </c>
      <c r="Q941" t="s">
        <v>1282</v>
      </c>
      <c r="R941" s="140" t="s">
        <v>4464</v>
      </c>
    </row>
    <row r="942" spans="1:19" s="130" customFormat="1">
      <c r="A942" s="77">
        <v>204</v>
      </c>
      <c r="B942" t="s">
        <v>124</v>
      </c>
      <c r="C942" t="s">
        <v>66</v>
      </c>
      <c r="D942" s="81" t="s">
        <v>4445</v>
      </c>
      <c r="E942" s="97">
        <v>3</v>
      </c>
      <c r="F942" s="97" t="s">
        <v>180</v>
      </c>
      <c r="G942" t="s">
        <v>28</v>
      </c>
      <c r="H942" t="s">
        <v>28</v>
      </c>
      <c r="I942" t="s">
        <v>28</v>
      </c>
      <c r="J942" t="s">
        <v>28</v>
      </c>
      <c r="K942" t="s">
        <v>124</v>
      </c>
      <c r="M942" s="81" t="s">
        <v>28</v>
      </c>
      <c r="N942" s="85" t="s">
        <v>39</v>
      </c>
      <c r="O942" s="132" t="s">
        <v>1285</v>
      </c>
      <c r="P942" s="132" t="s">
        <v>86</v>
      </c>
      <c r="Q942" s="132" t="s">
        <v>1286</v>
      </c>
      <c r="R942" s="140" t="s">
        <v>4448</v>
      </c>
      <c r="S942" s="132"/>
    </row>
    <row r="943" spans="1:19">
      <c r="A943" s="77">
        <v>204</v>
      </c>
      <c r="B943" t="s">
        <v>124</v>
      </c>
      <c r="C943" t="s">
        <v>66</v>
      </c>
      <c r="D943" s="81" t="s">
        <v>4445</v>
      </c>
      <c r="E943" s="97">
        <v>3</v>
      </c>
      <c r="F943" s="97" t="s">
        <v>180</v>
      </c>
      <c r="G943" t="s">
        <v>28</v>
      </c>
      <c r="H943" t="s">
        <v>28</v>
      </c>
      <c r="I943" t="s">
        <v>28</v>
      </c>
      <c r="J943" t="s">
        <v>28</v>
      </c>
      <c r="K943" t="s">
        <v>124</v>
      </c>
      <c r="M943" s="81" t="s">
        <v>28</v>
      </c>
      <c r="N943" s="85" t="s">
        <v>39</v>
      </c>
      <c r="O943" s="132" t="s">
        <v>1287</v>
      </c>
      <c r="P943" s="132" t="s">
        <v>86</v>
      </c>
      <c r="Q943" s="132" t="s">
        <v>1286</v>
      </c>
      <c r="R943" s="140" t="s">
        <v>4448</v>
      </c>
      <c r="S943" s="132"/>
    </row>
    <row r="944" spans="1:19">
      <c r="A944" s="77">
        <v>204</v>
      </c>
      <c r="B944" t="s">
        <v>124</v>
      </c>
      <c r="C944" t="s">
        <v>66</v>
      </c>
      <c r="D944" s="81" t="s">
        <v>4445</v>
      </c>
      <c r="E944" s="97">
        <v>3</v>
      </c>
      <c r="F944" s="97" t="s">
        <v>180</v>
      </c>
      <c r="G944" t="s">
        <v>28</v>
      </c>
      <c r="H944" t="s">
        <v>28</v>
      </c>
      <c r="I944" t="s">
        <v>28</v>
      </c>
      <c r="J944" t="s">
        <v>28</v>
      </c>
      <c r="K944" t="s">
        <v>124</v>
      </c>
      <c r="M944" s="81" t="s">
        <v>28</v>
      </c>
      <c r="N944" s="85" t="s">
        <v>39</v>
      </c>
      <c r="O944" s="132" t="s">
        <v>1288</v>
      </c>
      <c r="P944" s="132" t="s">
        <v>86</v>
      </c>
      <c r="Q944" s="132" t="s">
        <v>1286</v>
      </c>
      <c r="R944" s="140" t="s">
        <v>4448</v>
      </c>
      <c r="S944" s="132"/>
    </row>
    <row r="945" spans="1:25">
      <c r="A945" s="77">
        <v>204</v>
      </c>
      <c r="B945" t="s">
        <v>124</v>
      </c>
      <c r="C945" t="s">
        <v>66</v>
      </c>
      <c r="D945" s="81" t="s">
        <v>4445</v>
      </c>
      <c r="E945" s="97">
        <v>3</v>
      </c>
      <c r="F945" s="97" t="s">
        <v>180</v>
      </c>
      <c r="G945" t="s">
        <v>28</v>
      </c>
      <c r="H945" t="s">
        <v>28</v>
      </c>
      <c r="I945" t="s">
        <v>28</v>
      </c>
      <c r="J945" t="s">
        <v>28</v>
      </c>
      <c r="K945" t="s">
        <v>124</v>
      </c>
      <c r="M945" s="81" t="s">
        <v>28</v>
      </c>
      <c r="N945" s="85" t="s">
        <v>39</v>
      </c>
      <c r="O945" s="132" t="s">
        <v>1289</v>
      </c>
      <c r="P945" s="132" t="s">
        <v>86</v>
      </c>
      <c r="Q945" s="132" t="s">
        <v>1286</v>
      </c>
      <c r="R945" s="140" t="s">
        <v>4448</v>
      </c>
      <c r="S945" s="132"/>
    </row>
    <row r="946" spans="1:25">
      <c r="A946" s="77">
        <v>204</v>
      </c>
      <c r="B946" t="s">
        <v>124</v>
      </c>
      <c r="C946" t="s">
        <v>66</v>
      </c>
      <c r="D946" s="81" t="s">
        <v>4445</v>
      </c>
      <c r="E946" s="97">
        <v>3</v>
      </c>
      <c r="F946" s="97" t="s">
        <v>180</v>
      </c>
      <c r="G946" t="s">
        <v>28</v>
      </c>
      <c r="H946" t="s">
        <v>28</v>
      </c>
      <c r="I946" t="s">
        <v>28</v>
      </c>
      <c r="J946" t="s">
        <v>28</v>
      </c>
      <c r="K946" t="s">
        <v>124</v>
      </c>
      <c r="M946" s="81" t="s">
        <v>28</v>
      </c>
      <c r="N946" s="85" t="s">
        <v>39</v>
      </c>
      <c r="O946" s="132" t="s">
        <v>1290</v>
      </c>
      <c r="P946" s="73" t="s">
        <v>86</v>
      </c>
      <c r="Q946" s="73" t="s">
        <v>1286</v>
      </c>
      <c r="R946" s="140" t="s">
        <v>4448</v>
      </c>
      <c r="S946" s="73"/>
    </row>
    <row r="947" spans="1:25">
      <c r="A947" s="77">
        <v>204</v>
      </c>
      <c r="B947" t="s">
        <v>124</v>
      </c>
      <c r="C947" t="s">
        <v>66</v>
      </c>
      <c r="D947" s="81" t="s">
        <v>4445</v>
      </c>
      <c r="E947" s="97">
        <v>3</v>
      </c>
      <c r="F947" s="97" t="s">
        <v>180</v>
      </c>
      <c r="G947" t="s">
        <v>28</v>
      </c>
      <c r="H947" t="s">
        <v>28</v>
      </c>
      <c r="I947" t="s">
        <v>28</v>
      </c>
      <c r="J947" t="s">
        <v>28</v>
      </c>
      <c r="K947" t="s">
        <v>124</v>
      </c>
      <c r="M947" s="81" t="s">
        <v>28</v>
      </c>
      <c r="N947" s="85" t="s">
        <v>39</v>
      </c>
      <c r="O947" t="s">
        <v>1291</v>
      </c>
      <c r="P947" t="s">
        <v>213</v>
      </c>
      <c r="Q947" t="s">
        <v>1286</v>
      </c>
      <c r="R947" s="140" t="s">
        <v>4448</v>
      </c>
      <c r="T947" t="s">
        <v>29</v>
      </c>
      <c r="U947">
        <v>1</v>
      </c>
      <c r="X947">
        <v>0</v>
      </c>
      <c r="Y947">
        <v>0</v>
      </c>
    </row>
    <row r="948" spans="1:25">
      <c r="A948" s="77">
        <v>204</v>
      </c>
      <c r="B948" t="s">
        <v>124</v>
      </c>
      <c r="C948" t="s">
        <v>66</v>
      </c>
      <c r="D948" s="81" t="s">
        <v>4445</v>
      </c>
      <c r="E948" s="97">
        <v>3</v>
      </c>
      <c r="F948" s="97" t="s">
        <v>180</v>
      </c>
      <c r="G948" t="s">
        <v>28</v>
      </c>
      <c r="H948" t="s">
        <v>28</v>
      </c>
      <c r="I948" t="s">
        <v>28</v>
      </c>
      <c r="J948" t="s">
        <v>28</v>
      </c>
      <c r="K948" t="s">
        <v>124</v>
      </c>
      <c r="M948" s="81" t="s">
        <v>28</v>
      </c>
      <c r="N948" s="85" t="s">
        <v>39</v>
      </c>
      <c r="O948" t="s">
        <v>1292</v>
      </c>
      <c r="P948" t="s">
        <v>213</v>
      </c>
      <c r="Q948" t="s">
        <v>1286</v>
      </c>
      <c r="R948" s="140" t="s">
        <v>4448</v>
      </c>
      <c r="T948" t="s">
        <v>29</v>
      </c>
      <c r="U948">
        <v>1</v>
      </c>
      <c r="X948">
        <v>0</v>
      </c>
      <c r="Y948">
        <v>0</v>
      </c>
    </row>
    <row r="949" spans="1:25">
      <c r="A949" s="77">
        <v>204</v>
      </c>
      <c r="B949" t="s">
        <v>124</v>
      </c>
      <c r="C949" t="s">
        <v>66</v>
      </c>
      <c r="D949" s="81" t="s">
        <v>4445</v>
      </c>
      <c r="E949" s="97">
        <v>3</v>
      </c>
      <c r="F949" s="97" t="s">
        <v>180</v>
      </c>
      <c r="G949" t="s">
        <v>28</v>
      </c>
      <c r="H949" t="s">
        <v>28</v>
      </c>
      <c r="I949" t="s">
        <v>28</v>
      </c>
      <c r="J949" t="s">
        <v>28</v>
      </c>
      <c r="K949" t="s">
        <v>124</v>
      </c>
      <c r="M949" s="81" t="s">
        <v>28</v>
      </c>
      <c r="N949" s="85" t="s">
        <v>39</v>
      </c>
      <c r="O949" t="s">
        <v>1293</v>
      </c>
      <c r="P949" t="s">
        <v>213</v>
      </c>
      <c r="Q949" t="s">
        <v>1286</v>
      </c>
      <c r="R949" s="140" t="s">
        <v>4448</v>
      </c>
      <c r="T949" t="s">
        <v>29</v>
      </c>
      <c r="U949">
        <v>1</v>
      </c>
      <c r="X949">
        <v>0</v>
      </c>
      <c r="Y949">
        <v>0</v>
      </c>
    </row>
    <row r="950" spans="1:25" hidden="1">
      <c r="A950" s="78">
        <v>205</v>
      </c>
      <c r="B950" s="130" t="s">
        <v>124</v>
      </c>
      <c r="C950" s="130" t="s">
        <v>66</v>
      </c>
      <c r="D950" s="81" t="s">
        <v>4445</v>
      </c>
      <c r="E950" s="97">
        <v>3</v>
      </c>
      <c r="F950" s="97" t="s">
        <v>74</v>
      </c>
      <c r="G950" s="130" t="s">
        <v>27</v>
      </c>
      <c r="H950" s="130" t="s">
        <v>28</v>
      </c>
      <c r="I950" s="130" t="s">
        <v>28</v>
      </c>
      <c r="J950" s="130" t="s">
        <v>27</v>
      </c>
      <c r="K950" s="137" t="s">
        <v>68</v>
      </c>
      <c r="L950" s="137" t="s">
        <v>68</v>
      </c>
      <c r="M950" s="137" t="s">
        <v>240</v>
      </c>
      <c r="N950" s="122" t="s">
        <v>31</v>
      </c>
      <c r="O950" s="130" t="s">
        <v>1294</v>
      </c>
      <c r="P950" s="131" t="s">
        <v>475</v>
      </c>
      <c r="Q950" s="131"/>
      <c r="R950" s="131"/>
      <c r="S950" s="131"/>
      <c r="T950" s="130"/>
      <c r="U950" s="130"/>
      <c r="V950" s="130"/>
      <c r="W950" s="130"/>
      <c r="X950" s="130"/>
      <c r="Y950" s="130"/>
    </row>
    <row r="951" spans="1:25" hidden="1">
      <c r="A951" s="78">
        <v>205</v>
      </c>
      <c r="B951" s="130" t="s">
        <v>124</v>
      </c>
      <c r="C951" s="130" t="s">
        <v>66</v>
      </c>
      <c r="D951" s="81" t="s">
        <v>4445</v>
      </c>
      <c r="E951" s="97">
        <v>3</v>
      </c>
      <c r="F951" s="97" t="s">
        <v>74</v>
      </c>
      <c r="G951" s="130" t="s">
        <v>27</v>
      </c>
      <c r="H951" s="130" t="s">
        <v>28</v>
      </c>
      <c r="I951" s="130" t="s">
        <v>28</v>
      </c>
      <c r="J951" s="130" t="s">
        <v>27</v>
      </c>
      <c r="K951" s="137" t="s">
        <v>68</v>
      </c>
      <c r="L951" s="137" t="s">
        <v>68</v>
      </c>
      <c r="M951" s="137" t="s">
        <v>240</v>
      </c>
      <c r="N951" s="122" t="s">
        <v>31</v>
      </c>
      <c r="O951" s="130" t="s">
        <v>1295</v>
      </c>
      <c r="P951" s="131" t="s">
        <v>475</v>
      </c>
      <c r="Q951" s="131"/>
      <c r="R951" s="131"/>
      <c r="S951" s="131"/>
      <c r="T951" s="130"/>
      <c r="U951" s="130"/>
      <c r="V951" s="130"/>
      <c r="W951" s="130"/>
      <c r="X951" s="130"/>
      <c r="Y951" s="130"/>
    </row>
    <row r="952" spans="1:25" s="137" customFormat="1" hidden="1">
      <c r="A952" s="78">
        <v>205</v>
      </c>
      <c r="B952" s="130" t="s">
        <v>124</v>
      </c>
      <c r="C952" s="130" t="s">
        <v>66</v>
      </c>
      <c r="D952" s="81" t="s">
        <v>4445</v>
      </c>
      <c r="E952" s="97">
        <v>3</v>
      </c>
      <c r="F952" s="97" t="s">
        <v>74</v>
      </c>
      <c r="G952" s="130" t="s">
        <v>27</v>
      </c>
      <c r="H952" s="130" t="s">
        <v>28</v>
      </c>
      <c r="I952" s="130" t="s">
        <v>28</v>
      </c>
      <c r="J952" s="130" t="s">
        <v>27</v>
      </c>
      <c r="K952" s="137" t="s">
        <v>68</v>
      </c>
      <c r="L952" s="137" t="s">
        <v>68</v>
      </c>
      <c r="M952" s="137" t="s">
        <v>240</v>
      </c>
      <c r="N952" s="122" t="s">
        <v>31</v>
      </c>
      <c r="O952" s="130" t="s">
        <v>1296</v>
      </c>
      <c r="P952" s="131" t="s">
        <v>475</v>
      </c>
      <c r="Q952" s="131"/>
      <c r="R952" s="131"/>
      <c r="S952" s="131"/>
      <c r="T952" s="130"/>
      <c r="U952" s="130"/>
      <c r="V952" s="130"/>
      <c r="W952" s="130"/>
      <c r="X952" s="130"/>
      <c r="Y952" s="130"/>
    </row>
    <row r="953" spans="1:25">
      <c r="A953" s="77">
        <v>205</v>
      </c>
      <c r="B953" t="s">
        <v>124</v>
      </c>
      <c r="C953" t="s">
        <v>66</v>
      </c>
      <c r="D953" s="81" t="s">
        <v>4445</v>
      </c>
      <c r="E953" s="97">
        <v>3</v>
      </c>
      <c r="F953" s="97" t="s">
        <v>74</v>
      </c>
      <c r="G953" t="s">
        <v>28</v>
      </c>
      <c r="H953" t="s">
        <v>28</v>
      </c>
      <c r="I953" t="s">
        <v>28</v>
      </c>
      <c r="J953" t="s">
        <v>28</v>
      </c>
      <c r="K953" t="s">
        <v>124</v>
      </c>
      <c r="M953" s="81" t="s">
        <v>28</v>
      </c>
      <c r="N953" s="85" t="s">
        <v>39</v>
      </c>
      <c r="O953" s="132" t="s">
        <v>1297</v>
      </c>
      <c r="P953" s="129" t="s">
        <v>86</v>
      </c>
      <c r="Q953" s="129" t="s">
        <v>1298</v>
      </c>
      <c r="R953" s="140" t="s">
        <v>4448</v>
      </c>
      <c r="S953" s="129"/>
    </row>
    <row r="954" spans="1:25">
      <c r="A954" s="77">
        <v>205</v>
      </c>
      <c r="B954" t="s">
        <v>124</v>
      </c>
      <c r="C954" t="s">
        <v>66</v>
      </c>
      <c r="D954" s="81" t="s">
        <v>4445</v>
      </c>
      <c r="E954" s="97">
        <v>3</v>
      </c>
      <c r="F954" s="97" t="s">
        <v>74</v>
      </c>
      <c r="G954" t="s">
        <v>28</v>
      </c>
      <c r="H954" t="s">
        <v>28</v>
      </c>
      <c r="I954" t="s">
        <v>28</v>
      </c>
      <c r="J954" t="s">
        <v>28</v>
      </c>
      <c r="K954" t="s">
        <v>124</v>
      </c>
      <c r="M954" s="81" t="s">
        <v>28</v>
      </c>
      <c r="N954" s="85" t="s">
        <v>39</v>
      </c>
      <c r="O954" s="132" t="s">
        <v>1299</v>
      </c>
      <c r="P954" s="129" t="s">
        <v>86</v>
      </c>
      <c r="Q954" s="129" t="s">
        <v>1298</v>
      </c>
      <c r="R954" s="140" t="s">
        <v>4448</v>
      </c>
      <c r="S954" s="129"/>
    </row>
    <row r="955" spans="1:25">
      <c r="A955" s="77">
        <v>205</v>
      </c>
      <c r="B955" t="s">
        <v>124</v>
      </c>
      <c r="C955" t="s">
        <v>66</v>
      </c>
      <c r="D955" s="81" t="s">
        <v>4445</v>
      </c>
      <c r="E955" s="97">
        <v>3</v>
      </c>
      <c r="F955" s="97" t="s">
        <v>74</v>
      </c>
      <c r="G955" t="s">
        <v>28</v>
      </c>
      <c r="H955" t="s">
        <v>28</v>
      </c>
      <c r="I955" t="s">
        <v>28</v>
      </c>
      <c r="J955" t="s">
        <v>28</v>
      </c>
      <c r="K955" t="s">
        <v>124</v>
      </c>
      <c r="M955" s="81" t="s">
        <v>28</v>
      </c>
      <c r="N955" s="85" t="s">
        <v>39</v>
      </c>
      <c r="O955" s="132" t="s">
        <v>1300</v>
      </c>
      <c r="P955" s="129" t="s">
        <v>86</v>
      </c>
      <c r="Q955" s="129" t="s">
        <v>1298</v>
      </c>
      <c r="R955" s="140" t="s">
        <v>4448</v>
      </c>
      <c r="S955" s="129"/>
    </row>
    <row r="956" spans="1:25">
      <c r="A956" s="77">
        <v>205</v>
      </c>
      <c r="B956" t="s">
        <v>124</v>
      </c>
      <c r="C956" t="s">
        <v>66</v>
      </c>
      <c r="D956" s="81" t="s">
        <v>4445</v>
      </c>
      <c r="E956" s="97">
        <v>3</v>
      </c>
      <c r="F956" s="97" t="s">
        <v>74</v>
      </c>
      <c r="G956" t="s">
        <v>28</v>
      </c>
      <c r="H956" t="s">
        <v>28</v>
      </c>
      <c r="I956" t="s">
        <v>28</v>
      </c>
      <c r="J956" t="s">
        <v>28</v>
      </c>
      <c r="K956" t="s">
        <v>124</v>
      </c>
      <c r="M956" s="81" t="s">
        <v>28</v>
      </c>
      <c r="N956" s="85" t="s">
        <v>39</v>
      </c>
      <c r="O956" s="132" t="s">
        <v>1301</v>
      </c>
      <c r="P956" s="129" t="s">
        <v>86</v>
      </c>
      <c r="Q956" s="129" t="s">
        <v>1298</v>
      </c>
      <c r="R956" s="140" t="s">
        <v>4448</v>
      </c>
      <c r="S956" s="129"/>
    </row>
    <row r="957" spans="1:25">
      <c r="A957" s="77">
        <v>205</v>
      </c>
      <c r="B957" t="s">
        <v>124</v>
      </c>
      <c r="C957" t="s">
        <v>66</v>
      </c>
      <c r="D957" s="81" t="s">
        <v>4445</v>
      </c>
      <c r="E957" s="97">
        <v>3</v>
      </c>
      <c r="F957" s="97" t="s">
        <v>74</v>
      </c>
      <c r="G957" t="s">
        <v>28</v>
      </c>
      <c r="H957" t="s">
        <v>28</v>
      </c>
      <c r="I957" t="s">
        <v>28</v>
      </c>
      <c r="J957" t="s">
        <v>28</v>
      </c>
      <c r="K957" t="s">
        <v>124</v>
      </c>
      <c r="M957" s="81" t="s">
        <v>28</v>
      </c>
      <c r="N957" s="85" t="s">
        <v>39</v>
      </c>
      <c r="O957" s="132" t="s">
        <v>1302</v>
      </c>
      <c r="P957" s="129" t="s">
        <v>86</v>
      </c>
      <c r="Q957" s="129" t="s">
        <v>1298</v>
      </c>
      <c r="R957" s="140" t="s">
        <v>4448</v>
      </c>
      <c r="S957" s="129"/>
    </row>
    <row r="958" spans="1:25" hidden="1">
      <c r="A958" s="78">
        <v>206</v>
      </c>
      <c r="B958" s="130" t="s">
        <v>124</v>
      </c>
      <c r="C958" s="130" t="s">
        <v>253</v>
      </c>
      <c r="D958" s="81" t="s">
        <v>4445</v>
      </c>
      <c r="E958" s="97">
        <v>3</v>
      </c>
      <c r="F958" s="97" t="s">
        <v>180</v>
      </c>
      <c r="G958" s="130" t="s">
        <v>27</v>
      </c>
      <c r="H958" s="130" t="s">
        <v>28</v>
      </c>
      <c r="I958" s="130" t="s">
        <v>28</v>
      </c>
      <c r="J958" s="130" t="s">
        <v>27</v>
      </c>
      <c r="K958" s="137" t="s">
        <v>68</v>
      </c>
      <c r="L958" s="137" t="s">
        <v>68</v>
      </c>
      <c r="M958" s="137" t="s">
        <v>240</v>
      </c>
      <c r="N958" s="122" t="s">
        <v>31</v>
      </c>
      <c r="O958" s="130" t="s">
        <v>1303</v>
      </c>
      <c r="P958" s="131" t="s">
        <v>475</v>
      </c>
      <c r="Q958" s="131"/>
      <c r="R958" s="131"/>
      <c r="S958" s="131"/>
      <c r="T958" s="130"/>
      <c r="U958" s="130"/>
      <c r="V958" s="130"/>
      <c r="W958" s="130"/>
      <c r="X958" s="130"/>
      <c r="Y958" s="130"/>
    </row>
    <row r="959" spans="1:25" hidden="1">
      <c r="A959" s="78">
        <v>206</v>
      </c>
      <c r="B959" s="130" t="s">
        <v>124</v>
      </c>
      <c r="C959" s="130" t="s">
        <v>253</v>
      </c>
      <c r="D959" s="81" t="s">
        <v>4445</v>
      </c>
      <c r="E959" s="97">
        <v>3</v>
      </c>
      <c r="F959" s="97" t="s">
        <v>180</v>
      </c>
      <c r="G959" s="130" t="s">
        <v>27</v>
      </c>
      <c r="H959" s="130" t="s">
        <v>28</v>
      </c>
      <c r="I959" s="130" t="s">
        <v>28</v>
      </c>
      <c r="J959" s="130" t="s">
        <v>27</v>
      </c>
      <c r="K959" s="137" t="s">
        <v>68</v>
      </c>
      <c r="L959" s="137" t="s">
        <v>68</v>
      </c>
      <c r="M959" s="137" t="s">
        <v>240</v>
      </c>
      <c r="N959" s="122" t="s">
        <v>31</v>
      </c>
      <c r="O959" s="130" t="s">
        <v>1304</v>
      </c>
      <c r="P959" s="131" t="s">
        <v>475</v>
      </c>
      <c r="Q959" s="131"/>
      <c r="R959" s="131"/>
      <c r="S959" s="131"/>
      <c r="T959" s="130"/>
      <c r="U959" s="130"/>
      <c r="V959" s="130"/>
      <c r="W959" s="130"/>
      <c r="X959" s="130"/>
      <c r="Y959" s="130"/>
    </row>
    <row r="960" spans="1:25" hidden="1">
      <c r="A960" s="78">
        <v>206</v>
      </c>
      <c r="B960" s="130" t="s">
        <v>124</v>
      </c>
      <c r="C960" s="130" t="s">
        <v>253</v>
      </c>
      <c r="D960" s="81" t="s">
        <v>4445</v>
      </c>
      <c r="E960" s="97">
        <v>3</v>
      </c>
      <c r="F960" s="97" t="s">
        <v>180</v>
      </c>
      <c r="G960" s="130" t="s">
        <v>27</v>
      </c>
      <c r="H960" s="130" t="s">
        <v>28</v>
      </c>
      <c r="I960" s="130" t="s">
        <v>28</v>
      </c>
      <c r="J960" s="130" t="s">
        <v>27</v>
      </c>
      <c r="K960" s="137" t="s">
        <v>68</v>
      </c>
      <c r="L960" s="137" t="s">
        <v>68</v>
      </c>
      <c r="M960" s="137" t="s">
        <v>240</v>
      </c>
      <c r="N960" s="122" t="s">
        <v>31</v>
      </c>
      <c r="O960" s="130" t="s">
        <v>1305</v>
      </c>
      <c r="P960" s="131" t="s">
        <v>475</v>
      </c>
      <c r="Q960" s="131"/>
      <c r="R960" s="131"/>
      <c r="S960" s="131"/>
      <c r="T960" s="130"/>
      <c r="U960" s="130"/>
      <c r="V960" s="130"/>
      <c r="W960" s="130"/>
      <c r="X960" s="130"/>
      <c r="Y960" s="130"/>
    </row>
    <row r="961" spans="1:25">
      <c r="A961" s="77">
        <v>206</v>
      </c>
      <c r="B961" t="s">
        <v>124</v>
      </c>
      <c r="C961" t="s">
        <v>253</v>
      </c>
      <c r="D961" s="81" t="s">
        <v>4445</v>
      </c>
      <c r="E961" s="97">
        <v>3</v>
      </c>
      <c r="F961" s="97" t="s">
        <v>180</v>
      </c>
      <c r="G961" t="s">
        <v>28</v>
      </c>
      <c r="H961" t="s">
        <v>28</v>
      </c>
      <c r="I961" t="s">
        <v>28</v>
      </c>
      <c r="J961" t="s">
        <v>28</v>
      </c>
      <c r="K961" t="s">
        <v>124</v>
      </c>
      <c r="M961" s="81" t="s">
        <v>28</v>
      </c>
      <c r="N961" s="85" t="s">
        <v>39</v>
      </c>
      <c r="O961" s="132" t="s">
        <v>1306</v>
      </c>
      <c r="P961" s="129" t="s">
        <v>86</v>
      </c>
      <c r="Q961" s="129" t="s">
        <v>1307</v>
      </c>
      <c r="R961" s="140" t="s">
        <v>4448</v>
      </c>
      <c r="S961" s="129"/>
    </row>
    <row r="962" spans="1:25">
      <c r="A962" s="77">
        <v>206</v>
      </c>
      <c r="B962" t="s">
        <v>124</v>
      </c>
      <c r="C962" t="s">
        <v>253</v>
      </c>
      <c r="D962" s="81" t="s">
        <v>4445</v>
      </c>
      <c r="E962" s="97">
        <v>3</v>
      </c>
      <c r="F962" s="97" t="s">
        <v>180</v>
      </c>
      <c r="G962" t="s">
        <v>28</v>
      </c>
      <c r="H962" t="s">
        <v>28</v>
      </c>
      <c r="I962" t="s">
        <v>28</v>
      </c>
      <c r="J962" t="s">
        <v>28</v>
      </c>
      <c r="K962" t="s">
        <v>124</v>
      </c>
      <c r="M962" s="81" t="s">
        <v>28</v>
      </c>
      <c r="N962" s="85" t="s">
        <v>39</v>
      </c>
      <c r="O962" s="132" t="s">
        <v>1308</v>
      </c>
      <c r="P962" s="129" t="s">
        <v>86</v>
      </c>
      <c r="Q962" s="129" t="s">
        <v>1307</v>
      </c>
      <c r="R962" s="140" t="s">
        <v>4448</v>
      </c>
      <c r="S962" s="129"/>
    </row>
    <row r="963" spans="1:25">
      <c r="A963" s="77">
        <v>206</v>
      </c>
      <c r="B963" t="s">
        <v>124</v>
      </c>
      <c r="C963" t="s">
        <v>253</v>
      </c>
      <c r="D963" s="81" t="s">
        <v>4445</v>
      </c>
      <c r="E963" s="97">
        <v>3</v>
      </c>
      <c r="F963" s="97" t="s">
        <v>180</v>
      </c>
      <c r="G963" t="s">
        <v>28</v>
      </c>
      <c r="H963" t="s">
        <v>28</v>
      </c>
      <c r="I963" t="s">
        <v>28</v>
      </c>
      <c r="J963" t="s">
        <v>28</v>
      </c>
      <c r="K963" t="s">
        <v>124</v>
      </c>
      <c r="M963" s="81" t="s">
        <v>28</v>
      </c>
      <c r="N963" s="85" t="s">
        <v>39</v>
      </c>
      <c r="O963" s="132" t="s">
        <v>1309</v>
      </c>
      <c r="P963" s="129" t="s">
        <v>86</v>
      </c>
      <c r="Q963" s="129" t="s">
        <v>1307</v>
      </c>
      <c r="R963" s="140" t="s">
        <v>4448</v>
      </c>
      <c r="S963" s="129"/>
    </row>
    <row r="964" spans="1:25">
      <c r="A964" s="77">
        <v>206</v>
      </c>
      <c r="B964" t="s">
        <v>124</v>
      </c>
      <c r="C964" t="s">
        <v>253</v>
      </c>
      <c r="D964" s="81" t="s">
        <v>4445</v>
      </c>
      <c r="E964" s="97">
        <v>3</v>
      </c>
      <c r="F964" s="97" t="s">
        <v>180</v>
      </c>
      <c r="G964" t="s">
        <v>28</v>
      </c>
      <c r="H964" t="s">
        <v>28</v>
      </c>
      <c r="I964" t="s">
        <v>28</v>
      </c>
      <c r="J964" t="s">
        <v>28</v>
      </c>
      <c r="K964" t="s">
        <v>124</v>
      </c>
      <c r="M964" s="81" t="s">
        <v>28</v>
      </c>
      <c r="N964" s="85" t="s">
        <v>39</v>
      </c>
      <c r="O964" s="132" t="s">
        <v>1310</v>
      </c>
      <c r="P964" s="129" t="s">
        <v>86</v>
      </c>
      <c r="Q964" s="129" t="s">
        <v>1307</v>
      </c>
      <c r="R964" s="140" t="s">
        <v>4448</v>
      </c>
      <c r="S964" s="129"/>
    </row>
    <row r="965" spans="1:25" hidden="1">
      <c r="A965" s="78">
        <v>207</v>
      </c>
      <c r="B965" s="130" t="s">
        <v>124</v>
      </c>
      <c r="C965" s="130" t="s">
        <v>66</v>
      </c>
      <c r="D965" s="81" t="s">
        <v>4445</v>
      </c>
      <c r="E965" s="97">
        <v>2</v>
      </c>
      <c r="F965" s="97" t="s">
        <v>67</v>
      </c>
      <c r="G965" s="130" t="s">
        <v>27</v>
      </c>
      <c r="H965" s="130" t="s">
        <v>28</v>
      </c>
      <c r="I965" s="130" t="s">
        <v>28</v>
      </c>
      <c r="J965" s="130" t="s">
        <v>27</v>
      </c>
      <c r="K965" s="137" t="s">
        <v>68</v>
      </c>
      <c r="L965" s="137" t="s">
        <v>68</v>
      </c>
      <c r="M965" s="137" t="s">
        <v>240</v>
      </c>
      <c r="N965" s="122" t="s">
        <v>31</v>
      </c>
      <c r="O965" s="130" t="s">
        <v>1311</v>
      </c>
      <c r="P965" s="131" t="s">
        <v>475</v>
      </c>
      <c r="Q965" s="131"/>
      <c r="R965" s="131"/>
      <c r="S965" s="131"/>
      <c r="T965" s="130"/>
      <c r="U965" s="130"/>
      <c r="V965" s="130"/>
      <c r="W965" s="130"/>
      <c r="X965" s="130"/>
      <c r="Y965" s="130"/>
    </row>
    <row r="966" spans="1:25" hidden="1">
      <c r="A966" s="78">
        <v>207</v>
      </c>
      <c r="B966" s="130" t="s">
        <v>124</v>
      </c>
      <c r="C966" s="130" t="s">
        <v>66</v>
      </c>
      <c r="D966" s="81" t="s">
        <v>4445</v>
      </c>
      <c r="E966" s="97">
        <v>2</v>
      </c>
      <c r="F966" s="97" t="s">
        <v>67</v>
      </c>
      <c r="G966" s="130" t="s">
        <v>27</v>
      </c>
      <c r="H966" s="130" t="s">
        <v>28</v>
      </c>
      <c r="I966" s="130" t="s">
        <v>28</v>
      </c>
      <c r="J966" s="130" t="s">
        <v>27</v>
      </c>
      <c r="K966" s="137" t="s">
        <v>68</v>
      </c>
      <c r="L966" s="137" t="s">
        <v>68</v>
      </c>
      <c r="M966" s="137" t="s">
        <v>240</v>
      </c>
      <c r="N966" s="122" t="s">
        <v>31</v>
      </c>
      <c r="O966" s="130" t="s">
        <v>1312</v>
      </c>
      <c r="P966" s="131" t="s">
        <v>475</v>
      </c>
      <c r="Q966" s="131"/>
      <c r="R966" s="131"/>
      <c r="S966" s="131"/>
      <c r="T966" s="130"/>
      <c r="U966" s="130"/>
      <c r="V966" s="130"/>
      <c r="W966" s="130"/>
      <c r="X966" s="130"/>
      <c r="Y966" s="130"/>
    </row>
    <row r="967" spans="1:25" hidden="1">
      <c r="A967" s="78">
        <v>207</v>
      </c>
      <c r="B967" s="130" t="s">
        <v>124</v>
      </c>
      <c r="C967" s="130" t="s">
        <v>66</v>
      </c>
      <c r="D967" s="81" t="s">
        <v>4445</v>
      </c>
      <c r="E967" s="97">
        <v>2</v>
      </c>
      <c r="F967" s="97" t="s">
        <v>67</v>
      </c>
      <c r="G967" s="130" t="s">
        <v>27</v>
      </c>
      <c r="H967" s="130" t="s">
        <v>28</v>
      </c>
      <c r="I967" s="130" t="s">
        <v>28</v>
      </c>
      <c r="J967" s="130" t="s">
        <v>27</v>
      </c>
      <c r="K967" s="137" t="s">
        <v>68</v>
      </c>
      <c r="L967" s="137" t="s">
        <v>68</v>
      </c>
      <c r="M967" s="137" t="s">
        <v>240</v>
      </c>
      <c r="N967" s="122" t="s">
        <v>31</v>
      </c>
      <c r="O967" s="130" t="s">
        <v>1313</v>
      </c>
      <c r="P967" s="131" t="s">
        <v>475</v>
      </c>
      <c r="Q967" s="131"/>
      <c r="R967" s="131"/>
      <c r="S967" s="131"/>
      <c r="T967" s="130"/>
      <c r="U967" s="130"/>
      <c r="V967" s="130"/>
      <c r="W967" s="130"/>
      <c r="X967" s="130"/>
      <c r="Y967" s="130"/>
    </row>
    <row r="968" spans="1:25" s="130" customFormat="1">
      <c r="A968" s="77">
        <v>207</v>
      </c>
      <c r="B968" t="s">
        <v>124</v>
      </c>
      <c r="C968" t="s">
        <v>66</v>
      </c>
      <c r="D968" s="81" t="s">
        <v>4445</v>
      </c>
      <c r="E968" s="97">
        <v>2</v>
      </c>
      <c r="F968" s="97" t="s">
        <v>67</v>
      </c>
      <c r="G968" t="s">
        <v>28</v>
      </c>
      <c r="H968" t="s">
        <v>28</v>
      </c>
      <c r="I968" t="s">
        <v>28</v>
      </c>
      <c r="J968" t="s">
        <v>28</v>
      </c>
      <c r="K968" t="s">
        <v>124</v>
      </c>
      <c r="M968" s="81" t="s">
        <v>28</v>
      </c>
      <c r="N968" s="85" t="s">
        <v>39</v>
      </c>
      <c r="O968" s="132" t="s">
        <v>1314</v>
      </c>
      <c r="P968" s="129" t="s">
        <v>86</v>
      </c>
      <c r="Q968" s="129" t="s">
        <v>1315</v>
      </c>
      <c r="R968" s="140" t="s">
        <v>4448</v>
      </c>
      <c r="S968" s="129"/>
    </row>
    <row r="969" spans="1:25">
      <c r="A969" s="77">
        <v>207</v>
      </c>
      <c r="B969" t="s">
        <v>124</v>
      </c>
      <c r="C969" t="s">
        <v>66</v>
      </c>
      <c r="D969" s="81" t="s">
        <v>4445</v>
      </c>
      <c r="E969" s="97">
        <v>2</v>
      </c>
      <c r="F969" s="97" t="s">
        <v>67</v>
      </c>
      <c r="G969" t="s">
        <v>28</v>
      </c>
      <c r="H969" t="s">
        <v>28</v>
      </c>
      <c r="I969" t="s">
        <v>28</v>
      </c>
      <c r="J969" t="s">
        <v>28</v>
      </c>
      <c r="K969" t="s">
        <v>124</v>
      </c>
      <c r="M969" s="81" t="s">
        <v>28</v>
      </c>
      <c r="N969" s="85" t="s">
        <v>39</v>
      </c>
      <c r="O969" s="132" t="s">
        <v>1316</v>
      </c>
      <c r="P969" s="129" t="s">
        <v>86</v>
      </c>
      <c r="Q969" s="129" t="s">
        <v>1315</v>
      </c>
      <c r="R969" s="140" t="s">
        <v>4448</v>
      </c>
      <c r="S969" s="129"/>
    </row>
    <row r="970" spans="1:25">
      <c r="A970" s="77">
        <v>207</v>
      </c>
      <c r="B970" t="s">
        <v>124</v>
      </c>
      <c r="C970" t="s">
        <v>66</v>
      </c>
      <c r="D970" s="81" t="s">
        <v>4445</v>
      </c>
      <c r="E970" s="97">
        <v>2</v>
      </c>
      <c r="F970" s="97" t="s">
        <v>67</v>
      </c>
      <c r="G970" t="s">
        <v>28</v>
      </c>
      <c r="H970" t="s">
        <v>28</v>
      </c>
      <c r="I970" t="s">
        <v>28</v>
      </c>
      <c r="J970" t="s">
        <v>28</v>
      </c>
      <c r="K970" t="s">
        <v>124</v>
      </c>
      <c r="M970" s="81" t="s">
        <v>28</v>
      </c>
      <c r="N970" s="85" t="s">
        <v>39</v>
      </c>
      <c r="O970" s="132" t="s">
        <v>1317</v>
      </c>
      <c r="P970" s="129" t="s">
        <v>86</v>
      </c>
      <c r="Q970" s="129" t="s">
        <v>1315</v>
      </c>
      <c r="R970" s="140" t="s">
        <v>4448</v>
      </c>
      <c r="S970" s="129"/>
    </row>
    <row r="971" spans="1:25">
      <c r="A971" s="77">
        <v>207</v>
      </c>
      <c r="B971" t="s">
        <v>124</v>
      </c>
      <c r="C971" t="s">
        <v>66</v>
      </c>
      <c r="D971" s="81" t="s">
        <v>4445</v>
      </c>
      <c r="E971" s="97">
        <v>2</v>
      </c>
      <c r="F971" s="97" t="s">
        <v>67</v>
      </c>
      <c r="G971" t="s">
        <v>28</v>
      </c>
      <c r="H971" t="s">
        <v>28</v>
      </c>
      <c r="I971" t="s">
        <v>28</v>
      </c>
      <c r="J971" t="s">
        <v>28</v>
      </c>
      <c r="K971" t="s">
        <v>124</v>
      </c>
      <c r="M971" s="81" t="s">
        <v>28</v>
      </c>
      <c r="N971" s="85" t="s">
        <v>39</v>
      </c>
      <c r="O971" s="132" t="s">
        <v>1318</v>
      </c>
      <c r="P971" s="129" t="s">
        <v>86</v>
      </c>
      <c r="Q971" s="129" t="s">
        <v>1315</v>
      </c>
      <c r="R971" s="140" t="s">
        <v>4448</v>
      </c>
      <c r="S971" s="129"/>
    </row>
    <row r="972" spans="1:25">
      <c r="A972" s="77">
        <v>207</v>
      </c>
      <c r="B972" t="s">
        <v>124</v>
      </c>
      <c r="C972" t="s">
        <v>66</v>
      </c>
      <c r="D972" s="81" t="s">
        <v>4445</v>
      </c>
      <c r="E972" s="97">
        <v>2</v>
      </c>
      <c r="F972" s="97" t="s">
        <v>67</v>
      </c>
      <c r="G972" t="s">
        <v>28</v>
      </c>
      <c r="H972" t="s">
        <v>28</v>
      </c>
      <c r="I972" t="s">
        <v>28</v>
      </c>
      <c r="J972" t="s">
        <v>28</v>
      </c>
      <c r="K972" t="s">
        <v>124</v>
      </c>
      <c r="M972" s="81" t="s">
        <v>28</v>
      </c>
      <c r="N972" s="85" t="s">
        <v>39</v>
      </c>
      <c r="O972" s="132" t="s">
        <v>1319</v>
      </c>
      <c r="P972" s="129" t="s">
        <v>86</v>
      </c>
      <c r="Q972" s="129" t="s">
        <v>1315</v>
      </c>
      <c r="R972" s="140" t="s">
        <v>4448</v>
      </c>
      <c r="S972" s="129"/>
    </row>
    <row r="973" spans="1:25">
      <c r="A973" s="77">
        <v>208</v>
      </c>
      <c r="B973" t="s">
        <v>124</v>
      </c>
      <c r="C973" t="s">
        <v>253</v>
      </c>
      <c r="D973" s="81" t="s">
        <v>4445</v>
      </c>
      <c r="E973" s="97">
        <v>3</v>
      </c>
      <c r="F973" s="97" t="s">
        <v>74</v>
      </c>
      <c r="G973" t="s">
        <v>28</v>
      </c>
      <c r="H973" t="s">
        <v>27</v>
      </c>
      <c r="I973" t="s">
        <v>27</v>
      </c>
      <c r="J973" t="s">
        <v>28</v>
      </c>
      <c r="K973" t="s">
        <v>124</v>
      </c>
      <c r="M973" s="81" t="s">
        <v>240</v>
      </c>
      <c r="N973" s="85" t="s">
        <v>62</v>
      </c>
      <c r="O973" t="s">
        <v>1320</v>
      </c>
      <c r="P973" s="1" t="s">
        <v>202</v>
      </c>
      <c r="Q973" s="1" t="s">
        <v>1321</v>
      </c>
      <c r="R973" s="140" t="s">
        <v>4448</v>
      </c>
      <c r="S973" s="1"/>
    </row>
    <row r="974" spans="1:25">
      <c r="A974" s="77">
        <v>208</v>
      </c>
      <c r="B974" t="s">
        <v>124</v>
      </c>
      <c r="C974" t="s">
        <v>253</v>
      </c>
      <c r="D974" s="81" t="s">
        <v>4445</v>
      </c>
      <c r="E974" s="97">
        <v>3</v>
      </c>
      <c r="F974" s="97" t="s">
        <v>74</v>
      </c>
      <c r="G974" t="s">
        <v>28</v>
      </c>
      <c r="H974" t="s">
        <v>27</v>
      </c>
      <c r="I974" t="s">
        <v>27</v>
      </c>
      <c r="J974" t="s">
        <v>28</v>
      </c>
      <c r="K974" t="s">
        <v>124</v>
      </c>
      <c r="M974" s="81" t="s">
        <v>240</v>
      </c>
      <c r="N974" s="85" t="s">
        <v>62</v>
      </c>
      <c r="O974" t="s">
        <v>1322</v>
      </c>
      <c r="P974" s="1" t="s">
        <v>202</v>
      </c>
      <c r="Q974" s="1" t="s">
        <v>1321</v>
      </c>
      <c r="R974" s="140" t="s">
        <v>4448</v>
      </c>
      <c r="S974" s="1"/>
    </row>
    <row r="975" spans="1:25">
      <c r="A975" s="77">
        <v>208</v>
      </c>
      <c r="B975" t="s">
        <v>124</v>
      </c>
      <c r="C975" t="s">
        <v>253</v>
      </c>
      <c r="D975" s="81" t="s">
        <v>4445</v>
      </c>
      <c r="E975" s="97">
        <v>3</v>
      </c>
      <c r="F975" s="97" t="s">
        <v>74</v>
      </c>
      <c r="G975" t="s">
        <v>28</v>
      </c>
      <c r="H975" t="s">
        <v>27</v>
      </c>
      <c r="I975" t="s">
        <v>27</v>
      </c>
      <c r="J975" t="s">
        <v>28</v>
      </c>
      <c r="K975" t="s">
        <v>124</v>
      </c>
      <c r="M975" s="81" t="s">
        <v>240</v>
      </c>
      <c r="N975" s="85" t="s">
        <v>62</v>
      </c>
      <c r="O975" t="s">
        <v>1323</v>
      </c>
      <c r="P975" s="1" t="s">
        <v>202</v>
      </c>
      <c r="Q975" s="1" t="s">
        <v>1321</v>
      </c>
      <c r="R975" s="140" t="s">
        <v>4448</v>
      </c>
      <c r="S975" s="1"/>
    </row>
    <row r="976" spans="1:25" hidden="1">
      <c r="A976" s="78">
        <v>208</v>
      </c>
      <c r="B976" s="137" t="s">
        <v>124</v>
      </c>
      <c r="C976" s="137" t="s">
        <v>253</v>
      </c>
      <c r="D976" s="81" t="s">
        <v>4445</v>
      </c>
      <c r="E976" s="97">
        <v>3</v>
      </c>
      <c r="F976" s="97" t="s">
        <v>74</v>
      </c>
      <c r="G976" s="137" t="s">
        <v>28</v>
      </c>
      <c r="H976" s="137" t="s">
        <v>27</v>
      </c>
      <c r="I976" s="137" t="s">
        <v>27</v>
      </c>
      <c r="J976" s="137" t="s">
        <v>27</v>
      </c>
      <c r="K976" s="88" t="s">
        <v>1324</v>
      </c>
      <c r="L976" s="88" t="s">
        <v>1324</v>
      </c>
      <c r="M976" s="137" t="s">
        <v>240</v>
      </c>
      <c r="N976" s="122" t="s">
        <v>31</v>
      </c>
      <c r="O976" s="137" t="s">
        <v>1325</v>
      </c>
      <c r="P976" s="89" t="s">
        <v>202</v>
      </c>
      <c r="Q976" s="89"/>
      <c r="R976" s="89"/>
      <c r="S976" s="89"/>
      <c r="T976" s="137"/>
      <c r="U976" s="137"/>
      <c r="V976" s="137"/>
      <c r="W976" s="137"/>
      <c r="X976" s="137"/>
      <c r="Y976" s="137"/>
    </row>
    <row r="977" spans="1:25" hidden="1">
      <c r="A977" s="78">
        <v>208</v>
      </c>
      <c r="B977" s="137" t="s">
        <v>124</v>
      </c>
      <c r="C977" s="137" t="s">
        <v>253</v>
      </c>
      <c r="D977" s="81" t="s">
        <v>4445</v>
      </c>
      <c r="E977" s="97">
        <v>3</v>
      </c>
      <c r="F977" s="97" t="s">
        <v>74</v>
      </c>
      <c r="G977" s="137" t="s">
        <v>28</v>
      </c>
      <c r="H977" s="137" t="s">
        <v>27</v>
      </c>
      <c r="I977" s="137" t="s">
        <v>27</v>
      </c>
      <c r="J977" s="137" t="s">
        <v>27</v>
      </c>
      <c r="K977" s="88" t="s">
        <v>1324</v>
      </c>
      <c r="L977" s="88" t="s">
        <v>1324</v>
      </c>
      <c r="M977" s="137" t="s">
        <v>240</v>
      </c>
      <c r="N977" s="122" t="s">
        <v>31</v>
      </c>
      <c r="O977" s="137" t="s">
        <v>1326</v>
      </c>
      <c r="P977" s="89" t="s">
        <v>202</v>
      </c>
      <c r="Q977" s="89"/>
      <c r="R977" s="89"/>
      <c r="S977" s="89"/>
      <c r="T977" s="137"/>
      <c r="U977" s="137"/>
      <c r="V977" s="137"/>
      <c r="W977" s="137"/>
      <c r="X977" s="137"/>
      <c r="Y977" s="137"/>
    </row>
    <row r="978" spans="1:25">
      <c r="A978" s="77">
        <v>209</v>
      </c>
      <c r="B978" t="s">
        <v>124</v>
      </c>
      <c r="C978" t="s">
        <v>253</v>
      </c>
      <c r="D978" s="81" t="s">
        <v>4445</v>
      </c>
      <c r="E978" s="97">
        <v>3</v>
      </c>
      <c r="F978" s="97" t="s">
        <v>180</v>
      </c>
      <c r="G978" t="s">
        <v>27</v>
      </c>
      <c r="H978" t="s">
        <v>28</v>
      </c>
      <c r="I978" t="s">
        <v>27</v>
      </c>
      <c r="J978" t="s">
        <v>28</v>
      </c>
      <c r="K978" t="s">
        <v>124</v>
      </c>
      <c r="M978" s="81" t="s">
        <v>28</v>
      </c>
      <c r="N978" s="85" t="s">
        <v>39</v>
      </c>
      <c r="O978" t="s">
        <v>1327</v>
      </c>
      <c r="P978" s="129" t="s">
        <v>475</v>
      </c>
      <c r="Q978" s="129" t="s">
        <v>1328</v>
      </c>
      <c r="R978" s="140" t="s">
        <v>4448</v>
      </c>
      <c r="S978" s="129"/>
    </row>
    <row r="979" spans="1:25">
      <c r="A979" s="77">
        <v>209</v>
      </c>
      <c r="B979" t="s">
        <v>124</v>
      </c>
      <c r="C979" t="s">
        <v>253</v>
      </c>
      <c r="D979" s="81" t="s">
        <v>4445</v>
      </c>
      <c r="E979" s="97">
        <v>3</v>
      </c>
      <c r="F979" s="97" t="s">
        <v>180</v>
      </c>
      <c r="G979" t="s">
        <v>27</v>
      </c>
      <c r="H979" t="s">
        <v>28</v>
      </c>
      <c r="I979" t="s">
        <v>27</v>
      </c>
      <c r="J979" t="s">
        <v>28</v>
      </c>
      <c r="K979" t="s">
        <v>124</v>
      </c>
      <c r="M979" s="81" t="s">
        <v>28</v>
      </c>
      <c r="N979" s="85" t="s">
        <v>39</v>
      </c>
      <c r="O979" t="s">
        <v>1329</v>
      </c>
      <c r="P979" s="129" t="s">
        <v>475</v>
      </c>
      <c r="Q979" s="129" t="s">
        <v>1328</v>
      </c>
      <c r="R979" s="140" t="s">
        <v>4448</v>
      </c>
      <c r="S979" s="129"/>
    </row>
    <row r="980" spans="1:25">
      <c r="A980" s="77">
        <v>209</v>
      </c>
      <c r="B980" t="s">
        <v>124</v>
      </c>
      <c r="C980" t="s">
        <v>253</v>
      </c>
      <c r="D980" s="81" t="s">
        <v>4445</v>
      </c>
      <c r="E980" s="97">
        <v>3</v>
      </c>
      <c r="F980" s="97" t="s">
        <v>180</v>
      </c>
      <c r="G980" t="s">
        <v>27</v>
      </c>
      <c r="H980" t="s">
        <v>28</v>
      </c>
      <c r="I980" t="s">
        <v>27</v>
      </c>
      <c r="J980" t="s">
        <v>28</v>
      </c>
      <c r="K980" t="s">
        <v>124</v>
      </c>
      <c r="M980" s="81" t="s">
        <v>28</v>
      </c>
      <c r="N980" s="85" t="s">
        <v>39</v>
      </c>
      <c r="O980" t="s">
        <v>1330</v>
      </c>
      <c r="P980" s="129" t="s">
        <v>475</v>
      </c>
      <c r="Q980" s="129" t="s">
        <v>1328</v>
      </c>
      <c r="R980" s="140" t="s">
        <v>4448</v>
      </c>
      <c r="S980" s="129"/>
    </row>
    <row r="981" spans="1:25">
      <c r="A981" s="77">
        <v>210</v>
      </c>
      <c r="B981" t="s">
        <v>124</v>
      </c>
      <c r="C981" t="s">
        <v>253</v>
      </c>
      <c r="D981" s="81" t="s">
        <v>4444</v>
      </c>
      <c r="E981" s="97">
        <v>3</v>
      </c>
      <c r="F981" s="97" t="s">
        <v>74</v>
      </c>
      <c r="G981" t="s">
        <v>27</v>
      </c>
      <c r="H981" t="s">
        <v>28</v>
      </c>
      <c r="I981" t="s">
        <v>27</v>
      </c>
      <c r="J981" t="s">
        <v>28</v>
      </c>
      <c r="K981" t="s">
        <v>124</v>
      </c>
      <c r="M981" s="81" t="s">
        <v>28</v>
      </c>
      <c r="N981" s="85" t="s">
        <v>39</v>
      </c>
      <c r="O981" t="s">
        <v>1331</v>
      </c>
      <c r="P981" s="129" t="s">
        <v>475</v>
      </c>
      <c r="Q981" s="129" t="s">
        <v>1332</v>
      </c>
      <c r="R981" s="140" t="s">
        <v>4448</v>
      </c>
      <c r="S981" s="129"/>
    </row>
    <row r="982" spans="1:25">
      <c r="A982" s="77">
        <v>210</v>
      </c>
      <c r="B982" t="s">
        <v>124</v>
      </c>
      <c r="C982" t="s">
        <v>253</v>
      </c>
      <c r="D982" s="81" t="s">
        <v>4444</v>
      </c>
      <c r="E982" s="97">
        <v>3</v>
      </c>
      <c r="F982" s="97" t="s">
        <v>74</v>
      </c>
      <c r="G982" t="s">
        <v>27</v>
      </c>
      <c r="H982" t="s">
        <v>28</v>
      </c>
      <c r="I982" t="s">
        <v>27</v>
      </c>
      <c r="J982" t="s">
        <v>28</v>
      </c>
      <c r="K982" t="s">
        <v>124</v>
      </c>
      <c r="M982" s="81" t="s">
        <v>28</v>
      </c>
      <c r="N982" s="85" t="s">
        <v>39</v>
      </c>
      <c r="O982" t="s">
        <v>1333</v>
      </c>
      <c r="P982" s="129" t="s">
        <v>475</v>
      </c>
      <c r="Q982" s="129" t="s">
        <v>1332</v>
      </c>
      <c r="R982" s="140" t="s">
        <v>4448</v>
      </c>
      <c r="S982" s="129"/>
    </row>
    <row r="983" spans="1:25">
      <c r="A983" s="77">
        <v>210</v>
      </c>
      <c r="B983" t="s">
        <v>124</v>
      </c>
      <c r="C983" t="s">
        <v>253</v>
      </c>
      <c r="D983" s="81" t="s">
        <v>4444</v>
      </c>
      <c r="E983" s="97">
        <v>3</v>
      </c>
      <c r="F983" s="97" t="s">
        <v>74</v>
      </c>
      <c r="G983" t="s">
        <v>27</v>
      </c>
      <c r="H983" t="s">
        <v>28</v>
      </c>
      <c r="I983" t="s">
        <v>27</v>
      </c>
      <c r="J983" t="s">
        <v>28</v>
      </c>
      <c r="K983" t="s">
        <v>124</v>
      </c>
      <c r="M983" s="81" t="s">
        <v>28</v>
      </c>
      <c r="N983" s="85" t="s">
        <v>39</v>
      </c>
      <c r="O983" t="s">
        <v>1334</v>
      </c>
      <c r="P983" s="129" t="s">
        <v>475</v>
      </c>
      <c r="Q983" s="129" t="s">
        <v>1332</v>
      </c>
      <c r="R983" s="140" t="s">
        <v>4448</v>
      </c>
      <c r="S983" s="129"/>
    </row>
    <row r="984" spans="1:25">
      <c r="A984" s="38">
        <v>211</v>
      </c>
      <c r="B984" t="s">
        <v>124</v>
      </c>
      <c r="C984" t="s">
        <v>253</v>
      </c>
      <c r="D984" s="81" t="s">
        <v>4445</v>
      </c>
      <c r="E984" s="97">
        <v>1</v>
      </c>
      <c r="F984" s="97" t="s">
        <v>26</v>
      </c>
      <c r="G984" t="s">
        <v>27</v>
      </c>
      <c r="H984" t="s">
        <v>27</v>
      </c>
      <c r="I984" t="s">
        <v>27</v>
      </c>
      <c r="J984" t="s">
        <v>28</v>
      </c>
      <c r="K984" t="s">
        <v>124</v>
      </c>
      <c r="M984" s="81" t="s">
        <v>240</v>
      </c>
      <c r="N984" s="85" t="s">
        <v>62</v>
      </c>
      <c r="O984" t="s">
        <v>1335</v>
      </c>
      <c r="P984" s="129" t="s">
        <v>371</v>
      </c>
      <c r="Q984" s="129" t="s">
        <v>569</v>
      </c>
      <c r="R984" s="140" t="s">
        <v>4448</v>
      </c>
      <c r="S984" s="129"/>
    </row>
    <row r="985" spans="1:25">
      <c r="A985" s="38">
        <v>211</v>
      </c>
      <c r="B985" t="s">
        <v>124</v>
      </c>
      <c r="C985" t="s">
        <v>253</v>
      </c>
      <c r="D985" s="81" t="s">
        <v>4445</v>
      </c>
      <c r="E985" s="97">
        <v>1</v>
      </c>
      <c r="F985" s="97" t="s">
        <v>26</v>
      </c>
      <c r="G985" t="s">
        <v>27</v>
      </c>
      <c r="H985" t="s">
        <v>27</v>
      </c>
      <c r="I985" t="s">
        <v>27</v>
      </c>
      <c r="J985" t="s">
        <v>28</v>
      </c>
      <c r="K985" t="s">
        <v>124</v>
      </c>
      <c r="M985" s="81" t="s">
        <v>240</v>
      </c>
      <c r="N985" s="85" t="s">
        <v>62</v>
      </c>
      <c r="O985" t="s">
        <v>1336</v>
      </c>
      <c r="P985" s="129" t="s">
        <v>371</v>
      </c>
      <c r="Q985" s="129" t="s">
        <v>569</v>
      </c>
      <c r="R985" s="140" t="s">
        <v>4448</v>
      </c>
      <c r="S985" s="129"/>
    </row>
    <row r="986" spans="1:25">
      <c r="A986" s="38">
        <v>211</v>
      </c>
      <c r="B986" t="s">
        <v>124</v>
      </c>
      <c r="C986" t="s">
        <v>253</v>
      </c>
      <c r="D986" s="81" t="s">
        <v>4445</v>
      </c>
      <c r="E986" s="97">
        <v>1</v>
      </c>
      <c r="F986" s="97" t="s">
        <v>26</v>
      </c>
      <c r="G986" t="s">
        <v>27</v>
      </c>
      <c r="H986" t="s">
        <v>27</v>
      </c>
      <c r="I986" t="s">
        <v>27</v>
      </c>
      <c r="J986" t="s">
        <v>28</v>
      </c>
      <c r="K986" t="s">
        <v>124</v>
      </c>
      <c r="M986" s="81" t="s">
        <v>240</v>
      </c>
      <c r="N986" s="85" t="s">
        <v>62</v>
      </c>
      <c r="O986" t="s">
        <v>1337</v>
      </c>
      <c r="P986" s="129" t="s">
        <v>371</v>
      </c>
      <c r="Q986" s="129" t="s">
        <v>569</v>
      </c>
      <c r="R986" s="140" t="s">
        <v>4448</v>
      </c>
      <c r="S986" s="129"/>
    </row>
    <row r="987" spans="1:25">
      <c r="A987" s="77">
        <v>212</v>
      </c>
      <c r="B987" t="s">
        <v>124</v>
      </c>
      <c r="C987" t="s">
        <v>253</v>
      </c>
      <c r="D987" s="81" t="s">
        <v>4444</v>
      </c>
      <c r="E987" s="97">
        <v>1</v>
      </c>
      <c r="F987" s="97" t="s">
        <v>112</v>
      </c>
      <c r="G987" t="s">
        <v>27</v>
      </c>
      <c r="H987" t="s">
        <v>28</v>
      </c>
      <c r="I987" t="s">
        <v>27</v>
      </c>
      <c r="J987" t="s">
        <v>28</v>
      </c>
      <c r="K987" t="s">
        <v>124</v>
      </c>
      <c r="M987" s="81" t="s">
        <v>28</v>
      </c>
      <c r="N987" s="85" t="s">
        <v>39</v>
      </c>
      <c r="O987" t="s">
        <v>1338</v>
      </c>
      <c r="P987" s="129" t="s">
        <v>475</v>
      </c>
      <c r="Q987" s="129" t="s">
        <v>1339</v>
      </c>
      <c r="R987" s="140" t="s">
        <v>4448</v>
      </c>
      <c r="S987" s="129"/>
    </row>
    <row r="988" spans="1:25">
      <c r="A988" s="77">
        <v>212</v>
      </c>
      <c r="B988" t="s">
        <v>124</v>
      </c>
      <c r="C988" t="s">
        <v>253</v>
      </c>
      <c r="D988" s="81" t="s">
        <v>4444</v>
      </c>
      <c r="E988" s="97">
        <v>1</v>
      </c>
      <c r="F988" s="97" t="s">
        <v>112</v>
      </c>
      <c r="G988" t="s">
        <v>27</v>
      </c>
      <c r="H988" t="s">
        <v>28</v>
      </c>
      <c r="I988" t="s">
        <v>27</v>
      </c>
      <c r="J988" t="s">
        <v>28</v>
      </c>
      <c r="K988" t="s">
        <v>124</v>
      </c>
      <c r="M988" s="81" t="s">
        <v>28</v>
      </c>
      <c r="N988" s="85" t="s">
        <v>39</v>
      </c>
      <c r="O988" t="s">
        <v>1340</v>
      </c>
      <c r="P988" s="129" t="s">
        <v>475</v>
      </c>
      <c r="Q988" s="129" t="s">
        <v>1339</v>
      </c>
      <c r="R988" s="140" t="s">
        <v>4448</v>
      </c>
      <c r="S988" s="129"/>
    </row>
    <row r="989" spans="1:25">
      <c r="A989" s="77">
        <v>212</v>
      </c>
      <c r="B989" t="s">
        <v>124</v>
      </c>
      <c r="C989" t="s">
        <v>253</v>
      </c>
      <c r="D989" s="81" t="s">
        <v>4444</v>
      </c>
      <c r="E989" s="97">
        <v>1</v>
      </c>
      <c r="F989" s="97" t="s">
        <v>112</v>
      </c>
      <c r="G989" t="s">
        <v>27</v>
      </c>
      <c r="H989" t="s">
        <v>28</v>
      </c>
      <c r="I989" t="s">
        <v>27</v>
      </c>
      <c r="J989" t="s">
        <v>28</v>
      </c>
      <c r="K989" t="s">
        <v>124</v>
      </c>
      <c r="M989" s="81" t="s">
        <v>28</v>
      </c>
      <c r="N989" s="85" t="s">
        <v>39</v>
      </c>
      <c r="O989" t="s">
        <v>1341</v>
      </c>
      <c r="P989" s="129" t="s">
        <v>475</v>
      </c>
      <c r="Q989" s="129" t="s">
        <v>1339</v>
      </c>
      <c r="R989" s="140" t="s">
        <v>4448</v>
      </c>
      <c r="S989" s="129"/>
    </row>
    <row r="990" spans="1:25">
      <c r="A990" s="38">
        <v>213</v>
      </c>
      <c r="B990" t="s">
        <v>124</v>
      </c>
      <c r="C990" t="s">
        <v>253</v>
      </c>
      <c r="D990" s="81" t="s">
        <v>4444</v>
      </c>
      <c r="E990" s="97">
        <v>1</v>
      </c>
      <c r="F990" s="97" t="s">
        <v>26</v>
      </c>
      <c r="G990" t="s">
        <v>27</v>
      </c>
      <c r="H990" t="s">
        <v>27</v>
      </c>
      <c r="I990" t="s">
        <v>27</v>
      </c>
      <c r="J990" t="s">
        <v>28</v>
      </c>
      <c r="K990" t="s">
        <v>124</v>
      </c>
      <c r="M990" s="81" t="s">
        <v>240</v>
      </c>
      <c r="N990" s="85" t="s">
        <v>62</v>
      </c>
      <c r="O990" t="s">
        <v>1342</v>
      </c>
      <c r="P990" s="129" t="s">
        <v>380</v>
      </c>
      <c r="Q990" s="129" t="s">
        <v>1343</v>
      </c>
      <c r="R990" s="140" t="s">
        <v>4448</v>
      </c>
      <c r="S990" s="129"/>
    </row>
    <row r="991" spans="1:25">
      <c r="A991" s="38">
        <v>213</v>
      </c>
      <c r="B991" t="s">
        <v>124</v>
      </c>
      <c r="C991" t="s">
        <v>253</v>
      </c>
      <c r="D991" s="81" t="s">
        <v>4444</v>
      </c>
      <c r="E991" s="97">
        <v>1</v>
      </c>
      <c r="F991" s="97" t="s">
        <v>26</v>
      </c>
      <c r="G991" t="s">
        <v>27</v>
      </c>
      <c r="H991" t="s">
        <v>27</v>
      </c>
      <c r="I991" t="s">
        <v>27</v>
      </c>
      <c r="J991" t="s">
        <v>28</v>
      </c>
      <c r="K991" t="s">
        <v>124</v>
      </c>
      <c r="M991" s="81" t="s">
        <v>240</v>
      </c>
      <c r="N991" s="85" t="s">
        <v>62</v>
      </c>
      <c r="O991" t="s">
        <v>1344</v>
      </c>
      <c r="P991" s="129" t="s">
        <v>380</v>
      </c>
      <c r="Q991" s="129" t="s">
        <v>1343</v>
      </c>
      <c r="R991" s="140" t="s">
        <v>4448</v>
      </c>
      <c r="S991" s="129"/>
    </row>
    <row r="992" spans="1:25">
      <c r="A992" s="38">
        <v>213</v>
      </c>
      <c r="B992" t="s">
        <v>124</v>
      </c>
      <c r="C992" t="s">
        <v>253</v>
      </c>
      <c r="D992" s="81" t="s">
        <v>4444</v>
      </c>
      <c r="E992" s="97">
        <v>1</v>
      </c>
      <c r="F992" s="97" t="s">
        <v>26</v>
      </c>
      <c r="G992" t="s">
        <v>27</v>
      </c>
      <c r="H992" t="s">
        <v>27</v>
      </c>
      <c r="I992" t="s">
        <v>27</v>
      </c>
      <c r="J992" t="s">
        <v>28</v>
      </c>
      <c r="K992" t="s">
        <v>124</v>
      </c>
      <c r="M992" s="81" t="s">
        <v>240</v>
      </c>
      <c r="N992" s="85" t="s">
        <v>62</v>
      </c>
      <c r="O992" t="s">
        <v>1345</v>
      </c>
      <c r="P992" s="129" t="s">
        <v>380</v>
      </c>
      <c r="Q992" s="129" t="s">
        <v>1343</v>
      </c>
      <c r="R992" s="140" t="s">
        <v>4448</v>
      </c>
      <c r="S992" s="129"/>
    </row>
    <row r="993" spans="1:25">
      <c r="A993" s="38">
        <v>214</v>
      </c>
      <c r="B993" t="s">
        <v>124</v>
      </c>
      <c r="C993" t="s">
        <v>253</v>
      </c>
      <c r="D993" s="81" t="s">
        <v>4445</v>
      </c>
      <c r="E993" s="97">
        <v>1</v>
      </c>
      <c r="F993" s="97" t="s">
        <v>26</v>
      </c>
      <c r="G993" t="s">
        <v>28</v>
      </c>
      <c r="H993" t="s">
        <v>27</v>
      </c>
      <c r="I993" t="s">
        <v>27</v>
      </c>
      <c r="J993" t="s">
        <v>28</v>
      </c>
      <c r="K993" t="s">
        <v>124</v>
      </c>
      <c r="O993" t="s">
        <v>1346</v>
      </c>
      <c r="P993" s="1" t="s">
        <v>202</v>
      </c>
      <c r="Q993" s="1"/>
      <c r="R993" s="140" t="s">
        <v>4448</v>
      </c>
      <c r="S993" s="1"/>
    </row>
    <row r="994" spans="1:25">
      <c r="A994" s="38">
        <v>214</v>
      </c>
      <c r="B994" t="s">
        <v>124</v>
      </c>
      <c r="C994" t="s">
        <v>253</v>
      </c>
      <c r="D994" s="81" t="s">
        <v>4445</v>
      </c>
      <c r="E994" s="97">
        <v>1</v>
      </c>
      <c r="F994" s="97" t="s">
        <v>26</v>
      </c>
      <c r="G994" t="s">
        <v>28</v>
      </c>
      <c r="H994" t="s">
        <v>27</v>
      </c>
      <c r="I994" t="s">
        <v>27</v>
      </c>
      <c r="J994" t="s">
        <v>28</v>
      </c>
      <c r="K994" t="s">
        <v>124</v>
      </c>
      <c r="O994" t="s">
        <v>1347</v>
      </c>
      <c r="P994" s="1" t="s">
        <v>202</v>
      </c>
      <c r="Q994" s="1"/>
      <c r="R994" s="140" t="s">
        <v>4448</v>
      </c>
      <c r="S994" s="1"/>
    </row>
    <row r="995" spans="1:25" s="137" customFormat="1" hidden="1">
      <c r="A995" s="79">
        <v>214</v>
      </c>
      <c r="B995" s="137" t="s">
        <v>124</v>
      </c>
      <c r="C995" s="137" t="s">
        <v>253</v>
      </c>
      <c r="D995" s="81" t="s">
        <v>4445</v>
      </c>
      <c r="E995" s="97">
        <v>1</v>
      </c>
      <c r="F995" s="97" t="s">
        <v>26</v>
      </c>
      <c r="G995" s="137" t="s">
        <v>28</v>
      </c>
      <c r="H995" s="137" t="s">
        <v>27</v>
      </c>
      <c r="I995" s="137" t="s">
        <v>27</v>
      </c>
      <c r="J995" s="137" t="s">
        <v>27</v>
      </c>
      <c r="K995" s="88" t="s">
        <v>1031</v>
      </c>
      <c r="L995" s="88" t="s">
        <v>1031</v>
      </c>
      <c r="M995" s="88" t="s">
        <v>240</v>
      </c>
      <c r="N995" s="125" t="s">
        <v>31</v>
      </c>
      <c r="O995" s="137" t="s">
        <v>1348</v>
      </c>
      <c r="P995" s="89" t="s">
        <v>202</v>
      </c>
      <c r="Q995" s="89"/>
      <c r="R995" s="89"/>
      <c r="S995" s="89"/>
    </row>
    <row r="996" spans="1:25">
      <c r="A996" s="38">
        <v>214</v>
      </c>
      <c r="B996" t="s">
        <v>124</v>
      </c>
      <c r="C996" t="s">
        <v>253</v>
      </c>
      <c r="D996" s="81" t="s">
        <v>4445</v>
      </c>
      <c r="E996" s="97">
        <v>1</v>
      </c>
      <c r="F996" s="97" t="s">
        <v>26</v>
      </c>
      <c r="G996" t="s">
        <v>28</v>
      </c>
      <c r="H996" t="s">
        <v>27</v>
      </c>
      <c r="I996" t="s">
        <v>27</v>
      </c>
      <c r="J996" t="s">
        <v>28</v>
      </c>
      <c r="K996" t="s">
        <v>124</v>
      </c>
      <c r="O996" t="s">
        <v>1349</v>
      </c>
      <c r="P996" s="1" t="s">
        <v>202</v>
      </c>
      <c r="Q996" s="1"/>
      <c r="R996" s="140" t="s">
        <v>4448</v>
      </c>
      <c r="S996" s="1"/>
    </row>
    <row r="997" spans="1:25" s="137" customFormat="1">
      <c r="A997" s="38">
        <v>214</v>
      </c>
      <c r="B997" t="s">
        <v>124</v>
      </c>
      <c r="C997" t="s">
        <v>253</v>
      </c>
      <c r="D997" s="81" t="s">
        <v>4445</v>
      </c>
      <c r="E997" s="97">
        <v>1</v>
      </c>
      <c r="F997" s="97" t="s">
        <v>26</v>
      </c>
      <c r="G997" t="s">
        <v>28</v>
      </c>
      <c r="H997" t="s">
        <v>27</v>
      </c>
      <c r="I997" t="s">
        <v>27</v>
      </c>
      <c r="J997" t="s">
        <v>28</v>
      </c>
      <c r="K997" t="s">
        <v>124</v>
      </c>
      <c r="O997" t="s">
        <v>1350</v>
      </c>
      <c r="P997" s="1" t="s">
        <v>202</v>
      </c>
      <c r="Q997" s="1"/>
      <c r="R997" s="140" t="s">
        <v>4448</v>
      </c>
      <c r="S997" s="1"/>
    </row>
    <row r="998" spans="1:25" s="137" customFormat="1">
      <c r="A998" s="77">
        <v>215</v>
      </c>
      <c r="B998" t="s">
        <v>124</v>
      </c>
      <c r="C998" t="s">
        <v>66</v>
      </c>
      <c r="D998" s="81" t="s">
        <v>4445</v>
      </c>
      <c r="E998" s="97">
        <v>1</v>
      </c>
      <c r="F998" s="97" t="s">
        <v>112</v>
      </c>
      <c r="G998" t="s">
        <v>28</v>
      </c>
      <c r="H998" t="s">
        <v>27</v>
      </c>
      <c r="I998" t="s">
        <v>27</v>
      </c>
      <c r="J998" t="s">
        <v>28</v>
      </c>
      <c r="K998" t="s">
        <v>124</v>
      </c>
      <c r="O998" t="s">
        <v>1351</v>
      </c>
      <c r="P998" t="s">
        <v>391</v>
      </c>
      <c r="Q998" t="s">
        <v>1352</v>
      </c>
      <c r="R998" s="140" t="s">
        <v>4448</v>
      </c>
      <c r="T998" t="s">
        <v>29</v>
      </c>
      <c r="U998">
        <v>1</v>
      </c>
      <c r="X998">
        <v>0</v>
      </c>
      <c r="Y998">
        <v>0</v>
      </c>
    </row>
    <row r="999" spans="1:25">
      <c r="A999" s="77">
        <v>215</v>
      </c>
      <c r="B999" t="s">
        <v>124</v>
      </c>
      <c r="C999" t="s">
        <v>66</v>
      </c>
      <c r="D999" s="81" t="s">
        <v>4445</v>
      </c>
      <c r="E999" s="97">
        <v>1</v>
      </c>
      <c r="F999" s="97" t="s">
        <v>112</v>
      </c>
      <c r="G999" t="s">
        <v>28</v>
      </c>
      <c r="H999" t="s">
        <v>27</v>
      </c>
      <c r="I999" t="s">
        <v>27</v>
      </c>
      <c r="J999" t="s">
        <v>28</v>
      </c>
      <c r="K999" t="s">
        <v>124</v>
      </c>
      <c r="O999" t="s">
        <v>1353</v>
      </c>
      <c r="P999" t="s">
        <v>391</v>
      </c>
      <c r="Q999" t="s">
        <v>1352</v>
      </c>
      <c r="R999" s="140" t="s">
        <v>4448</v>
      </c>
      <c r="T999" t="s">
        <v>29</v>
      </c>
      <c r="U999">
        <v>1</v>
      </c>
      <c r="X999">
        <v>0</v>
      </c>
      <c r="Y999">
        <v>0</v>
      </c>
    </row>
    <row r="1000" spans="1:25">
      <c r="A1000" s="77">
        <v>215</v>
      </c>
      <c r="B1000" t="s">
        <v>124</v>
      </c>
      <c r="C1000" t="s">
        <v>66</v>
      </c>
      <c r="D1000" s="81" t="s">
        <v>4445</v>
      </c>
      <c r="E1000" s="97">
        <v>1</v>
      </c>
      <c r="F1000" s="97" t="s">
        <v>112</v>
      </c>
      <c r="G1000" t="s">
        <v>28</v>
      </c>
      <c r="H1000" t="s">
        <v>27</v>
      </c>
      <c r="I1000" t="s">
        <v>27</v>
      </c>
      <c r="J1000" t="s">
        <v>28</v>
      </c>
      <c r="K1000" t="s">
        <v>124</v>
      </c>
      <c r="O1000" t="s">
        <v>1354</v>
      </c>
      <c r="P1000" t="s">
        <v>391</v>
      </c>
      <c r="Q1000" t="s">
        <v>1352</v>
      </c>
      <c r="R1000" s="140" t="s">
        <v>4448</v>
      </c>
      <c r="T1000" t="s">
        <v>29</v>
      </c>
      <c r="U1000">
        <v>1</v>
      </c>
      <c r="X1000">
        <v>0</v>
      </c>
      <c r="Y1000">
        <v>0</v>
      </c>
    </row>
    <row r="1001" spans="1:25" s="130" customFormat="1">
      <c r="A1001" s="77">
        <v>215</v>
      </c>
      <c r="B1001" t="s">
        <v>124</v>
      </c>
      <c r="C1001" t="s">
        <v>66</v>
      </c>
      <c r="D1001" s="81" t="s">
        <v>4445</v>
      </c>
      <c r="E1001" s="97">
        <v>1</v>
      </c>
      <c r="F1001" s="97" t="s">
        <v>112</v>
      </c>
      <c r="G1001" t="s">
        <v>28</v>
      </c>
      <c r="H1001" t="s">
        <v>27</v>
      </c>
      <c r="I1001" t="s">
        <v>27</v>
      </c>
      <c r="J1001" t="s">
        <v>28</v>
      </c>
      <c r="K1001" t="s">
        <v>124</v>
      </c>
      <c r="O1001" t="s">
        <v>1355</v>
      </c>
      <c r="P1001" t="s">
        <v>391</v>
      </c>
      <c r="Q1001" t="s">
        <v>1352</v>
      </c>
      <c r="R1001" s="140" t="s">
        <v>4448</v>
      </c>
      <c r="T1001" t="s">
        <v>29</v>
      </c>
      <c r="U1001">
        <v>1</v>
      </c>
      <c r="X1001">
        <v>0</v>
      </c>
      <c r="Y1001">
        <v>0</v>
      </c>
    </row>
    <row r="1002" spans="1:25">
      <c r="A1002" s="77">
        <v>215</v>
      </c>
      <c r="B1002" t="s">
        <v>124</v>
      </c>
      <c r="C1002" t="s">
        <v>66</v>
      </c>
      <c r="D1002" s="81" t="s">
        <v>4445</v>
      </c>
      <c r="E1002" s="97">
        <v>1</v>
      </c>
      <c r="F1002" s="97" t="s">
        <v>112</v>
      </c>
      <c r="G1002" t="s">
        <v>28</v>
      </c>
      <c r="H1002" t="s">
        <v>27</v>
      </c>
      <c r="I1002" t="s">
        <v>27</v>
      </c>
      <c r="J1002" t="s">
        <v>28</v>
      </c>
      <c r="K1002" t="s">
        <v>124</v>
      </c>
      <c r="O1002" t="s">
        <v>1356</v>
      </c>
      <c r="P1002" t="s">
        <v>391</v>
      </c>
      <c r="Q1002" t="s">
        <v>1352</v>
      </c>
      <c r="R1002" s="140" t="s">
        <v>4448</v>
      </c>
      <c r="T1002" t="s">
        <v>29</v>
      </c>
      <c r="U1002">
        <v>1</v>
      </c>
      <c r="X1002">
        <v>0</v>
      </c>
      <c r="Y1002">
        <v>0</v>
      </c>
    </row>
    <row r="1003" spans="1:25">
      <c r="A1003" s="77">
        <v>216</v>
      </c>
      <c r="B1003" t="s">
        <v>124</v>
      </c>
      <c r="C1003" t="s">
        <v>253</v>
      </c>
      <c r="D1003" s="81" t="s">
        <v>4444</v>
      </c>
      <c r="E1003" s="97">
        <v>3</v>
      </c>
      <c r="F1003" s="97" t="s">
        <v>180</v>
      </c>
      <c r="G1003" t="s">
        <v>28</v>
      </c>
      <c r="H1003" t="s">
        <v>28</v>
      </c>
      <c r="I1003" t="s">
        <v>28</v>
      </c>
      <c r="J1003" t="s">
        <v>28</v>
      </c>
      <c r="K1003" t="s">
        <v>124</v>
      </c>
      <c r="O1003" s="132" t="s">
        <v>1357</v>
      </c>
      <c r="P1003" s="132" t="s">
        <v>202</v>
      </c>
      <c r="Q1003" s="132" t="s">
        <v>1358</v>
      </c>
      <c r="R1003" s="140" t="s">
        <v>4448</v>
      </c>
      <c r="S1003" s="132"/>
    </row>
    <row r="1004" spans="1:25">
      <c r="A1004" s="77">
        <v>216</v>
      </c>
      <c r="B1004" t="s">
        <v>124</v>
      </c>
      <c r="C1004" t="s">
        <v>253</v>
      </c>
      <c r="D1004" s="81" t="s">
        <v>4444</v>
      </c>
      <c r="E1004" s="97">
        <v>3</v>
      </c>
      <c r="F1004" s="97" t="s">
        <v>180</v>
      </c>
      <c r="G1004" t="s">
        <v>28</v>
      </c>
      <c r="H1004" t="s">
        <v>28</v>
      </c>
      <c r="I1004" t="s">
        <v>28</v>
      </c>
      <c r="J1004" t="s">
        <v>28</v>
      </c>
      <c r="K1004" t="s">
        <v>124</v>
      </c>
      <c r="O1004" s="132" t="s">
        <v>1359</v>
      </c>
      <c r="P1004" s="132" t="s">
        <v>202</v>
      </c>
      <c r="Q1004" s="132" t="s">
        <v>1358</v>
      </c>
      <c r="R1004" s="140" t="s">
        <v>4448</v>
      </c>
      <c r="S1004" s="132"/>
    </row>
    <row r="1005" spans="1:25">
      <c r="A1005" s="77">
        <v>216</v>
      </c>
      <c r="B1005" t="s">
        <v>124</v>
      </c>
      <c r="C1005" t="s">
        <v>253</v>
      </c>
      <c r="D1005" s="81" t="s">
        <v>4444</v>
      </c>
      <c r="E1005" s="97">
        <v>3</v>
      </c>
      <c r="F1005" s="97" t="s">
        <v>180</v>
      </c>
      <c r="G1005" t="s">
        <v>28</v>
      </c>
      <c r="H1005" t="s">
        <v>28</v>
      </c>
      <c r="I1005" t="s">
        <v>28</v>
      </c>
      <c r="J1005" t="s">
        <v>28</v>
      </c>
      <c r="K1005" t="s">
        <v>124</v>
      </c>
      <c r="O1005" s="132" t="s">
        <v>1360</v>
      </c>
      <c r="P1005" s="132" t="s">
        <v>202</v>
      </c>
      <c r="Q1005" s="132" t="s">
        <v>1358</v>
      </c>
      <c r="R1005" s="140" t="s">
        <v>4448</v>
      </c>
      <c r="S1005" s="132"/>
    </row>
    <row r="1006" spans="1:25">
      <c r="A1006" s="77">
        <v>216</v>
      </c>
      <c r="B1006" t="s">
        <v>124</v>
      </c>
      <c r="C1006" t="s">
        <v>253</v>
      </c>
      <c r="D1006" s="81" t="s">
        <v>4444</v>
      </c>
      <c r="E1006" s="97">
        <v>3</v>
      </c>
      <c r="F1006" s="97" t="s">
        <v>180</v>
      </c>
      <c r="G1006" t="s">
        <v>28</v>
      </c>
      <c r="H1006" t="s">
        <v>28</v>
      </c>
      <c r="I1006" t="s">
        <v>28</v>
      </c>
      <c r="J1006" t="s">
        <v>28</v>
      </c>
      <c r="K1006" t="s">
        <v>124</v>
      </c>
      <c r="O1006" s="132" t="s">
        <v>1361</v>
      </c>
      <c r="P1006" s="132" t="s">
        <v>202</v>
      </c>
      <c r="Q1006" s="132" t="s">
        <v>1358</v>
      </c>
      <c r="R1006" s="140" t="s">
        <v>4448</v>
      </c>
      <c r="S1006" s="132"/>
    </row>
    <row r="1007" spans="1:25">
      <c r="A1007" s="77">
        <v>216</v>
      </c>
      <c r="B1007" t="s">
        <v>124</v>
      </c>
      <c r="C1007" t="s">
        <v>253</v>
      </c>
      <c r="D1007" s="81" t="s">
        <v>4444</v>
      </c>
      <c r="E1007" s="97">
        <v>3</v>
      </c>
      <c r="F1007" s="97" t="s">
        <v>180</v>
      </c>
      <c r="G1007" t="s">
        <v>28</v>
      </c>
      <c r="H1007" t="s">
        <v>28</v>
      </c>
      <c r="I1007" t="s">
        <v>28</v>
      </c>
      <c r="J1007" t="s">
        <v>28</v>
      </c>
      <c r="K1007" t="s">
        <v>124</v>
      </c>
      <c r="O1007" s="132" t="s">
        <v>1362</v>
      </c>
      <c r="P1007" s="132" t="s">
        <v>202</v>
      </c>
      <c r="Q1007" s="132" t="s">
        <v>1358</v>
      </c>
      <c r="R1007" s="140" t="s">
        <v>4448</v>
      </c>
      <c r="S1007" s="132"/>
    </row>
    <row r="1008" spans="1:25">
      <c r="A1008" s="77">
        <v>216</v>
      </c>
      <c r="B1008" t="s">
        <v>124</v>
      </c>
      <c r="C1008" t="s">
        <v>253</v>
      </c>
      <c r="D1008" s="81" t="s">
        <v>4444</v>
      </c>
      <c r="E1008" s="97">
        <v>3</v>
      </c>
      <c r="F1008" s="97" t="s">
        <v>180</v>
      </c>
      <c r="G1008" t="s">
        <v>28</v>
      </c>
      <c r="H1008" t="s">
        <v>28</v>
      </c>
      <c r="I1008" t="s">
        <v>28</v>
      </c>
      <c r="J1008" t="s">
        <v>28</v>
      </c>
      <c r="K1008" t="s">
        <v>124</v>
      </c>
      <c r="O1008" t="s">
        <v>1363</v>
      </c>
      <c r="P1008" t="s">
        <v>86</v>
      </c>
      <c r="Q1008" t="s">
        <v>1358</v>
      </c>
      <c r="R1008" s="140" t="s">
        <v>4448</v>
      </c>
    </row>
    <row r="1009" spans="1:25">
      <c r="A1009" s="77">
        <v>216</v>
      </c>
      <c r="B1009" t="s">
        <v>124</v>
      </c>
      <c r="C1009" t="s">
        <v>253</v>
      </c>
      <c r="D1009" s="81" t="s">
        <v>4444</v>
      </c>
      <c r="E1009" s="97">
        <v>3</v>
      </c>
      <c r="F1009" s="97" t="s">
        <v>180</v>
      </c>
      <c r="G1009" t="s">
        <v>28</v>
      </c>
      <c r="H1009" t="s">
        <v>28</v>
      </c>
      <c r="I1009" t="s">
        <v>28</v>
      </c>
      <c r="J1009" t="s">
        <v>28</v>
      </c>
      <c r="K1009" t="s">
        <v>124</v>
      </c>
      <c r="O1009" t="s">
        <v>1364</v>
      </c>
      <c r="P1009" t="s">
        <v>86</v>
      </c>
      <c r="Q1009" t="s">
        <v>1358</v>
      </c>
      <c r="R1009" s="140" t="s">
        <v>4448</v>
      </c>
    </row>
    <row r="1010" spans="1:25">
      <c r="A1010" s="77">
        <v>216</v>
      </c>
      <c r="B1010" t="s">
        <v>124</v>
      </c>
      <c r="C1010" t="s">
        <v>253</v>
      </c>
      <c r="D1010" s="81" t="s">
        <v>4444</v>
      </c>
      <c r="E1010" s="97">
        <v>3</v>
      </c>
      <c r="F1010" s="97" t="s">
        <v>180</v>
      </c>
      <c r="G1010" t="s">
        <v>28</v>
      </c>
      <c r="H1010" t="s">
        <v>28</v>
      </c>
      <c r="I1010" t="s">
        <v>28</v>
      </c>
      <c r="J1010" t="s">
        <v>28</v>
      </c>
      <c r="K1010" t="s">
        <v>124</v>
      </c>
      <c r="O1010" t="s">
        <v>1365</v>
      </c>
      <c r="P1010" t="s">
        <v>86</v>
      </c>
      <c r="Q1010" t="s">
        <v>1358</v>
      </c>
      <c r="R1010" s="140" t="s">
        <v>4448</v>
      </c>
    </row>
    <row r="1011" spans="1:25">
      <c r="A1011" s="77">
        <v>216</v>
      </c>
      <c r="B1011" t="s">
        <v>124</v>
      </c>
      <c r="C1011" t="s">
        <v>253</v>
      </c>
      <c r="D1011" s="81" t="s">
        <v>4444</v>
      </c>
      <c r="E1011" s="97">
        <v>3</v>
      </c>
      <c r="F1011" s="97" t="s">
        <v>180</v>
      </c>
      <c r="G1011" t="s">
        <v>28</v>
      </c>
      <c r="H1011" t="s">
        <v>28</v>
      </c>
      <c r="I1011" t="s">
        <v>28</v>
      </c>
      <c r="J1011" t="s">
        <v>28</v>
      </c>
      <c r="K1011" t="s">
        <v>124</v>
      </c>
      <c r="O1011" t="s">
        <v>1366</v>
      </c>
      <c r="P1011" t="s">
        <v>86</v>
      </c>
      <c r="Q1011" t="s">
        <v>1358</v>
      </c>
      <c r="R1011" s="140" t="s">
        <v>4448</v>
      </c>
    </row>
    <row r="1012" spans="1:25">
      <c r="A1012" s="77">
        <v>216</v>
      </c>
      <c r="B1012" t="s">
        <v>124</v>
      </c>
      <c r="C1012" t="s">
        <v>253</v>
      </c>
      <c r="D1012" s="81" t="s">
        <v>4444</v>
      </c>
      <c r="E1012" s="97">
        <v>3</v>
      </c>
      <c r="F1012" s="97" t="s">
        <v>180</v>
      </c>
      <c r="G1012" t="s">
        <v>28</v>
      </c>
      <c r="H1012" t="s">
        <v>28</v>
      </c>
      <c r="I1012" t="s">
        <v>28</v>
      </c>
      <c r="J1012" t="s">
        <v>28</v>
      </c>
      <c r="K1012" t="s">
        <v>124</v>
      </c>
      <c r="O1012" t="s">
        <v>1367</v>
      </c>
      <c r="P1012" t="s">
        <v>86</v>
      </c>
      <c r="Q1012" t="s">
        <v>1358</v>
      </c>
      <c r="R1012" s="140" t="s">
        <v>4448</v>
      </c>
    </row>
    <row r="1013" spans="1:25">
      <c r="A1013" s="77">
        <v>216</v>
      </c>
      <c r="B1013" t="s">
        <v>124</v>
      </c>
      <c r="C1013" t="s">
        <v>253</v>
      </c>
      <c r="D1013" s="81" t="s">
        <v>4444</v>
      </c>
      <c r="E1013" s="97">
        <v>3</v>
      </c>
      <c r="F1013" s="97" t="s">
        <v>180</v>
      </c>
      <c r="G1013" t="s">
        <v>28</v>
      </c>
      <c r="H1013" t="s">
        <v>28</v>
      </c>
      <c r="I1013" t="s">
        <v>28</v>
      </c>
      <c r="J1013" t="s">
        <v>28</v>
      </c>
      <c r="K1013" t="s">
        <v>124</v>
      </c>
      <c r="O1013" t="s">
        <v>1364</v>
      </c>
      <c r="P1013" t="s">
        <v>86</v>
      </c>
      <c r="Q1013" t="s">
        <v>1358</v>
      </c>
      <c r="R1013" s="140" t="s">
        <v>4448</v>
      </c>
    </row>
    <row r="1014" spans="1:25">
      <c r="A1014" s="77">
        <v>216</v>
      </c>
      <c r="B1014" t="s">
        <v>124</v>
      </c>
      <c r="C1014" t="s">
        <v>253</v>
      </c>
      <c r="D1014" s="81" t="s">
        <v>4444</v>
      </c>
      <c r="E1014" s="97">
        <v>3</v>
      </c>
      <c r="F1014" s="97" t="s">
        <v>180</v>
      </c>
      <c r="G1014" t="s">
        <v>28</v>
      </c>
      <c r="H1014" t="s">
        <v>28</v>
      </c>
      <c r="I1014" t="s">
        <v>28</v>
      </c>
      <c r="J1014" t="s">
        <v>28</v>
      </c>
      <c r="K1014" t="s">
        <v>124</v>
      </c>
      <c r="O1014" t="s">
        <v>1365</v>
      </c>
      <c r="P1014" t="s">
        <v>86</v>
      </c>
      <c r="Q1014" t="s">
        <v>1358</v>
      </c>
      <c r="R1014" s="140" t="s">
        <v>4448</v>
      </c>
    </row>
    <row r="1015" spans="1:25">
      <c r="A1015" s="77">
        <v>216</v>
      </c>
      <c r="B1015" t="s">
        <v>124</v>
      </c>
      <c r="C1015" t="s">
        <v>253</v>
      </c>
      <c r="D1015" s="81" t="s">
        <v>4444</v>
      </c>
      <c r="E1015" s="97">
        <v>3</v>
      </c>
      <c r="F1015" s="97" t="s">
        <v>180</v>
      </c>
      <c r="G1015" t="s">
        <v>28</v>
      </c>
      <c r="H1015" t="s">
        <v>28</v>
      </c>
      <c r="I1015" t="s">
        <v>28</v>
      </c>
      <c r="J1015" t="s">
        <v>28</v>
      </c>
      <c r="K1015" t="s">
        <v>124</v>
      </c>
      <c r="O1015" t="s">
        <v>1366</v>
      </c>
      <c r="P1015" t="s">
        <v>86</v>
      </c>
      <c r="Q1015" t="s">
        <v>1358</v>
      </c>
      <c r="R1015" s="140" t="s">
        <v>4448</v>
      </c>
    </row>
    <row r="1016" spans="1:25">
      <c r="A1016" s="77">
        <v>216</v>
      </c>
      <c r="B1016" t="s">
        <v>124</v>
      </c>
      <c r="C1016" t="s">
        <v>253</v>
      </c>
      <c r="D1016" s="81" t="s">
        <v>4444</v>
      </c>
      <c r="E1016" s="97">
        <v>3</v>
      </c>
      <c r="F1016" s="97" t="s">
        <v>180</v>
      </c>
      <c r="G1016" t="s">
        <v>28</v>
      </c>
      <c r="H1016" t="s">
        <v>28</v>
      </c>
      <c r="I1016" t="s">
        <v>28</v>
      </c>
      <c r="J1016" t="s">
        <v>28</v>
      </c>
      <c r="K1016" t="s">
        <v>124</v>
      </c>
      <c r="O1016" t="s">
        <v>1367</v>
      </c>
      <c r="P1016" t="s">
        <v>86</v>
      </c>
      <c r="Q1016" t="s">
        <v>1358</v>
      </c>
      <c r="R1016" s="140" t="s">
        <v>4448</v>
      </c>
    </row>
    <row r="1017" spans="1:25">
      <c r="A1017" s="77">
        <v>216</v>
      </c>
      <c r="B1017" t="s">
        <v>124</v>
      </c>
      <c r="C1017" t="s">
        <v>253</v>
      </c>
      <c r="D1017" s="81" t="s">
        <v>4444</v>
      </c>
      <c r="E1017" s="97">
        <v>3</v>
      </c>
      <c r="F1017" s="97" t="s">
        <v>180</v>
      </c>
      <c r="G1017" t="s">
        <v>28</v>
      </c>
      <c r="H1017" t="s">
        <v>28</v>
      </c>
      <c r="I1017" t="s">
        <v>28</v>
      </c>
      <c r="J1017" t="s">
        <v>28</v>
      </c>
      <c r="K1017" t="s">
        <v>124</v>
      </c>
      <c r="O1017" t="s">
        <v>1363</v>
      </c>
      <c r="P1017" t="s">
        <v>86</v>
      </c>
      <c r="Q1017" t="s">
        <v>1358</v>
      </c>
      <c r="R1017" s="140" t="s">
        <v>4448</v>
      </c>
    </row>
    <row r="1018" spans="1:25" hidden="1">
      <c r="A1018" s="78">
        <v>216</v>
      </c>
      <c r="B1018" s="130" t="s">
        <v>124</v>
      </c>
      <c r="C1018" s="137" t="s">
        <v>253</v>
      </c>
      <c r="D1018" s="81" t="s">
        <v>4444</v>
      </c>
      <c r="E1018" s="97">
        <v>3</v>
      </c>
      <c r="F1018" s="97" t="s">
        <v>180</v>
      </c>
      <c r="G1018" s="130" t="s">
        <v>28</v>
      </c>
      <c r="H1018" s="130" t="s">
        <v>28</v>
      </c>
      <c r="I1018" s="130" t="s">
        <v>28</v>
      </c>
      <c r="J1018" s="130" t="s">
        <v>27</v>
      </c>
      <c r="K1018" s="130" t="s">
        <v>1368</v>
      </c>
      <c r="L1018" s="130" t="s">
        <v>1368</v>
      </c>
      <c r="M1018" s="130" t="s">
        <v>240</v>
      </c>
      <c r="N1018" s="123" t="s">
        <v>31</v>
      </c>
      <c r="O1018" s="130" t="s">
        <v>1369</v>
      </c>
      <c r="P1018" s="130" t="s">
        <v>1370</v>
      </c>
      <c r="Q1018" s="130"/>
      <c r="R1018" s="130"/>
      <c r="S1018" s="130"/>
      <c r="T1018" s="130"/>
      <c r="U1018" s="130"/>
      <c r="V1018" s="130"/>
      <c r="W1018" s="130"/>
      <c r="X1018" s="130"/>
      <c r="Y1018" s="130"/>
    </row>
    <row r="1019" spans="1:25" hidden="1">
      <c r="A1019" s="78">
        <v>216</v>
      </c>
      <c r="B1019" s="130" t="s">
        <v>124</v>
      </c>
      <c r="C1019" s="137" t="s">
        <v>253</v>
      </c>
      <c r="D1019" s="81" t="s">
        <v>4444</v>
      </c>
      <c r="E1019" s="97">
        <v>3</v>
      </c>
      <c r="F1019" s="97" t="s">
        <v>180</v>
      </c>
      <c r="G1019" s="130" t="s">
        <v>28</v>
      </c>
      <c r="H1019" s="130" t="s">
        <v>28</v>
      </c>
      <c r="I1019" s="130" t="s">
        <v>28</v>
      </c>
      <c r="J1019" s="130" t="s">
        <v>27</v>
      </c>
      <c r="K1019" s="130" t="s">
        <v>1368</v>
      </c>
      <c r="L1019" s="130" t="s">
        <v>1368</v>
      </c>
      <c r="M1019" s="130" t="s">
        <v>240</v>
      </c>
      <c r="N1019" s="123" t="s">
        <v>31</v>
      </c>
      <c r="O1019" s="130" t="s">
        <v>1371</v>
      </c>
      <c r="P1019" s="130" t="s">
        <v>1370</v>
      </c>
      <c r="Q1019" s="130"/>
      <c r="R1019" s="130"/>
      <c r="S1019" s="130"/>
      <c r="T1019" s="130"/>
      <c r="U1019" s="130"/>
      <c r="V1019" s="130"/>
      <c r="W1019" s="130"/>
      <c r="X1019" s="130"/>
      <c r="Y1019" s="130"/>
    </row>
    <row r="1020" spans="1:25" hidden="1">
      <c r="A1020" s="78">
        <v>216</v>
      </c>
      <c r="B1020" s="130" t="s">
        <v>124</v>
      </c>
      <c r="C1020" s="137" t="s">
        <v>253</v>
      </c>
      <c r="D1020" s="81" t="s">
        <v>4444</v>
      </c>
      <c r="E1020" s="97">
        <v>3</v>
      </c>
      <c r="F1020" s="97" t="s">
        <v>180</v>
      </c>
      <c r="G1020" s="130" t="s">
        <v>28</v>
      </c>
      <c r="H1020" s="130" t="s">
        <v>28</v>
      </c>
      <c r="I1020" s="130" t="s">
        <v>28</v>
      </c>
      <c r="J1020" s="130" t="s">
        <v>27</v>
      </c>
      <c r="K1020" s="130" t="s">
        <v>1368</v>
      </c>
      <c r="L1020" s="130" t="s">
        <v>1368</v>
      </c>
      <c r="M1020" s="130" t="s">
        <v>240</v>
      </c>
      <c r="N1020" s="123" t="s">
        <v>31</v>
      </c>
      <c r="O1020" s="130" t="s">
        <v>1372</v>
      </c>
      <c r="P1020" s="130" t="s">
        <v>1370</v>
      </c>
      <c r="Q1020" s="130"/>
      <c r="R1020" s="130"/>
      <c r="S1020" s="130"/>
      <c r="T1020" s="130"/>
      <c r="U1020" s="130"/>
      <c r="V1020" s="130"/>
      <c r="W1020" s="130"/>
      <c r="X1020" s="130"/>
      <c r="Y1020" s="130"/>
    </row>
    <row r="1021" spans="1:25" s="130" customFormat="1" hidden="1">
      <c r="A1021" s="78">
        <v>216</v>
      </c>
      <c r="B1021" s="130" t="s">
        <v>124</v>
      </c>
      <c r="C1021" s="137" t="s">
        <v>253</v>
      </c>
      <c r="D1021" s="81" t="s">
        <v>4444</v>
      </c>
      <c r="E1021" s="97">
        <v>3</v>
      </c>
      <c r="F1021" s="97" t="s">
        <v>180</v>
      </c>
      <c r="G1021" s="130" t="s">
        <v>28</v>
      </c>
      <c r="H1021" s="130" t="s">
        <v>28</v>
      </c>
      <c r="I1021" s="130" t="s">
        <v>28</v>
      </c>
      <c r="J1021" s="130" t="s">
        <v>27</v>
      </c>
      <c r="K1021" s="130" t="s">
        <v>1368</v>
      </c>
      <c r="L1021" s="130" t="s">
        <v>1368</v>
      </c>
      <c r="M1021" s="130" t="s">
        <v>240</v>
      </c>
      <c r="N1021" s="123" t="s">
        <v>31</v>
      </c>
      <c r="O1021" s="130" t="s">
        <v>1373</v>
      </c>
      <c r="P1021" s="130" t="s">
        <v>1370</v>
      </c>
    </row>
    <row r="1022" spans="1:25" hidden="1">
      <c r="A1022" s="78">
        <v>217</v>
      </c>
      <c r="B1022" s="130" t="s">
        <v>124</v>
      </c>
      <c r="C1022" s="130" t="s">
        <v>253</v>
      </c>
      <c r="D1022" s="81" t="s">
        <v>4445</v>
      </c>
      <c r="E1022" s="97">
        <v>3</v>
      </c>
      <c r="F1022" s="97" t="s">
        <v>180</v>
      </c>
      <c r="G1022" s="130" t="s">
        <v>27</v>
      </c>
      <c r="H1022" s="130" t="s">
        <v>28</v>
      </c>
      <c r="I1022" s="130" t="s">
        <v>28</v>
      </c>
      <c r="J1022" s="130" t="s">
        <v>27</v>
      </c>
      <c r="K1022" s="137" t="s">
        <v>68</v>
      </c>
      <c r="L1022" s="137" t="s">
        <v>68</v>
      </c>
      <c r="M1022" s="130" t="s">
        <v>240</v>
      </c>
      <c r="N1022" s="123" t="s">
        <v>31</v>
      </c>
      <c r="O1022" s="130" t="s">
        <v>1374</v>
      </c>
      <c r="P1022" s="131" t="s">
        <v>475</v>
      </c>
      <c r="Q1022" s="131"/>
      <c r="R1022" s="131"/>
      <c r="S1022" s="131"/>
      <c r="T1022" s="130"/>
      <c r="U1022" s="130"/>
      <c r="V1022" s="130"/>
      <c r="W1022" s="130"/>
      <c r="X1022" s="130"/>
      <c r="Y1022" s="130"/>
    </row>
    <row r="1023" spans="1:25" hidden="1">
      <c r="A1023" s="78">
        <v>217</v>
      </c>
      <c r="B1023" s="130" t="s">
        <v>124</v>
      </c>
      <c r="C1023" s="130" t="s">
        <v>253</v>
      </c>
      <c r="D1023" s="81" t="s">
        <v>4445</v>
      </c>
      <c r="E1023" s="97">
        <v>3</v>
      </c>
      <c r="F1023" s="97" t="s">
        <v>180</v>
      </c>
      <c r="G1023" s="130" t="s">
        <v>27</v>
      </c>
      <c r="H1023" s="130" t="s">
        <v>28</v>
      </c>
      <c r="I1023" s="130" t="s">
        <v>28</v>
      </c>
      <c r="J1023" s="130" t="s">
        <v>27</v>
      </c>
      <c r="K1023" s="137" t="s">
        <v>68</v>
      </c>
      <c r="L1023" s="137" t="s">
        <v>68</v>
      </c>
      <c r="M1023" s="130" t="s">
        <v>240</v>
      </c>
      <c r="N1023" s="123" t="s">
        <v>31</v>
      </c>
      <c r="O1023" s="130" t="s">
        <v>1375</v>
      </c>
      <c r="P1023" s="131" t="s">
        <v>475</v>
      </c>
      <c r="Q1023" s="131"/>
      <c r="R1023" s="131"/>
      <c r="S1023" s="131"/>
      <c r="T1023" s="130"/>
      <c r="U1023" s="130"/>
      <c r="V1023" s="130"/>
      <c r="W1023" s="130"/>
      <c r="X1023" s="130"/>
      <c r="Y1023" s="130"/>
    </row>
    <row r="1024" spans="1:25" s="137" customFormat="1" hidden="1">
      <c r="A1024" s="78">
        <v>217</v>
      </c>
      <c r="B1024" s="130" t="s">
        <v>124</v>
      </c>
      <c r="C1024" s="130" t="s">
        <v>253</v>
      </c>
      <c r="D1024" s="81" t="s">
        <v>4445</v>
      </c>
      <c r="E1024" s="97">
        <v>3</v>
      </c>
      <c r="F1024" s="97" t="s">
        <v>180</v>
      </c>
      <c r="G1024" s="130" t="s">
        <v>27</v>
      </c>
      <c r="H1024" s="130" t="s">
        <v>28</v>
      </c>
      <c r="I1024" s="130" t="s">
        <v>28</v>
      </c>
      <c r="J1024" s="130" t="s">
        <v>27</v>
      </c>
      <c r="K1024" s="137" t="s">
        <v>68</v>
      </c>
      <c r="L1024" s="137" t="s">
        <v>68</v>
      </c>
      <c r="M1024" s="130" t="s">
        <v>240</v>
      </c>
      <c r="N1024" s="123" t="s">
        <v>31</v>
      </c>
      <c r="O1024" s="130" t="s">
        <v>1376</v>
      </c>
      <c r="P1024" s="131" t="s">
        <v>475</v>
      </c>
      <c r="Q1024" s="131"/>
      <c r="R1024" s="131"/>
      <c r="S1024" s="131"/>
      <c r="T1024" s="130"/>
      <c r="U1024" s="130"/>
      <c r="V1024" s="130"/>
      <c r="W1024" s="130"/>
      <c r="X1024" s="130"/>
      <c r="Y1024" s="130"/>
    </row>
    <row r="1025" spans="1:25">
      <c r="A1025" s="77">
        <v>217</v>
      </c>
      <c r="B1025" t="s">
        <v>124</v>
      </c>
      <c r="C1025" s="85" t="s">
        <v>253</v>
      </c>
      <c r="D1025" s="81" t="s">
        <v>4445</v>
      </c>
      <c r="E1025" s="97">
        <v>3</v>
      </c>
      <c r="F1025" s="97" t="s">
        <v>180</v>
      </c>
      <c r="G1025" t="s">
        <v>28</v>
      </c>
      <c r="H1025" t="s">
        <v>28</v>
      </c>
      <c r="I1025" t="s">
        <v>28</v>
      </c>
      <c r="J1025" t="s">
        <v>28</v>
      </c>
      <c r="K1025" t="s">
        <v>124</v>
      </c>
      <c r="O1025" t="s">
        <v>1377</v>
      </c>
      <c r="P1025" t="s">
        <v>86</v>
      </c>
      <c r="Q1025" t="s">
        <v>1378</v>
      </c>
      <c r="R1025" s="140" t="s">
        <v>4448</v>
      </c>
    </row>
    <row r="1026" spans="1:25">
      <c r="A1026" s="77">
        <v>217</v>
      </c>
      <c r="B1026" t="s">
        <v>124</v>
      </c>
      <c r="C1026" s="85" t="s">
        <v>253</v>
      </c>
      <c r="D1026" s="81" t="s">
        <v>4445</v>
      </c>
      <c r="E1026" s="97">
        <v>3</v>
      </c>
      <c r="F1026" s="97" t="s">
        <v>180</v>
      </c>
      <c r="G1026" t="s">
        <v>28</v>
      </c>
      <c r="H1026" t="s">
        <v>28</v>
      </c>
      <c r="I1026" t="s">
        <v>28</v>
      </c>
      <c r="J1026" t="s">
        <v>28</v>
      </c>
      <c r="K1026" t="s">
        <v>124</v>
      </c>
      <c r="O1026" t="s">
        <v>1379</v>
      </c>
      <c r="P1026" t="s">
        <v>86</v>
      </c>
      <c r="Q1026" t="s">
        <v>1378</v>
      </c>
      <c r="R1026" s="140" t="s">
        <v>4448</v>
      </c>
    </row>
    <row r="1027" spans="1:25">
      <c r="A1027" s="77">
        <v>217</v>
      </c>
      <c r="B1027" t="s">
        <v>124</v>
      </c>
      <c r="C1027" s="85" t="s">
        <v>253</v>
      </c>
      <c r="D1027" s="81" t="s">
        <v>4445</v>
      </c>
      <c r="E1027" s="97">
        <v>3</v>
      </c>
      <c r="F1027" s="97" t="s">
        <v>180</v>
      </c>
      <c r="G1027" t="s">
        <v>28</v>
      </c>
      <c r="H1027" t="s">
        <v>28</v>
      </c>
      <c r="I1027" t="s">
        <v>28</v>
      </c>
      <c r="J1027" t="s">
        <v>28</v>
      </c>
      <c r="K1027" t="s">
        <v>124</v>
      </c>
      <c r="O1027" t="s">
        <v>1380</v>
      </c>
      <c r="P1027" t="s">
        <v>86</v>
      </c>
      <c r="Q1027" t="s">
        <v>1378</v>
      </c>
      <c r="R1027" s="140" t="s">
        <v>4448</v>
      </c>
    </row>
    <row r="1028" spans="1:25">
      <c r="A1028" s="77">
        <v>217</v>
      </c>
      <c r="B1028" t="s">
        <v>124</v>
      </c>
      <c r="C1028" s="85" t="s">
        <v>253</v>
      </c>
      <c r="D1028" s="81" t="s">
        <v>4445</v>
      </c>
      <c r="E1028" s="97">
        <v>3</v>
      </c>
      <c r="F1028" s="97" t="s">
        <v>180</v>
      </c>
      <c r="G1028" t="s">
        <v>28</v>
      </c>
      <c r="H1028" t="s">
        <v>28</v>
      </c>
      <c r="I1028" t="s">
        <v>28</v>
      </c>
      <c r="J1028" t="s">
        <v>28</v>
      </c>
      <c r="K1028" t="s">
        <v>124</v>
      </c>
      <c r="O1028" t="s">
        <v>1381</v>
      </c>
      <c r="P1028" t="s">
        <v>86</v>
      </c>
      <c r="Q1028" t="s">
        <v>1378</v>
      </c>
      <c r="R1028" s="140" t="s">
        <v>4448</v>
      </c>
    </row>
    <row r="1029" spans="1:25">
      <c r="A1029" s="77">
        <v>217</v>
      </c>
      <c r="B1029" t="s">
        <v>124</v>
      </c>
      <c r="C1029" s="85" t="s">
        <v>253</v>
      </c>
      <c r="D1029" s="81" t="s">
        <v>4445</v>
      </c>
      <c r="E1029" s="97">
        <v>3</v>
      </c>
      <c r="F1029" s="97" t="s">
        <v>180</v>
      </c>
      <c r="G1029" t="s">
        <v>28</v>
      </c>
      <c r="H1029" t="s">
        <v>28</v>
      </c>
      <c r="I1029" t="s">
        <v>28</v>
      </c>
      <c r="J1029" t="s">
        <v>28</v>
      </c>
      <c r="K1029" t="s">
        <v>124</v>
      </c>
      <c r="O1029" t="s">
        <v>1382</v>
      </c>
      <c r="P1029" t="s">
        <v>271</v>
      </c>
      <c r="Q1029" t="s">
        <v>1378</v>
      </c>
      <c r="R1029" s="140" t="s">
        <v>4448</v>
      </c>
      <c r="T1029" t="s">
        <v>29</v>
      </c>
      <c r="U1029">
        <v>1</v>
      </c>
      <c r="X1029">
        <v>0</v>
      </c>
      <c r="Y1029">
        <v>0</v>
      </c>
    </row>
    <row r="1030" spans="1:25" s="130" customFormat="1">
      <c r="A1030" s="77">
        <v>217</v>
      </c>
      <c r="B1030" t="s">
        <v>124</v>
      </c>
      <c r="C1030" s="85" t="s">
        <v>253</v>
      </c>
      <c r="D1030" s="81" t="s">
        <v>4445</v>
      </c>
      <c r="E1030" s="97">
        <v>3</v>
      </c>
      <c r="F1030" s="97" t="s">
        <v>180</v>
      </c>
      <c r="G1030" t="s">
        <v>28</v>
      </c>
      <c r="H1030" t="s">
        <v>28</v>
      </c>
      <c r="I1030" t="s">
        <v>28</v>
      </c>
      <c r="J1030" t="s">
        <v>28</v>
      </c>
      <c r="K1030" t="s">
        <v>124</v>
      </c>
      <c r="O1030" t="s">
        <v>1383</v>
      </c>
      <c r="P1030" t="s">
        <v>271</v>
      </c>
      <c r="Q1030" t="s">
        <v>1378</v>
      </c>
      <c r="R1030" s="140" t="s">
        <v>4448</v>
      </c>
      <c r="T1030" t="s">
        <v>29</v>
      </c>
      <c r="U1030">
        <v>1</v>
      </c>
      <c r="X1030">
        <v>0</v>
      </c>
      <c r="Y1030">
        <v>0</v>
      </c>
    </row>
    <row r="1031" spans="1:25">
      <c r="A1031" s="77">
        <v>217</v>
      </c>
      <c r="B1031" t="s">
        <v>124</v>
      </c>
      <c r="C1031" s="85" t="s">
        <v>253</v>
      </c>
      <c r="D1031" s="81" t="s">
        <v>4445</v>
      </c>
      <c r="E1031" s="97">
        <v>3</v>
      </c>
      <c r="F1031" s="97" t="s">
        <v>180</v>
      </c>
      <c r="G1031" t="s">
        <v>28</v>
      </c>
      <c r="H1031" t="s">
        <v>28</v>
      </c>
      <c r="I1031" t="s">
        <v>28</v>
      </c>
      <c r="J1031" t="s">
        <v>28</v>
      </c>
      <c r="K1031" t="s">
        <v>124</v>
      </c>
      <c r="O1031" t="s">
        <v>1384</v>
      </c>
      <c r="P1031" t="s">
        <v>271</v>
      </c>
      <c r="Q1031" t="s">
        <v>1378</v>
      </c>
      <c r="R1031" s="140" t="s">
        <v>4448</v>
      </c>
      <c r="T1031" t="s">
        <v>29</v>
      </c>
      <c r="U1031">
        <v>1</v>
      </c>
      <c r="X1031">
        <v>0</v>
      </c>
      <c r="Y1031">
        <v>0</v>
      </c>
    </row>
    <row r="1032" spans="1:25" s="130" customFormat="1">
      <c r="A1032" s="59">
        <v>217</v>
      </c>
      <c r="B1032" t="s">
        <v>124</v>
      </c>
      <c r="C1032" t="s">
        <v>253</v>
      </c>
      <c r="D1032" s="81" t="s">
        <v>4445</v>
      </c>
      <c r="E1032" s="97">
        <v>3</v>
      </c>
      <c r="F1032" s="97" t="s">
        <v>180</v>
      </c>
      <c r="G1032" t="s">
        <v>28</v>
      </c>
      <c r="H1032" t="s">
        <v>28</v>
      </c>
      <c r="I1032" t="s">
        <v>28</v>
      </c>
      <c r="J1032" t="s">
        <v>28</v>
      </c>
      <c r="K1032" s="85" t="s">
        <v>124</v>
      </c>
      <c r="L1032" s="85"/>
      <c r="M1032" s="85"/>
      <c r="N1032" s="85"/>
      <c r="O1032" s="59" t="s">
        <v>1385</v>
      </c>
      <c r="P1032" t="s">
        <v>277</v>
      </c>
      <c r="R1032" s="140" t="s">
        <v>4448</v>
      </c>
    </row>
    <row r="1033" spans="1:25">
      <c r="A1033" s="59">
        <v>217</v>
      </c>
      <c r="B1033" t="s">
        <v>124</v>
      </c>
      <c r="C1033" t="s">
        <v>253</v>
      </c>
      <c r="D1033" s="81" t="s">
        <v>4445</v>
      </c>
      <c r="E1033" s="97">
        <v>3</v>
      </c>
      <c r="F1033" s="97" t="s">
        <v>180</v>
      </c>
      <c r="G1033" t="s">
        <v>28</v>
      </c>
      <c r="H1033" t="s">
        <v>28</v>
      </c>
      <c r="I1033" t="s">
        <v>28</v>
      </c>
      <c r="J1033" t="s">
        <v>28</v>
      </c>
      <c r="K1033" s="85" t="s">
        <v>124</v>
      </c>
      <c r="L1033" s="85"/>
      <c r="M1033" s="85"/>
      <c r="N1033" s="85"/>
      <c r="O1033" s="59" t="s">
        <v>1386</v>
      </c>
      <c r="P1033" t="s">
        <v>277</v>
      </c>
      <c r="R1033" s="140" t="s">
        <v>4448</v>
      </c>
    </row>
    <row r="1034" spans="1:25">
      <c r="A1034" s="59">
        <v>217</v>
      </c>
      <c r="B1034" t="s">
        <v>124</v>
      </c>
      <c r="C1034" t="s">
        <v>253</v>
      </c>
      <c r="D1034" s="81" t="s">
        <v>4445</v>
      </c>
      <c r="E1034" s="97">
        <v>3</v>
      </c>
      <c r="F1034" s="97" t="s">
        <v>180</v>
      </c>
      <c r="G1034" t="s">
        <v>28</v>
      </c>
      <c r="H1034" t="s">
        <v>28</v>
      </c>
      <c r="I1034" t="s">
        <v>28</v>
      </c>
      <c r="J1034" t="s">
        <v>28</v>
      </c>
      <c r="K1034" s="85" t="s">
        <v>124</v>
      </c>
      <c r="L1034" s="85"/>
      <c r="M1034" s="85"/>
      <c r="N1034" s="85"/>
      <c r="O1034" s="59" t="s">
        <v>1387</v>
      </c>
      <c r="P1034" t="s">
        <v>277</v>
      </c>
      <c r="R1034" s="140" t="s">
        <v>4448</v>
      </c>
    </row>
    <row r="1035" spans="1:25">
      <c r="A1035" s="38">
        <v>218</v>
      </c>
      <c r="B1035" t="s">
        <v>124</v>
      </c>
      <c r="C1035" s="85" t="s">
        <v>66</v>
      </c>
      <c r="D1035" s="81" t="s">
        <v>4445</v>
      </c>
      <c r="E1035" s="97">
        <v>1</v>
      </c>
      <c r="F1035" s="97" t="s">
        <v>112</v>
      </c>
      <c r="G1035" t="s">
        <v>27</v>
      </c>
      <c r="H1035" t="s">
        <v>27</v>
      </c>
      <c r="I1035" t="s">
        <v>27</v>
      </c>
      <c r="J1035" t="s">
        <v>28</v>
      </c>
      <c r="K1035" t="s">
        <v>124</v>
      </c>
      <c r="O1035" t="s">
        <v>1388</v>
      </c>
      <c r="P1035" s="134" t="s">
        <v>475</v>
      </c>
      <c r="Q1035" s="134"/>
      <c r="R1035" s="140" t="s">
        <v>4448</v>
      </c>
      <c r="S1035" s="134"/>
    </row>
    <row r="1036" spans="1:25">
      <c r="A1036" s="38">
        <v>218</v>
      </c>
      <c r="B1036" t="s">
        <v>124</v>
      </c>
      <c r="C1036" s="85" t="s">
        <v>66</v>
      </c>
      <c r="D1036" s="81" t="s">
        <v>4445</v>
      </c>
      <c r="E1036" s="97">
        <v>1</v>
      </c>
      <c r="F1036" s="97" t="s">
        <v>112</v>
      </c>
      <c r="G1036" t="s">
        <v>27</v>
      </c>
      <c r="H1036" t="s">
        <v>27</v>
      </c>
      <c r="I1036" t="s">
        <v>27</v>
      </c>
      <c r="J1036" t="s">
        <v>28</v>
      </c>
      <c r="K1036" t="s">
        <v>124</v>
      </c>
      <c r="O1036" t="s">
        <v>1389</v>
      </c>
      <c r="P1036" s="134" t="s">
        <v>475</v>
      </c>
      <c r="Q1036" s="134"/>
      <c r="R1036" s="140" t="s">
        <v>4448</v>
      </c>
      <c r="S1036" s="134"/>
    </row>
    <row r="1037" spans="1:25">
      <c r="A1037" s="38">
        <v>218</v>
      </c>
      <c r="B1037" t="s">
        <v>124</v>
      </c>
      <c r="C1037" s="85" t="s">
        <v>66</v>
      </c>
      <c r="D1037" s="81" t="s">
        <v>4445</v>
      </c>
      <c r="E1037" s="97">
        <v>1</v>
      </c>
      <c r="F1037" s="97" t="s">
        <v>112</v>
      </c>
      <c r="G1037" t="s">
        <v>27</v>
      </c>
      <c r="H1037" t="s">
        <v>27</v>
      </c>
      <c r="I1037" t="s">
        <v>27</v>
      </c>
      <c r="J1037" t="s">
        <v>28</v>
      </c>
      <c r="K1037" t="s">
        <v>124</v>
      </c>
      <c r="O1037" t="s">
        <v>1390</v>
      </c>
      <c r="P1037" s="134" t="s">
        <v>475</v>
      </c>
      <c r="Q1037" s="134"/>
      <c r="R1037" s="140" t="s">
        <v>4448</v>
      </c>
      <c r="S1037" s="134"/>
    </row>
    <row r="1038" spans="1:25">
      <c r="A1038" s="38">
        <v>219</v>
      </c>
      <c r="B1038" t="s">
        <v>124</v>
      </c>
      <c r="C1038" s="85" t="s">
        <v>253</v>
      </c>
      <c r="D1038" s="81" t="s">
        <v>4445</v>
      </c>
      <c r="E1038" s="97">
        <v>1</v>
      </c>
      <c r="F1038" s="97" t="s">
        <v>26</v>
      </c>
      <c r="G1038" t="s">
        <v>27</v>
      </c>
      <c r="H1038" t="s">
        <v>27</v>
      </c>
      <c r="I1038" t="s">
        <v>27</v>
      </c>
      <c r="J1038" t="s">
        <v>28</v>
      </c>
      <c r="K1038" t="s">
        <v>124</v>
      </c>
      <c r="O1038" t="s">
        <v>1391</v>
      </c>
      <c r="P1038" s="129" t="s">
        <v>371</v>
      </c>
      <c r="Q1038" s="129"/>
      <c r="R1038" s="140" t="s">
        <v>4448</v>
      </c>
      <c r="S1038" s="129"/>
    </row>
    <row r="1039" spans="1:25">
      <c r="A1039" s="38">
        <v>219</v>
      </c>
      <c r="B1039" t="s">
        <v>124</v>
      </c>
      <c r="C1039" s="85" t="s">
        <v>253</v>
      </c>
      <c r="D1039" s="81" t="s">
        <v>4445</v>
      </c>
      <c r="E1039" s="97">
        <v>1</v>
      </c>
      <c r="F1039" s="97" t="s">
        <v>26</v>
      </c>
      <c r="G1039" t="s">
        <v>27</v>
      </c>
      <c r="H1039" t="s">
        <v>27</v>
      </c>
      <c r="I1039" t="s">
        <v>27</v>
      </c>
      <c r="J1039" t="s">
        <v>28</v>
      </c>
      <c r="K1039" t="s">
        <v>124</v>
      </c>
      <c r="O1039" t="s">
        <v>1392</v>
      </c>
      <c r="P1039" s="129" t="s">
        <v>371</v>
      </c>
      <c r="Q1039" s="129"/>
      <c r="R1039" s="140" t="s">
        <v>4448</v>
      </c>
      <c r="S1039" s="129"/>
    </row>
    <row r="1040" spans="1:25">
      <c r="A1040" s="38">
        <v>219</v>
      </c>
      <c r="B1040" t="s">
        <v>124</v>
      </c>
      <c r="C1040" s="85" t="s">
        <v>253</v>
      </c>
      <c r="D1040" s="81" t="s">
        <v>4445</v>
      </c>
      <c r="E1040" s="97">
        <v>1</v>
      </c>
      <c r="F1040" s="97" t="s">
        <v>26</v>
      </c>
      <c r="G1040" t="s">
        <v>27</v>
      </c>
      <c r="H1040" t="s">
        <v>27</v>
      </c>
      <c r="I1040" t="s">
        <v>27</v>
      </c>
      <c r="J1040" t="s">
        <v>28</v>
      </c>
      <c r="K1040" t="s">
        <v>124</v>
      </c>
      <c r="O1040" t="s">
        <v>1393</v>
      </c>
      <c r="P1040" s="129" t="s">
        <v>371</v>
      </c>
      <c r="Q1040" s="129"/>
      <c r="R1040" s="140" t="s">
        <v>4448</v>
      </c>
      <c r="S1040" s="129"/>
    </row>
    <row r="1041" spans="1:25">
      <c r="A1041" s="77">
        <v>221</v>
      </c>
      <c r="B1041" t="s">
        <v>124</v>
      </c>
      <c r="C1041" s="85" t="s">
        <v>253</v>
      </c>
      <c r="D1041" s="81" t="s">
        <v>4445</v>
      </c>
      <c r="E1041" s="97">
        <v>1</v>
      </c>
      <c r="F1041" s="97" t="s">
        <v>26</v>
      </c>
      <c r="G1041" t="s">
        <v>28</v>
      </c>
      <c r="H1041" t="s">
        <v>28</v>
      </c>
      <c r="I1041" t="s">
        <v>28</v>
      </c>
      <c r="J1041" t="s">
        <v>28</v>
      </c>
      <c r="K1041" t="s">
        <v>124</v>
      </c>
      <c r="O1041" t="s">
        <v>1394</v>
      </c>
      <c r="P1041" s="129" t="s">
        <v>102</v>
      </c>
      <c r="Q1041" s="129" t="s">
        <v>1395</v>
      </c>
      <c r="R1041" s="140" t="s">
        <v>4448</v>
      </c>
      <c r="S1041" s="129"/>
    </row>
    <row r="1042" spans="1:25">
      <c r="A1042" s="77">
        <v>221</v>
      </c>
      <c r="B1042" t="s">
        <v>124</v>
      </c>
      <c r="C1042" s="85" t="s">
        <v>253</v>
      </c>
      <c r="D1042" s="81" t="s">
        <v>4445</v>
      </c>
      <c r="E1042" s="97">
        <v>1</v>
      </c>
      <c r="F1042" s="97" t="s">
        <v>26</v>
      </c>
      <c r="G1042" t="s">
        <v>28</v>
      </c>
      <c r="H1042" t="s">
        <v>28</v>
      </c>
      <c r="I1042" t="s">
        <v>28</v>
      </c>
      <c r="J1042" t="s">
        <v>28</v>
      </c>
      <c r="K1042" t="s">
        <v>124</v>
      </c>
      <c r="O1042" t="s">
        <v>1396</v>
      </c>
      <c r="P1042" s="129" t="s">
        <v>102</v>
      </c>
      <c r="Q1042" s="129" t="s">
        <v>1395</v>
      </c>
      <c r="R1042" s="140" t="s">
        <v>4448</v>
      </c>
      <c r="S1042" s="129"/>
    </row>
    <row r="1043" spans="1:25" hidden="1">
      <c r="A1043" s="78">
        <v>221</v>
      </c>
      <c r="B1043" s="130" t="s">
        <v>124</v>
      </c>
      <c r="C1043" s="85" t="s">
        <v>253</v>
      </c>
      <c r="D1043" s="81" t="s">
        <v>4445</v>
      </c>
      <c r="E1043" s="97">
        <v>1</v>
      </c>
      <c r="F1043" s="97" t="s">
        <v>26</v>
      </c>
      <c r="G1043" s="130" t="s">
        <v>28</v>
      </c>
      <c r="H1043" s="130" t="s">
        <v>28</v>
      </c>
      <c r="I1043" s="130" t="s">
        <v>28</v>
      </c>
      <c r="J1043" s="130" t="s">
        <v>27</v>
      </c>
      <c r="K1043" s="130" t="s">
        <v>723</v>
      </c>
      <c r="L1043" s="130" t="s">
        <v>723</v>
      </c>
      <c r="M1043" s="130" t="s">
        <v>240</v>
      </c>
      <c r="N1043" s="123" t="s">
        <v>31</v>
      </c>
      <c r="O1043" s="130" t="s">
        <v>1397</v>
      </c>
      <c r="P1043" s="131" t="s">
        <v>102</v>
      </c>
      <c r="Q1043" s="131"/>
      <c r="R1043" s="131"/>
      <c r="S1043" s="131"/>
      <c r="T1043" s="130"/>
      <c r="U1043" s="130"/>
      <c r="V1043" s="130"/>
      <c r="W1043" s="130"/>
      <c r="X1043" s="130"/>
      <c r="Y1043" s="130"/>
    </row>
    <row r="1044" spans="1:25">
      <c r="A1044" s="77">
        <v>221</v>
      </c>
      <c r="B1044" t="s">
        <v>124</v>
      </c>
      <c r="C1044" s="85" t="s">
        <v>253</v>
      </c>
      <c r="D1044" s="81" t="s">
        <v>4445</v>
      </c>
      <c r="E1044" s="97">
        <v>1</v>
      </c>
      <c r="F1044" s="97" t="s">
        <v>26</v>
      </c>
      <c r="G1044" t="s">
        <v>28</v>
      </c>
      <c r="H1044" t="s">
        <v>28</v>
      </c>
      <c r="I1044" t="s">
        <v>28</v>
      </c>
      <c r="J1044" t="s">
        <v>28</v>
      </c>
      <c r="K1044" t="s">
        <v>124</v>
      </c>
      <c r="O1044" t="s">
        <v>1398</v>
      </c>
      <c r="P1044" s="129" t="s">
        <v>102</v>
      </c>
      <c r="Q1044" s="129" t="s">
        <v>1395</v>
      </c>
      <c r="R1044" s="140" t="s">
        <v>4448</v>
      </c>
      <c r="S1044" s="129"/>
    </row>
    <row r="1045" spans="1:25">
      <c r="A1045" s="77">
        <v>221</v>
      </c>
      <c r="B1045" t="s">
        <v>124</v>
      </c>
      <c r="C1045" s="85" t="s">
        <v>253</v>
      </c>
      <c r="D1045" s="81" t="s">
        <v>4445</v>
      </c>
      <c r="E1045" s="97">
        <v>1</v>
      </c>
      <c r="F1045" s="97" t="s">
        <v>26</v>
      </c>
      <c r="G1045" t="s">
        <v>28</v>
      </c>
      <c r="H1045" t="s">
        <v>28</v>
      </c>
      <c r="I1045" t="s">
        <v>28</v>
      </c>
      <c r="J1045" t="s">
        <v>28</v>
      </c>
      <c r="K1045" t="s">
        <v>124</v>
      </c>
      <c r="O1045" t="s">
        <v>1399</v>
      </c>
      <c r="P1045" s="129" t="s">
        <v>102</v>
      </c>
      <c r="Q1045" s="129" t="s">
        <v>1395</v>
      </c>
      <c r="R1045" s="140" t="s">
        <v>4448</v>
      </c>
      <c r="S1045" s="129"/>
    </row>
    <row r="1046" spans="1:25">
      <c r="A1046" s="77">
        <v>221</v>
      </c>
      <c r="B1046" t="s">
        <v>124</v>
      </c>
      <c r="C1046" s="85" t="s">
        <v>253</v>
      </c>
      <c r="D1046" s="81" t="s">
        <v>4445</v>
      </c>
      <c r="E1046" s="97">
        <v>1</v>
      </c>
      <c r="F1046" s="97" t="s">
        <v>26</v>
      </c>
      <c r="G1046" t="s">
        <v>28</v>
      </c>
      <c r="H1046" t="s">
        <v>28</v>
      </c>
      <c r="I1046" t="s">
        <v>28</v>
      </c>
      <c r="J1046" t="s">
        <v>28</v>
      </c>
      <c r="K1046" t="s">
        <v>124</v>
      </c>
      <c r="O1046" t="s">
        <v>1400</v>
      </c>
      <c r="P1046" s="129" t="s">
        <v>102</v>
      </c>
      <c r="Q1046" s="129" t="s">
        <v>1395</v>
      </c>
      <c r="R1046" s="140" t="s">
        <v>4448</v>
      </c>
      <c r="S1046" s="129"/>
    </row>
    <row r="1047" spans="1:25">
      <c r="A1047" s="77">
        <v>221</v>
      </c>
      <c r="B1047" t="s">
        <v>124</v>
      </c>
      <c r="C1047" s="85" t="s">
        <v>253</v>
      </c>
      <c r="D1047" s="81" t="s">
        <v>4445</v>
      </c>
      <c r="E1047" s="97">
        <v>1</v>
      </c>
      <c r="F1047" s="97" t="s">
        <v>26</v>
      </c>
      <c r="G1047" t="s">
        <v>28</v>
      </c>
      <c r="H1047" t="s">
        <v>28</v>
      </c>
      <c r="I1047" t="s">
        <v>28</v>
      </c>
      <c r="J1047" t="s">
        <v>28</v>
      </c>
      <c r="K1047" t="s">
        <v>124</v>
      </c>
      <c r="O1047" s="132" t="s">
        <v>1401</v>
      </c>
      <c r="P1047" s="129" t="s">
        <v>202</v>
      </c>
      <c r="Q1047" s="129" t="s">
        <v>1395</v>
      </c>
      <c r="R1047" s="140" t="s">
        <v>4448</v>
      </c>
      <c r="S1047" s="129"/>
    </row>
    <row r="1048" spans="1:25">
      <c r="A1048" s="77">
        <v>221</v>
      </c>
      <c r="B1048" t="s">
        <v>124</v>
      </c>
      <c r="C1048" s="85" t="s">
        <v>253</v>
      </c>
      <c r="D1048" s="81" t="s">
        <v>4445</v>
      </c>
      <c r="E1048" s="97">
        <v>1</v>
      </c>
      <c r="F1048" s="97" t="s">
        <v>26</v>
      </c>
      <c r="G1048" t="s">
        <v>28</v>
      </c>
      <c r="H1048" t="s">
        <v>28</v>
      </c>
      <c r="I1048" t="s">
        <v>28</v>
      </c>
      <c r="J1048" t="s">
        <v>28</v>
      </c>
      <c r="K1048" t="s">
        <v>124</v>
      </c>
      <c r="O1048" s="132" t="s">
        <v>1402</v>
      </c>
      <c r="P1048" s="129" t="s">
        <v>202</v>
      </c>
      <c r="Q1048" s="129" t="s">
        <v>1395</v>
      </c>
      <c r="R1048" s="140" t="s">
        <v>4448</v>
      </c>
      <c r="S1048" s="129"/>
    </row>
    <row r="1049" spans="1:25">
      <c r="A1049" s="77">
        <v>221</v>
      </c>
      <c r="B1049" t="s">
        <v>124</v>
      </c>
      <c r="C1049" s="85" t="s">
        <v>253</v>
      </c>
      <c r="D1049" s="81" t="s">
        <v>4445</v>
      </c>
      <c r="E1049" s="97">
        <v>1</v>
      </c>
      <c r="F1049" s="97" t="s">
        <v>26</v>
      </c>
      <c r="G1049" t="s">
        <v>28</v>
      </c>
      <c r="H1049" t="s">
        <v>28</v>
      </c>
      <c r="I1049" t="s">
        <v>28</v>
      </c>
      <c r="J1049" t="s">
        <v>28</v>
      </c>
      <c r="K1049" t="s">
        <v>124</v>
      </c>
      <c r="O1049" s="132" t="s">
        <v>1403</v>
      </c>
      <c r="P1049" s="129" t="s">
        <v>202</v>
      </c>
      <c r="Q1049" s="129" t="s">
        <v>1395</v>
      </c>
      <c r="R1049" s="140" t="s">
        <v>4448</v>
      </c>
      <c r="S1049" s="129"/>
    </row>
    <row r="1050" spans="1:25">
      <c r="A1050" s="77">
        <v>221</v>
      </c>
      <c r="B1050" t="s">
        <v>124</v>
      </c>
      <c r="C1050" s="85" t="s">
        <v>253</v>
      </c>
      <c r="D1050" s="81" t="s">
        <v>4445</v>
      </c>
      <c r="E1050" s="97">
        <v>1</v>
      </c>
      <c r="F1050" s="97" t="s">
        <v>26</v>
      </c>
      <c r="G1050" t="s">
        <v>28</v>
      </c>
      <c r="H1050" t="s">
        <v>28</v>
      </c>
      <c r="I1050" t="s">
        <v>28</v>
      </c>
      <c r="J1050" t="s">
        <v>28</v>
      </c>
      <c r="K1050" t="s">
        <v>124</v>
      </c>
      <c r="O1050" s="132" t="s">
        <v>1404</v>
      </c>
      <c r="P1050" s="129" t="s">
        <v>202</v>
      </c>
      <c r="Q1050" s="129" t="s">
        <v>1395</v>
      </c>
      <c r="R1050" s="140" t="s">
        <v>4448</v>
      </c>
      <c r="S1050" s="129"/>
    </row>
    <row r="1051" spans="1:25">
      <c r="A1051" s="77">
        <v>221</v>
      </c>
      <c r="B1051" t="s">
        <v>124</v>
      </c>
      <c r="C1051" s="85" t="s">
        <v>253</v>
      </c>
      <c r="D1051" s="81" t="s">
        <v>4445</v>
      </c>
      <c r="E1051" s="97">
        <v>1</v>
      </c>
      <c r="F1051" s="97" t="s">
        <v>26</v>
      </c>
      <c r="G1051" t="s">
        <v>28</v>
      </c>
      <c r="H1051" t="s">
        <v>28</v>
      </c>
      <c r="I1051" t="s">
        <v>28</v>
      </c>
      <c r="J1051" t="s">
        <v>28</v>
      </c>
      <c r="K1051" t="s">
        <v>124</v>
      </c>
      <c r="O1051" s="132" t="s">
        <v>1405</v>
      </c>
      <c r="P1051" s="129" t="s">
        <v>202</v>
      </c>
      <c r="Q1051" s="129" t="s">
        <v>1395</v>
      </c>
      <c r="R1051" s="140" t="s">
        <v>4448</v>
      </c>
      <c r="S1051" s="129"/>
    </row>
    <row r="1052" spans="1:25">
      <c r="A1052" s="77">
        <v>221</v>
      </c>
      <c r="B1052" t="s">
        <v>124</v>
      </c>
      <c r="C1052" s="85" t="s">
        <v>253</v>
      </c>
      <c r="D1052" s="81" t="s">
        <v>4445</v>
      </c>
      <c r="E1052" s="97">
        <v>1</v>
      </c>
      <c r="F1052" s="97" t="s">
        <v>26</v>
      </c>
      <c r="G1052" t="s">
        <v>28</v>
      </c>
      <c r="H1052" t="s">
        <v>28</v>
      </c>
      <c r="I1052" t="s">
        <v>28</v>
      </c>
      <c r="J1052" t="s">
        <v>28</v>
      </c>
      <c r="K1052" t="s">
        <v>124</v>
      </c>
      <c r="O1052" s="132" t="s">
        <v>1406</v>
      </c>
      <c r="P1052" s="129" t="s">
        <v>202</v>
      </c>
      <c r="Q1052" s="129" t="s">
        <v>1395</v>
      </c>
      <c r="R1052" s="140" t="s">
        <v>4448</v>
      </c>
      <c r="S1052" s="129"/>
    </row>
    <row r="1053" spans="1:25">
      <c r="A1053" s="77">
        <v>221</v>
      </c>
      <c r="B1053" t="s">
        <v>124</v>
      </c>
      <c r="C1053" s="85" t="s">
        <v>253</v>
      </c>
      <c r="D1053" s="81" t="s">
        <v>4445</v>
      </c>
      <c r="E1053" s="97">
        <v>1</v>
      </c>
      <c r="F1053" s="97" t="s">
        <v>26</v>
      </c>
      <c r="G1053" t="s">
        <v>28</v>
      </c>
      <c r="H1053" t="s">
        <v>28</v>
      </c>
      <c r="I1053" t="s">
        <v>28</v>
      </c>
      <c r="J1053" t="s">
        <v>28</v>
      </c>
      <c r="K1053" t="s">
        <v>124</v>
      </c>
      <c r="O1053" s="132" t="s">
        <v>1407</v>
      </c>
      <c r="P1053" s="129" t="s">
        <v>202</v>
      </c>
      <c r="Q1053" s="129" t="s">
        <v>1395</v>
      </c>
      <c r="R1053" s="140" t="s">
        <v>4448</v>
      </c>
      <c r="S1053" s="129"/>
    </row>
    <row r="1054" spans="1:25">
      <c r="A1054" s="77">
        <v>221</v>
      </c>
      <c r="B1054" t="s">
        <v>124</v>
      </c>
      <c r="C1054" s="85" t="s">
        <v>253</v>
      </c>
      <c r="D1054" s="81" t="s">
        <v>4445</v>
      </c>
      <c r="E1054" s="97">
        <v>1</v>
      </c>
      <c r="F1054" s="97" t="s">
        <v>26</v>
      </c>
      <c r="G1054" t="s">
        <v>28</v>
      </c>
      <c r="H1054" t="s">
        <v>28</v>
      </c>
      <c r="I1054" t="s">
        <v>28</v>
      </c>
      <c r="J1054" t="s">
        <v>28</v>
      </c>
      <c r="K1054" t="s">
        <v>124</v>
      </c>
      <c r="O1054" s="132" t="s">
        <v>1408</v>
      </c>
      <c r="P1054" s="129" t="s">
        <v>202</v>
      </c>
      <c r="Q1054" s="129" t="s">
        <v>1395</v>
      </c>
      <c r="R1054" s="140" t="s">
        <v>4448</v>
      </c>
      <c r="S1054" s="129"/>
    </row>
    <row r="1055" spans="1:25">
      <c r="A1055" s="77">
        <v>221</v>
      </c>
      <c r="B1055" t="s">
        <v>124</v>
      </c>
      <c r="C1055" s="85" t="s">
        <v>253</v>
      </c>
      <c r="D1055" s="81" t="s">
        <v>4445</v>
      </c>
      <c r="E1055" s="97">
        <v>1</v>
      </c>
      <c r="F1055" s="97" t="s">
        <v>26</v>
      </c>
      <c r="G1055" t="s">
        <v>28</v>
      </c>
      <c r="H1055" t="s">
        <v>28</v>
      </c>
      <c r="I1055" t="s">
        <v>28</v>
      </c>
      <c r="J1055" t="s">
        <v>28</v>
      </c>
      <c r="K1055" t="s">
        <v>124</v>
      </c>
      <c r="O1055" s="132" t="s">
        <v>1409</v>
      </c>
      <c r="P1055" s="129" t="s">
        <v>202</v>
      </c>
      <c r="Q1055" s="129" t="s">
        <v>1395</v>
      </c>
      <c r="R1055" s="140" t="s">
        <v>4448</v>
      </c>
      <c r="S1055" s="129"/>
    </row>
    <row r="1056" spans="1:25">
      <c r="A1056" s="77">
        <v>223</v>
      </c>
      <c r="B1056" t="s">
        <v>124</v>
      </c>
      <c r="C1056" s="85" t="s">
        <v>253</v>
      </c>
      <c r="D1056" s="81" t="s">
        <v>4445</v>
      </c>
      <c r="E1056" s="97">
        <v>2</v>
      </c>
      <c r="F1056" s="97" t="s">
        <v>49</v>
      </c>
      <c r="G1056" t="s">
        <v>28</v>
      </c>
      <c r="H1056" t="s">
        <v>28</v>
      </c>
      <c r="I1056" t="s">
        <v>28</v>
      </c>
      <c r="J1056" t="s">
        <v>28</v>
      </c>
      <c r="K1056" t="s">
        <v>124</v>
      </c>
      <c r="O1056" t="s">
        <v>1410</v>
      </c>
      <c r="P1056" s="129" t="s">
        <v>102</v>
      </c>
      <c r="Q1056" s="129" t="s">
        <v>1411</v>
      </c>
      <c r="R1056" s="140" t="s">
        <v>4448</v>
      </c>
      <c r="S1056" s="129"/>
    </row>
    <row r="1057" spans="1:25">
      <c r="A1057" s="77">
        <v>223</v>
      </c>
      <c r="B1057" t="s">
        <v>124</v>
      </c>
      <c r="C1057" s="85" t="s">
        <v>253</v>
      </c>
      <c r="D1057" s="81" t="s">
        <v>4445</v>
      </c>
      <c r="E1057" s="97">
        <v>2</v>
      </c>
      <c r="F1057" s="97" t="s">
        <v>49</v>
      </c>
      <c r="G1057" t="s">
        <v>28</v>
      </c>
      <c r="H1057" t="s">
        <v>28</v>
      </c>
      <c r="I1057" t="s">
        <v>28</v>
      </c>
      <c r="J1057" t="s">
        <v>28</v>
      </c>
      <c r="K1057" t="s">
        <v>124</v>
      </c>
      <c r="O1057" t="s">
        <v>1412</v>
      </c>
      <c r="P1057" s="129" t="s">
        <v>102</v>
      </c>
      <c r="Q1057" s="129" t="s">
        <v>1411</v>
      </c>
      <c r="R1057" s="140" t="s">
        <v>4448</v>
      </c>
      <c r="S1057" s="129"/>
    </row>
    <row r="1058" spans="1:25">
      <c r="A1058" s="77">
        <v>223</v>
      </c>
      <c r="B1058" t="s">
        <v>124</v>
      </c>
      <c r="C1058" s="85" t="s">
        <v>253</v>
      </c>
      <c r="D1058" s="81" t="s">
        <v>4445</v>
      </c>
      <c r="E1058" s="97">
        <v>2</v>
      </c>
      <c r="F1058" s="97" t="s">
        <v>49</v>
      </c>
      <c r="G1058" t="s">
        <v>28</v>
      </c>
      <c r="H1058" t="s">
        <v>28</v>
      </c>
      <c r="I1058" t="s">
        <v>28</v>
      </c>
      <c r="J1058" t="s">
        <v>28</v>
      </c>
      <c r="K1058" t="s">
        <v>124</v>
      </c>
      <c r="O1058" t="s">
        <v>1413</v>
      </c>
      <c r="P1058" s="129" t="s">
        <v>102</v>
      </c>
      <c r="Q1058" s="129" t="s">
        <v>1411</v>
      </c>
      <c r="R1058" s="140" t="s">
        <v>4448</v>
      </c>
      <c r="S1058" s="129"/>
    </row>
    <row r="1059" spans="1:25" s="130" customFormat="1">
      <c r="A1059" s="77">
        <v>223</v>
      </c>
      <c r="B1059" t="s">
        <v>124</v>
      </c>
      <c r="C1059" s="85" t="s">
        <v>253</v>
      </c>
      <c r="D1059" s="81" t="s">
        <v>4445</v>
      </c>
      <c r="E1059" s="97">
        <v>2</v>
      </c>
      <c r="F1059" s="97" t="s">
        <v>49</v>
      </c>
      <c r="G1059" t="s">
        <v>28</v>
      </c>
      <c r="H1059" t="s">
        <v>28</v>
      </c>
      <c r="I1059" t="s">
        <v>28</v>
      </c>
      <c r="J1059" t="s">
        <v>28</v>
      </c>
      <c r="K1059" t="s">
        <v>124</v>
      </c>
      <c r="O1059" t="s">
        <v>1414</v>
      </c>
      <c r="P1059" s="129" t="s">
        <v>102</v>
      </c>
      <c r="Q1059" s="129"/>
      <c r="R1059" s="140" t="s">
        <v>4448</v>
      </c>
      <c r="S1059" s="129"/>
    </row>
    <row r="1060" spans="1:25" s="130" customFormat="1">
      <c r="A1060" s="77">
        <v>223</v>
      </c>
      <c r="B1060" t="s">
        <v>124</v>
      </c>
      <c r="C1060" s="85" t="s">
        <v>253</v>
      </c>
      <c r="D1060" s="81" t="s">
        <v>4445</v>
      </c>
      <c r="E1060" s="97">
        <v>2</v>
      </c>
      <c r="F1060" s="97" t="s">
        <v>49</v>
      </c>
      <c r="G1060" t="s">
        <v>28</v>
      </c>
      <c r="H1060" t="s">
        <v>28</v>
      </c>
      <c r="I1060" t="s">
        <v>28</v>
      </c>
      <c r="J1060" t="s">
        <v>28</v>
      </c>
      <c r="K1060" t="s">
        <v>124</v>
      </c>
      <c r="O1060" t="s">
        <v>1415</v>
      </c>
      <c r="P1060" s="129" t="s">
        <v>102</v>
      </c>
      <c r="Q1060" s="129" t="s">
        <v>1411</v>
      </c>
      <c r="R1060" s="140" t="s">
        <v>4448</v>
      </c>
      <c r="S1060" s="129"/>
    </row>
    <row r="1061" spans="1:25" s="130" customFormat="1">
      <c r="A1061" s="77">
        <v>225</v>
      </c>
      <c r="B1061" t="s">
        <v>124</v>
      </c>
      <c r="C1061" s="85" t="s">
        <v>253</v>
      </c>
      <c r="D1061" s="81" t="s">
        <v>4445</v>
      </c>
      <c r="E1061" s="97">
        <v>3</v>
      </c>
      <c r="F1061" s="97" t="s">
        <v>74</v>
      </c>
      <c r="G1061" t="s">
        <v>28</v>
      </c>
      <c r="H1061" t="s">
        <v>28</v>
      </c>
      <c r="I1061" t="s">
        <v>28</v>
      </c>
      <c r="J1061" t="s">
        <v>28</v>
      </c>
      <c r="K1061" t="s">
        <v>124</v>
      </c>
      <c r="O1061" t="s">
        <v>1416</v>
      </c>
      <c r="P1061" s="129" t="s">
        <v>102</v>
      </c>
      <c r="Q1061" s="129" t="s">
        <v>1417</v>
      </c>
      <c r="R1061" s="140" t="s">
        <v>4448</v>
      </c>
      <c r="S1061" s="129"/>
    </row>
    <row r="1062" spans="1:25">
      <c r="A1062" s="77">
        <v>225</v>
      </c>
      <c r="B1062" t="s">
        <v>124</v>
      </c>
      <c r="C1062" s="85" t="s">
        <v>253</v>
      </c>
      <c r="D1062" s="81" t="s">
        <v>4445</v>
      </c>
      <c r="E1062" s="97">
        <v>3</v>
      </c>
      <c r="F1062" s="97" t="s">
        <v>74</v>
      </c>
      <c r="G1062" t="s">
        <v>28</v>
      </c>
      <c r="H1062" t="s">
        <v>28</v>
      </c>
      <c r="I1062" t="s">
        <v>28</v>
      </c>
      <c r="J1062" t="s">
        <v>28</v>
      </c>
      <c r="K1062" t="s">
        <v>124</v>
      </c>
      <c r="O1062" t="s">
        <v>1418</v>
      </c>
      <c r="P1062" s="129" t="s">
        <v>102</v>
      </c>
      <c r="Q1062" s="129" t="s">
        <v>1417</v>
      </c>
      <c r="R1062" s="140" t="s">
        <v>4448</v>
      </c>
      <c r="S1062" s="129"/>
    </row>
    <row r="1063" spans="1:25">
      <c r="A1063" s="77">
        <v>225</v>
      </c>
      <c r="B1063" t="s">
        <v>124</v>
      </c>
      <c r="C1063" s="85" t="s">
        <v>253</v>
      </c>
      <c r="D1063" s="81" t="s">
        <v>4445</v>
      </c>
      <c r="E1063" s="97">
        <v>3</v>
      </c>
      <c r="F1063" s="97" t="s">
        <v>74</v>
      </c>
      <c r="G1063" t="s">
        <v>28</v>
      </c>
      <c r="H1063" t="s">
        <v>28</v>
      </c>
      <c r="I1063" t="s">
        <v>28</v>
      </c>
      <c r="J1063" t="s">
        <v>28</v>
      </c>
      <c r="K1063" t="s">
        <v>124</v>
      </c>
      <c r="O1063" t="s">
        <v>1419</v>
      </c>
      <c r="P1063" s="129" t="s">
        <v>102</v>
      </c>
      <c r="Q1063" s="129" t="s">
        <v>1417</v>
      </c>
      <c r="R1063" s="140" t="s">
        <v>4448</v>
      </c>
      <c r="S1063" s="129"/>
    </row>
    <row r="1064" spans="1:25">
      <c r="A1064" s="77">
        <v>225</v>
      </c>
      <c r="B1064" t="s">
        <v>124</v>
      </c>
      <c r="C1064" s="85" t="s">
        <v>253</v>
      </c>
      <c r="D1064" s="81" t="s">
        <v>4445</v>
      </c>
      <c r="E1064" s="97">
        <v>3</v>
      </c>
      <c r="F1064" s="97" t="s">
        <v>74</v>
      </c>
      <c r="G1064" t="s">
        <v>28</v>
      </c>
      <c r="H1064" t="s">
        <v>28</v>
      </c>
      <c r="I1064" t="s">
        <v>28</v>
      </c>
      <c r="J1064" t="s">
        <v>28</v>
      </c>
      <c r="K1064" t="s">
        <v>124</v>
      </c>
      <c r="O1064" t="s">
        <v>1420</v>
      </c>
      <c r="P1064" s="129" t="s">
        <v>102</v>
      </c>
      <c r="Q1064" s="129" t="s">
        <v>1417</v>
      </c>
      <c r="R1064" s="140" t="s">
        <v>4448</v>
      </c>
      <c r="S1064" s="129"/>
    </row>
    <row r="1065" spans="1:25">
      <c r="A1065" s="77">
        <v>225</v>
      </c>
      <c r="B1065" t="s">
        <v>124</v>
      </c>
      <c r="C1065" s="85" t="s">
        <v>253</v>
      </c>
      <c r="D1065" s="81" t="s">
        <v>4445</v>
      </c>
      <c r="E1065" s="97">
        <v>3</v>
      </c>
      <c r="F1065" s="97" t="s">
        <v>74</v>
      </c>
      <c r="G1065" t="s">
        <v>28</v>
      </c>
      <c r="H1065" t="s">
        <v>28</v>
      </c>
      <c r="I1065" t="s">
        <v>28</v>
      </c>
      <c r="J1065" t="s">
        <v>28</v>
      </c>
      <c r="K1065" t="s">
        <v>124</v>
      </c>
      <c r="O1065" t="s">
        <v>1421</v>
      </c>
      <c r="P1065" s="129" t="s">
        <v>102</v>
      </c>
      <c r="Q1065" s="129" t="s">
        <v>1417</v>
      </c>
      <c r="R1065" s="140" t="s">
        <v>4448</v>
      </c>
      <c r="S1065" s="129"/>
    </row>
    <row r="1066" spans="1:25">
      <c r="A1066" s="77">
        <v>226</v>
      </c>
      <c r="B1066" t="s">
        <v>124</v>
      </c>
      <c r="C1066" s="85" t="s">
        <v>66</v>
      </c>
      <c r="D1066" s="81" t="s">
        <v>4445</v>
      </c>
      <c r="E1066" s="97">
        <v>1</v>
      </c>
      <c r="F1066" s="97" t="s">
        <v>26</v>
      </c>
      <c r="G1066" t="s">
        <v>28</v>
      </c>
      <c r="H1066" t="s">
        <v>28</v>
      </c>
      <c r="I1066" t="s">
        <v>28</v>
      </c>
      <c r="J1066" t="s">
        <v>28</v>
      </c>
      <c r="K1066" t="s">
        <v>124</v>
      </c>
      <c r="O1066" t="s">
        <v>1422</v>
      </c>
      <c r="P1066" t="s">
        <v>391</v>
      </c>
      <c r="Q1066" t="s">
        <v>1423</v>
      </c>
      <c r="R1066" s="140" t="s">
        <v>4448</v>
      </c>
      <c r="T1066" t="s">
        <v>29</v>
      </c>
      <c r="U1066">
        <v>1</v>
      </c>
      <c r="X1066">
        <v>0</v>
      </c>
      <c r="Y1066">
        <v>0</v>
      </c>
    </row>
    <row r="1067" spans="1:25">
      <c r="A1067" s="77">
        <v>226</v>
      </c>
      <c r="B1067" t="s">
        <v>124</v>
      </c>
      <c r="C1067" s="85" t="s">
        <v>66</v>
      </c>
      <c r="D1067" s="81" t="s">
        <v>4445</v>
      </c>
      <c r="E1067" s="97">
        <v>1</v>
      </c>
      <c r="F1067" s="97" t="s">
        <v>26</v>
      </c>
      <c r="G1067" t="s">
        <v>28</v>
      </c>
      <c r="H1067" t="s">
        <v>28</v>
      </c>
      <c r="I1067" t="s">
        <v>28</v>
      </c>
      <c r="J1067" t="s">
        <v>28</v>
      </c>
      <c r="K1067" t="s">
        <v>124</v>
      </c>
      <c r="O1067" t="s">
        <v>1424</v>
      </c>
      <c r="P1067" t="s">
        <v>391</v>
      </c>
      <c r="Q1067" t="s">
        <v>1423</v>
      </c>
      <c r="R1067" s="140" t="s">
        <v>4448</v>
      </c>
      <c r="T1067" t="s">
        <v>29</v>
      </c>
      <c r="U1067">
        <v>1</v>
      </c>
      <c r="X1067">
        <v>0</v>
      </c>
      <c r="Y1067">
        <v>0</v>
      </c>
    </row>
    <row r="1068" spans="1:25">
      <c r="A1068" s="77">
        <v>226</v>
      </c>
      <c r="B1068" t="s">
        <v>124</v>
      </c>
      <c r="C1068" s="85" t="s">
        <v>66</v>
      </c>
      <c r="D1068" s="81" t="s">
        <v>4445</v>
      </c>
      <c r="E1068" s="97">
        <v>1</v>
      </c>
      <c r="F1068" s="97" t="s">
        <v>26</v>
      </c>
      <c r="G1068" t="s">
        <v>28</v>
      </c>
      <c r="H1068" t="s">
        <v>28</v>
      </c>
      <c r="I1068" t="s">
        <v>28</v>
      </c>
      <c r="J1068" t="s">
        <v>28</v>
      </c>
      <c r="K1068" t="s">
        <v>124</v>
      </c>
      <c r="O1068" t="s">
        <v>1425</v>
      </c>
      <c r="P1068" t="s">
        <v>391</v>
      </c>
      <c r="Q1068" t="s">
        <v>1423</v>
      </c>
      <c r="R1068" s="140" t="s">
        <v>4448</v>
      </c>
      <c r="T1068" t="s">
        <v>29</v>
      </c>
      <c r="U1068">
        <v>1</v>
      </c>
      <c r="X1068">
        <v>0</v>
      </c>
      <c r="Y1068">
        <v>0</v>
      </c>
    </row>
    <row r="1069" spans="1:25" hidden="1">
      <c r="A1069" s="78">
        <v>226</v>
      </c>
      <c r="B1069" s="130" t="s">
        <v>124</v>
      </c>
      <c r="C1069" s="85" t="s">
        <v>66</v>
      </c>
      <c r="D1069" s="81" t="s">
        <v>4445</v>
      </c>
      <c r="E1069" s="97">
        <v>1</v>
      </c>
      <c r="F1069" s="97" t="s">
        <v>26</v>
      </c>
      <c r="G1069" s="130" t="s">
        <v>28</v>
      </c>
      <c r="H1069" s="130" t="s">
        <v>28</v>
      </c>
      <c r="I1069" s="130" t="s">
        <v>28</v>
      </c>
      <c r="J1069" s="130" t="s">
        <v>27</v>
      </c>
      <c r="K1069" s="130" t="s">
        <v>105</v>
      </c>
      <c r="L1069" s="130" t="s">
        <v>105</v>
      </c>
      <c r="M1069" s="130" t="s">
        <v>240</v>
      </c>
      <c r="N1069" s="123" t="s">
        <v>31</v>
      </c>
      <c r="O1069" s="130" t="s">
        <v>1426</v>
      </c>
      <c r="P1069" s="130" t="s">
        <v>391</v>
      </c>
      <c r="Q1069" s="130"/>
      <c r="R1069" s="130"/>
      <c r="S1069" s="130"/>
      <c r="T1069" s="130" t="s">
        <v>105</v>
      </c>
      <c r="U1069" s="130" t="s">
        <v>105</v>
      </c>
      <c r="V1069" s="130"/>
      <c r="W1069" s="130"/>
      <c r="X1069" s="130" t="s">
        <v>105</v>
      </c>
      <c r="Y1069" s="130" t="s">
        <v>105</v>
      </c>
    </row>
    <row r="1070" spans="1:25">
      <c r="A1070" s="77">
        <v>226</v>
      </c>
      <c r="B1070" t="s">
        <v>124</v>
      </c>
      <c r="C1070" s="85" t="s">
        <v>66</v>
      </c>
      <c r="D1070" s="81" t="s">
        <v>4445</v>
      </c>
      <c r="E1070" s="97">
        <v>1</v>
      </c>
      <c r="F1070" s="97" t="s">
        <v>26</v>
      </c>
      <c r="G1070" t="s">
        <v>28</v>
      </c>
      <c r="H1070" t="s">
        <v>28</v>
      </c>
      <c r="I1070" t="s">
        <v>28</v>
      </c>
      <c r="J1070" t="s">
        <v>28</v>
      </c>
      <c r="K1070" t="s">
        <v>124</v>
      </c>
      <c r="O1070" t="s">
        <v>1427</v>
      </c>
      <c r="P1070" t="s">
        <v>391</v>
      </c>
      <c r="Q1070" t="s">
        <v>1423</v>
      </c>
      <c r="R1070" s="140" t="s">
        <v>4448</v>
      </c>
      <c r="T1070" t="s">
        <v>29</v>
      </c>
      <c r="U1070">
        <v>1</v>
      </c>
      <c r="X1070">
        <v>0</v>
      </c>
      <c r="Y1070">
        <v>0</v>
      </c>
    </row>
    <row r="1071" spans="1:25">
      <c r="A1071" s="77">
        <v>229</v>
      </c>
      <c r="B1071" t="s">
        <v>124</v>
      </c>
      <c r="C1071" s="85" t="s">
        <v>253</v>
      </c>
      <c r="D1071" s="81" t="s">
        <v>4445</v>
      </c>
      <c r="E1071" s="97">
        <v>1</v>
      </c>
      <c r="F1071" s="97" t="s">
        <v>112</v>
      </c>
      <c r="G1071" t="s">
        <v>28</v>
      </c>
      <c r="H1071" t="s">
        <v>28</v>
      </c>
      <c r="I1071" t="s">
        <v>28</v>
      </c>
      <c r="J1071" t="s">
        <v>28</v>
      </c>
      <c r="K1071" t="s">
        <v>124</v>
      </c>
      <c r="O1071" t="s">
        <v>1428</v>
      </c>
      <c r="P1071" s="129" t="s">
        <v>102</v>
      </c>
      <c r="Q1071" s="129" t="s">
        <v>1429</v>
      </c>
      <c r="R1071" s="140" t="s">
        <v>4448</v>
      </c>
      <c r="S1071" s="129"/>
    </row>
    <row r="1072" spans="1:25">
      <c r="A1072" s="77">
        <v>229</v>
      </c>
      <c r="B1072" t="s">
        <v>124</v>
      </c>
      <c r="C1072" s="85" t="s">
        <v>253</v>
      </c>
      <c r="D1072" s="81" t="s">
        <v>4445</v>
      </c>
      <c r="E1072" s="97">
        <v>1</v>
      </c>
      <c r="F1072" s="97" t="s">
        <v>112</v>
      </c>
      <c r="G1072" t="s">
        <v>28</v>
      </c>
      <c r="H1072" t="s">
        <v>28</v>
      </c>
      <c r="I1072" t="s">
        <v>28</v>
      </c>
      <c r="J1072" t="s">
        <v>28</v>
      </c>
      <c r="K1072" t="s">
        <v>124</v>
      </c>
      <c r="O1072" t="s">
        <v>1430</v>
      </c>
      <c r="P1072" s="129" t="s">
        <v>102</v>
      </c>
      <c r="Q1072" s="129" t="s">
        <v>1429</v>
      </c>
      <c r="R1072" s="140" t="s">
        <v>4448</v>
      </c>
      <c r="S1072" s="129"/>
    </row>
    <row r="1073" spans="1:25">
      <c r="A1073" s="77">
        <v>229</v>
      </c>
      <c r="B1073" t="s">
        <v>124</v>
      </c>
      <c r="C1073" s="85" t="s">
        <v>253</v>
      </c>
      <c r="D1073" s="81" t="s">
        <v>4445</v>
      </c>
      <c r="E1073" s="97">
        <v>1</v>
      </c>
      <c r="F1073" s="97" t="s">
        <v>112</v>
      </c>
      <c r="G1073" t="s">
        <v>28</v>
      </c>
      <c r="H1073" t="s">
        <v>28</v>
      </c>
      <c r="I1073" t="s">
        <v>28</v>
      </c>
      <c r="J1073" t="s">
        <v>28</v>
      </c>
      <c r="K1073" t="s">
        <v>124</v>
      </c>
      <c r="O1073" t="s">
        <v>1431</v>
      </c>
      <c r="P1073" s="129" t="s">
        <v>102</v>
      </c>
      <c r="Q1073" s="129" t="s">
        <v>1429</v>
      </c>
      <c r="R1073" s="140" t="s">
        <v>4448</v>
      </c>
      <c r="S1073" s="129"/>
    </row>
    <row r="1074" spans="1:25">
      <c r="A1074" s="77">
        <v>229</v>
      </c>
      <c r="B1074" t="s">
        <v>124</v>
      </c>
      <c r="C1074" s="85" t="s">
        <v>253</v>
      </c>
      <c r="D1074" s="81" t="s">
        <v>4445</v>
      </c>
      <c r="E1074" s="97">
        <v>1</v>
      </c>
      <c r="F1074" s="97" t="s">
        <v>112</v>
      </c>
      <c r="G1074" t="s">
        <v>28</v>
      </c>
      <c r="H1074" t="s">
        <v>28</v>
      </c>
      <c r="I1074" t="s">
        <v>28</v>
      </c>
      <c r="J1074" t="s">
        <v>28</v>
      </c>
      <c r="K1074" t="s">
        <v>124</v>
      </c>
      <c r="O1074" t="s">
        <v>1432</v>
      </c>
      <c r="P1074" s="129" t="s">
        <v>102</v>
      </c>
      <c r="Q1074" s="129" t="s">
        <v>1429</v>
      </c>
      <c r="R1074" s="140" t="s">
        <v>4448</v>
      </c>
      <c r="S1074" s="129"/>
    </row>
    <row r="1075" spans="1:25" s="137" customFormat="1">
      <c r="A1075" s="77">
        <v>229</v>
      </c>
      <c r="B1075" t="s">
        <v>124</v>
      </c>
      <c r="C1075" s="85" t="s">
        <v>253</v>
      </c>
      <c r="D1075" s="81" t="s">
        <v>4445</v>
      </c>
      <c r="E1075" s="97">
        <v>1</v>
      </c>
      <c r="F1075" s="97" t="s">
        <v>112</v>
      </c>
      <c r="G1075" t="s">
        <v>28</v>
      </c>
      <c r="H1075" t="s">
        <v>28</v>
      </c>
      <c r="I1075" t="s">
        <v>28</v>
      </c>
      <c r="J1075" t="s">
        <v>28</v>
      </c>
      <c r="K1075" t="s">
        <v>124</v>
      </c>
      <c r="O1075" t="s">
        <v>1433</v>
      </c>
      <c r="P1075" s="129" t="s">
        <v>102</v>
      </c>
      <c r="Q1075" s="129" t="s">
        <v>1429</v>
      </c>
      <c r="R1075" s="140" t="s">
        <v>4448</v>
      </c>
      <c r="S1075" s="129"/>
    </row>
    <row r="1076" spans="1:25" s="137" customFormat="1">
      <c r="A1076" s="77">
        <v>229</v>
      </c>
      <c r="B1076" t="s">
        <v>124</v>
      </c>
      <c r="C1076" s="85" t="s">
        <v>253</v>
      </c>
      <c r="D1076" s="81" t="s">
        <v>4445</v>
      </c>
      <c r="E1076" s="97">
        <v>1</v>
      </c>
      <c r="F1076" s="97" t="s">
        <v>112</v>
      </c>
      <c r="G1076" t="s">
        <v>28</v>
      </c>
      <c r="H1076" t="s">
        <v>28</v>
      </c>
      <c r="I1076" t="s">
        <v>28</v>
      </c>
      <c r="J1076" t="s">
        <v>28</v>
      </c>
      <c r="K1076" t="s">
        <v>124</v>
      </c>
      <c r="O1076" t="s">
        <v>1434</v>
      </c>
      <c r="P1076" t="s">
        <v>271</v>
      </c>
      <c r="Q1076" t="s">
        <v>1429</v>
      </c>
      <c r="R1076" s="140" t="s">
        <v>4448</v>
      </c>
      <c r="T1076" t="s">
        <v>29</v>
      </c>
      <c r="U1076">
        <v>1</v>
      </c>
      <c r="X1076">
        <v>0</v>
      </c>
      <c r="Y1076">
        <v>0</v>
      </c>
    </row>
    <row r="1077" spans="1:25">
      <c r="A1077" s="77">
        <v>229</v>
      </c>
      <c r="B1077" t="s">
        <v>124</v>
      </c>
      <c r="C1077" s="85" t="s">
        <v>253</v>
      </c>
      <c r="D1077" s="81" t="s">
        <v>4445</v>
      </c>
      <c r="E1077" s="97">
        <v>1</v>
      </c>
      <c r="F1077" s="97" t="s">
        <v>112</v>
      </c>
      <c r="G1077" t="s">
        <v>28</v>
      </c>
      <c r="H1077" t="s">
        <v>28</v>
      </c>
      <c r="I1077" t="s">
        <v>28</v>
      </c>
      <c r="J1077" t="s">
        <v>28</v>
      </c>
      <c r="K1077" t="s">
        <v>124</v>
      </c>
      <c r="O1077" t="s">
        <v>1435</v>
      </c>
      <c r="P1077" t="s">
        <v>271</v>
      </c>
      <c r="Q1077" t="s">
        <v>1429</v>
      </c>
      <c r="R1077" s="140" t="s">
        <v>4448</v>
      </c>
      <c r="T1077" t="s">
        <v>29</v>
      </c>
      <c r="U1077">
        <v>1</v>
      </c>
      <c r="X1077">
        <v>0</v>
      </c>
      <c r="Y1077">
        <v>0</v>
      </c>
    </row>
    <row r="1078" spans="1:25" s="137" customFormat="1">
      <c r="A1078" s="77">
        <v>229</v>
      </c>
      <c r="B1078" t="s">
        <v>124</v>
      </c>
      <c r="C1078" s="85" t="s">
        <v>253</v>
      </c>
      <c r="D1078" s="81" t="s">
        <v>4445</v>
      </c>
      <c r="E1078" s="97">
        <v>1</v>
      </c>
      <c r="F1078" s="97" t="s">
        <v>112</v>
      </c>
      <c r="G1078" t="s">
        <v>28</v>
      </c>
      <c r="H1078" t="s">
        <v>28</v>
      </c>
      <c r="I1078" t="s">
        <v>28</v>
      </c>
      <c r="J1078" t="s">
        <v>28</v>
      </c>
      <c r="K1078" t="s">
        <v>124</v>
      </c>
      <c r="O1078" t="s">
        <v>1436</v>
      </c>
      <c r="P1078" t="s">
        <v>271</v>
      </c>
      <c r="Q1078" t="s">
        <v>1429</v>
      </c>
      <c r="R1078" s="140" t="s">
        <v>4448</v>
      </c>
      <c r="T1078" t="s">
        <v>29</v>
      </c>
      <c r="U1078">
        <v>1</v>
      </c>
      <c r="X1078">
        <v>0</v>
      </c>
      <c r="Y1078">
        <v>0</v>
      </c>
    </row>
    <row r="1079" spans="1:25" s="137" customFormat="1">
      <c r="A1079" s="77">
        <v>230</v>
      </c>
      <c r="B1079" t="s">
        <v>124</v>
      </c>
      <c r="C1079" s="85" t="s">
        <v>253</v>
      </c>
      <c r="D1079" s="81" t="s">
        <v>4445</v>
      </c>
      <c r="E1079" s="97">
        <v>2</v>
      </c>
      <c r="F1079" s="97" t="s">
        <v>54</v>
      </c>
      <c r="G1079" t="s">
        <v>28</v>
      </c>
      <c r="H1079" t="s">
        <v>28</v>
      </c>
      <c r="I1079" t="s">
        <v>28</v>
      </c>
      <c r="J1079" t="s">
        <v>28</v>
      </c>
      <c r="K1079" t="s">
        <v>124</v>
      </c>
      <c r="O1079" t="s">
        <v>1437</v>
      </c>
      <c r="P1079" s="129" t="s">
        <v>217</v>
      </c>
      <c r="Q1079" s="129" t="s">
        <v>583</v>
      </c>
      <c r="R1079" s="140" t="s">
        <v>4448</v>
      </c>
      <c r="S1079" s="129"/>
    </row>
    <row r="1080" spans="1:25">
      <c r="A1080" s="77">
        <v>230</v>
      </c>
      <c r="B1080" t="s">
        <v>124</v>
      </c>
      <c r="C1080" s="85" t="s">
        <v>253</v>
      </c>
      <c r="D1080" s="81" t="s">
        <v>4445</v>
      </c>
      <c r="E1080" s="97">
        <v>2</v>
      </c>
      <c r="F1080" s="97" t="s">
        <v>54</v>
      </c>
      <c r="G1080" t="s">
        <v>28</v>
      </c>
      <c r="H1080" t="s">
        <v>28</v>
      </c>
      <c r="I1080" t="s">
        <v>28</v>
      </c>
      <c r="J1080" t="s">
        <v>28</v>
      </c>
      <c r="K1080" t="s">
        <v>124</v>
      </c>
      <c r="O1080" t="s">
        <v>1438</v>
      </c>
      <c r="P1080" s="129" t="s">
        <v>217</v>
      </c>
      <c r="Q1080" s="129" t="s">
        <v>583</v>
      </c>
      <c r="R1080" s="140" t="s">
        <v>4448</v>
      </c>
      <c r="S1080" s="129"/>
    </row>
    <row r="1081" spans="1:25" s="137" customFormat="1">
      <c r="A1081" s="77">
        <v>230</v>
      </c>
      <c r="B1081" t="s">
        <v>124</v>
      </c>
      <c r="C1081" s="85" t="s">
        <v>253</v>
      </c>
      <c r="D1081" s="81" t="s">
        <v>4445</v>
      </c>
      <c r="E1081" s="97">
        <v>2</v>
      </c>
      <c r="F1081" s="97" t="s">
        <v>54</v>
      </c>
      <c r="G1081" t="s">
        <v>28</v>
      </c>
      <c r="H1081" t="s">
        <v>28</v>
      </c>
      <c r="I1081" t="s">
        <v>28</v>
      </c>
      <c r="J1081" t="s">
        <v>28</v>
      </c>
      <c r="K1081" t="s">
        <v>124</v>
      </c>
      <c r="O1081" t="s">
        <v>1439</v>
      </c>
      <c r="P1081" s="129" t="s">
        <v>217</v>
      </c>
      <c r="Q1081" s="129" t="s">
        <v>583</v>
      </c>
      <c r="R1081" s="140" t="s">
        <v>4448</v>
      </c>
      <c r="S1081" s="129"/>
    </row>
    <row r="1082" spans="1:25">
      <c r="A1082" s="77">
        <v>230</v>
      </c>
      <c r="B1082" t="s">
        <v>124</v>
      </c>
      <c r="C1082" s="85" t="s">
        <v>253</v>
      </c>
      <c r="D1082" s="81" t="s">
        <v>4445</v>
      </c>
      <c r="E1082" s="97">
        <v>2</v>
      </c>
      <c r="F1082" s="97" t="s">
        <v>54</v>
      </c>
      <c r="G1082" t="s">
        <v>28</v>
      </c>
      <c r="H1082" t="s">
        <v>28</v>
      </c>
      <c r="I1082" t="s">
        <v>28</v>
      </c>
      <c r="J1082" t="s">
        <v>28</v>
      </c>
      <c r="K1082" t="s">
        <v>124</v>
      </c>
      <c r="O1082" t="s">
        <v>1440</v>
      </c>
      <c r="P1082" s="129" t="s">
        <v>217</v>
      </c>
      <c r="Q1082" s="129" t="s">
        <v>583</v>
      </c>
      <c r="R1082" s="140" t="s">
        <v>4448</v>
      </c>
      <c r="S1082" s="129"/>
    </row>
    <row r="1083" spans="1:25">
      <c r="A1083" s="77">
        <v>230</v>
      </c>
      <c r="B1083" t="s">
        <v>124</v>
      </c>
      <c r="C1083" s="85" t="s">
        <v>253</v>
      </c>
      <c r="D1083" s="81" t="s">
        <v>4445</v>
      </c>
      <c r="E1083" s="97">
        <v>2</v>
      </c>
      <c r="F1083" s="97" t="s">
        <v>54</v>
      </c>
      <c r="G1083" t="s">
        <v>28</v>
      </c>
      <c r="H1083" t="s">
        <v>28</v>
      </c>
      <c r="I1083" t="s">
        <v>28</v>
      </c>
      <c r="J1083" t="s">
        <v>28</v>
      </c>
      <c r="K1083" t="s">
        <v>124</v>
      </c>
      <c r="O1083" t="s">
        <v>1441</v>
      </c>
      <c r="P1083" s="129" t="s">
        <v>217</v>
      </c>
      <c r="Q1083" s="129" t="s">
        <v>583</v>
      </c>
      <c r="R1083" s="140" t="s">
        <v>4448</v>
      </c>
      <c r="S1083" s="129"/>
    </row>
    <row r="1084" spans="1:25">
      <c r="A1084" s="77">
        <v>231</v>
      </c>
      <c r="B1084" t="s">
        <v>124</v>
      </c>
      <c r="C1084" s="85" t="s">
        <v>253</v>
      </c>
      <c r="D1084" s="81" t="s">
        <v>4445</v>
      </c>
      <c r="E1084" s="97">
        <v>2</v>
      </c>
      <c r="F1084" s="97" t="s">
        <v>67</v>
      </c>
      <c r="G1084" t="s">
        <v>28</v>
      </c>
      <c r="H1084" t="s">
        <v>28</v>
      </c>
      <c r="I1084" t="s">
        <v>28</v>
      </c>
      <c r="J1084" t="s">
        <v>28</v>
      </c>
      <c r="K1084" t="s">
        <v>124</v>
      </c>
      <c r="O1084" t="s">
        <v>1442</v>
      </c>
      <c r="P1084" s="1" t="s">
        <v>102</v>
      </c>
      <c r="Q1084" s="138" t="s">
        <v>4441</v>
      </c>
      <c r="R1084" s="140" t="s">
        <v>4448</v>
      </c>
      <c r="S1084" s="1"/>
    </row>
    <row r="1085" spans="1:25">
      <c r="A1085" s="77">
        <v>231</v>
      </c>
      <c r="B1085" t="s">
        <v>124</v>
      </c>
      <c r="C1085" s="85" t="s">
        <v>253</v>
      </c>
      <c r="D1085" s="81" t="s">
        <v>4445</v>
      </c>
      <c r="E1085" s="97">
        <v>2</v>
      </c>
      <c r="F1085" s="97" t="s">
        <v>67</v>
      </c>
      <c r="G1085" t="s">
        <v>28</v>
      </c>
      <c r="H1085" t="s">
        <v>28</v>
      </c>
      <c r="I1085" t="s">
        <v>28</v>
      </c>
      <c r="J1085" t="s">
        <v>28</v>
      </c>
      <c r="K1085" t="s">
        <v>124</v>
      </c>
      <c r="O1085" t="s">
        <v>1443</v>
      </c>
      <c r="P1085" s="129" t="s">
        <v>102</v>
      </c>
      <c r="Q1085" s="138" t="s">
        <v>4441</v>
      </c>
      <c r="R1085" s="140" t="s">
        <v>4448</v>
      </c>
      <c r="S1085" s="129"/>
    </row>
    <row r="1086" spans="1:25">
      <c r="A1086" s="77">
        <v>231</v>
      </c>
      <c r="B1086" t="s">
        <v>124</v>
      </c>
      <c r="C1086" s="85" t="s">
        <v>253</v>
      </c>
      <c r="D1086" s="81" t="s">
        <v>4445</v>
      </c>
      <c r="E1086" s="97">
        <v>2</v>
      </c>
      <c r="F1086" s="97" t="s">
        <v>67</v>
      </c>
      <c r="G1086" t="s">
        <v>28</v>
      </c>
      <c r="H1086" t="s">
        <v>28</v>
      </c>
      <c r="I1086" t="s">
        <v>28</v>
      </c>
      <c r="J1086" t="s">
        <v>28</v>
      </c>
      <c r="K1086" t="s">
        <v>124</v>
      </c>
      <c r="O1086" t="s">
        <v>1444</v>
      </c>
      <c r="P1086" s="1" t="s">
        <v>102</v>
      </c>
      <c r="Q1086" s="138" t="s">
        <v>4441</v>
      </c>
      <c r="R1086" s="140" t="s">
        <v>4448</v>
      </c>
      <c r="S1086" s="1"/>
    </row>
    <row r="1087" spans="1:25">
      <c r="A1087" s="77">
        <v>231</v>
      </c>
      <c r="B1087" t="s">
        <v>124</v>
      </c>
      <c r="C1087" s="85" t="s">
        <v>253</v>
      </c>
      <c r="D1087" s="81" t="s">
        <v>4445</v>
      </c>
      <c r="E1087" s="97">
        <v>2</v>
      </c>
      <c r="F1087" s="97" t="s">
        <v>67</v>
      </c>
      <c r="G1087" t="s">
        <v>28</v>
      </c>
      <c r="H1087" t="s">
        <v>28</v>
      </c>
      <c r="I1087" t="s">
        <v>28</v>
      </c>
      <c r="J1087" t="s">
        <v>28</v>
      </c>
      <c r="K1087" t="s">
        <v>124</v>
      </c>
      <c r="O1087" t="s">
        <v>1445</v>
      </c>
      <c r="P1087" s="1" t="s">
        <v>102</v>
      </c>
      <c r="Q1087" s="138" t="s">
        <v>4441</v>
      </c>
      <c r="R1087" s="140" t="s">
        <v>4448</v>
      </c>
      <c r="S1087" s="1"/>
    </row>
    <row r="1088" spans="1:25">
      <c r="A1088" s="77">
        <v>231</v>
      </c>
      <c r="B1088" t="s">
        <v>124</v>
      </c>
      <c r="C1088" s="85" t="s">
        <v>253</v>
      </c>
      <c r="D1088" s="81" t="s">
        <v>4445</v>
      </c>
      <c r="E1088" s="97">
        <v>2</v>
      </c>
      <c r="F1088" s="97" t="s">
        <v>67</v>
      </c>
      <c r="G1088" t="s">
        <v>28</v>
      </c>
      <c r="H1088" t="s">
        <v>28</v>
      </c>
      <c r="I1088" t="s">
        <v>28</v>
      </c>
      <c r="J1088" t="s">
        <v>28</v>
      </c>
      <c r="K1088" t="s">
        <v>124</v>
      </c>
      <c r="O1088" t="s">
        <v>1446</v>
      </c>
      <c r="P1088" s="1" t="s">
        <v>102</v>
      </c>
      <c r="Q1088" s="138" t="s">
        <v>4441</v>
      </c>
      <c r="R1088" s="140" t="s">
        <v>4448</v>
      </c>
      <c r="S1088" s="1"/>
    </row>
    <row r="1089" spans="1:25">
      <c r="A1089" s="77">
        <v>232</v>
      </c>
      <c r="B1089" t="s">
        <v>124</v>
      </c>
      <c r="C1089" s="85" t="s">
        <v>253</v>
      </c>
      <c r="D1089" s="81" t="s">
        <v>4445</v>
      </c>
      <c r="E1089" s="97">
        <v>3</v>
      </c>
      <c r="F1089" s="97" t="s">
        <v>180</v>
      </c>
      <c r="G1089" t="s">
        <v>28</v>
      </c>
      <c r="H1089" t="s">
        <v>28</v>
      </c>
      <c r="I1089" t="s">
        <v>28</v>
      </c>
      <c r="J1089" t="s">
        <v>28</v>
      </c>
      <c r="K1089" t="s">
        <v>124</v>
      </c>
      <c r="O1089" t="s">
        <v>1447</v>
      </c>
      <c r="P1089" s="1" t="s">
        <v>102</v>
      </c>
      <c r="Q1089" s="138" t="s">
        <v>4440</v>
      </c>
      <c r="R1089" s="140" t="s">
        <v>4448</v>
      </c>
      <c r="S1089" s="1"/>
    </row>
    <row r="1090" spans="1:25">
      <c r="A1090" s="77">
        <v>232</v>
      </c>
      <c r="B1090" t="s">
        <v>124</v>
      </c>
      <c r="C1090" s="85" t="s">
        <v>253</v>
      </c>
      <c r="D1090" s="81" t="s">
        <v>4445</v>
      </c>
      <c r="E1090" s="97">
        <v>3</v>
      </c>
      <c r="F1090" s="97" t="s">
        <v>180</v>
      </c>
      <c r="G1090" t="s">
        <v>28</v>
      </c>
      <c r="H1090" t="s">
        <v>28</v>
      </c>
      <c r="I1090" t="s">
        <v>28</v>
      </c>
      <c r="J1090" t="s">
        <v>28</v>
      </c>
      <c r="K1090" t="s">
        <v>124</v>
      </c>
      <c r="O1090" t="s">
        <v>1448</v>
      </c>
      <c r="P1090" s="1" t="s">
        <v>102</v>
      </c>
      <c r="Q1090" s="138" t="s">
        <v>4440</v>
      </c>
      <c r="R1090" s="140" t="s">
        <v>4448</v>
      </c>
      <c r="S1090" s="1"/>
    </row>
    <row r="1091" spans="1:25">
      <c r="A1091" s="77">
        <v>232</v>
      </c>
      <c r="B1091" t="s">
        <v>124</v>
      </c>
      <c r="C1091" s="85" t="s">
        <v>253</v>
      </c>
      <c r="D1091" s="81" t="s">
        <v>4445</v>
      </c>
      <c r="E1091" s="97">
        <v>3</v>
      </c>
      <c r="F1091" s="97" t="s">
        <v>180</v>
      </c>
      <c r="G1091" t="s">
        <v>28</v>
      </c>
      <c r="H1091" t="s">
        <v>28</v>
      </c>
      <c r="I1091" t="s">
        <v>28</v>
      </c>
      <c r="J1091" t="s">
        <v>28</v>
      </c>
      <c r="K1091" t="s">
        <v>124</v>
      </c>
      <c r="O1091" t="s">
        <v>1449</v>
      </c>
      <c r="P1091" s="1" t="s">
        <v>102</v>
      </c>
      <c r="Q1091" s="138" t="s">
        <v>4440</v>
      </c>
      <c r="R1091" s="140" t="s">
        <v>4448</v>
      </c>
      <c r="S1091" s="1"/>
    </row>
    <row r="1092" spans="1:25">
      <c r="A1092" s="77">
        <v>232</v>
      </c>
      <c r="B1092" t="s">
        <v>124</v>
      </c>
      <c r="C1092" s="85" t="s">
        <v>253</v>
      </c>
      <c r="D1092" s="81" t="s">
        <v>4445</v>
      </c>
      <c r="E1092" s="97">
        <v>3</v>
      </c>
      <c r="F1092" s="97" t="s">
        <v>180</v>
      </c>
      <c r="G1092" t="s">
        <v>28</v>
      </c>
      <c r="H1092" t="s">
        <v>28</v>
      </c>
      <c r="I1092" t="s">
        <v>28</v>
      </c>
      <c r="J1092" t="s">
        <v>28</v>
      </c>
      <c r="K1092" t="s">
        <v>124</v>
      </c>
      <c r="O1092" t="s">
        <v>1450</v>
      </c>
      <c r="P1092" s="1" t="s">
        <v>102</v>
      </c>
      <c r="Q1092" s="138" t="s">
        <v>4440</v>
      </c>
      <c r="R1092" s="140" t="s">
        <v>4448</v>
      </c>
      <c r="S1092" s="1"/>
    </row>
    <row r="1093" spans="1:25" s="137" customFormat="1">
      <c r="A1093" s="77">
        <v>232</v>
      </c>
      <c r="B1093" t="s">
        <v>124</v>
      </c>
      <c r="C1093" s="85" t="s">
        <v>253</v>
      </c>
      <c r="D1093" s="81" t="s">
        <v>4445</v>
      </c>
      <c r="E1093" s="97">
        <v>3</v>
      </c>
      <c r="F1093" s="97" t="s">
        <v>180</v>
      </c>
      <c r="G1093" t="s">
        <v>28</v>
      </c>
      <c r="H1093" t="s">
        <v>28</v>
      </c>
      <c r="I1093" t="s">
        <v>28</v>
      </c>
      <c r="J1093" t="s">
        <v>28</v>
      </c>
      <c r="K1093" t="s">
        <v>124</v>
      </c>
      <c r="O1093" t="s">
        <v>1451</v>
      </c>
      <c r="P1093" s="1" t="s">
        <v>102</v>
      </c>
      <c r="Q1093" s="138" t="s">
        <v>4440</v>
      </c>
      <c r="R1093" s="140" t="s">
        <v>4448</v>
      </c>
      <c r="S1093" s="1"/>
    </row>
    <row r="1094" spans="1:25">
      <c r="A1094" s="77">
        <v>235</v>
      </c>
      <c r="B1094" t="s">
        <v>124</v>
      </c>
      <c r="C1094" s="85" t="s">
        <v>253</v>
      </c>
      <c r="D1094" s="81" t="s">
        <v>4445</v>
      </c>
      <c r="E1094" s="97">
        <v>1</v>
      </c>
      <c r="F1094" s="97" t="s">
        <v>112</v>
      </c>
      <c r="G1094" t="s">
        <v>28</v>
      </c>
      <c r="H1094" t="s">
        <v>28</v>
      </c>
      <c r="I1094" t="s">
        <v>28</v>
      </c>
      <c r="J1094" t="s">
        <v>28</v>
      </c>
      <c r="K1094" t="s">
        <v>124</v>
      </c>
      <c r="O1094" t="s">
        <v>1452</v>
      </c>
      <c r="P1094" s="129" t="s">
        <v>102</v>
      </c>
      <c r="Q1094" s="129"/>
      <c r="R1094" s="140" t="s">
        <v>4448</v>
      </c>
      <c r="S1094" s="129"/>
    </row>
    <row r="1095" spans="1:25">
      <c r="A1095" s="77">
        <v>235</v>
      </c>
      <c r="B1095" t="s">
        <v>124</v>
      </c>
      <c r="C1095" s="85" t="s">
        <v>253</v>
      </c>
      <c r="D1095" s="81" t="s">
        <v>4445</v>
      </c>
      <c r="E1095" s="97">
        <v>1</v>
      </c>
      <c r="F1095" s="97" t="s">
        <v>112</v>
      </c>
      <c r="G1095" t="s">
        <v>28</v>
      </c>
      <c r="H1095" t="s">
        <v>28</v>
      </c>
      <c r="I1095" t="s">
        <v>28</v>
      </c>
      <c r="J1095" t="s">
        <v>28</v>
      </c>
      <c r="K1095" t="s">
        <v>124</v>
      </c>
      <c r="O1095" t="s">
        <v>1453</v>
      </c>
      <c r="P1095" s="129" t="s">
        <v>102</v>
      </c>
      <c r="Q1095" s="129" t="s">
        <v>1395</v>
      </c>
      <c r="R1095" s="140" t="s">
        <v>4448</v>
      </c>
      <c r="S1095" s="129"/>
    </row>
    <row r="1096" spans="1:25">
      <c r="A1096" s="77">
        <v>235</v>
      </c>
      <c r="B1096" t="s">
        <v>124</v>
      </c>
      <c r="C1096" s="85" t="s">
        <v>253</v>
      </c>
      <c r="D1096" s="81" t="s">
        <v>4445</v>
      </c>
      <c r="E1096" s="97">
        <v>1</v>
      </c>
      <c r="F1096" s="97" t="s">
        <v>112</v>
      </c>
      <c r="G1096" t="s">
        <v>28</v>
      </c>
      <c r="H1096" t="s">
        <v>28</v>
      </c>
      <c r="I1096" t="s">
        <v>28</v>
      </c>
      <c r="J1096" t="s">
        <v>28</v>
      </c>
      <c r="K1096" t="s">
        <v>124</v>
      </c>
      <c r="O1096" t="s">
        <v>1454</v>
      </c>
      <c r="P1096" s="129" t="s">
        <v>102</v>
      </c>
      <c r="Q1096" s="129" t="s">
        <v>1395</v>
      </c>
      <c r="R1096" s="140" t="s">
        <v>4448</v>
      </c>
      <c r="S1096" s="129"/>
    </row>
    <row r="1097" spans="1:25">
      <c r="A1097" s="77">
        <v>235</v>
      </c>
      <c r="B1097" t="s">
        <v>124</v>
      </c>
      <c r="C1097" s="85" t="s">
        <v>253</v>
      </c>
      <c r="D1097" s="81" t="s">
        <v>4445</v>
      </c>
      <c r="E1097" s="97">
        <v>1</v>
      </c>
      <c r="F1097" s="97" t="s">
        <v>112</v>
      </c>
      <c r="G1097" t="s">
        <v>28</v>
      </c>
      <c r="H1097" t="s">
        <v>28</v>
      </c>
      <c r="I1097" t="s">
        <v>28</v>
      </c>
      <c r="J1097" t="s">
        <v>28</v>
      </c>
      <c r="K1097" t="s">
        <v>124</v>
      </c>
      <c r="O1097" t="s">
        <v>1455</v>
      </c>
      <c r="P1097" s="129" t="s">
        <v>102</v>
      </c>
      <c r="Q1097" s="129" t="s">
        <v>1395</v>
      </c>
      <c r="R1097" s="140" t="s">
        <v>4448</v>
      </c>
      <c r="S1097" s="129"/>
    </row>
    <row r="1098" spans="1:25">
      <c r="A1098" s="77">
        <v>235</v>
      </c>
      <c r="B1098" t="s">
        <v>124</v>
      </c>
      <c r="C1098" s="85" t="s">
        <v>253</v>
      </c>
      <c r="D1098" s="81" t="s">
        <v>4445</v>
      </c>
      <c r="E1098" s="97">
        <v>1</v>
      </c>
      <c r="F1098" s="97" t="s">
        <v>112</v>
      </c>
      <c r="G1098" t="s">
        <v>28</v>
      </c>
      <c r="H1098" t="s">
        <v>28</v>
      </c>
      <c r="I1098" t="s">
        <v>28</v>
      </c>
      <c r="J1098" t="s">
        <v>28</v>
      </c>
      <c r="K1098" t="s">
        <v>124</v>
      </c>
      <c r="O1098" t="s">
        <v>1456</v>
      </c>
      <c r="P1098" s="129" t="s">
        <v>102</v>
      </c>
      <c r="Q1098" s="129" t="s">
        <v>1395</v>
      </c>
      <c r="R1098" s="140" t="s">
        <v>4448</v>
      </c>
      <c r="S1098" s="129"/>
    </row>
    <row r="1099" spans="1:25" hidden="1">
      <c r="A1099" s="130">
        <v>190</v>
      </c>
      <c r="B1099" s="130" t="s">
        <v>38</v>
      </c>
      <c r="C1099" s="130" t="s">
        <v>48</v>
      </c>
      <c r="D1099" s="81" t="s">
        <v>4445</v>
      </c>
      <c r="E1099" s="97">
        <v>2</v>
      </c>
      <c r="F1099" s="98" t="s">
        <v>49</v>
      </c>
      <c r="G1099" s="130" t="s">
        <v>27</v>
      </c>
      <c r="H1099" s="130" t="s">
        <v>28</v>
      </c>
      <c r="I1099" s="130" t="s">
        <v>27</v>
      </c>
      <c r="J1099" s="130" t="s">
        <v>27</v>
      </c>
      <c r="K1099" s="130" t="s">
        <v>237</v>
      </c>
      <c r="L1099" s="130" t="s">
        <v>237</v>
      </c>
      <c r="M1099" s="130" t="s">
        <v>28</v>
      </c>
      <c r="N1099" s="130" t="s">
        <v>51</v>
      </c>
      <c r="O1099" s="130" t="s">
        <v>1457</v>
      </c>
      <c r="P1099" s="130" t="s">
        <v>767</v>
      </c>
      <c r="Q1099" s="130"/>
      <c r="R1099" s="130"/>
      <c r="S1099" s="130"/>
      <c r="T1099" s="130"/>
      <c r="U1099" s="130"/>
      <c r="V1099" s="130"/>
      <c r="W1099" s="130"/>
      <c r="X1099" s="130"/>
      <c r="Y1099" s="130"/>
    </row>
    <row r="1100" spans="1:25" s="137" customFormat="1">
      <c r="A1100" s="77">
        <v>235</v>
      </c>
      <c r="B1100" t="s">
        <v>124</v>
      </c>
      <c r="C1100" s="85" t="s">
        <v>253</v>
      </c>
      <c r="D1100" s="81" t="s">
        <v>4445</v>
      </c>
      <c r="E1100" s="97">
        <v>1</v>
      </c>
      <c r="F1100" s="97" t="s">
        <v>112</v>
      </c>
      <c r="G1100" t="s">
        <v>28</v>
      </c>
      <c r="H1100" t="s">
        <v>28</v>
      </c>
      <c r="I1100" t="s">
        <v>28</v>
      </c>
      <c r="J1100" t="s">
        <v>28</v>
      </c>
      <c r="K1100" t="s">
        <v>124</v>
      </c>
      <c r="O1100" t="s">
        <v>1458</v>
      </c>
      <c r="P1100" t="s">
        <v>271</v>
      </c>
      <c r="Q1100" t="s">
        <v>1395</v>
      </c>
      <c r="R1100" s="140" t="s">
        <v>4448</v>
      </c>
      <c r="T1100" t="s">
        <v>29</v>
      </c>
      <c r="U1100">
        <v>1</v>
      </c>
      <c r="X1100">
        <v>0</v>
      </c>
      <c r="Y1100">
        <v>0</v>
      </c>
    </row>
    <row r="1101" spans="1:25">
      <c r="A1101" s="77">
        <v>235</v>
      </c>
      <c r="B1101" t="s">
        <v>124</v>
      </c>
      <c r="C1101" s="85" t="s">
        <v>253</v>
      </c>
      <c r="D1101" s="81" t="s">
        <v>4445</v>
      </c>
      <c r="E1101" s="97">
        <v>1</v>
      </c>
      <c r="F1101" s="97" t="s">
        <v>112</v>
      </c>
      <c r="G1101" t="s">
        <v>28</v>
      </c>
      <c r="H1101" t="s">
        <v>28</v>
      </c>
      <c r="I1101" t="s">
        <v>28</v>
      </c>
      <c r="J1101" t="s">
        <v>28</v>
      </c>
      <c r="K1101" t="s">
        <v>124</v>
      </c>
      <c r="O1101" t="s">
        <v>1459</v>
      </c>
      <c r="P1101" t="s">
        <v>271</v>
      </c>
      <c r="Q1101" t="s">
        <v>1395</v>
      </c>
      <c r="R1101" s="140" t="s">
        <v>4448</v>
      </c>
      <c r="T1101" t="s">
        <v>29</v>
      </c>
      <c r="U1101">
        <v>1</v>
      </c>
      <c r="X1101">
        <v>0</v>
      </c>
      <c r="Y1101">
        <v>0</v>
      </c>
    </row>
    <row r="1102" spans="1:25" hidden="1">
      <c r="A1102" s="78">
        <v>182</v>
      </c>
      <c r="B1102" s="130" t="s">
        <v>38</v>
      </c>
      <c r="C1102" s="130" t="s">
        <v>43</v>
      </c>
      <c r="D1102" s="81" t="s">
        <v>4444</v>
      </c>
      <c r="E1102" s="97">
        <v>1</v>
      </c>
      <c r="F1102" s="97" t="s">
        <v>26</v>
      </c>
      <c r="G1102" s="130" t="s">
        <v>27</v>
      </c>
      <c r="H1102" s="130" t="s">
        <v>28</v>
      </c>
      <c r="I1102" s="130" t="s">
        <v>28</v>
      </c>
      <c r="J1102" s="130" t="s">
        <v>27</v>
      </c>
      <c r="K1102" t="s">
        <v>29</v>
      </c>
      <c r="L1102" s="130" t="s">
        <v>30</v>
      </c>
      <c r="M1102" s="137" t="s">
        <v>28</v>
      </c>
      <c r="N1102" s="137" t="s">
        <v>51</v>
      </c>
      <c r="O1102" s="136" t="s">
        <v>1460</v>
      </c>
      <c r="P1102" s="130" t="s">
        <v>41</v>
      </c>
      <c r="Q1102" s="130"/>
      <c r="R1102" s="130"/>
      <c r="S1102" s="130"/>
      <c r="T1102" s="130"/>
      <c r="U1102" s="130"/>
      <c r="V1102" s="130"/>
      <c r="W1102" s="130"/>
      <c r="X1102" s="130"/>
      <c r="Y1102" s="130"/>
    </row>
    <row r="1103" spans="1:25">
      <c r="A1103" s="59">
        <v>235</v>
      </c>
      <c r="B1103" t="s">
        <v>124</v>
      </c>
      <c r="C1103" t="s">
        <v>253</v>
      </c>
      <c r="D1103" s="81" t="s">
        <v>4445</v>
      </c>
      <c r="E1103" s="97">
        <v>1</v>
      </c>
      <c r="F1103" s="97" t="s">
        <v>112</v>
      </c>
      <c r="G1103" t="s">
        <v>28</v>
      </c>
      <c r="H1103" t="s">
        <v>28</v>
      </c>
      <c r="I1103" t="s">
        <v>28</v>
      </c>
      <c r="J1103" t="s">
        <v>28</v>
      </c>
      <c r="K1103" s="85" t="s">
        <v>124</v>
      </c>
      <c r="L1103" s="85"/>
      <c r="M1103" s="85"/>
      <c r="N1103" s="85"/>
      <c r="O1103" s="59" t="s">
        <v>1461</v>
      </c>
      <c r="P1103" t="s">
        <v>277</v>
      </c>
      <c r="R1103" s="140" t="s">
        <v>4448</v>
      </c>
    </row>
    <row r="1104" spans="1:25">
      <c r="A1104" s="59">
        <v>235</v>
      </c>
      <c r="B1104" t="s">
        <v>124</v>
      </c>
      <c r="C1104" t="s">
        <v>253</v>
      </c>
      <c r="D1104" s="81" t="s">
        <v>4445</v>
      </c>
      <c r="E1104" s="97">
        <v>1</v>
      </c>
      <c r="F1104" s="97" t="s">
        <v>112</v>
      </c>
      <c r="G1104" t="s">
        <v>28</v>
      </c>
      <c r="H1104" t="s">
        <v>28</v>
      </c>
      <c r="I1104" t="s">
        <v>28</v>
      </c>
      <c r="J1104" t="s">
        <v>28</v>
      </c>
      <c r="K1104" s="85" t="s">
        <v>124</v>
      </c>
      <c r="L1104" s="85"/>
      <c r="M1104" s="85"/>
      <c r="N1104" s="85"/>
      <c r="O1104" s="59" t="s">
        <v>1462</v>
      </c>
      <c r="P1104" t="s">
        <v>277</v>
      </c>
      <c r="R1104" s="140" t="s">
        <v>4448</v>
      </c>
    </row>
    <row r="1105" spans="1:19">
      <c r="A1105" s="59">
        <v>235</v>
      </c>
      <c r="B1105" t="s">
        <v>124</v>
      </c>
      <c r="C1105" t="s">
        <v>253</v>
      </c>
      <c r="D1105" s="81" t="s">
        <v>4445</v>
      </c>
      <c r="E1105" s="97">
        <v>1</v>
      </c>
      <c r="F1105" s="97" t="s">
        <v>112</v>
      </c>
      <c r="G1105" t="s">
        <v>28</v>
      </c>
      <c r="H1105" t="s">
        <v>28</v>
      </c>
      <c r="I1105" t="s">
        <v>28</v>
      </c>
      <c r="J1105" t="s">
        <v>28</v>
      </c>
      <c r="K1105" s="85" t="s">
        <v>124</v>
      </c>
      <c r="L1105" s="85"/>
      <c r="M1105" s="85"/>
      <c r="N1105" s="85"/>
      <c r="O1105" s="59" t="s">
        <v>1463</v>
      </c>
      <c r="P1105" t="s">
        <v>277</v>
      </c>
      <c r="R1105" s="140" t="s">
        <v>4448</v>
      </c>
    </row>
    <row r="1106" spans="1:19">
      <c r="A1106" s="77">
        <v>236</v>
      </c>
      <c r="B1106" t="s">
        <v>124</v>
      </c>
      <c r="C1106" s="85" t="s">
        <v>253</v>
      </c>
      <c r="D1106" s="81" t="s">
        <v>4445</v>
      </c>
      <c r="E1106" s="97">
        <v>3</v>
      </c>
      <c r="F1106" s="97" t="s">
        <v>74</v>
      </c>
      <c r="G1106" t="s">
        <v>28</v>
      </c>
      <c r="H1106" t="s">
        <v>28</v>
      </c>
      <c r="I1106" t="s">
        <v>28</v>
      </c>
      <c r="J1106" t="s">
        <v>28</v>
      </c>
      <c r="K1106" t="s">
        <v>124</v>
      </c>
      <c r="O1106" t="s">
        <v>1464</v>
      </c>
      <c r="P1106" s="129" t="s">
        <v>102</v>
      </c>
      <c r="Q1106" s="129" t="s">
        <v>1417</v>
      </c>
      <c r="R1106" s="140" t="s">
        <v>4448</v>
      </c>
      <c r="S1106" s="129"/>
    </row>
    <row r="1107" spans="1:19">
      <c r="A1107" s="77">
        <v>236</v>
      </c>
      <c r="B1107" t="s">
        <v>124</v>
      </c>
      <c r="C1107" s="85" t="s">
        <v>253</v>
      </c>
      <c r="D1107" s="81" t="s">
        <v>4445</v>
      </c>
      <c r="E1107" s="97">
        <v>3</v>
      </c>
      <c r="F1107" s="97" t="s">
        <v>74</v>
      </c>
      <c r="G1107" t="s">
        <v>28</v>
      </c>
      <c r="H1107" t="s">
        <v>28</v>
      </c>
      <c r="I1107" t="s">
        <v>28</v>
      </c>
      <c r="J1107" t="s">
        <v>28</v>
      </c>
      <c r="K1107" t="s">
        <v>124</v>
      </c>
      <c r="O1107" t="s">
        <v>1465</v>
      </c>
      <c r="P1107" s="129" t="s">
        <v>102</v>
      </c>
      <c r="Q1107" s="129" t="s">
        <v>1417</v>
      </c>
      <c r="R1107" s="140" t="s">
        <v>4448</v>
      </c>
      <c r="S1107" s="129"/>
    </row>
    <row r="1108" spans="1:19">
      <c r="A1108" s="77">
        <v>236</v>
      </c>
      <c r="B1108" t="s">
        <v>124</v>
      </c>
      <c r="C1108" s="85" t="s">
        <v>253</v>
      </c>
      <c r="D1108" s="81" t="s">
        <v>4445</v>
      </c>
      <c r="E1108" s="97">
        <v>3</v>
      </c>
      <c r="F1108" s="97" t="s">
        <v>74</v>
      </c>
      <c r="G1108" t="s">
        <v>28</v>
      </c>
      <c r="H1108" t="s">
        <v>28</v>
      </c>
      <c r="I1108" t="s">
        <v>28</v>
      </c>
      <c r="J1108" t="s">
        <v>28</v>
      </c>
      <c r="K1108" t="s">
        <v>124</v>
      </c>
      <c r="O1108" t="s">
        <v>1466</v>
      </c>
      <c r="P1108" s="129" t="s">
        <v>102</v>
      </c>
      <c r="Q1108" s="129" t="s">
        <v>1417</v>
      </c>
      <c r="R1108" s="140" t="s">
        <v>4448</v>
      </c>
      <c r="S1108" s="129"/>
    </row>
    <row r="1109" spans="1:19">
      <c r="A1109" s="77">
        <v>236</v>
      </c>
      <c r="B1109" t="s">
        <v>124</v>
      </c>
      <c r="C1109" s="85" t="s">
        <v>253</v>
      </c>
      <c r="D1109" s="81" t="s">
        <v>4445</v>
      </c>
      <c r="E1109" s="97">
        <v>3</v>
      </c>
      <c r="F1109" s="97" t="s">
        <v>74</v>
      </c>
      <c r="G1109" t="s">
        <v>28</v>
      </c>
      <c r="H1109" t="s">
        <v>28</v>
      </c>
      <c r="I1109" t="s">
        <v>28</v>
      </c>
      <c r="J1109" t="s">
        <v>28</v>
      </c>
      <c r="K1109" t="s">
        <v>124</v>
      </c>
      <c r="O1109" t="s">
        <v>1467</v>
      </c>
      <c r="P1109" s="129" t="s">
        <v>102</v>
      </c>
      <c r="Q1109" s="129" t="s">
        <v>1417</v>
      </c>
      <c r="R1109" s="140" t="s">
        <v>4448</v>
      </c>
      <c r="S1109" s="129"/>
    </row>
    <row r="1110" spans="1:19">
      <c r="A1110" s="77">
        <v>236</v>
      </c>
      <c r="B1110" t="s">
        <v>124</v>
      </c>
      <c r="C1110" s="85" t="s">
        <v>253</v>
      </c>
      <c r="D1110" s="81" t="s">
        <v>4445</v>
      </c>
      <c r="E1110" s="97">
        <v>3</v>
      </c>
      <c r="F1110" s="97" t="s">
        <v>74</v>
      </c>
      <c r="G1110" t="s">
        <v>28</v>
      </c>
      <c r="H1110" t="s">
        <v>28</v>
      </c>
      <c r="I1110" t="s">
        <v>28</v>
      </c>
      <c r="J1110" t="s">
        <v>28</v>
      </c>
      <c r="K1110" t="s">
        <v>124</v>
      </c>
      <c r="O1110" t="s">
        <v>1468</v>
      </c>
      <c r="P1110" s="129" t="s">
        <v>102</v>
      </c>
      <c r="Q1110" s="129" t="s">
        <v>1417</v>
      </c>
      <c r="R1110" s="140" t="s">
        <v>4448</v>
      </c>
      <c r="S1110" s="129"/>
    </row>
    <row r="1111" spans="1:19">
      <c r="A1111" s="77">
        <v>238</v>
      </c>
      <c r="B1111" t="s">
        <v>124</v>
      </c>
      <c r="C1111" t="s">
        <v>66</v>
      </c>
      <c r="D1111" s="81" t="s">
        <v>4445</v>
      </c>
      <c r="E1111" s="97" t="s">
        <v>125</v>
      </c>
      <c r="F1111" s="97" t="s">
        <v>536</v>
      </c>
      <c r="G1111" t="s">
        <v>28</v>
      </c>
      <c r="H1111" t="s">
        <v>28</v>
      </c>
      <c r="I1111" t="s">
        <v>28</v>
      </c>
      <c r="J1111" t="s">
        <v>28</v>
      </c>
      <c r="K1111" t="s">
        <v>124</v>
      </c>
      <c r="O1111" t="s">
        <v>1469</v>
      </c>
      <c r="P1111" t="s">
        <v>86</v>
      </c>
      <c r="Q1111" t="s">
        <v>1470</v>
      </c>
      <c r="R1111" s="140" t="s">
        <v>4448</v>
      </c>
    </row>
    <row r="1112" spans="1:19">
      <c r="A1112" s="77">
        <v>238</v>
      </c>
      <c r="B1112" t="s">
        <v>124</v>
      </c>
      <c r="C1112" t="s">
        <v>66</v>
      </c>
      <c r="D1112" s="81" t="s">
        <v>4445</v>
      </c>
      <c r="E1112" s="97" t="s">
        <v>125</v>
      </c>
      <c r="F1112" s="97" t="s">
        <v>536</v>
      </c>
      <c r="G1112" t="s">
        <v>28</v>
      </c>
      <c r="H1112" t="s">
        <v>28</v>
      </c>
      <c r="I1112" t="s">
        <v>28</v>
      </c>
      <c r="J1112" t="s">
        <v>28</v>
      </c>
      <c r="K1112" t="s">
        <v>124</v>
      </c>
      <c r="O1112" t="s">
        <v>1471</v>
      </c>
      <c r="P1112" t="s">
        <v>86</v>
      </c>
      <c r="Q1112" t="s">
        <v>1470</v>
      </c>
      <c r="R1112" s="140" t="s">
        <v>4448</v>
      </c>
    </row>
    <row r="1113" spans="1:19">
      <c r="A1113" s="77">
        <v>238</v>
      </c>
      <c r="B1113" t="s">
        <v>124</v>
      </c>
      <c r="C1113" t="s">
        <v>66</v>
      </c>
      <c r="D1113" s="81" t="s">
        <v>4445</v>
      </c>
      <c r="E1113" s="97" t="s">
        <v>125</v>
      </c>
      <c r="F1113" s="97" t="s">
        <v>536</v>
      </c>
      <c r="G1113" t="s">
        <v>28</v>
      </c>
      <c r="H1113" t="s">
        <v>28</v>
      </c>
      <c r="I1113" t="s">
        <v>28</v>
      </c>
      <c r="J1113" t="s">
        <v>28</v>
      </c>
      <c r="K1113" t="s">
        <v>124</v>
      </c>
      <c r="O1113" t="s">
        <v>1472</v>
      </c>
      <c r="P1113" t="s">
        <v>86</v>
      </c>
      <c r="Q1113" t="s">
        <v>1470</v>
      </c>
      <c r="R1113" s="140" t="s">
        <v>4448</v>
      </c>
    </row>
    <row r="1114" spans="1:19">
      <c r="A1114" s="77">
        <v>238</v>
      </c>
      <c r="B1114" t="s">
        <v>124</v>
      </c>
      <c r="C1114" t="s">
        <v>66</v>
      </c>
      <c r="D1114" s="81" t="s">
        <v>4445</v>
      </c>
      <c r="E1114" s="97" t="s">
        <v>125</v>
      </c>
      <c r="F1114" s="97" t="s">
        <v>536</v>
      </c>
      <c r="G1114" t="s">
        <v>28</v>
      </c>
      <c r="H1114" t="s">
        <v>28</v>
      </c>
      <c r="I1114" t="s">
        <v>28</v>
      </c>
      <c r="J1114" t="s">
        <v>28</v>
      </c>
      <c r="K1114" t="s">
        <v>124</v>
      </c>
      <c r="O1114" t="s">
        <v>1473</v>
      </c>
      <c r="P1114" t="s">
        <v>86</v>
      </c>
      <c r="Q1114" t="s">
        <v>1470</v>
      </c>
      <c r="R1114" s="140" t="s">
        <v>4448</v>
      </c>
    </row>
    <row r="1115" spans="1:19">
      <c r="A1115" s="77">
        <v>238</v>
      </c>
      <c r="B1115" t="s">
        <v>124</v>
      </c>
      <c r="C1115" t="s">
        <v>66</v>
      </c>
      <c r="D1115" s="81" t="s">
        <v>4445</v>
      </c>
      <c r="E1115" s="97" t="s">
        <v>125</v>
      </c>
      <c r="F1115" s="97" t="s">
        <v>536</v>
      </c>
      <c r="G1115" t="s">
        <v>28</v>
      </c>
      <c r="H1115" t="s">
        <v>28</v>
      </c>
      <c r="I1115" t="s">
        <v>28</v>
      </c>
      <c r="J1115" t="s">
        <v>28</v>
      </c>
      <c r="K1115" t="s">
        <v>124</v>
      </c>
      <c r="O1115" t="s">
        <v>1474</v>
      </c>
      <c r="P1115" t="s">
        <v>86</v>
      </c>
      <c r="Q1115" t="s">
        <v>1470</v>
      </c>
      <c r="R1115" s="140" t="s">
        <v>4448</v>
      </c>
    </row>
    <row r="1116" spans="1:19" s="137" customFormat="1">
      <c r="A1116" s="77">
        <v>239</v>
      </c>
      <c r="B1116" t="s">
        <v>124</v>
      </c>
      <c r="C1116" t="s">
        <v>66</v>
      </c>
      <c r="D1116" s="81" t="s">
        <v>4445</v>
      </c>
      <c r="E1116" s="97" t="s">
        <v>136</v>
      </c>
      <c r="F1116" s="97" t="s">
        <v>561</v>
      </c>
      <c r="G1116" t="s">
        <v>28</v>
      </c>
      <c r="H1116" t="s">
        <v>28</v>
      </c>
      <c r="I1116" t="s">
        <v>28</v>
      </c>
      <c r="J1116" t="s">
        <v>28</v>
      </c>
      <c r="K1116" t="s">
        <v>124</v>
      </c>
      <c r="O1116" s="16" t="s">
        <v>1475</v>
      </c>
      <c r="P1116" s="74" t="s">
        <v>86</v>
      </c>
      <c r="Q1116" s="74" t="s">
        <v>1476</v>
      </c>
      <c r="R1116" s="140" t="s">
        <v>4448</v>
      </c>
      <c r="S1116" s="74"/>
    </row>
    <row r="1117" spans="1:19">
      <c r="A1117" s="77">
        <v>239</v>
      </c>
      <c r="B1117" t="s">
        <v>124</v>
      </c>
      <c r="C1117" t="s">
        <v>66</v>
      </c>
      <c r="D1117" s="81" t="s">
        <v>4445</v>
      </c>
      <c r="E1117" s="97" t="s">
        <v>136</v>
      </c>
      <c r="F1117" s="97" t="s">
        <v>561</v>
      </c>
      <c r="G1117" t="s">
        <v>28</v>
      </c>
      <c r="H1117" t="s">
        <v>28</v>
      </c>
      <c r="I1117" t="s">
        <v>28</v>
      </c>
      <c r="J1117" t="s">
        <v>28</v>
      </c>
      <c r="K1117" t="s">
        <v>124</v>
      </c>
      <c r="O1117" s="16" t="s">
        <v>1477</v>
      </c>
      <c r="P1117" s="87" t="s">
        <v>86</v>
      </c>
      <c r="Q1117" s="87" t="s">
        <v>1476</v>
      </c>
      <c r="R1117" s="140" t="s">
        <v>4448</v>
      </c>
      <c r="S1117" s="87"/>
    </row>
    <row r="1118" spans="1:19" s="130" customFormat="1">
      <c r="A1118" s="77">
        <v>239</v>
      </c>
      <c r="B1118" t="s">
        <v>124</v>
      </c>
      <c r="C1118" t="s">
        <v>66</v>
      </c>
      <c r="D1118" s="81" t="s">
        <v>4445</v>
      </c>
      <c r="E1118" s="97" t="s">
        <v>136</v>
      </c>
      <c r="F1118" s="97" t="s">
        <v>561</v>
      </c>
      <c r="G1118" t="s">
        <v>28</v>
      </c>
      <c r="H1118" t="s">
        <v>28</v>
      </c>
      <c r="I1118" t="s">
        <v>28</v>
      </c>
      <c r="J1118" t="s">
        <v>28</v>
      </c>
      <c r="K1118" t="s">
        <v>124</v>
      </c>
      <c r="O1118" s="16" t="s">
        <v>1478</v>
      </c>
      <c r="P1118" s="87" t="s">
        <v>86</v>
      </c>
      <c r="Q1118" s="87" t="s">
        <v>1476</v>
      </c>
      <c r="R1118" s="140" t="s">
        <v>4448</v>
      </c>
      <c r="S1118" s="87"/>
    </row>
    <row r="1119" spans="1:19">
      <c r="A1119" s="77">
        <v>239</v>
      </c>
      <c r="B1119" t="s">
        <v>124</v>
      </c>
      <c r="C1119" t="s">
        <v>66</v>
      </c>
      <c r="D1119" s="81" t="s">
        <v>4445</v>
      </c>
      <c r="E1119" s="97" t="s">
        <v>136</v>
      </c>
      <c r="F1119" s="97" t="s">
        <v>561</v>
      </c>
      <c r="G1119" t="s">
        <v>28</v>
      </c>
      <c r="H1119" t="s">
        <v>28</v>
      </c>
      <c r="I1119" t="s">
        <v>28</v>
      </c>
      <c r="J1119" t="s">
        <v>28</v>
      </c>
      <c r="K1119" t="s">
        <v>124</v>
      </c>
      <c r="O1119" s="16" t="s">
        <v>1479</v>
      </c>
      <c r="P1119" t="s">
        <v>86</v>
      </c>
      <c r="Q1119" t="s">
        <v>1476</v>
      </c>
      <c r="R1119" s="140" t="s">
        <v>4448</v>
      </c>
    </row>
    <row r="1120" spans="1:19" s="130" customFormat="1">
      <c r="A1120" s="77">
        <v>239</v>
      </c>
      <c r="B1120" t="s">
        <v>124</v>
      </c>
      <c r="C1120" t="s">
        <v>66</v>
      </c>
      <c r="D1120" s="81" t="s">
        <v>4445</v>
      </c>
      <c r="E1120" s="97" t="s">
        <v>136</v>
      </c>
      <c r="F1120" s="97" t="s">
        <v>561</v>
      </c>
      <c r="G1120" t="s">
        <v>28</v>
      </c>
      <c r="H1120" t="s">
        <v>28</v>
      </c>
      <c r="I1120" t="s">
        <v>28</v>
      </c>
      <c r="J1120" t="s">
        <v>28</v>
      </c>
      <c r="K1120" t="s">
        <v>124</v>
      </c>
      <c r="O1120" s="16" t="s">
        <v>1480</v>
      </c>
      <c r="P1120" s="87" t="s">
        <v>86</v>
      </c>
      <c r="Q1120" s="87" t="s">
        <v>1476</v>
      </c>
      <c r="R1120" s="140" t="s">
        <v>4448</v>
      </c>
      <c r="S1120" s="87"/>
    </row>
    <row r="1121" spans="1:25">
      <c r="A1121" s="77">
        <v>240</v>
      </c>
      <c r="B1121" t="s">
        <v>124</v>
      </c>
      <c r="C1121" t="s">
        <v>66</v>
      </c>
      <c r="D1121" s="81" t="s">
        <v>4445</v>
      </c>
      <c r="E1121" s="97" t="s">
        <v>125</v>
      </c>
      <c r="F1121" s="97" t="s">
        <v>126</v>
      </c>
      <c r="G1121" t="s">
        <v>28</v>
      </c>
      <c r="H1121" t="s">
        <v>28</v>
      </c>
      <c r="I1121" t="s">
        <v>28</v>
      </c>
      <c r="J1121" t="s">
        <v>28</v>
      </c>
      <c r="K1121" t="s">
        <v>124</v>
      </c>
      <c r="O1121" t="s">
        <v>1481</v>
      </c>
      <c r="P1121" t="s">
        <v>86</v>
      </c>
      <c r="Q1121" t="s">
        <v>1482</v>
      </c>
      <c r="R1121" s="140" t="s">
        <v>4448</v>
      </c>
    </row>
    <row r="1122" spans="1:25" s="130" customFormat="1">
      <c r="A1122" s="77">
        <v>240</v>
      </c>
      <c r="B1122" t="s">
        <v>124</v>
      </c>
      <c r="C1122" t="s">
        <v>66</v>
      </c>
      <c r="D1122" s="81" t="s">
        <v>4445</v>
      </c>
      <c r="E1122" s="97" t="s">
        <v>125</v>
      </c>
      <c r="F1122" s="97" t="s">
        <v>126</v>
      </c>
      <c r="G1122" t="s">
        <v>28</v>
      </c>
      <c r="H1122" t="s">
        <v>28</v>
      </c>
      <c r="I1122" t="s">
        <v>28</v>
      </c>
      <c r="J1122" t="s">
        <v>28</v>
      </c>
      <c r="K1122" t="s">
        <v>124</v>
      </c>
      <c r="O1122" t="s">
        <v>1483</v>
      </c>
      <c r="P1122" t="s">
        <v>86</v>
      </c>
      <c r="Q1122" t="s">
        <v>1482</v>
      </c>
      <c r="R1122" s="140" t="s">
        <v>4448</v>
      </c>
    </row>
    <row r="1123" spans="1:25">
      <c r="A1123" s="77">
        <v>240</v>
      </c>
      <c r="B1123" t="s">
        <v>124</v>
      </c>
      <c r="C1123" t="s">
        <v>66</v>
      </c>
      <c r="D1123" s="81" t="s">
        <v>4445</v>
      </c>
      <c r="E1123" s="97" t="s">
        <v>125</v>
      </c>
      <c r="F1123" s="97" t="s">
        <v>126</v>
      </c>
      <c r="G1123" t="s">
        <v>28</v>
      </c>
      <c r="H1123" t="s">
        <v>28</v>
      </c>
      <c r="I1123" t="s">
        <v>28</v>
      </c>
      <c r="J1123" t="s">
        <v>28</v>
      </c>
      <c r="K1123" t="s">
        <v>124</v>
      </c>
      <c r="O1123" t="s">
        <v>1484</v>
      </c>
      <c r="P1123" t="s">
        <v>86</v>
      </c>
      <c r="Q1123" t="s">
        <v>1482</v>
      </c>
      <c r="R1123" s="140" t="s">
        <v>4448</v>
      </c>
    </row>
    <row r="1124" spans="1:25">
      <c r="A1124" s="77">
        <v>240</v>
      </c>
      <c r="B1124" t="s">
        <v>124</v>
      </c>
      <c r="C1124" t="s">
        <v>66</v>
      </c>
      <c r="D1124" s="81" t="s">
        <v>4445</v>
      </c>
      <c r="E1124" s="97" t="s">
        <v>125</v>
      </c>
      <c r="F1124" s="97" t="s">
        <v>126</v>
      </c>
      <c r="G1124" t="s">
        <v>28</v>
      </c>
      <c r="H1124" t="s">
        <v>28</v>
      </c>
      <c r="I1124" t="s">
        <v>28</v>
      </c>
      <c r="J1124" t="s">
        <v>28</v>
      </c>
      <c r="K1124" t="s">
        <v>124</v>
      </c>
      <c r="O1124" t="s">
        <v>1485</v>
      </c>
      <c r="P1124" t="s">
        <v>86</v>
      </c>
      <c r="Q1124" t="s">
        <v>1482</v>
      </c>
      <c r="R1124" s="140" t="s">
        <v>4448</v>
      </c>
    </row>
    <row r="1125" spans="1:25" hidden="1">
      <c r="A1125" s="78">
        <v>16</v>
      </c>
      <c r="B1125" s="130" t="s">
        <v>38</v>
      </c>
      <c r="C1125" s="130" t="s">
        <v>48</v>
      </c>
      <c r="D1125" s="81" t="s">
        <v>4445</v>
      </c>
      <c r="E1125" s="97">
        <v>3</v>
      </c>
      <c r="F1125" s="97" t="s">
        <v>180</v>
      </c>
      <c r="G1125" s="130" t="s">
        <v>28</v>
      </c>
      <c r="H1125" s="130" t="s">
        <v>28</v>
      </c>
      <c r="I1125" s="130" t="s">
        <v>28</v>
      </c>
      <c r="J1125" s="130" t="s">
        <v>27</v>
      </c>
      <c r="K1125" s="130" t="s">
        <v>29</v>
      </c>
      <c r="L1125" s="137" t="s">
        <v>105</v>
      </c>
      <c r="M1125" s="130" t="s">
        <v>28</v>
      </c>
      <c r="N1125" s="130" t="s">
        <v>51</v>
      </c>
      <c r="O1125" s="130" t="s">
        <v>1486</v>
      </c>
      <c r="P1125" s="131" t="s">
        <v>191</v>
      </c>
      <c r="Q1125" s="131"/>
      <c r="R1125" s="131"/>
      <c r="S1125" s="131"/>
      <c r="T1125" s="130"/>
      <c r="U1125" s="130"/>
      <c r="V1125" s="130"/>
      <c r="W1125" s="130"/>
      <c r="X1125" s="130"/>
      <c r="Y1125" s="130"/>
    </row>
    <row r="1126" spans="1:25">
      <c r="A1126" s="77">
        <v>240</v>
      </c>
      <c r="B1126" t="s">
        <v>124</v>
      </c>
      <c r="C1126" t="s">
        <v>66</v>
      </c>
      <c r="D1126" s="81" t="s">
        <v>4445</v>
      </c>
      <c r="E1126" s="97" t="s">
        <v>125</v>
      </c>
      <c r="F1126" s="97" t="s">
        <v>126</v>
      </c>
      <c r="G1126" t="s">
        <v>28</v>
      </c>
      <c r="H1126" t="s">
        <v>28</v>
      </c>
      <c r="I1126" t="s">
        <v>28</v>
      </c>
      <c r="J1126" t="s">
        <v>28</v>
      </c>
      <c r="K1126" t="s">
        <v>124</v>
      </c>
      <c r="O1126" t="s">
        <v>1487</v>
      </c>
      <c r="P1126" t="s">
        <v>213</v>
      </c>
      <c r="Q1126" t="s">
        <v>1488</v>
      </c>
      <c r="R1126" s="140" t="s">
        <v>4448</v>
      </c>
      <c r="T1126" t="s">
        <v>29</v>
      </c>
      <c r="U1126">
        <v>1</v>
      </c>
      <c r="X1126">
        <v>0</v>
      </c>
      <c r="Y1126">
        <v>0</v>
      </c>
    </row>
    <row r="1127" spans="1:25">
      <c r="A1127" s="77">
        <v>240</v>
      </c>
      <c r="B1127" t="s">
        <v>124</v>
      </c>
      <c r="C1127" t="s">
        <v>66</v>
      </c>
      <c r="D1127" s="81" t="s">
        <v>4445</v>
      </c>
      <c r="E1127" s="97" t="s">
        <v>125</v>
      </c>
      <c r="F1127" s="97" t="s">
        <v>126</v>
      </c>
      <c r="G1127" t="s">
        <v>28</v>
      </c>
      <c r="H1127" t="s">
        <v>28</v>
      </c>
      <c r="I1127" t="s">
        <v>28</v>
      </c>
      <c r="J1127" t="s">
        <v>28</v>
      </c>
      <c r="K1127" t="s">
        <v>124</v>
      </c>
      <c r="O1127" t="s">
        <v>1489</v>
      </c>
      <c r="P1127" t="s">
        <v>213</v>
      </c>
      <c r="Q1127" t="s">
        <v>1488</v>
      </c>
      <c r="R1127" s="140" t="s">
        <v>4448</v>
      </c>
      <c r="T1127" t="s">
        <v>29</v>
      </c>
      <c r="U1127">
        <v>1</v>
      </c>
      <c r="X1127">
        <v>0</v>
      </c>
      <c r="Y1127">
        <v>0</v>
      </c>
    </row>
    <row r="1128" spans="1:25">
      <c r="A1128" s="77">
        <v>240</v>
      </c>
      <c r="B1128" t="s">
        <v>124</v>
      </c>
      <c r="C1128" t="s">
        <v>66</v>
      </c>
      <c r="D1128" s="81" t="s">
        <v>4445</v>
      </c>
      <c r="E1128" s="97" t="s">
        <v>125</v>
      </c>
      <c r="F1128" s="97" t="s">
        <v>126</v>
      </c>
      <c r="G1128" t="s">
        <v>28</v>
      </c>
      <c r="H1128" t="s">
        <v>28</v>
      </c>
      <c r="I1128" t="s">
        <v>28</v>
      </c>
      <c r="J1128" t="s">
        <v>28</v>
      </c>
      <c r="K1128" t="s">
        <v>124</v>
      </c>
      <c r="O1128" t="s">
        <v>1490</v>
      </c>
      <c r="P1128" t="s">
        <v>213</v>
      </c>
      <c r="Q1128" t="s">
        <v>1488</v>
      </c>
      <c r="R1128" s="140" t="s">
        <v>4448</v>
      </c>
      <c r="T1128" t="s">
        <v>29</v>
      </c>
      <c r="U1128">
        <v>1</v>
      </c>
      <c r="X1128">
        <v>0</v>
      </c>
      <c r="Y1128">
        <v>0</v>
      </c>
    </row>
    <row r="1129" spans="1:25">
      <c r="A1129" s="77">
        <v>243</v>
      </c>
      <c r="B1129" t="s">
        <v>124</v>
      </c>
      <c r="C1129" t="s">
        <v>66</v>
      </c>
      <c r="D1129" s="81" t="s">
        <v>4445</v>
      </c>
      <c r="E1129" s="97" t="s">
        <v>125</v>
      </c>
      <c r="F1129" s="97" t="s">
        <v>536</v>
      </c>
      <c r="G1129" t="s">
        <v>28</v>
      </c>
      <c r="H1129" t="s">
        <v>28</v>
      </c>
      <c r="I1129" t="s">
        <v>28</v>
      </c>
      <c r="J1129" t="s">
        <v>28</v>
      </c>
      <c r="K1129" t="s">
        <v>124</v>
      </c>
      <c r="O1129" s="16" t="s">
        <v>1491</v>
      </c>
      <c r="P1129" s="16" t="s">
        <v>86</v>
      </c>
      <c r="Q1129" s="16" t="s">
        <v>1492</v>
      </c>
      <c r="R1129" s="140" t="s">
        <v>4448</v>
      </c>
      <c r="S1129" s="16"/>
    </row>
    <row r="1130" spans="1:25">
      <c r="A1130" s="77">
        <v>243</v>
      </c>
      <c r="B1130" t="s">
        <v>124</v>
      </c>
      <c r="C1130" t="s">
        <v>66</v>
      </c>
      <c r="D1130" s="81" t="s">
        <v>4445</v>
      </c>
      <c r="E1130" s="97" t="s">
        <v>125</v>
      </c>
      <c r="F1130" s="97" t="s">
        <v>536</v>
      </c>
      <c r="G1130" t="s">
        <v>28</v>
      </c>
      <c r="H1130" t="s">
        <v>28</v>
      </c>
      <c r="I1130" t="s">
        <v>28</v>
      </c>
      <c r="J1130" t="s">
        <v>28</v>
      </c>
      <c r="K1130" t="s">
        <v>124</v>
      </c>
      <c r="O1130" s="16" t="s">
        <v>1493</v>
      </c>
      <c r="P1130" s="16" t="s">
        <v>86</v>
      </c>
      <c r="Q1130" s="16" t="s">
        <v>1492</v>
      </c>
      <c r="R1130" s="140" t="s">
        <v>4448</v>
      </c>
      <c r="S1130" s="16"/>
    </row>
    <row r="1131" spans="1:25">
      <c r="A1131" s="77">
        <v>243</v>
      </c>
      <c r="B1131" t="s">
        <v>124</v>
      </c>
      <c r="C1131" t="s">
        <v>66</v>
      </c>
      <c r="D1131" s="81" t="s">
        <v>4445</v>
      </c>
      <c r="E1131" s="97" t="s">
        <v>125</v>
      </c>
      <c r="F1131" s="97" t="s">
        <v>536</v>
      </c>
      <c r="G1131" t="s">
        <v>28</v>
      </c>
      <c r="H1131" t="s">
        <v>28</v>
      </c>
      <c r="I1131" t="s">
        <v>28</v>
      </c>
      <c r="J1131" t="s">
        <v>28</v>
      </c>
      <c r="K1131" t="s">
        <v>124</v>
      </c>
      <c r="O1131" s="16" t="s">
        <v>1494</v>
      </c>
      <c r="P1131" s="16" t="s">
        <v>86</v>
      </c>
      <c r="Q1131" s="16" t="s">
        <v>1492</v>
      </c>
      <c r="R1131" s="140" t="s">
        <v>4448</v>
      </c>
      <c r="S1131" s="16"/>
    </row>
    <row r="1132" spans="1:25">
      <c r="A1132" s="77">
        <v>243</v>
      </c>
      <c r="B1132" t="s">
        <v>124</v>
      </c>
      <c r="C1132" t="s">
        <v>66</v>
      </c>
      <c r="D1132" s="81" t="s">
        <v>4445</v>
      </c>
      <c r="E1132" s="97" t="s">
        <v>125</v>
      </c>
      <c r="F1132" s="97" t="s">
        <v>536</v>
      </c>
      <c r="G1132" t="s">
        <v>28</v>
      </c>
      <c r="H1132" t="s">
        <v>28</v>
      </c>
      <c r="I1132" t="s">
        <v>28</v>
      </c>
      <c r="J1132" t="s">
        <v>28</v>
      </c>
      <c r="K1132" t="s">
        <v>124</v>
      </c>
      <c r="O1132" s="16" t="s">
        <v>1495</v>
      </c>
      <c r="P1132" s="16" t="s">
        <v>86</v>
      </c>
      <c r="Q1132" s="16" t="s">
        <v>1492</v>
      </c>
      <c r="R1132" s="140" t="s">
        <v>4448</v>
      </c>
      <c r="S1132" s="16"/>
    </row>
    <row r="1133" spans="1:25">
      <c r="A1133" s="77">
        <v>243</v>
      </c>
      <c r="B1133" t="s">
        <v>124</v>
      </c>
      <c r="C1133" t="s">
        <v>66</v>
      </c>
      <c r="D1133" s="81" t="s">
        <v>4445</v>
      </c>
      <c r="E1133" s="97" t="s">
        <v>125</v>
      </c>
      <c r="F1133" s="97" t="s">
        <v>536</v>
      </c>
      <c r="G1133" t="s">
        <v>28</v>
      </c>
      <c r="H1133" t="s">
        <v>28</v>
      </c>
      <c r="I1133" t="s">
        <v>28</v>
      </c>
      <c r="J1133" t="s">
        <v>28</v>
      </c>
      <c r="K1133" t="s">
        <v>124</v>
      </c>
      <c r="O1133" s="16" t="s">
        <v>1496</v>
      </c>
      <c r="P1133" s="16" t="s">
        <v>86</v>
      </c>
      <c r="Q1133" s="16" t="s">
        <v>1492</v>
      </c>
      <c r="R1133" s="140" t="s">
        <v>4448</v>
      </c>
      <c r="S1133" s="16"/>
    </row>
    <row r="1134" spans="1:25" hidden="1">
      <c r="A1134" s="78">
        <v>16</v>
      </c>
      <c r="B1134" s="130" t="s">
        <v>38</v>
      </c>
      <c r="C1134" s="130" t="s">
        <v>48</v>
      </c>
      <c r="D1134" s="81" t="s">
        <v>4445</v>
      </c>
      <c r="E1134" s="97">
        <v>3</v>
      </c>
      <c r="F1134" s="97" t="s">
        <v>180</v>
      </c>
      <c r="G1134" s="130" t="s">
        <v>28</v>
      </c>
      <c r="H1134" s="130" t="s">
        <v>28</v>
      </c>
      <c r="I1134" s="130" t="s">
        <v>28</v>
      </c>
      <c r="J1134" s="130" t="s">
        <v>27</v>
      </c>
      <c r="K1134" s="130" t="s">
        <v>29</v>
      </c>
      <c r="L1134" s="137" t="s">
        <v>105</v>
      </c>
      <c r="M1134" s="130" t="s">
        <v>28</v>
      </c>
      <c r="N1134" s="130" t="s">
        <v>51</v>
      </c>
      <c r="O1134" s="130" t="s">
        <v>1497</v>
      </c>
      <c r="P1134" s="131" t="s">
        <v>191</v>
      </c>
      <c r="Q1134" s="131"/>
      <c r="R1134" s="131"/>
      <c r="S1134" s="131"/>
      <c r="T1134" s="130"/>
      <c r="U1134" s="130"/>
      <c r="V1134" s="130"/>
      <c r="W1134" s="130"/>
      <c r="X1134" s="130"/>
      <c r="Y1134" s="130"/>
    </row>
    <row r="1135" spans="1:25">
      <c r="A1135" s="77">
        <v>244</v>
      </c>
      <c r="B1135" t="s">
        <v>124</v>
      </c>
      <c r="C1135" t="s">
        <v>66</v>
      </c>
      <c r="D1135" s="81" t="s">
        <v>4445</v>
      </c>
      <c r="E1135" s="97" t="s">
        <v>136</v>
      </c>
      <c r="F1135" s="97" t="s">
        <v>137</v>
      </c>
      <c r="G1135" t="s">
        <v>28</v>
      </c>
      <c r="H1135" t="s">
        <v>28</v>
      </c>
      <c r="I1135" t="s">
        <v>28</v>
      </c>
      <c r="J1135" t="s">
        <v>28</v>
      </c>
      <c r="K1135" t="s">
        <v>124</v>
      </c>
      <c r="O1135" t="s">
        <v>1498</v>
      </c>
      <c r="P1135" t="s">
        <v>86</v>
      </c>
      <c r="Q1135" t="s">
        <v>1499</v>
      </c>
      <c r="R1135" s="140" t="s">
        <v>4448</v>
      </c>
    </row>
    <row r="1136" spans="1:25" hidden="1">
      <c r="A1136" s="78">
        <v>103</v>
      </c>
      <c r="B1136" s="130" t="s">
        <v>111</v>
      </c>
      <c r="C1136" s="130"/>
      <c r="D1136" s="81">
        <v>0</v>
      </c>
      <c r="E1136" s="97">
        <v>2</v>
      </c>
      <c r="F1136" s="98" t="s">
        <v>26</v>
      </c>
      <c r="G1136" s="130" t="s">
        <v>27</v>
      </c>
      <c r="H1136" s="130" t="s">
        <v>28</v>
      </c>
      <c r="I1136" s="130" t="s">
        <v>28</v>
      </c>
      <c r="J1136" s="130" t="s">
        <v>27</v>
      </c>
      <c r="K1136" s="130" t="s">
        <v>113</v>
      </c>
      <c r="L1136" s="130" t="s">
        <v>1500</v>
      </c>
      <c r="M1136" s="130" t="s">
        <v>28</v>
      </c>
      <c r="N1136" s="130" t="s">
        <v>51</v>
      </c>
      <c r="O1136" s="120" t="s">
        <v>1501</v>
      </c>
      <c r="P1136" s="130"/>
      <c r="Q1136" s="130"/>
      <c r="R1136" s="130"/>
      <c r="S1136" s="130"/>
      <c r="T1136" s="130"/>
      <c r="U1136" s="130"/>
      <c r="V1136" s="130"/>
      <c r="W1136" s="130"/>
      <c r="X1136" s="130"/>
      <c r="Y1136" s="130"/>
    </row>
    <row r="1137" spans="1:19">
      <c r="A1137" s="77">
        <v>244</v>
      </c>
      <c r="B1137" t="s">
        <v>124</v>
      </c>
      <c r="C1137" t="s">
        <v>66</v>
      </c>
      <c r="D1137" s="81" t="s">
        <v>4445</v>
      </c>
      <c r="E1137" s="97" t="s">
        <v>136</v>
      </c>
      <c r="F1137" s="97" t="s">
        <v>137</v>
      </c>
      <c r="G1137" t="s">
        <v>28</v>
      </c>
      <c r="H1137" t="s">
        <v>28</v>
      </c>
      <c r="I1137" t="s">
        <v>28</v>
      </c>
      <c r="J1137" t="s">
        <v>28</v>
      </c>
      <c r="K1137" t="s">
        <v>124</v>
      </c>
      <c r="O1137" t="s">
        <v>1502</v>
      </c>
      <c r="P1137" t="s">
        <v>86</v>
      </c>
      <c r="Q1137" t="s">
        <v>1499</v>
      </c>
      <c r="R1137" s="140" t="s">
        <v>4448</v>
      </c>
    </row>
    <row r="1138" spans="1:19" s="130" customFormat="1">
      <c r="A1138" s="77">
        <v>244</v>
      </c>
      <c r="B1138" t="s">
        <v>124</v>
      </c>
      <c r="C1138" t="s">
        <v>66</v>
      </c>
      <c r="D1138" s="81" t="s">
        <v>4445</v>
      </c>
      <c r="E1138" s="97" t="s">
        <v>136</v>
      </c>
      <c r="F1138" s="97" t="s">
        <v>137</v>
      </c>
      <c r="G1138" t="s">
        <v>28</v>
      </c>
      <c r="H1138" t="s">
        <v>28</v>
      </c>
      <c r="I1138" t="s">
        <v>28</v>
      </c>
      <c r="J1138" t="s">
        <v>28</v>
      </c>
      <c r="K1138" t="s">
        <v>124</v>
      </c>
      <c r="O1138" t="s">
        <v>1503</v>
      </c>
      <c r="P1138" t="s">
        <v>86</v>
      </c>
      <c r="Q1138" t="s">
        <v>1499</v>
      </c>
      <c r="R1138" s="140" t="s">
        <v>4448</v>
      </c>
    </row>
    <row r="1139" spans="1:19" s="130" customFormat="1">
      <c r="A1139" s="38">
        <v>247</v>
      </c>
      <c r="B1139" t="s">
        <v>124</v>
      </c>
      <c r="C1139" t="s">
        <v>66</v>
      </c>
      <c r="D1139" s="81" t="s">
        <v>4445</v>
      </c>
      <c r="E1139" s="97" t="s">
        <v>488</v>
      </c>
      <c r="F1139" s="97" t="s">
        <v>489</v>
      </c>
      <c r="G1139" t="s">
        <v>27</v>
      </c>
      <c r="H1139" t="s">
        <v>27</v>
      </c>
      <c r="I1139" t="s">
        <v>27</v>
      </c>
      <c r="J1139" t="s">
        <v>28</v>
      </c>
      <c r="K1139" t="s">
        <v>124</v>
      </c>
      <c r="O1139" t="s">
        <v>1504</v>
      </c>
      <c r="P1139" s="134" t="s">
        <v>475</v>
      </c>
      <c r="Q1139" s="134"/>
      <c r="R1139" s="140" t="s">
        <v>4448</v>
      </c>
      <c r="S1139" s="134"/>
    </row>
    <row r="1140" spans="1:19">
      <c r="A1140" s="38">
        <v>247</v>
      </c>
      <c r="B1140" t="s">
        <v>124</v>
      </c>
      <c r="C1140" t="s">
        <v>66</v>
      </c>
      <c r="D1140" s="81" t="s">
        <v>4445</v>
      </c>
      <c r="E1140" s="97" t="s">
        <v>488</v>
      </c>
      <c r="F1140" s="97" t="s">
        <v>489</v>
      </c>
      <c r="G1140" t="s">
        <v>27</v>
      </c>
      <c r="H1140" t="s">
        <v>27</v>
      </c>
      <c r="I1140" t="s">
        <v>27</v>
      </c>
      <c r="J1140" t="s">
        <v>28</v>
      </c>
      <c r="K1140" t="s">
        <v>124</v>
      </c>
      <c r="O1140" t="s">
        <v>1505</v>
      </c>
      <c r="P1140" s="134" t="s">
        <v>475</v>
      </c>
      <c r="Q1140" s="134"/>
      <c r="R1140" s="140" t="s">
        <v>4448</v>
      </c>
      <c r="S1140" s="134"/>
    </row>
    <row r="1141" spans="1:19">
      <c r="A1141" s="38">
        <v>247</v>
      </c>
      <c r="B1141" t="s">
        <v>124</v>
      </c>
      <c r="C1141" t="s">
        <v>66</v>
      </c>
      <c r="D1141" s="81" t="s">
        <v>4445</v>
      </c>
      <c r="E1141" s="97" t="s">
        <v>488</v>
      </c>
      <c r="F1141" s="97" t="s">
        <v>489</v>
      </c>
      <c r="G1141" t="s">
        <v>27</v>
      </c>
      <c r="H1141" t="s">
        <v>27</v>
      </c>
      <c r="I1141" t="s">
        <v>27</v>
      </c>
      <c r="J1141" t="s">
        <v>28</v>
      </c>
      <c r="K1141" t="s">
        <v>124</v>
      </c>
      <c r="O1141" t="s">
        <v>1506</v>
      </c>
      <c r="P1141" s="134" t="s">
        <v>475</v>
      </c>
      <c r="Q1141" s="134"/>
      <c r="R1141" s="140" t="s">
        <v>4448</v>
      </c>
      <c r="S1141" s="134"/>
    </row>
    <row r="1142" spans="1:19">
      <c r="A1142" s="38">
        <v>248</v>
      </c>
      <c r="B1142" t="s">
        <v>124</v>
      </c>
      <c r="C1142" t="s">
        <v>66</v>
      </c>
      <c r="D1142" s="81" t="s">
        <v>4445</v>
      </c>
      <c r="E1142" s="97" t="s">
        <v>488</v>
      </c>
      <c r="F1142" s="97" t="s">
        <v>508</v>
      </c>
      <c r="G1142" t="s">
        <v>27</v>
      </c>
      <c r="H1142" t="s">
        <v>27</v>
      </c>
      <c r="I1142" t="s">
        <v>27</v>
      </c>
      <c r="J1142" t="s">
        <v>28</v>
      </c>
      <c r="K1142" t="s">
        <v>124</v>
      </c>
      <c r="O1142" t="s">
        <v>1507</v>
      </c>
      <c r="P1142" s="134" t="s">
        <v>475</v>
      </c>
      <c r="Q1142" s="134"/>
      <c r="R1142" s="140" t="s">
        <v>4448</v>
      </c>
      <c r="S1142" s="134"/>
    </row>
    <row r="1143" spans="1:19">
      <c r="A1143" s="38">
        <v>248</v>
      </c>
      <c r="B1143" t="s">
        <v>124</v>
      </c>
      <c r="C1143" t="s">
        <v>66</v>
      </c>
      <c r="D1143" s="81" t="s">
        <v>4445</v>
      </c>
      <c r="E1143" s="97" t="s">
        <v>488</v>
      </c>
      <c r="F1143" s="97" t="s">
        <v>508</v>
      </c>
      <c r="G1143" t="s">
        <v>27</v>
      </c>
      <c r="H1143" t="s">
        <v>27</v>
      </c>
      <c r="I1143" t="s">
        <v>27</v>
      </c>
      <c r="J1143" t="s">
        <v>28</v>
      </c>
      <c r="K1143" t="s">
        <v>124</v>
      </c>
      <c r="O1143" t="s">
        <v>1508</v>
      </c>
      <c r="P1143" s="134" t="s">
        <v>475</v>
      </c>
      <c r="Q1143" s="134"/>
      <c r="R1143" s="140" t="s">
        <v>4448</v>
      </c>
      <c r="S1143" s="134"/>
    </row>
    <row r="1144" spans="1:19">
      <c r="A1144" s="38">
        <v>248</v>
      </c>
      <c r="B1144" t="s">
        <v>124</v>
      </c>
      <c r="C1144" t="s">
        <v>66</v>
      </c>
      <c r="D1144" s="81" t="s">
        <v>4445</v>
      </c>
      <c r="E1144" s="97" t="s">
        <v>488</v>
      </c>
      <c r="F1144" s="97" t="s">
        <v>508</v>
      </c>
      <c r="G1144" t="s">
        <v>27</v>
      </c>
      <c r="H1144" t="s">
        <v>27</v>
      </c>
      <c r="I1144" t="s">
        <v>27</v>
      </c>
      <c r="J1144" t="s">
        <v>28</v>
      </c>
      <c r="K1144" t="s">
        <v>124</v>
      </c>
      <c r="O1144" t="s">
        <v>1509</v>
      </c>
      <c r="P1144" s="134" t="s">
        <v>475</v>
      </c>
      <c r="Q1144" s="134"/>
      <c r="R1144" s="140" t="s">
        <v>4448</v>
      </c>
      <c r="S1144" s="134"/>
    </row>
    <row r="1145" spans="1:19">
      <c r="A1145" s="77">
        <v>249</v>
      </c>
      <c r="B1145" t="s">
        <v>124</v>
      </c>
      <c r="C1145" t="s">
        <v>66</v>
      </c>
      <c r="D1145" s="81" t="s">
        <v>4445</v>
      </c>
      <c r="E1145" s="97" t="s">
        <v>488</v>
      </c>
      <c r="F1145" s="97" t="s">
        <v>489</v>
      </c>
      <c r="G1145" t="s">
        <v>27</v>
      </c>
      <c r="H1145" t="s">
        <v>28</v>
      </c>
      <c r="I1145" t="s">
        <v>27</v>
      </c>
      <c r="J1145" t="s">
        <v>28</v>
      </c>
      <c r="K1145" t="s">
        <v>124</v>
      </c>
      <c r="O1145" t="s">
        <v>1510</v>
      </c>
      <c r="P1145" s="132" t="s">
        <v>475</v>
      </c>
      <c r="Q1145" s="132" t="s">
        <v>1511</v>
      </c>
      <c r="R1145" s="140" t="s">
        <v>4448</v>
      </c>
      <c r="S1145" s="132"/>
    </row>
    <row r="1146" spans="1:19">
      <c r="A1146" s="77">
        <v>249</v>
      </c>
      <c r="B1146" t="s">
        <v>124</v>
      </c>
      <c r="C1146" t="s">
        <v>66</v>
      </c>
      <c r="D1146" s="81" t="s">
        <v>4445</v>
      </c>
      <c r="E1146" s="97" t="s">
        <v>488</v>
      </c>
      <c r="F1146" s="97" t="s">
        <v>489</v>
      </c>
      <c r="G1146" t="s">
        <v>27</v>
      </c>
      <c r="H1146" t="s">
        <v>28</v>
      </c>
      <c r="I1146" t="s">
        <v>27</v>
      </c>
      <c r="J1146" t="s">
        <v>28</v>
      </c>
      <c r="K1146" t="s">
        <v>124</v>
      </c>
      <c r="O1146" t="s">
        <v>1512</v>
      </c>
      <c r="P1146" s="132" t="s">
        <v>475</v>
      </c>
      <c r="Q1146" s="132" t="s">
        <v>1511</v>
      </c>
      <c r="R1146" s="140" t="s">
        <v>4448</v>
      </c>
      <c r="S1146" s="132"/>
    </row>
    <row r="1147" spans="1:19">
      <c r="A1147" s="77">
        <v>249</v>
      </c>
      <c r="B1147" t="s">
        <v>124</v>
      </c>
      <c r="C1147" t="s">
        <v>66</v>
      </c>
      <c r="D1147" s="81" t="s">
        <v>4445</v>
      </c>
      <c r="E1147" s="97" t="s">
        <v>488</v>
      </c>
      <c r="F1147" s="97" t="s">
        <v>489</v>
      </c>
      <c r="G1147" t="s">
        <v>27</v>
      </c>
      <c r="H1147" t="s">
        <v>28</v>
      </c>
      <c r="I1147" t="s">
        <v>27</v>
      </c>
      <c r="J1147" t="s">
        <v>28</v>
      </c>
      <c r="K1147" t="s">
        <v>124</v>
      </c>
      <c r="O1147" t="s">
        <v>1513</v>
      </c>
      <c r="P1147" s="132" t="s">
        <v>475</v>
      </c>
      <c r="Q1147" s="132" t="s">
        <v>1511</v>
      </c>
      <c r="R1147" s="140" t="s">
        <v>4448</v>
      </c>
      <c r="S1147" s="132"/>
    </row>
    <row r="1148" spans="1:19">
      <c r="A1148" s="77">
        <v>251</v>
      </c>
      <c r="B1148" t="s">
        <v>124</v>
      </c>
      <c r="C1148" t="s">
        <v>66</v>
      </c>
      <c r="D1148" s="81" t="s">
        <v>4445</v>
      </c>
      <c r="E1148" s="97" t="s">
        <v>488</v>
      </c>
      <c r="F1148" s="97" t="s">
        <v>508</v>
      </c>
      <c r="G1148" t="s">
        <v>27</v>
      </c>
      <c r="H1148" t="s">
        <v>27</v>
      </c>
      <c r="I1148" t="s">
        <v>27</v>
      </c>
      <c r="J1148" t="s">
        <v>28</v>
      </c>
      <c r="K1148" t="s">
        <v>124</v>
      </c>
      <c r="O1148" t="s">
        <v>1514</v>
      </c>
      <c r="P1148" s="134" t="s">
        <v>475</v>
      </c>
      <c r="Q1148" s="134"/>
      <c r="R1148" s="140" t="s">
        <v>4448</v>
      </c>
      <c r="S1148" s="134"/>
    </row>
    <row r="1149" spans="1:19" s="130" customFormat="1">
      <c r="A1149" s="77">
        <v>251</v>
      </c>
      <c r="B1149" t="s">
        <v>124</v>
      </c>
      <c r="C1149" t="s">
        <v>66</v>
      </c>
      <c r="D1149" s="81" t="s">
        <v>4445</v>
      </c>
      <c r="E1149" s="97" t="s">
        <v>488</v>
      </c>
      <c r="F1149" s="97" t="s">
        <v>508</v>
      </c>
      <c r="G1149" t="s">
        <v>27</v>
      </c>
      <c r="H1149" t="s">
        <v>27</v>
      </c>
      <c r="I1149" t="s">
        <v>27</v>
      </c>
      <c r="J1149" t="s">
        <v>28</v>
      </c>
      <c r="K1149" t="s">
        <v>124</v>
      </c>
      <c r="O1149" t="s">
        <v>1515</v>
      </c>
      <c r="P1149" s="134" t="s">
        <v>475</v>
      </c>
      <c r="Q1149" s="134"/>
      <c r="R1149" s="140" t="s">
        <v>4448</v>
      </c>
      <c r="S1149" s="134"/>
    </row>
    <row r="1150" spans="1:19" s="130" customFormat="1">
      <c r="A1150" s="77">
        <v>251</v>
      </c>
      <c r="B1150" t="s">
        <v>124</v>
      </c>
      <c r="C1150" t="s">
        <v>66</v>
      </c>
      <c r="D1150" s="81" t="s">
        <v>4445</v>
      </c>
      <c r="E1150" s="97" t="s">
        <v>488</v>
      </c>
      <c r="F1150" s="97" t="s">
        <v>508</v>
      </c>
      <c r="G1150" t="s">
        <v>27</v>
      </c>
      <c r="H1150" t="s">
        <v>27</v>
      </c>
      <c r="I1150" t="s">
        <v>27</v>
      </c>
      <c r="J1150" t="s">
        <v>28</v>
      </c>
      <c r="K1150" t="s">
        <v>124</v>
      </c>
      <c r="O1150" t="s">
        <v>1516</v>
      </c>
      <c r="P1150" s="134" t="s">
        <v>475</v>
      </c>
      <c r="Q1150" s="134"/>
      <c r="R1150" s="140" t="s">
        <v>4448</v>
      </c>
      <c r="S1150" s="134"/>
    </row>
    <row r="1151" spans="1:19" s="130" customFormat="1">
      <c r="A1151" s="77">
        <v>252</v>
      </c>
      <c r="B1151" t="s">
        <v>124</v>
      </c>
      <c r="C1151" t="s">
        <v>66</v>
      </c>
      <c r="D1151" s="81" t="s">
        <v>4445</v>
      </c>
      <c r="E1151" s="97" t="s">
        <v>488</v>
      </c>
      <c r="F1151" s="97" t="s">
        <v>508</v>
      </c>
      <c r="G1151" t="s">
        <v>27</v>
      </c>
      <c r="H1151" t="s">
        <v>28</v>
      </c>
      <c r="I1151" t="s">
        <v>27</v>
      </c>
      <c r="J1151" t="s">
        <v>28</v>
      </c>
      <c r="K1151" t="s">
        <v>124</v>
      </c>
      <c r="O1151" t="s">
        <v>1517</v>
      </c>
      <c r="P1151" s="132" t="s">
        <v>475</v>
      </c>
      <c r="Q1151" s="132" t="s">
        <v>1518</v>
      </c>
      <c r="R1151" s="140" t="s">
        <v>4448</v>
      </c>
      <c r="S1151" s="132"/>
    </row>
    <row r="1152" spans="1:19" s="130" customFormat="1">
      <c r="A1152" s="77">
        <v>252</v>
      </c>
      <c r="B1152" t="s">
        <v>124</v>
      </c>
      <c r="C1152" t="s">
        <v>66</v>
      </c>
      <c r="D1152" s="81" t="s">
        <v>4445</v>
      </c>
      <c r="E1152" s="97" t="s">
        <v>488</v>
      </c>
      <c r="F1152" s="97" t="s">
        <v>508</v>
      </c>
      <c r="G1152" t="s">
        <v>27</v>
      </c>
      <c r="H1152" t="s">
        <v>28</v>
      </c>
      <c r="I1152" t="s">
        <v>27</v>
      </c>
      <c r="J1152" t="s">
        <v>28</v>
      </c>
      <c r="K1152" t="s">
        <v>124</v>
      </c>
      <c r="O1152" t="s">
        <v>1519</v>
      </c>
      <c r="P1152" s="132" t="s">
        <v>475</v>
      </c>
      <c r="Q1152" s="132" t="s">
        <v>1518</v>
      </c>
      <c r="R1152" s="140" t="s">
        <v>4448</v>
      </c>
      <c r="S1152" s="132"/>
    </row>
    <row r="1153" spans="1:25" s="130" customFormat="1">
      <c r="A1153" s="77">
        <v>252</v>
      </c>
      <c r="B1153" t="s">
        <v>124</v>
      </c>
      <c r="C1153" t="s">
        <v>66</v>
      </c>
      <c r="D1153" s="81" t="s">
        <v>4445</v>
      </c>
      <c r="E1153" s="97" t="s">
        <v>488</v>
      </c>
      <c r="F1153" s="97" t="s">
        <v>508</v>
      </c>
      <c r="G1153" t="s">
        <v>27</v>
      </c>
      <c r="H1153" t="s">
        <v>28</v>
      </c>
      <c r="I1153" t="s">
        <v>27</v>
      </c>
      <c r="J1153" t="s">
        <v>28</v>
      </c>
      <c r="K1153" t="s">
        <v>124</v>
      </c>
      <c r="O1153" t="s">
        <v>1520</v>
      </c>
      <c r="P1153" s="132" t="s">
        <v>475</v>
      </c>
      <c r="Q1153" s="132" t="s">
        <v>1518</v>
      </c>
      <c r="R1153" s="140" t="s">
        <v>4448</v>
      </c>
      <c r="S1153" s="132"/>
    </row>
    <row r="1154" spans="1:25" s="130" customFormat="1">
      <c r="A1154" s="77">
        <v>253</v>
      </c>
      <c r="B1154" t="s">
        <v>124</v>
      </c>
      <c r="C1154" t="s">
        <v>66</v>
      </c>
      <c r="D1154" s="81" t="s">
        <v>4445</v>
      </c>
      <c r="E1154" s="97" t="s">
        <v>488</v>
      </c>
      <c r="F1154" s="97" t="s">
        <v>489</v>
      </c>
      <c r="G1154" t="s">
        <v>27</v>
      </c>
      <c r="H1154" t="s">
        <v>28</v>
      </c>
      <c r="I1154" t="s">
        <v>27</v>
      </c>
      <c r="J1154" t="s">
        <v>28</v>
      </c>
      <c r="K1154" t="s">
        <v>124</v>
      </c>
      <c r="O1154" t="s">
        <v>1521</v>
      </c>
      <c r="P1154" s="132" t="s">
        <v>475</v>
      </c>
      <c r="Q1154" s="132" t="s">
        <v>1522</v>
      </c>
      <c r="R1154" s="140" t="s">
        <v>4448</v>
      </c>
      <c r="S1154" s="132"/>
    </row>
    <row r="1155" spans="1:25">
      <c r="A1155" s="77">
        <v>253</v>
      </c>
      <c r="B1155" t="s">
        <v>124</v>
      </c>
      <c r="C1155" t="s">
        <v>66</v>
      </c>
      <c r="D1155" s="81" t="s">
        <v>4445</v>
      </c>
      <c r="E1155" s="97" t="s">
        <v>488</v>
      </c>
      <c r="F1155" s="97" t="s">
        <v>489</v>
      </c>
      <c r="G1155" t="s">
        <v>27</v>
      </c>
      <c r="H1155" t="s">
        <v>28</v>
      </c>
      <c r="I1155" t="s">
        <v>27</v>
      </c>
      <c r="J1155" t="s">
        <v>28</v>
      </c>
      <c r="K1155" t="s">
        <v>124</v>
      </c>
      <c r="O1155" t="s">
        <v>1523</v>
      </c>
      <c r="P1155" s="132" t="s">
        <v>475</v>
      </c>
      <c r="Q1155" s="132" t="s">
        <v>1522</v>
      </c>
      <c r="R1155" s="140" t="s">
        <v>4448</v>
      </c>
      <c r="S1155" s="132"/>
    </row>
    <row r="1156" spans="1:25">
      <c r="A1156" s="77">
        <v>253</v>
      </c>
      <c r="B1156" t="s">
        <v>124</v>
      </c>
      <c r="C1156" t="s">
        <v>66</v>
      </c>
      <c r="D1156" s="81" t="s">
        <v>4445</v>
      </c>
      <c r="E1156" s="97" t="s">
        <v>488</v>
      </c>
      <c r="F1156" s="97" t="s">
        <v>489</v>
      </c>
      <c r="G1156" t="s">
        <v>27</v>
      </c>
      <c r="H1156" t="s">
        <v>28</v>
      </c>
      <c r="I1156" t="s">
        <v>27</v>
      </c>
      <c r="J1156" t="s">
        <v>28</v>
      </c>
      <c r="K1156" t="s">
        <v>124</v>
      </c>
      <c r="O1156" t="s">
        <v>1524</v>
      </c>
      <c r="P1156" s="73" t="s">
        <v>475</v>
      </c>
      <c r="Q1156" s="73" t="s">
        <v>1522</v>
      </c>
      <c r="R1156" s="140" t="s">
        <v>4448</v>
      </c>
      <c r="S1156" s="73"/>
    </row>
    <row r="1157" spans="1:25">
      <c r="A1157" s="38">
        <v>257</v>
      </c>
      <c r="B1157" t="s">
        <v>124</v>
      </c>
      <c r="C1157" t="s">
        <v>66</v>
      </c>
      <c r="D1157" s="81" t="s">
        <v>4445</v>
      </c>
      <c r="E1157" s="97" t="s">
        <v>125</v>
      </c>
      <c r="F1157" s="97" t="s">
        <v>536</v>
      </c>
      <c r="G1157" t="s">
        <v>27</v>
      </c>
      <c r="H1157" t="s">
        <v>27</v>
      </c>
      <c r="I1157" t="s">
        <v>27</v>
      </c>
      <c r="J1157" t="s">
        <v>28</v>
      </c>
      <c r="K1157" t="s">
        <v>124</v>
      </c>
      <c r="O1157" t="s">
        <v>1525</v>
      </c>
      <c r="P1157" s="134" t="s">
        <v>475</v>
      </c>
      <c r="Q1157" s="134"/>
      <c r="R1157" s="140" t="s">
        <v>4448</v>
      </c>
      <c r="S1157" s="134"/>
    </row>
    <row r="1158" spans="1:25">
      <c r="A1158" s="38">
        <v>257</v>
      </c>
      <c r="B1158" t="s">
        <v>124</v>
      </c>
      <c r="C1158" t="s">
        <v>66</v>
      </c>
      <c r="D1158" s="81" t="s">
        <v>4445</v>
      </c>
      <c r="E1158" s="97" t="s">
        <v>125</v>
      </c>
      <c r="F1158" s="97" t="s">
        <v>536</v>
      </c>
      <c r="G1158" t="s">
        <v>27</v>
      </c>
      <c r="H1158" t="s">
        <v>27</v>
      </c>
      <c r="I1158" t="s">
        <v>27</v>
      </c>
      <c r="J1158" t="s">
        <v>28</v>
      </c>
      <c r="K1158" t="s">
        <v>124</v>
      </c>
      <c r="O1158" t="s">
        <v>1526</v>
      </c>
      <c r="P1158" s="134" t="s">
        <v>475</v>
      </c>
      <c r="Q1158" s="134"/>
      <c r="R1158" s="140" t="s">
        <v>4448</v>
      </c>
      <c r="S1158" s="134"/>
    </row>
    <row r="1159" spans="1:25">
      <c r="A1159" s="38">
        <v>257</v>
      </c>
      <c r="B1159" t="s">
        <v>124</v>
      </c>
      <c r="C1159" t="s">
        <v>66</v>
      </c>
      <c r="D1159" s="81" t="s">
        <v>4445</v>
      </c>
      <c r="E1159" s="97" t="s">
        <v>125</v>
      </c>
      <c r="F1159" s="97" t="s">
        <v>536</v>
      </c>
      <c r="G1159" t="s">
        <v>27</v>
      </c>
      <c r="H1159" t="s">
        <v>27</v>
      </c>
      <c r="I1159" t="s">
        <v>27</v>
      </c>
      <c r="J1159" t="s">
        <v>28</v>
      </c>
      <c r="K1159" t="s">
        <v>124</v>
      </c>
      <c r="O1159" t="s">
        <v>1527</v>
      </c>
      <c r="P1159" s="134" t="s">
        <v>475</v>
      </c>
      <c r="Q1159" s="134"/>
      <c r="R1159" s="140" t="s">
        <v>4448</v>
      </c>
      <c r="S1159" s="134"/>
    </row>
    <row r="1160" spans="1:25">
      <c r="A1160" s="38">
        <v>258</v>
      </c>
      <c r="B1160" t="s">
        <v>124</v>
      </c>
      <c r="C1160" t="s">
        <v>66</v>
      </c>
      <c r="D1160" s="81" t="s">
        <v>4445</v>
      </c>
      <c r="E1160" s="97" t="s">
        <v>136</v>
      </c>
      <c r="F1160" s="97" t="s">
        <v>137</v>
      </c>
      <c r="G1160" t="s">
        <v>27</v>
      </c>
      <c r="H1160" t="s">
        <v>27</v>
      </c>
      <c r="I1160" t="s">
        <v>27</v>
      </c>
      <c r="J1160" t="s">
        <v>28</v>
      </c>
      <c r="K1160" t="s">
        <v>124</v>
      </c>
      <c r="O1160" t="s">
        <v>1528</v>
      </c>
      <c r="P1160" s="134" t="s">
        <v>475</v>
      </c>
      <c r="Q1160" s="134"/>
      <c r="R1160" s="140" t="s">
        <v>4448</v>
      </c>
      <c r="S1160" s="134"/>
    </row>
    <row r="1161" spans="1:25">
      <c r="A1161" s="38">
        <v>258</v>
      </c>
      <c r="B1161" t="s">
        <v>124</v>
      </c>
      <c r="C1161" t="s">
        <v>66</v>
      </c>
      <c r="D1161" s="81" t="s">
        <v>4445</v>
      </c>
      <c r="E1161" s="97" t="s">
        <v>136</v>
      </c>
      <c r="F1161" s="97" t="s">
        <v>137</v>
      </c>
      <c r="G1161" t="s">
        <v>27</v>
      </c>
      <c r="H1161" t="s">
        <v>27</v>
      </c>
      <c r="I1161" t="s">
        <v>27</v>
      </c>
      <c r="J1161" t="s">
        <v>28</v>
      </c>
      <c r="K1161" t="s">
        <v>124</v>
      </c>
      <c r="O1161" t="s">
        <v>1529</v>
      </c>
      <c r="P1161" s="134" t="s">
        <v>475</v>
      </c>
      <c r="Q1161" s="134"/>
      <c r="R1161" s="140" t="s">
        <v>4448</v>
      </c>
      <c r="S1161" s="134"/>
    </row>
    <row r="1162" spans="1:25">
      <c r="A1162" s="38">
        <v>258</v>
      </c>
      <c r="B1162" t="s">
        <v>124</v>
      </c>
      <c r="C1162" t="s">
        <v>66</v>
      </c>
      <c r="D1162" s="81" t="s">
        <v>4445</v>
      </c>
      <c r="E1162" s="97" t="s">
        <v>136</v>
      </c>
      <c r="F1162" s="97" t="s">
        <v>137</v>
      </c>
      <c r="G1162" t="s">
        <v>27</v>
      </c>
      <c r="H1162" t="s">
        <v>27</v>
      </c>
      <c r="I1162" t="s">
        <v>27</v>
      </c>
      <c r="J1162" t="s">
        <v>28</v>
      </c>
      <c r="K1162" t="s">
        <v>124</v>
      </c>
      <c r="O1162" t="s">
        <v>1530</v>
      </c>
      <c r="P1162" s="134" t="s">
        <v>475</v>
      </c>
      <c r="Q1162" s="134"/>
      <c r="R1162" s="140" t="s">
        <v>4448</v>
      </c>
      <c r="S1162" s="134"/>
    </row>
    <row r="1163" spans="1:25" hidden="1">
      <c r="A1163" s="78">
        <v>261</v>
      </c>
      <c r="B1163" s="130" t="s">
        <v>124</v>
      </c>
      <c r="C1163" s="130" t="s">
        <v>253</v>
      </c>
      <c r="D1163" s="81" t="s">
        <v>4445</v>
      </c>
      <c r="E1163" s="97">
        <v>3</v>
      </c>
      <c r="F1163" s="97" t="s">
        <v>180</v>
      </c>
      <c r="G1163" s="130" t="s">
        <v>27</v>
      </c>
      <c r="H1163" s="130" t="s">
        <v>28</v>
      </c>
      <c r="I1163" s="130" t="s">
        <v>28</v>
      </c>
      <c r="J1163" s="130" t="s">
        <v>27</v>
      </c>
      <c r="K1163" s="130" t="s">
        <v>24</v>
      </c>
      <c r="L1163" s="130" t="s">
        <v>24</v>
      </c>
      <c r="M1163" s="130" t="s">
        <v>27</v>
      </c>
      <c r="N1163" s="123" t="s">
        <v>31</v>
      </c>
      <c r="O1163" s="136" t="s">
        <v>1531</v>
      </c>
      <c r="P1163" s="136" t="s">
        <v>475</v>
      </c>
      <c r="Q1163" s="136"/>
      <c r="R1163" s="136"/>
      <c r="S1163" s="136"/>
      <c r="T1163" s="130"/>
      <c r="U1163" s="130"/>
      <c r="V1163" s="130"/>
      <c r="W1163" s="130"/>
      <c r="X1163" s="130"/>
      <c r="Y1163" s="130"/>
    </row>
    <row r="1164" spans="1:25" hidden="1">
      <c r="A1164" s="78">
        <v>261</v>
      </c>
      <c r="B1164" s="130" t="s">
        <v>124</v>
      </c>
      <c r="C1164" s="130" t="s">
        <v>253</v>
      </c>
      <c r="D1164" s="81" t="s">
        <v>4445</v>
      </c>
      <c r="E1164" s="97">
        <v>3</v>
      </c>
      <c r="F1164" s="97" t="s">
        <v>180</v>
      </c>
      <c r="G1164" s="130" t="s">
        <v>27</v>
      </c>
      <c r="H1164" s="130" t="s">
        <v>28</v>
      </c>
      <c r="I1164" s="130" t="s">
        <v>28</v>
      </c>
      <c r="J1164" s="130" t="s">
        <v>27</v>
      </c>
      <c r="K1164" s="130" t="s">
        <v>24</v>
      </c>
      <c r="L1164" s="130" t="s">
        <v>24</v>
      </c>
      <c r="M1164" s="130" t="s">
        <v>27</v>
      </c>
      <c r="N1164" s="123" t="s">
        <v>31</v>
      </c>
      <c r="O1164" s="136" t="s">
        <v>1532</v>
      </c>
      <c r="P1164" s="136" t="s">
        <v>475</v>
      </c>
      <c r="Q1164" s="136"/>
      <c r="R1164" s="136"/>
      <c r="S1164" s="136"/>
      <c r="T1164" s="130"/>
      <c r="U1164" s="130"/>
      <c r="V1164" s="130"/>
      <c r="W1164" s="130"/>
      <c r="X1164" s="130"/>
      <c r="Y1164" s="130"/>
    </row>
    <row r="1165" spans="1:25" hidden="1">
      <c r="A1165" s="78">
        <v>261</v>
      </c>
      <c r="B1165" s="130" t="s">
        <v>124</v>
      </c>
      <c r="C1165" s="130" t="s">
        <v>253</v>
      </c>
      <c r="D1165" s="81" t="s">
        <v>4445</v>
      </c>
      <c r="E1165" s="97">
        <v>3</v>
      </c>
      <c r="F1165" s="97" t="s">
        <v>180</v>
      </c>
      <c r="G1165" s="130" t="s">
        <v>27</v>
      </c>
      <c r="H1165" s="130" t="s">
        <v>28</v>
      </c>
      <c r="I1165" s="130" t="s">
        <v>28</v>
      </c>
      <c r="J1165" s="130" t="s">
        <v>27</v>
      </c>
      <c r="K1165" s="130" t="s">
        <v>24</v>
      </c>
      <c r="L1165" s="130" t="s">
        <v>24</v>
      </c>
      <c r="M1165" s="130" t="s">
        <v>27</v>
      </c>
      <c r="N1165" s="123" t="s">
        <v>31</v>
      </c>
      <c r="O1165" s="136" t="s">
        <v>1533</v>
      </c>
      <c r="P1165" s="136" t="s">
        <v>475</v>
      </c>
      <c r="Q1165" s="136"/>
      <c r="R1165" s="136"/>
      <c r="S1165" s="136"/>
      <c r="T1165" s="130"/>
      <c r="U1165" s="130"/>
      <c r="V1165" s="130"/>
      <c r="W1165" s="130"/>
      <c r="X1165" s="130"/>
      <c r="Y1165" s="130"/>
    </row>
    <row r="1166" spans="1:25">
      <c r="A1166" s="77">
        <v>261</v>
      </c>
      <c r="B1166" t="s">
        <v>124</v>
      </c>
      <c r="C1166" s="59" t="s">
        <v>253</v>
      </c>
      <c r="D1166" s="81" t="s">
        <v>4445</v>
      </c>
      <c r="E1166" s="97">
        <v>3</v>
      </c>
      <c r="F1166" s="97" t="s">
        <v>180</v>
      </c>
      <c r="G1166" t="s">
        <v>28</v>
      </c>
      <c r="H1166" t="s">
        <v>28</v>
      </c>
      <c r="I1166" t="s">
        <v>28</v>
      </c>
      <c r="J1166" t="s">
        <v>28</v>
      </c>
      <c r="K1166" t="s">
        <v>124</v>
      </c>
      <c r="O1166" t="s">
        <v>1534</v>
      </c>
      <c r="P1166" t="s">
        <v>86</v>
      </c>
      <c r="Q1166" t="s">
        <v>1358</v>
      </c>
      <c r="R1166" s="140" t="s">
        <v>4448</v>
      </c>
    </row>
    <row r="1167" spans="1:25">
      <c r="A1167" s="77">
        <v>261</v>
      </c>
      <c r="B1167" t="s">
        <v>124</v>
      </c>
      <c r="C1167" s="59" t="s">
        <v>253</v>
      </c>
      <c r="D1167" s="81" t="s">
        <v>4445</v>
      </c>
      <c r="E1167" s="97">
        <v>3</v>
      </c>
      <c r="F1167" s="97" t="s">
        <v>180</v>
      </c>
      <c r="G1167" t="s">
        <v>28</v>
      </c>
      <c r="H1167" t="s">
        <v>28</v>
      </c>
      <c r="I1167" t="s">
        <v>28</v>
      </c>
      <c r="J1167" t="s">
        <v>28</v>
      </c>
      <c r="K1167" t="s">
        <v>124</v>
      </c>
      <c r="O1167" t="s">
        <v>1535</v>
      </c>
      <c r="P1167" t="s">
        <v>86</v>
      </c>
      <c r="Q1167" t="s">
        <v>1358</v>
      </c>
      <c r="R1167" s="140" t="s">
        <v>4448</v>
      </c>
    </row>
    <row r="1168" spans="1:25">
      <c r="A1168" s="77">
        <v>261</v>
      </c>
      <c r="B1168" t="s">
        <v>124</v>
      </c>
      <c r="C1168" s="59" t="s">
        <v>253</v>
      </c>
      <c r="D1168" s="81" t="s">
        <v>4445</v>
      </c>
      <c r="E1168" s="97">
        <v>3</v>
      </c>
      <c r="F1168" s="97" t="s">
        <v>180</v>
      </c>
      <c r="G1168" t="s">
        <v>28</v>
      </c>
      <c r="H1168" t="s">
        <v>28</v>
      </c>
      <c r="I1168" t="s">
        <v>28</v>
      </c>
      <c r="J1168" t="s">
        <v>28</v>
      </c>
      <c r="K1168" t="s">
        <v>124</v>
      </c>
      <c r="O1168" t="s">
        <v>1536</v>
      </c>
      <c r="P1168" t="s">
        <v>86</v>
      </c>
      <c r="Q1168" t="s">
        <v>1358</v>
      </c>
      <c r="R1168" s="140" t="s">
        <v>4448</v>
      </c>
    </row>
    <row r="1169" spans="1:18">
      <c r="A1169" s="77">
        <v>261</v>
      </c>
      <c r="B1169" t="s">
        <v>124</v>
      </c>
      <c r="C1169" s="59" t="s">
        <v>253</v>
      </c>
      <c r="D1169" s="81" t="s">
        <v>4445</v>
      </c>
      <c r="E1169" s="97">
        <v>3</v>
      </c>
      <c r="F1169" s="97" t="s">
        <v>180</v>
      </c>
      <c r="G1169" t="s">
        <v>28</v>
      </c>
      <c r="H1169" t="s">
        <v>28</v>
      </c>
      <c r="I1169" t="s">
        <v>28</v>
      </c>
      <c r="J1169" t="s">
        <v>28</v>
      </c>
      <c r="K1169" t="s">
        <v>124</v>
      </c>
      <c r="O1169" t="s">
        <v>1537</v>
      </c>
      <c r="P1169" t="s">
        <v>86</v>
      </c>
      <c r="Q1169" t="s">
        <v>1358</v>
      </c>
      <c r="R1169" s="140" t="s">
        <v>4448</v>
      </c>
    </row>
    <row r="1170" spans="1:18">
      <c r="A1170" s="77">
        <v>261</v>
      </c>
      <c r="B1170" t="s">
        <v>124</v>
      </c>
      <c r="C1170" s="59" t="s">
        <v>253</v>
      </c>
      <c r="D1170" s="81" t="s">
        <v>4445</v>
      </c>
      <c r="E1170" s="97">
        <v>3</v>
      </c>
      <c r="F1170" s="97" t="s">
        <v>180</v>
      </c>
      <c r="G1170" t="s">
        <v>28</v>
      </c>
      <c r="H1170" t="s">
        <v>28</v>
      </c>
      <c r="I1170" t="s">
        <v>28</v>
      </c>
      <c r="J1170" t="s">
        <v>28</v>
      </c>
      <c r="K1170" t="s">
        <v>124</v>
      </c>
      <c r="O1170" t="s">
        <v>1538</v>
      </c>
      <c r="P1170" t="s">
        <v>86</v>
      </c>
      <c r="Q1170" t="s">
        <v>1358</v>
      </c>
      <c r="R1170" s="140" t="s">
        <v>4448</v>
      </c>
    </row>
    <row r="1171" spans="1:18">
      <c r="A1171" s="77">
        <v>262</v>
      </c>
      <c r="B1171" s="133" t="s">
        <v>1939</v>
      </c>
      <c r="D1171" s="81" t="s">
        <v>1589</v>
      </c>
      <c r="E1171" s="97">
        <v>0</v>
      </c>
      <c r="F1171" s="97">
        <v>0</v>
      </c>
      <c r="G1171" t="s">
        <v>27</v>
      </c>
      <c r="H1171" t="s">
        <v>28</v>
      </c>
      <c r="I1171" t="s">
        <v>28</v>
      </c>
      <c r="J1171" t="s">
        <v>28</v>
      </c>
      <c r="K1171" t="s">
        <v>828</v>
      </c>
      <c r="M1171" t="s">
        <v>28</v>
      </c>
      <c r="N1171" t="s">
        <v>829</v>
      </c>
      <c r="O1171" t="s">
        <v>1540</v>
      </c>
      <c r="P1171" t="s">
        <v>1541</v>
      </c>
      <c r="Q1171" t="s">
        <v>1542</v>
      </c>
      <c r="R1171" s="140" t="s">
        <v>4452</v>
      </c>
    </row>
    <row r="1172" spans="1:18">
      <c r="A1172" s="77">
        <v>262</v>
      </c>
      <c r="B1172" s="133" t="s">
        <v>1939</v>
      </c>
      <c r="D1172" s="81" t="s">
        <v>1589</v>
      </c>
      <c r="E1172" s="97">
        <v>0</v>
      </c>
      <c r="F1172" s="97">
        <v>0</v>
      </c>
      <c r="G1172" t="s">
        <v>27</v>
      </c>
      <c r="H1172" t="s">
        <v>28</v>
      </c>
      <c r="I1172" t="s">
        <v>28</v>
      </c>
      <c r="J1172" t="s">
        <v>28</v>
      </c>
      <c r="K1172" t="s">
        <v>828</v>
      </c>
      <c r="M1172" t="s">
        <v>28</v>
      </c>
      <c r="N1172" t="s">
        <v>829</v>
      </c>
      <c r="O1172" t="s">
        <v>1543</v>
      </c>
      <c r="P1172" t="s">
        <v>1541</v>
      </c>
      <c r="Q1172" t="s">
        <v>1544</v>
      </c>
      <c r="R1172" s="140" t="s">
        <v>4452</v>
      </c>
    </row>
    <row r="1173" spans="1:18">
      <c r="A1173" s="77">
        <v>262</v>
      </c>
      <c r="B1173" s="133" t="s">
        <v>1939</v>
      </c>
      <c r="D1173" s="81" t="s">
        <v>1589</v>
      </c>
      <c r="E1173" s="97">
        <v>0</v>
      </c>
      <c r="F1173" s="97">
        <v>0</v>
      </c>
      <c r="G1173" t="s">
        <v>27</v>
      </c>
      <c r="H1173" t="s">
        <v>28</v>
      </c>
      <c r="I1173" t="s">
        <v>28</v>
      </c>
      <c r="J1173" t="s">
        <v>28</v>
      </c>
      <c r="K1173" t="s">
        <v>828</v>
      </c>
      <c r="M1173" t="s">
        <v>28</v>
      </c>
      <c r="N1173" t="s">
        <v>829</v>
      </c>
      <c r="O1173" t="s">
        <v>1545</v>
      </c>
      <c r="P1173" t="s">
        <v>1541</v>
      </c>
      <c r="Q1173" t="s">
        <v>1546</v>
      </c>
      <c r="R1173" s="140" t="s">
        <v>4452</v>
      </c>
    </row>
    <row r="1174" spans="1:18">
      <c r="A1174" s="77">
        <v>262</v>
      </c>
      <c r="B1174" s="133" t="s">
        <v>1939</v>
      </c>
      <c r="D1174" s="81" t="s">
        <v>1589</v>
      </c>
      <c r="E1174" s="97">
        <v>0</v>
      </c>
      <c r="F1174" s="97">
        <v>0</v>
      </c>
      <c r="G1174" t="s">
        <v>27</v>
      </c>
      <c r="H1174" t="s">
        <v>28</v>
      </c>
      <c r="I1174" t="s">
        <v>28</v>
      </c>
      <c r="J1174" t="s">
        <v>28</v>
      </c>
      <c r="K1174" t="s">
        <v>828</v>
      </c>
      <c r="M1174" t="s">
        <v>28</v>
      </c>
      <c r="N1174" t="s">
        <v>829</v>
      </c>
      <c r="O1174" t="s">
        <v>1547</v>
      </c>
      <c r="P1174" t="s">
        <v>1541</v>
      </c>
      <c r="Q1174" t="s">
        <v>1548</v>
      </c>
      <c r="R1174" s="140" t="s">
        <v>4452</v>
      </c>
    </row>
    <row r="1175" spans="1:18" s="130" customFormat="1" hidden="1">
      <c r="A1175" s="78">
        <v>262</v>
      </c>
      <c r="B1175" s="130" t="s">
        <v>1539</v>
      </c>
      <c r="D1175" s="81">
        <v>0</v>
      </c>
      <c r="E1175" s="98">
        <v>0</v>
      </c>
      <c r="F1175" s="98">
        <v>0</v>
      </c>
      <c r="G1175" s="130" t="s">
        <v>27</v>
      </c>
      <c r="H1175" s="130" t="s">
        <v>28</v>
      </c>
      <c r="I1175" s="130" t="s">
        <v>28</v>
      </c>
      <c r="J1175" s="130" t="s">
        <v>27</v>
      </c>
      <c r="K1175" s="130" t="s">
        <v>828</v>
      </c>
      <c r="L1175" s="130" t="s">
        <v>1549</v>
      </c>
      <c r="M1175" s="130" t="s">
        <v>28</v>
      </c>
      <c r="N1175" s="130" t="s">
        <v>1092</v>
      </c>
      <c r="O1175" s="130" t="s">
        <v>1550</v>
      </c>
      <c r="P1175" s="130" t="s">
        <v>1541</v>
      </c>
    </row>
    <row r="1176" spans="1:18">
      <c r="A1176" s="77">
        <v>262</v>
      </c>
      <c r="B1176" s="133" t="s">
        <v>1939</v>
      </c>
      <c r="D1176" s="81" t="s">
        <v>1589</v>
      </c>
      <c r="E1176" s="97">
        <v>0</v>
      </c>
      <c r="F1176" s="97">
        <v>0</v>
      </c>
      <c r="G1176" t="s">
        <v>27</v>
      </c>
      <c r="H1176" t="s">
        <v>28</v>
      </c>
      <c r="I1176" t="s">
        <v>28</v>
      </c>
      <c r="J1176" t="s">
        <v>28</v>
      </c>
      <c r="K1176" t="s">
        <v>828</v>
      </c>
      <c r="M1176" t="s">
        <v>28</v>
      </c>
      <c r="N1176" t="s">
        <v>829</v>
      </c>
      <c r="O1176" t="s">
        <v>1551</v>
      </c>
      <c r="P1176" t="s">
        <v>1541</v>
      </c>
      <c r="Q1176" t="s">
        <v>1552</v>
      </c>
      <c r="R1176" s="140" t="s">
        <v>4452</v>
      </c>
    </row>
    <row r="1177" spans="1:18">
      <c r="A1177" s="77">
        <v>262</v>
      </c>
      <c r="B1177" s="133" t="s">
        <v>1939</v>
      </c>
      <c r="D1177" s="81" t="s">
        <v>1589</v>
      </c>
      <c r="E1177" s="97">
        <v>0</v>
      </c>
      <c r="F1177" s="97">
        <v>0</v>
      </c>
      <c r="G1177" t="s">
        <v>27</v>
      </c>
      <c r="H1177" t="s">
        <v>28</v>
      </c>
      <c r="I1177" t="s">
        <v>28</v>
      </c>
      <c r="J1177" t="s">
        <v>28</v>
      </c>
      <c r="K1177" t="s">
        <v>828</v>
      </c>
      <c r="M1177" t="s">
        <v>28</v>
      </c>
      <c r="N1177" t="s">
        <v>829</v>
      </c>
      <c r="O1177" t="s">
        <v>1553</v>
      </c>
      <c r="P1177" t="s">
        <v>1541</v>
      </c>
      <c r="Q1177" t="s">
        <v>1554</v>
      </c>
      <c r="R1177" s="140" t="s">
        <v>4452</v>
      </c>
    </row>
    <row r="1178" spans="1:18">
      <c r="A1178" s="77">
        <v>262</v>
      </c>
      <c r="B1178" s="133" t="s">
        <v>1939</v>
      </c>
      <c r="D1178" s="81" t="s">
        <v>1589</v>
      </c>
      <c r="E1178" s="97">
        <v>0</v>
      </c>
      <c r="F1178" s="97">
        <v>0</v>
      </c>
      <c r="G1178" t="s">
        <v>27</v>
      </c>
      <c r="H1178" t="s">
        <v>28</v>
      </c>
      <c r="I1178" t="s">
        <v>28</v>
      </c>
      <c r="J1178" t="s">
        <v>28</v>
      </c>
      <c r="K1178" t="s">
        <v>828</v>
      </c>
      <c r="M1178" t="s">
        <v>28</v>
      </c>
      <c r="N1178" t="s">
        <v>829</v>
      </c>
      <c r="O1178" t="s">
        <v>1555</v>
      </c>
      <c r="P1178" t="s">
        <v>1541</v>
      </c>
      <c r="Q1178" t="s">
        <v>1556</v>
      </c>
      <c r="R1178" s="140" t="s">
        <v>4452</v>
      </c>
    </row>
    <row r="1179" spans="1:18">
      <c r="A1179" s="77">
        <v>263</v>
      </c>
      <c r="B1179" t="s">
        <v>124</v>
      </c>
      <c r="C1179" t="s">
        <v>66</v>
      </c>
      <c r="D1179" s="81">
        <v>0</v>
      </c>
      <c r="E1179" s="97" t="s">
        <v>488</v>
      </c>
      <c r="F1179" s="97" t="s">
        <v>508</v>
      </c>
      <c r="G1179" t="s">
        <v>28</v>
      </c>
      <c r="H1179" t="s">
        <v>28</v>
      </c>
      <c r="I1179" t="s">
        <v>28</v>
      </c>
      <c r="J1179" t="s">
        <v>28</v>
      </c>
      <c r="K1179" t="s">
        <v>124</v>
      </c>
      <c r="O1179" t="s">
        <v>1557</v>
      </c>
      <c r="P1179" t="s">
        <v>86</v>
      </c>
      <c r="Q1179" t="s">
        <v>1558</v>
      </c>
      <c r="R1179" s="140" t="s">
        <v>4448</v>
      </c>
    </row>
    <row r="1180" spans="1:18">
      <c r="A1180" s="77">
        <v>263</v>
      </c>
      <c r="B1180" t="s">
        <v>124</v>
      </c>
      <c r="C1180" t="s">
        <v>66</v>
      </c>
      <c r="D1180" s="81">
        <v>0</v>
      </c>
      <c r="E1180" s="97" t="s">
        <v>488</v>
      </c>
      <c r="F1180" s="97" t="s">
        <v>508</v>
      </c>
      <c r="G1180" t="s">
        <v>28</v>
      </c>
      <c r="H1180" t="s">
        <v>28</v>
      </c>
      <c r="I1180" t="s">
        <v>28</v>
      </c>
      <c r="J1180" t="s">
        <v>28</v>
      </c>
      <c r="K1180" t="s">
        <v>124</v>
      </c>
      <c r="O1180" t="s">
        <v>1559</v>
      </c>
      <c r="P1180" t="s">
        <v>86</v>
      </c>
      <c r="Q1180" t="s">
        <v>1558</v>
      </c>
      <c r="R1180" s="140" t="s">
        <v>4448</v>
      </c>
    </row>
    <row r="1181" spans="1:18">
      <c r="A1181" s="77">
        <v>263</v>
      </c>
      <c r="B1181" t="s">
        <v>124</v>
      </c>
      <c r="C1181" t="s">
        <v>66</v>
      </c>
      <c r="D1181" s="81">
        <v>0</v>
      </c>
      <c r="E1181" s="97" t="s">
        <v>488</v>
      </c>
      <c r="F1181" s="97" t="s">
        <v>508</v>
      </c>
      <c r="G1181" t="s">
        <v>28</v>
      </c>
      <c r="H1181" t="s">
        <v>28</v>
      </c>
      <c r="I1181" t="s">
        <v>28</v>
      </c>
      <c r="J1181" t="s">
        <v>28</v>
      </c>
      <c r="K1181" t="s">
        <v>124</v>
      </c>
      <c r="O1181" t="s">
        <v>1560</v>
      </c>
      <c r="P1181" t="s">
        <v>86</v>
      </c>
      <c r="Q1181" t="s">
        <v>1558</v>
      </c>
      <c r="R1181" s="140" t="s">
        <v>4448</v>
      </c>
    </row>
    <row r="1182" spans="1:18">
      <c r="A1182" s="77">
        <v>263</v>
      </c>
      <c r="B1182" t="s">
        <v>124</v>
      </c>
      <c r="C1182" t="s">
        <v>66</v>
      </c>
      <c r="D1182" s="81">
        <v>0</v>
      </c>
      <c r="E1182" s="97" t="s">
        <v>488</v>
      </c>
      <c r="F1182" s="97" t="s">
        <v>508</v>
      </c>
      <c r="G1182" t="s">
        <v>28</v>
      </c>
      <c r="H1182" t="s">
        <v>28</v>
      </c>
      <c r="I1182" t="s">
        <v>28</v>
      </c>
      <c r="J1182" t="s">
        <v>28</v>
      </c>
      <c r="K1182" t="s">
        <v>124</v>
      </c>
      <c r="O1182" t="s">
        <v>1561</v>
      </c>
      <c r="P1182" t="s">
        <v>86</v>
      </c>
      <c r="Q1182" t="s">
        <v>1558</v>
      </c>
      <c r="R1182" s="140" t="s">
        <v>4448</v>
      </c>
    </row>
    <row r="1183" spans="1:18">
      <c r="A1183" s="77">
        <v>263</v>
      </c>
      <c r="B1183" t="s">
        <v>124</v>
      </c>
      <c r="C1183" t="s">
        <v>66</v>
      </c>
      <c r="D1183" s="81">
        <v>0</v>
      </c>
      <c r="E1183" s="97" t="s">
        <v>488</v>
      </c>
      <c r="F1183" s="97" t="s">
        <v>508</v>
      </c>
      <c r="G1183" t="s">
        <v>28</v>
      </c>
      <c r="H1183" t="s">
        <v>28</v>
      </c>
      <c r="I1183" t="s">
        <v>28</v>
      </c>
      <c r="J1183" t="s">
        <v>28</v>
      </c>
      <c r="K1183" t="s">
        <v>124</v>
      </c>
      <c r="O1183" t="s">
        <v>1562</v>
      </c>
      <c r="P1183" t="s">
        <v>86</v>
      </c>
      <c r="Q1183" t="s">
        <v>1558</v>
      </c>
      <c r="R1183" s="140" t="s">
        <v>4448</v>
      </c>
    </row>
    <row r="1184" spans="1:18">
      <c r="A1184" s="77">
        <v>264</v>
      </c>
      <c r="B1184" t="s">
        <v>124</v>
      </c>
      <c r="C1184" t="s">
        <v>66</v>
      </c>
      <c r="D1184" s="81">
        <v>0</v>
      </c>
      <c r="E1184" s="97" t="s">
        <v>488</v>
      </c>
      <c r="F1184" s="97" t="s">
        <v>508</v>
      </c>
      <c r="G1184" t="s">
        <v>28</v>
      </c>
      <c r="H1184" t="s">
        <v>28</v>
      </c>
      <c r="I1184" t="s">
        <v>28</v>
      </c>
      <c r="J1184" t="s">
        <v>28</v>
      </c>
      <c r="K1184" t="s">
        <v>124</v>
      </c>
      <c r="O1184" t="s">
        <v>1563</v>
      </c>
      <c r="P1184" t="s">
        <v>86</v>
      </c>
      <c r="Q1184" t="s">
        <v>1558</v>
      </c>
      <c r="R1184" s="140" t="s">
        <v>4448</v>
      </c>
    </row>
    <row r="1185" spans="1:18">
      <c r="A1185" s="77">
        <v>264</v>
      </c>
      <c r="B1185" t="s">
        <v>124</v>
      </c>
      <c r="C1185" t="s">
        <v>66</v>
      </c>
      <c r="D1185" s="81">
        <v>0</v>
      </c>
      <c r="E1185" s="97" t="s">
        <v>488</v>
      </c>
      <c r="F1185" s="97" t="s">
        <v>508</v>
      </c>
      <c r="G1185" t="s">
        <v>28</v>
      </c>
      <c r="H1185" t="s">
        <v>28</v>
      </c>
      <c r="I1185" t="s">
        <v>28</v>
      </c>
      <c r="J1185" t="s">
        <v>28</v>
      </c>
      <c r="K1185" t="s">
        <v>124</v>
      </c>
      <c r="O1185" t="s">
        <v>1564</v>
      </c>
      <c r="P1185" t="s">
        <v>86</v>
      </c>
      <c r="Q1185" t="s">
        <v>1558</v>
      </c>
      <c r="R1185" s="140" t="s">
        <v>4448</v>
      </c>
    </row>
    <row r="1186" spans="1:18">
      <c r="A1186" s="77">
        <v>264</v>
      </c>
      <c r="B1186" t="s">
        <v>124</v>
      </c>
      <c r="C1186" t="s">
        <v>66</v>
      </c>
      <c r="D1186" s="81">
        <v>0</v>
      </c>
      <c r="E1186" s="97" t="s">
        <v>488</v>
      </c>
      <c r="F1186" s="97" t="s">
        <v>508</v>
      </c>
      <c r="G1186" t="s">
        <v>28</v>
      </c>
      <c r="H1186" t="s">
        <v>28</v>
      </c>
      <c r="I1186" t="s">
        <v>28</v>
      </c>
      <c r="J1186" t="s">
        <v>28</v>
      </c>
      <c r="K1186" t="s">
        <v>124</v>
      </c>
      <c r="O1186" t="s">
        <v>1565</v>
      </c>
      <c r="P1186" t="s">
        <v>86</v>
      </c>
      <c r="Q1186" t="s">
        <v>1558</v>
      </c>
      <c r="R1186" s="140" t="s">
        <v>4448</v>
      </c>
    </row>
    <row r="1187" spans="1:18">
      <c r="A1187" s="77">
        <v>264</v>
      </c>
      <c r="B1187" t="s">
        <v>124</v>
      </c>
      <c r="C1187" t="s">
        <v>66</v>
      </c>
      <c r="D1187" s="81">
        <v>0</v>
      </c>
      <c r="E1187" s="97" t="s">
        <v>488</v>
      </c>
      <c r="F1187" s="97" t="s">
        <v>508</v>
      </c>
      <c r="G1187" t="s">
        <v>28</v>
      </c>
      <c r="H1187" t="s">
        <v>28</v>
      </c>
      <c r="I1187" t="s">
        <v>28</v>
      </c>
      <c r="J1187" t="s">
        <v>28</v>
      </c>
      <c r="K1187" t="s">
        <v>124</v>
      </c>
      <c r="O1187" t="s">
        <v>1566</v>
      </c>
      <c r="P1187" t="s">
        <v>86</v>
      </c>
      <c r="Q1187" t="s">
        <v>1558</v>
      </c>
      <c r="R1187" s="140" t="s">
        <v>4448</v>
      </c>
    </row>
    <row r="1188" spans="1:18" s="130" customFormat="1">
      <c r="A1188" s="77">
        <v>264</v>
      </c>
      <c r="B1188" t="s">
        <v>124</v>
      </c>
      <c r="C1188" t="s">
        <v>66</v>
      </c>
      <c r="D1188" s="81">
        <v>0</v>
      </c>
      <c r="E1188" s="97" t="s">
        <v>488</v>
      </c>
      <c r="F1188" s="97" t="s">
        <v>508</v>
      </c>
      <c r="G1188" t="s">
        <v>28</v>
      </c>
      <c r="H1188" t="s">
        <v>28</v>
      </c>
      <c r="I1188" t="s">
        <v>28</v>
      </c>
      <c r="J1188" t="s">
        <v>28</v>
      </c>
      <c r="K1188" t="s">
        <v>124</v>
      </c>
      <c r="O1188" t="s">
        <v>1567</v>
      </c>
      <c r="P1188" t="s">
        <v>86</v>
      </c>
      <c r="Q1188" t="s">
        <v>1558</v>
      </c>
      <c r="R1188" s="140" t="s">
        <v>4448</v>
      </c>
    </row>
    <row r="1189" spans="1:18" s="130" customFormat="1">
      <c r="A1189" s="77">
        <v>265</v>
      </c>
      <c r="B1189" t="s">
        <v>124</v>
      </c>
      <c r="C1189" t="s">
        <v>66</v>
      </c>
      <c r="D1189" s="81">
        <v>0</v>
      </c>
      <c r="E1189" s="97" t="s">
        <v>488</v>
      </c>
      <c r="F1189" s="97" t="s">
        <v>508</v>
      </c>
      <c r="G1189" t="s">
        <v>28</v>
      </c>
      <c r="H1189" t="s">
        <v>28</v>
      </c>
      <c r="I1189" t="s">
        <v>28</v>
      </c>
      <c r="J1189" t="s">
        <v>28</v>
      </c>
      <c r="K1189" t="s">
        <v>124</v>
      </c>
      <c r="O1189" t="s">
        <v>1568</v>
      </c>
      <c r="P1189" t="s">
        <v>86</v>
      </c>
      <c r="Q1189" t="s">
        <v>1558</v>
      </c>
      <c r="R1189" s="140" t="s">
        <v>4448</v>
      </c>
    </row>
    <row r="1190" spans="1:18">
      <c r="A1190" s="77">
        <v>265</v>
      </c>
      <c r="B1190" t="s">
        <v>124</v>
      </c>
      <c r="C1190" t="s">
        <v>66</v>
      </c>
      <c r="D1190" s="81">
        <v>0</v>
      </c>
      <c r="E1190" s="97" t="s">
        <v>488</v>
      </c>
      <c r="F1190" s="97" t="s">
        <v>508</v>
      </c>
      <c r="G1190" t="s">
        <v>28</v>
      </c>
      <c r="H1190" t="s">
        <v>28</v>
      </c>
      <c r="I1190" t="s">
        <v>28</v>
      </c>
      <c r="J1190" t="s">
        <v>28</v>
      </c>
      <c r="K1190" t="s">
        <v>124</v>
      </c>
      <c r="O1190" t="s">
        <v>1569</v>
      </c>
      <c r="P1190" t="s">
        <v>86</v>
      </c>
      <c r="Q1190" t="s">
        <v>1558</v>
      </c>
      <c r="R1190" s="140" t="s">
        <v>4448</v>
      </c>
    </row>
    <row r="1191" spans="1:18">
      <c r="A1191" s="77">
        <v>265</v>
      </c>
      <c r="B1191" t="s">
        <v>124</v>
      </c>
      <c r="C1191" t="s">
        <v>66</v>
      </c>
      <c r="D1191" s="81">
        <v>0</v>
      </c>
      <c r="E1191" s="97" t="s">
        <v>488</v>
      </c>
      <c r="F1191" s="97" t="s">
        <v>508</v>
      </c>
      <c r="G1191" t="s">
        <v>28</v>
      </c>
      <c r="H1191" t="s">
        <v>28</v>
      </c>
      <c r="I1191" t="s">
        <v>28</v>
      </c>
      <c r="J1191" t="s">
        <v>28</v>
      </c>
      <c r="K1191" t="s">
        <v>124</v>
      </c>
      <c r="O1191" t="s">
        <v>1570</v>
      </c>
      <c r="P1191" t="s">
        <v>86</v>
      </c>
      <c r="Q1191" t="s">
        <v>1558</v>
      </c>
      <c r="R1191" s="140" t="s">
        <v>4448</v>
      </c>
    </row>
    <row r="1192" spans="1:18">
      <c r="A1192" s="77">
        <v>265</v>
      </c>
      <c r="B1192" t="s">
        <v>124</v>
      </c>
      <c r="C1192" t="s">
        <v>66</v>
      </c>
      <c r="D1192" s="81">
        <v>0</v>
      </c>
      <c r="E1192" s="97" t="s">
        <v>488</v>
      </c>
      <c r="F1192" s="97" t="s">
        <v>508</v>
      </c>
      <c r="G1192" t="s">
        <v>28</v>
      </c>
      <c r="H1192" t="s">
        <v>28</v>
      </c>
      <c r="I1192" t="s">
        <v>28</v>
      </c>
      <c r="J1192" t="s">
        <v>28</v>
      </c>
      <c r="K1192" t="s">
        <v>124</v>
      </c>
      <c r="O1192" t="s">
        <v>1571</v>
      </c>
      <c r="P1192" t="s">
        <v>86</v>
      </c>
      <c r="Q1192" t="s">
        <v>1558</v>
      </c>
      <c r="R1192" s="140" t="s">
        <v>4448</v>
      </c>
    </row>
    <row r="1193" spans="1:18">
      <c r="A1193" s="77">
        <v>265</v>
      </c>
      <c r="B1193" t="s">
        <v>124</v>
      </c>
      <c r="C1193" t="s">
        <v>66</v>
      </c>
      <c r="D1193" s="81">
        <v>0</v>
      </c>
      <c r="E1193" s="97" t="s">
        <v>488</v>
      </c>
      <c r="F1193" s="97" t="s">
        <v>508</v>
      </c>
      <c r="G1193" t="s">
        <v>28</v>
      </c>
      <c r="H1193" t="s">
        <v>28</v>
      </c>
      <c r="I1193" t="s">
        <v>28</v>
      </c>
      <c r="J1193" t="s">
        <v>28</v>
      </c>
      <c r="K1193" t="s">
        <v>124</v>
      </c>
      <c r="O1193" t="s">
        <v>1572</v>
      </c>
      <c r="P1193" t="s">
        <v>86</v>
      </c>
      <c r="Q1193" t="s">
        <v>1558</v>
      </c>
      <c r="R1193" s="140" t="s">
        <v>4448</v>
      </c>
    </row>
    <row r="1194" spans="1:18">
      <c r="A1194" s="77">
        <v>266</v>
      </c>
      <c r="B1194" t="s">
        <v>124</v>
      </c>
      <c r="C1194" s="59" t="s">
        <v>253</v>
      </c>
      <c r="D1194" s="81">
        <v>0</v>
      </c>
      <c r="E1194" s="97">
        <v>1</v>
      </c>
      <c r="F1194" s="97" t="s">
        <v>26</v>
      </c>
      <c r="G1194" t="s">
        <v>28</v>
      </c>
      <c r="H1194" t="s">
        <v>28</v>
      </c>
      <c r="I1194" t="s">
        <v>28</v>
      </c>
      <c r="J1194" t="s">
        <v>28</v>
      </c>
      <c r="K1194" t="s">
        <v>124</v>
      </c>
      <c r="O1194" t="s">
        <v>1573</v>
      </c>
      <c r="P1194" t="s">
        <v>86</v>
      </c>
      <c r="Q1194" t="s">
        <v>1574</v>
      </c>
      <c r="R1194" s="140" t="s">
        <v>4448</v>
      </c>
    </row>
    <row r="1195" spans="1:18">
      <c r="A1195" s="77">
        <v>266</v>
      </c>
      <c r="B1195" t="s">
        <v>124</v>
      </c>
      <c r="C1195" s="59" t="s">
        <v>253</v>
      </c>
      <c r="D1195" s="81">
        <v>0</v>
      </c>
      <c r="E1195" s="97">
        <v>1</v>
      </c>
      <c r="F1195" s="97" t="s">
        <v>26</v>
      </c>
      <c r="G1195" t="s">
        <v>28</v>
      </c>
      <c r="H1195" t="s">
        <v>28</v>
      </c>
      <c r="I1195" t="s">
        <v>28</v>
      </c>
      <c r="J1195" t="s">
        <v>28</v>
      </c>
      <c r="K1195" t="s">
        <v>124</v>
      </c>
      <c r="O1195" t="s">
        <v>1575</v>
      </c>
      <c r="P1195" t="s">
        <v>86</v>
      </c>
      <c r="Q1195" t="s">
        <v>1574</v>
      </c>
      <c r="R1195" s="140" t="s">
        <v>4448</v>
      </c>
    </row>
    <row r="1196" spans="1:18">
      <c r="A1196" s="77">
        <v>266</v>
      </c>
      <c r="B1196" t="s">
        <v>124</v>
      </c>
      <c r="C1196" s="59" t="s">
        <v>253</v>
      </c>
      <c r="D1196" s="81">
        <v>0</v>
      </c>
      <c r="E1196" s="97">
        <v>1</v>
      </c>
      <c r="F1196" s="97" t="s">
        <v>26</v>
      </c>
      <c r="G1196" t="s">
        <v>28</v>
      </c>
      <c r="H1196" t="s">
        <v>28</v>
      </c>
      <c r="I1196" t="s">
        <v>28</v>
      </c>
      <c r="J1196" t="s">
        <v>28</v>
      </c>
      <c r="K1196" t="s">
        <v>124</v>
      </c>
      <c r="O1196" t="s">
        <v>1576</v>
      </c>
      <c r="P1196" t="s">
        <v>86</v>
      </c>
      <c r="Q1196" t="s">
        <v>1574</v>
      </c>
      <c r="R1196" s="140" t="s">
        <v>4448</v>
      </c>
    </row>
    <row r="1197" spans="1:18">
      <c r="A1197" s="77">
        <v>266</v>
      </c>
      <c r="B1197" t="s">
        <v>124</v>
      </c>
      <c r="C1197" s="59" t="s">
        <v>253</v>
      </c>
      <c r="D1197" s="81">
        <v>0</v>
      </c>
      <c r="E1197" s="97">
        <v>1</v>
      </c>
      <c r="F1197" s="97" t="s">
        <v>26</v>
      </c>
      <c r="G1197" t="s">
        <v>28</v>
      </c>
      <c r="H1197" t="s">
        <v>28</v>
      </c>
      <c r="I1197" t="s">
        <v>28</v>
      </c>
      <c r="J1197" t="s">
        <v>28</v>
      </c>
      <c r="K1197" t="s">
        <v>124</v>
      </c>
      <c r="O1197" t="s">
        <v>1577</v>
      </c>
      <c r="P1197" t="s">
        <v>86</v>
      </c>
      <c r="Q1197" t="s">
        <v>1574</v>
      </c>
      <c r="R1197" s="140" t="s">
        <v>4448</v>
      </c>
    </row>
    <row r="1198" spans="1:18">
      <c r="A1198" s="77">
        <v>266</v>
      </c>
      <c r="B1198" t="s">
        <v>124</v>
      </c>
      <c r="C1198" s="59" t="s">
        <v>253</v>
      </c>
      <c r="D1198" s="81">
        <v>0</v>
      </c>
      <c r="E1198" s="97">
        <v>1</v>
      </c>
      <c r="F1198" s="97" t="s">
        <v>26</v>
      </c>
      <c r="G1198" t="s">
        <v>28</v>
      </c>
      <c r="H1198" t="s">
        <v>28</v>
      </c>
      <c r="I1198" t="s">
        <v>28</v>
      </c>
      <c r="J1198" t="s">
        <v>28</v>
      </c>
      <c r="K1198" t="s">
        <v>124</v>
      </c>
      <c r="O1198" t="s">
        <v>1578</v>
      </c>
      <c r="P1198" t="s">
        <v>86</v>
      </c>
      <c r="Q1198" t="s">
        <v>1574</v>
      </c>
      <c r="R1198" s="140" t="s">
        <v>4448</v>
      </c>
    </row>
    <row r="1199" spans="1:18">
      <c r="A1199" s="77">
        <v>267</v>
      </c>
      <c r="B1199" t="s">
        <v>124</v>
      </c>
      <c r="C1199" s="59" t="s">
        <v>253</v>
      </c>
      <c r="D1199" s="81">
        <v>0</v>
      </c>
      <c r="E1199" s="97">
        <v>1</v>
      </c>
      <c r="F1199" s="97" t="s">
        <v>26</v>
      </c>
      <c r="G1199" t="s">
        <v>28</v>
      </c>
      <c r="H1199" t="s">
        <v>28</v>
      </c>
      <c r="I1199" t="s">
        <v>28</v>
      </c>
      <c r="J1199" t="s">
        <v>28</v>
      </c>
      <c r="K1199" t="s">
        <v>124</v>
      </c>
      <c r="O1199" t="s">
        <v>1579</v>
      </c>
      <c r="P1199" t="s">
        <v>86</v>
      </c>
      <c r="Q1199" t="s">
        <v>1574</v>
      </c>
      <c r="R1199" s="140" t="s">
        <v>4448</v>
      </c>
    </row>
    <row r="1200" spans="1:18">
      <c r="A1200" s="77">
        <v>267</v>
      </c>
      <c r="B1200" t="s">
        <v>124</v>
      </c>
      <c r="C1200" s="59" t="s">
        <v>253</v>
      </c>
      <c r="D1200" s="81">
        <v>0</v>
      </c>
      <c r="E1200" s="97">
        <v>1</v>
      </c>
      <c r="F1200" s="97" t="s">
        <v>26</v>
      </c>
      <c r="G1200" t="s">
        <v>28</v>
      </c>
      <c r="H1200" t="s">
        <v>28</v>
      </c>
      <c r="I1200" t="s">
        <v>28</v>
      </c>
      <c r="J1200" t="s">
        <v>28</v>
      </c>
      <c r="K1200" t="s">
        <v>124</v>
      </c>
      <c r="O1200" t="s">
        <v>1580</v>
      </c>
      <c r="P1200" t="s">
        <v>86</v>
      </c>
      <c r="Q1200" t="s">
        <v>1574</v>
      </c>
      <c r="R1200" s="140" t="s">
        <v>4448</v>
      </c>
    </row>
    <row r="1201" spans="1:25">
      <c r="A1201" s="77">
        <v>267</v>
      </c>
      <c r="B1201" t="s">
        <v>124</v>
      </c>
      <c r="C1201" s="59" t="s">
        <v>253</v>
      </c>
      <c r="D1201" s="81">
        <v>0</v>
      </c>
      <c r="E1201" s="97">
        <v>1</v>
      </c>
      <c r="F1201" s="97" t="s">
        <v>26</v>
      </c>
      <c r="G1201" t="s">
        <v>28</v>
      </c>
      <c r="H1201" t="s">
        <v>28</v>
      </c>
      <c r="I1201" t="s">
        <v>28</v>
      </c>
      <c r="J1201" t="s">
        <v>28</v>
      </c>
      <c r="K1201" t="s">
        <v>124</v>
      </c>
      <c r="O1201" t="s">
        <v>1581</v>
      </c>
      <c r="P1201" t="s">
        <v>86</v>
      </c>
      <c r="Q1201" t="s">
        <v>1574</v>
      </c>
      <c r="R1201" s="140" t="s">
        <v>4448</v>
      </c>
    </row>
    <row r="1202" spans="1:25">
      <c r="A1202" s="77">
        <v>267</v>
      </c>
      <c r="B1202" t="s">
        <v>124</v>
      </c>
      <c r="C1202" s="59" t="s">
        <v>253</v>
      </c>
      <c r="D1202" s="81">
        <v>0</v>
      </c>
      <c r="E1202" s="97">
        <v>1</v>
      </c>
      <c r="F1202" s="97" t="s">
        <v>26</v>
      </c>
      <c r="G1202" t="s">
        <v>28</v>
      </c>
      <c r="H1202" t="s">
        <v>28</v>
      </c>
      <c r="I1202" t="s">
        <v>28</v>
      </c>
      <c r="J1202" t="s">
        <v>28</v>
      </c>
      <c r="K1202" t="s">
        <v>124</v>
      </c>
      <c r="O1202" t="s">
        <v>1582</v>
      </c>
      <c r="P1202" t="s">
        <v>86</v>
      </c>
      <c r="Q1202" t="s">
        <v>1574</v>
      </c>
      <c r="R1202" s="140" t="s">
        <v>4448</v>
      </c>
    </row>
    <row r="1203" spans="1:25">
      <c r="A1203" s="77">
        <v>268</v>
      </c>
      <c r="B1203" t="s">
        <v>124</v>
      </c>
      <c r="C1203" s="59" t="s">
        <v>253</v>
      </c>
      <c r="D1203" s="81">
        <v>0</v>
      </c>
      <c r="E1203" s="97">
        <v>1</v>
      </c>
      <c r="F1203" s="97" t="s">
        <v>26</v>
      </c>
      <c r="G1203" t="s">
        <v>28</v>
      </c>
      <c r="H1203" t="s">
        <v>28</v>
      </c>
      <c r="I1203" t="s">
        <v>28</v>
      </c>
      <c r="J1203" t="s">
        <v>28</v>
      </c>
      <c r="K1203" t="s">
        <v>124</v>
      </c>
      <c r="O1203" t="s">
        <v>1583</v>
      </c>
      <c r="P1203" t="s">
        <v>86</v>
      </c>
      <c r="Q1203" t="s">
        <v>1584</v>
      </c>
      <c r="R1203" s="140" t="s">
        <v>4448</v>
      </c>
    </row>
    <row r="1204" spans="1:25">
      <c r="A1204" s="77">
        <v>268</v>
      </c>
      <c r="B1204" t="s">
        <v>124</v>
      </c>
      <c r="C1204" s="59" t="s">
        <v>253</v>
      </c>
      <c r="D1204" s="81">
        <v>0</v>
      </c>
      <c r="E1204" s="97">
        <v>1</v>
      </c>
      <c r="F1204" s="97" t="s">
        <v>26</v>
      </c>
      <c r="G1204" t="s">
        <v>28</v>
      </c>
      <c r="H1204" t="s">
        <v>28</v>
      </c>
      <c r="I1204" t="s">
        <v>28</v>
      </c>
      <c r="J1204" t="s">
        <v>28</v>
      </c>
      <c r="K1204" t="s">
        <v>124</v>
      </c>
      <c r="O1204" t="s">
        <v>1585</v>
      </c>
      <c r="P1204" t="s">
        <v>86</v>
      </c>
      <c r="Q1204" t="s">
        <v>1584</v>
      </c>
      <c r="R1204" s="140" t="s">
        <v>4448</v>
      </c>
    </row>
    <row r="1205" spans="1:25">
      <c r="A1205" s="77">
        <v>268</v>
      </c>
      <c r="B1205" t="s">
        <v>124</v>
      </c>
      <c r="C1205" s="59" t="s">
        <v>253</v>
      </c>
      <c r="D1205" s="81">
        <v>0</v>
      </c>
      <c r="E1205" s="97">
        <v>1</v>
      </c>
      <c r="F1205" s="97" t="s">
        <v>26</v>
      </c>
      <c r="G1205" t="s">
        <v>28</v>
      </c>
      <c r="H1205" t="s">
        <v>28</v>
      </c>
      <c r="I1205" t="s">
        <v>28</v>
      </c>
      <c r="J1205" t="s">
        <v>28</v>
      </c>
      <c r="K1205" t="s">
        <v>124</v>
      </c>
      <c r="O1205" t="s">
        <v>1586</v>
      </c>
      <c r="P1205" t="s">
        <v>86</v>
      </c>
      <c r="Q1205" t="s">
        <v>1584</v>
      </c>
      <c r="R1205" s="140" t="s">
        <v>4448</v>
      </c>
    </row>
    <row r="1206" spans="1:25">
      <c r="A1206" s="77">
        <v>268</v>
      </c>
      <c r="B1206" t="s">
        <v>124</v>
      </c>
      <c r="C1206" s="59" t="s">
        <v>253</v>
      </c>
      <c r="D1206" s="81">
        <v>0</v>
      </c>
      <c r="E1206" s="97">
        <v>1</v>
      </c>
      <c r="F1206" s="97" t="s">
        <v>26</v>
      </c>
      <c r="G1206" t="s">
        <v>28</v>
      </c>
      <c r="H1206" t="s">
        <v>28</v>
      </c>
      <c r="I1206" t="s">
        <v>28</v>
      </c>
      <c r="J1206" t="s">
        <v>28</v>
      </c>
      <c r="K1206" t="s">
        <v>124</v>
      </c>
      <c r="O1206" t="s">
        <v>1587</v>
      </c>
      <c r="P1206" t="s">
        <v>86</v>
      </c>
      <c r="Q1206" t="s">
        <v>1584</v>
      </c>
      <c r="R1206" s="140" t="s">
        <v>4448</v>
      </c>
    </row>
    <row r="1207" spans="1:25">
      <c r="A1207" s="77">
        <v>268</v>
      </c>
      <c r="B1207" t="s">
        <v>124</v>
      </c>
      <c r="C1207" s="59" t="s">
        <v>253</v>
      </c>
      <c r="D1207" s="81">
        <v>0</v>
      </c>
      <c r="E1207" s="97">
        <v>1</v>
      </c>
      <c r="F1207" s="97" t="s">
        <v>26</v>
      </c>
      <c r="G1207" t="s">
        <v>28</v>
      </c>
      <c r="H1207" t="s">
        <v>28</v>
      </c>
      <c r="I1207" t="s">
        <v>28</v>
      </c>
      <c r="J1207" t="s">
        <v>28</v>
      </c>
      <c r="K1207" t="s">
        <v>124</v>
      </c>
      <c r="O1207" t="s">
        <v>1588</v>
      </c>
      <c r="P1207" t="s">
        <v>86</v>
      </c>
      <c r="Q1207" t="s">
        <v>1584</v>
      </c>
      <c r="R1207" s="140" t="s">
        <v>4448</v>
      </c>
    </row>
    <row r="1208" spans="1:25" hidden="1">
      <c r="A1208" s="59" t="s">
        <v>1589</v>
      </c>
      <c r="B1208" t="s">
        <v>1084</v>
      </c>
      <c r="D1208" s="81" t="s">
        <v>4446</v>
      </c>
      <c r="F1208" s="97" t="s">
        <v>1590</v>
      </c>
      <c r="G1208" t="s">
        <v>27</v>
      </c>
      <c r="H1208" t="s">
        <v>27</v>
      </c>
      <c r="I1208" t="s">
        <v>27</v>
      </c>
      <c r="J1208" t="s">
        <v>27</v>
      </c>
      <c r="K1208" t="s">
        <v>828</v>
      </c>
      <c r="L1208" t="s">
        <v>1591</v>
      </c>
      <c r="M1208" t="s">
        <v>28</v>
      </c>
      <c r="N1208" t="s">
        <v>829</v>
      </c>
      <c r="O1208" t="s">
        <v>1592</v>
      </c>
      <c r="P1208" t="s">
        <v>1086</v>
      </c>
      <c r="Q1208" t="s">
        <v>1593</v>
      </c>
      <c r="T1208" t="s">
        <v>828</v>
      </c>
      <c r="U1208">
        <v>0</v>
      </c>
      <c r="X1208">
        <v>0</v>
      </c>
      <c r="Y1208">
        <v>0</v>
      </c>
    </row>
    <row r="1209" spans="1:25" hidden="1">
      <c r="A1209" s="59" t="s">
        <v>1589</v>
      </c>
      <c r="B1209" t="s">
        <v>1084</v>
      </c>
      <c r="D1209" s="81" t="s">
        <v>4446</v>
      </c>
      <c r="F1209" s="97" t="s">
        <v>1590</v>
      </c>
      <c r="G1209" t="s">
        <v>27</v>
      </c>
      <c r="H1209" t="s">
        <v>27</v>
      </c>
      <c r="I1209" t="s">
        <v>27</v>
      </c>
      <c r="J1209" t="s">
        <v>27</v>
      </c>
      <c r="K1209" t="s">
        <v>828</v>
      </c>
      <c r="L1209" t="s">
        <v>1591</v>
      </c>
      <c r="M1209" t="s">
        <v>28</v>
      </c>
      <c r="N1209" t="s">
        <v>829</v>
      </c>
      <c r="O1209" t="s">
        <v>1594</v>
      </c>
      <c r="P1209" t="s">
        <v>1086</v>
      </c>
      <c r="Q1209" t="s">
        <v>1595</v>
      </c>
      <c r="T1209" t="s">
        <v>828</v>
      </c>
      <c r="U1209">
        <v>0</v>
      </c>
      <c r="X1209">
        <v>0</v>
      </c>
      <c r="Y1209">
        <v>0</v>
      </c>
    </row>
    <row r="1210" spans="1:25" hidden="1">
      <c r="A1210" s="59" t="s">
        <v>1589</v>
      </c>
      <c r="B1210" t="s">
        <v>1084</v>
      </c>
      <c r="D1210" s="81" t="s">
        <v>4446</v>
      </c>
      <c r="F1210" s="97" t="s">
        <v>1590</v>
      </c>
      <c r="G1210" t="s">
        <v>27</v>
      </c>
      <c r="H1210" t="s">
        <v>27</v>
      </c>
      <c r="I1210" t="s">
        <v>27</v>
      </c>
      <c r="J1210" t="s">
        <v>27</v>
      </c>
      <c r="K1210" t="s">
        <v>828</v>
      </c>
      <c r="L1210" t="s">
        <v>1591</v>
      </c>
      <c r="M1210" t="s">
        <v>28</v>
      </c>
      <c r="N1210" t="s">
        <v>829</v>
      </c>
      <c r="O1210" t="s">
        <v>1596</v>
      </c>
      <c r="P1210" t="s">
        <v>1086</v>
      </c>
      <c r="Q1210" t="s">
        <v>1597</v>
      </c>
      <c r="T1210" t="s">
        <v>828</v>
      </c>
      <c r="U1210">
        <v>0</v>
      </c>
      <c r="X1210">
        <v>0</v>
      </c>
      <c r="Y1210">
        <v>0</v>
      </c>
    </row>
    <row r="1211" spans="1:25" hidden="1">
      <c r="A1211" s="59" t="s">
        <v>1589</v>
      </c>
      <c r="B1211" t="s">
        <v>1084</v>
      </c>
      <c r="D1211" s="81" t="s">
        <v>4446</v>
      </c>
      <c r="F1211" s="97" t="s">
        <v>1590</v>
      </c>
      <c r="G1211" t="s">
        <v>27</v>
      </c>
      <c r="H1211" t="s">
        <v>27</v>
      </c>
      <c r="I1211" t="s">
        <v>27</v>
      </c>
      <c r="J1211" t="s">
        <v>27</v>
      </c>
      <c r="K1211" t="s">
        <v>828</v>
      </c>
      <c r="L1211" t="s">
        <v>1591</v>
      </c>
      <c r="M1211" t="s">
        <v>28</v>
      </c>
      <c r="N1211" t="s">
        <v>829</v>
      </c>
      <c r="O1211" t="s">
        <v>1598</v>
      </c>
      <c r="P1211" t="s">
        <v>1086</v>
      </c>
      <c r="Q1211" t="s">
        <v>1599</v>
      </c>
      <c r="T1211" t="s">
        <v>828</v>
      </c>
      <c r="U1211">
        <v>0</v>
      </c>
      <c r="X1211">
        <v>0</v>
      </c>
      <c r="Y1211">
        <v>0</v>
      </c>
    </row>
    <row r="1212" spans="1:25" hidden="1">
      <c r="A1212" s="59" t="s">
        <v>1589</v>
      </c>
      <c r="B1212" t="s">
        <v>1084</v>
      </c>
      <c r="D1212" s="81" t="s">
        <v>4446</v>
      </c>
      <c r="F1212" s="97" t="s">
        <v>1590</v>
      </c>
      <c r="G1212" t="s">
        <v>27</v>
      </c>
      <c r="H1212" t="s">
        <v>27</v>
      </c>
      <c r="I1212" t="s">
        <v>27</v>
      </c>
      <c r="J1212" t="s">
        <v>27</v>
      </c>
      <c r="K1212" t="s">
        <v>828</v>
      </c>
      <c r="L1212" t="s">
        <v>1591</v>
      </c>
      <c r="M1212" t="s">
        <v>28</v>
      </c>
      <c r="N1212" t="s">
        <v>829</v>
      </c>
      <c r="O1212" t="s">
        <v>1600</v>
      </c>
      <c r="P1212" t="s">
        <v>1086</v>
      </c>
      <c r="Q1212" t="s">
        <v>1593</v>
      </c>
      <c r="T1212" t="s">
        <v>828</v>
      </c>
      <c r="U1212">
        <v>0</v>
      </c>
      <c r="X1212">
        <v>0</v>
      </c>
      <c r="Y1212">
        <v>0</v>
      </c>
    </row>
    <row r="1213" spans="1:25" hidden="1">
      <c r="A1213" s="59" t="s">
        <v>1589</v>
      </c>
      <c r="B1213" t="s">
        <v>1084</v>
      </c>
      <c r="D1213" s="81" t="s">
        <v>4446</v>
      </c>
      <c r="F1213" s="97" t="s">
        <v>1590</v>
      </c>
      <c r="G1213" t="s">
        <v>27</v>
      </c>
      <c r="H1213" t="s">
        <v>27</v>
      </c>
      <c r="I1213" t="s">
        <v>27</v>
      </c>
      <c r="J1213" t="s">
        <v>27</v>
      </c>
      <c r="K1213" t="s">
        <v>828</v>
      </c>
      <c r="L1213" t="s">
        <v>1591</v>
      </c>
      <c r="M1213" t="s">
        <v>28</v>
      </c>
      <c r="N1213" t="s">
        <v>829</v>
      </c>
      <c r="O1213" t="s">
        <v>1601</v>
      </c>
      <c r="P1213" t="s">
        <v>1086</v>
      </c>
      <c r="Q1213" t="s">
        <v>1595</v>
      </c>
      <c r="T1213" t="s">
        <v>828</v>
      </c>
      <c r="U1213">
        <v>0</v>
      </c>
      <c r="X1213">
        <v>0</v>
      </c>
      <c r="Y1213">
        <v>0</v>
      </c>
    </row>
    <row r="1214" spans="1:25" hidden="1">
      <c r="A1214" s="59" t="s">
        <v>1589</v>
      </c>
      <c r="B1214" t="s">
        <v>1084</v>
      </c>
      <c r="D1214" s="81" t="s">
        <v>4446</v>
      </c>
      <c r="F1214" s="97" t="s">
        <v>1590</v>
      </c>
      <c r="G1214" t="s">
        <v>27</v>
      </c>
      <c r="H1214" t="s">
        <v>27</v>
      </c>
      <c r="I1214" t="s">
        <v>27</v>
      </c>
      <c r="J1214" t="s">
        <v>27</v>
      </c>
      <c r="K1214" t="s">
        <v>828</v>
      </c>
      <c r="L1214" t="s">
        <v>1591</v>
      </c>
      <c r="M1214" t="s">
        <v>28</v>
      </c>
      <c r="N1214" t="s">
        <v>829</v>
      </c>
      <c r="O1214" t="s">
        <v>1602</v>
      </c>
      <c r="P1214" t="s">
        <v>1086</v>
      </c>
      <c r="Q1214" t="s">
        <v>1597</v>
      </c>
      <c r="T1214" t="s">
        <v>828</v>
      </c>
      <c r="U1214">
        <v>0</v>
      </c>
      <c r="X1214">
        <v>0</v>
      </c>
      <c r="Y1214">
        <v>0</v>
      </c>
    </row>
    <row r="1215" spans="1:25" hidden="1">
      <c r="A1215" s="59" t="s">
        <v>1589</v>
      </c>
      <c r="B1215" t="s">
        <v>1084</v>
      </c>
      <c r="D1215" s="81" t="s">
        <v>4446</v>
      </c>
      <c r="F1215" s="97" t="s">
        <v>1590</v>
      </c>
      <c r="G1215" t="s">
        <v>27</v>
      </c>
      <c r="H1215" t="s">
        <v>27</v>
      </c>
      <c r="I1215" t="s">
        <v>27</v>
      </c>
      <c r="J1215" t="s">
        <v>27</v>
      </c>
      <c r="K1215" t="s">
        <v>828</v>
      </c>
      <c r="L1215" t="s">
        <v>1591</v>
      </c>
      <c r="M1215" t="s">
        <v>28</v>
      </c>
      <c r="N1215" t="s">
        <v>829</v>
      </c>
      <c r="O1215" t="s">
        <v>1603</v>
      </c>
      <c r="P1215" t="s">
        <v>1086</v>
      </c>
      <c r="Q1215" t="s">
        <v>1599</v>
      </c>
      <c r="T1215" t="s">
        <v>828</v>
      </c>
      <c r="U1215">
        <v>0</v>
      </c>
      <c r="X1215">
        <v>0</v>
      </c>
      <c r="Y1215">
        <v>0</v>
      </c>
    </row>
    <row r="1216" spans="1:25" hidden="1">
      <c r="A1216" s="59" t="s">
        <v>1589</v>
      </c>
      <c r="B1216" t="s">
        <v>1084</v>
      </c>
      <c r="D1216" s="81" t="s">
        <v>4446</v>
      </c>
      <c r="F1216" s="97" t="s">
        <v>1590</v>
      </c>
      <c r="G1216" t="s">
        <v>27</v>
      </c>
      <c r="H1216" t="s">
        <v>27</v>
      </c>
      <c r="I1216" t="s">
        <v>27</v>
      </c>
      <c r="J1216" t="s">
        <v>27</v>
      </c>
      <c r="K1216" t="s">
        <v>828</v>
      </c>
      <c r="L1216" t="s">
        <v>1591</v>
      </c>
      <c r="M1216" t="s">
        <v>28</v>
      </c>
      <c r="N1216" t="s">
        <v>829</v>
      </c>
      <c r="O1216" t="s">
        <v>1604</v>
      </c>
      <c r="P1216" t="s">
        <v>353</v>
      </c>
      <c r="Q1216" t="s">
        <v>1605</v>
      </c>
      <c r="T1216" t="s">
        <v>828</v>
      </c>
      <c r="U1216">
        <v>0</v>
      </c>
      <c r="X1216">
        <v>0</v>
      </c>
      <c r="Y1216">
        <v>0</v>
      </c>
    </row>
    <row r="1217" spans="1:25" hidden="1">
      <c r="A1217" s="59" t="s">
        <v>1589</v>
      </c>
      <c r="B1217" t="s">
        <v>1084</v>
      </c>
      <c r="D1217" s="81" t="s">
        <v>4446</v>
      </c>
      <c r="F1217" s="97" t="s">
        <v>1590</v>
      </c>
      <c r="G1217" t="s">
        <v>27</v>
      </c>
      <c r="H1217" t="s">
        <v>27</v>
      </c>
      <c r="I1217" t="s">
        <v>27</v>
      </c>
      <c r="J1217" t="s">
        <v>27</v>
      </c>
      <c r="K1217" t="s">
        <v>828</v>
      </c>
      <c r="L1217" t="s">
        <v>1591</v>
      </c>
      <c r="M1217" t="s">
        <v>28</v>
      </c>
      <c r="N1217" t="s">
        <v>829</v>
      </c>
      <c r="O1217" t="s">
        <v>1606</v>
      </c>
      <c r="P1217" t="s">
        <v>353</v>
      </c>
      <c r="Q1217" t="s">
        <v>1605</v>
      </c>
      <c r="T1217" t="s">
        <v>828</v>
      </c>
      <c r="U1217">
        <v>0</v>
      </c>
      <c r="X1217">
        <v>0</v>
      </c>
      <c r="Y1217">
        <v>0</v>
      </c>
    </row>
    <row r="1218" spans="1:25" s="137" customFormat="1" hidden="1">
      <c r="A1218" s="59" t="s">
        <v>1589</v>
      </c>
      <c r="B1218" t="s">
        <v>1084</v>
      </c>
      <c r="D1218" s="81" t="s">
        <v>4446</v>
      </c>
      <c r="E1218" s="97"/>
      <c r="F1218" s="97" t="s">
        <v>1590</v>
      </c>
      <c r="G1218" t="s">
        <v>27</v>
      </c>
      <c r="H1218" t="s">
        <v>27</v>
      </c>
      <c r="I1218" t="s">
        <v>27</v>
      </c>
      <c r="J1218" t="s">
        <v>27</v>
      </c>
      <c r="K1218" t="s">
        <v>828</v>
      </c>
      <c r="L1218" t="s">
        <v>1591</v>
      </c>
      <c r="M1218" t="s">
        <v>28</v>
      </c>
      <c r="N1218" t="s">
        <v>829</v>
      </c>
      <c r="O1218" t="s">
        <v>1607</v>
      </c>
      <c r="P1218" t="s">
        <v>353</v>
      </c>
      <c r="Q1218" t="s">
        <v>1605</v>
      </c>
      <c r="R1218" s="133"/>
      <c r="T1218" t="s">
        <v>828</v>
      </c>
      <c r="U1218">
        <v>0</v>
      </c>
      <c r="X1218">
        <v>0</v>
      </c>
      <c r="Y1218">
        <v>0</v>
      </c>
    </row>
    <row r="1219" spans="1:25" s="59" customFormat="1" hidden="1">
      <c r="A1219" s="59" t="s">
        <v>1589</v>
      </c>
      <c r="B1219" s="59" t="s">
        <v>1084</v>
      </c>
      <c r="D1219" s="81" t="s">
        <v>4446</v>
      </c>
      <c r="E1219" s="126"/>
      <c r="F1219" s="126" t="s">
        <v>1590</v>
      </c>
      <c r="G1219" s="59" t="s">
        <v>27</v>
      </c>
      <c r="H1219" s="59" t="s">
        <v>27</v>
      </c>
      <c r="I1219" s="59" t="s">
        <v>27</v>
      </c>
      <c r="J1219" s="59" t="s">
        <v>27</v>
      </c>
      <c r="K1219" s="59" t="s">
        <v>828</v>
      </c>
      <c r="L1219" s="59" t="s">
        <v>1591</v>
      </c>
      <c r="M1219" s="59" t="s">
        <v>28</v>
      </c>
      <c r="N1219" s="59" t="s">
        <v>829</v>
      </c>
      <c r="O1219" s="59" t="s">
        <v>1608</v>
      </c>
      <c r="P1219" s="59" t="s">
        <v>353</v>
      </c>
      <c r="Q1219" t="s">
        <v>1605</v>
      </c>
      <c r="R1219" s="133"/>
      <c r="T1219" s="59" t="s">
        <v>828</v>
      </c>
      <c r="U1219" s="59">
        <v>0</v>
      </c>
      <c r="X1219" s="59">
        <v>0</v>
      </c>
      <c r="Y1219" s="59">
        <v>0</v>
      </c>
    </row>
    <row r="1220" spans="1:25" s="59" customFormat="1" hidden="1">
      <c r="A1220" s="59" t="s">
        <v>1589</v>
      </c>
      <c r="B1220" s="59" t="s">
        <v>1084</v>
      </c>
      <c r="D1220" s="81" t="s">
        <v>4446</v>
      </c>
      <c r="E1220" s="126"/>
      <c r="F1220" s="126" t="s">
        <v>1590</v>
      </c>
      <c r="G1220" s="59" t="s">
        <v>27</v>
      </c>
      <c r="H1220" s="59" t="s">
        <v>27</v>
      </c>
      <c r="I1220" s="59" t="s">
        <v>27</v>
      </c>
      <c r="J1220" s="59" t="s">
        <v>27</v>
      </c>
      <c r="K1220" s="59" t="s">
        <v>828</v>
      </c>
      <c r="L1220" s="59" t="s">
        <v>1591</v>
      </c>
      <c r="M1220" s="59" t="s">
        <v>28</v>
      </c>
      <c r="N1220" s="59" t="s">
        <v>829</v>
      </c>
      <c r="O1220" s="59" t="s">
        <v>1609</v>
      </c>
      <c r="P1220" s="59" t="s">
        <v>353</v>
      </c>
      <c r="Q1220" t="s">
        <v>1605</v>
      </c>
      <c r="R1220" s="133"/>
      <c r="T1220" s="59" t="s">
        <v>828</v>
      </c>
      <c r="U1220" s="59">
        <v>0</v>
      </c>
      <c r="X1220" s="59">
        <v>0</v>
      </c>
      <c r="Y1220" s="59">
        <v>0</v>
      </c>
    </row>
    <row r="1221" spans="1:25" hidden="1">
      <c r="A1221" s="59" t="s">
        <v>1589</v>
      </c>
      <c r="B1221" t="s">
        <v>111</v>
      </c>
      <c r="D1221" s="81" t="s">
        <v>4446</v>
      </c>
      <c r="E1221" s="97">
        <v>2</v>
      </c>
      <c r="F1221" s="97" t="s">
        <v>49</v>
      </c>
      <c r="G1221" t="s">
        <v>27</v>
      </c>
      <c r="H1221" t="s">
        <v>27</v>
      </c>
      <c r="I1221" t="s">
        <v>27</v>
      </c>
      <c r="J1221" t="s">
        <v>27</v>
      </c>
      <c r="K1221" t="s">
        <v>113</v>
      </c>
      <c r="L1221" t="s">
        <v>1591</v>
      </c>
      <c r="M1221" t="s">
        <v>28</v>
      </c>
      <c r="N1221" t="s">
        <v>829</v>
      </c>
      <c r="O1221" t="s">
        <v>1610</v>
      </c>
      <c r="P1221" t="s">
        <v>767</v>
      </c>
      <c r="Q1221" t="s">
        <v>1611</v>
      </c>
    </row>
    <row r="1222" spans="1:25" hidden="1">
      <c r="A1222" s="59" t="s">
        <v>1589</v>
      </c>
      <c r="B1222" t="s">
        <v>1084</v>
      </c>
      <c r="D1222" s="81" t="s">
        <v>4446</v>
      </c>
      <c r="E1222" s="97">
        <v>1</v>
      </c>
      <c r="F1222" s="97" t="s">
        <v>26</v>
      </c>
      <c r="G1222" t="s">
        <v>27</v>
      </c>
      <c r="H1222" t="s">
        <v>27</v>
      </c>
      <c r="I1222" t="s">
        <v>27</v>
      </c>
      <c r="J1222" t="s">
        <v>27</v>
      </c>
      <c r="K1222" t="s">
        <v>828</v>
      </c>
      <c r="L1222" t="s">
        <v>1591</v>
      </c>
      <c r="M1222" t="s">
        <v>28</v>
      </c>
      <c r="N1222" t="s">
        <v>829</v>
      </c>
      <c r="O1222" t="s">
        <v>1612</v>
      </c>
      <c r="P1222" t="s">
        <v>767</v>
      </c>
      <c r="Q1222" t="s">
        <v>1613</v>
      </c>
    </row>
    <row r="1223" spans="1:25" hidden="1">
      <c r="A1223" s="59" t="s">
        <v>1589</v>
      </c>
      <c r="B1223" t="s">
        <v>1084</v>
      </c>
      <c r="D1223" s="81" t="s">
        <v>4446</v>
      </c>
      <c r="E1223" s="97">
        <v>2</v>
      </c>
      <c r="F1223" s="97" t="s">
        <v>49</v>
      </c>
      <c r="G1223" t="s">
        <v>27</v>
      </c>
      <c r="H1223" t="s">
        <v>27</v>
      </c>
      <c r="I1223" t="s">
        <v>27</v>
      </c>
      <c r="J1223" t="s">
        <v>27</v>
      </c>
      <c r="K1223" t="s">
        <v>828</v>
      </c>
      <c r="L1223" t="s">
        <v>1591</v>
      </c>
      <c r="M1223" t="s">
        <v>28</v>
      </c>
      <c r="N1223" t="s">
        <v>829</v>
      </c>
      <c r="O1223" t="s">
        <v>1614</v>
      </c>
      <c r="P1223" t="s">
        <v>767</v>
      </c>
      <c r="Q1223" t="s">
        <v>1615</v>
      </c>
    </row>
    <row r="1224" spans="1:25" hidden="1">
      <c r="A1224" s="59" t="s">
        <v>1589</v>
      </c>
      <c r="B1224" t="s">
        <v>1084</v>
      </c>
      <c r="D1224" s="81" t="s">
        <v>4446</v>
      </c>
      <c r="E1224" s="97">
        <v>3</v>
      </c>
      <c r="F1224" s="97" t="s">
        <v>74</v>
      </c>
      <c r="G1224" t="s">
        <v>27</v>
      </c>
      <c r="H1224" t="s">
        <v>27</v>
      </c>
      <c r="I1224" t="s">
        <v>27</v>
      </c>
      <c r="J1224" t="s">
        <v>27</v>
      </c>
      <c r="K1224" t="s">
        <v>828</v>
      </c>
      <c r="L1224" t="s">
        <v>1591</v>
      </c>
      <c r="M1224" t="s">
        <v>28</v>
      </c>
      <c r="N1224" t="s">
        <v>829</v>
      </c>
      <c r="O1224" t="s">
        <v>1616</v>
      </c>
      <c r="P1224" t="s">
        <v>767</v>
      </c>
      <c r="Q1224" t="s">
        <v>1617</v>
      </c>
    </row>
    <row r="1225" spans="1:25" hidden="1">
      <c r="A1225" s="59" t="s">
        <v>1589</v>
      </c>
      <c r="B1225" t="s">
        <v>1084</v>
      </c>
      <c r="D1225" s="81" t="s">
        <v>4446</v>
      </c>
      <c r="E1225" s="97">
        <v>1</v>
      </c>
      <c r="F1225" s="97" t="s">
        <v>112</v>
      </c>
      <c r="G1225" t="s">
        <v>27</v>
      </c>
      <c r="H1225" t="s">
        <v>27</v>
      </c>
      <c r="I1225" t="s">
        <v>27</v>
      </c>
      <c r="J1225" t="s">
        <v>27</v>
      </c>
      <c r="K1225" t="s">
        <v>828</v>
      </c>
      <c r="L1225" t="s">
        <v>1591</v>
      </c>
      <c r="M1225" t="s">
        <v>28</v>
      </c>
      <c r="N1225" t="s">
        <v>829</v>
      </c>
      <c r="O1225" t="s">
        <v>1618</v>
      </c>
      <c r="P1225" t="s">
        <v>767</v>
      </c>
      <c r="Q1225" t="s">
        <v>1619</v>
      </c>
    </row>
    <row r="1226" spans="1:25" hidden="1">
      <c r="A1226" s="59" t="s">
        <v>1589</v>
      </c>
      <c r="B1226" t="s">
        <v>1084</v>
      </c>
      <c r="D1226" s="81" t="s">
        <v>4446</v>
      </c>
      <c r="E1226" s="97">
        <v>2</v>
      </c>
      <c r="F1226" s="97" t="s">
        <v>67</v>
      </c>
      <c r="G1226" t="s">
        <v>27</v>
      </c>
      <c r="H1226" t="s">
        <v>27</v>
      </c>
      <c r="I1226" t="s">
        <v>27</v>
      </c>
      <c r="J1226" t="s">
        <v>27</v>
      </c>
      <c r="K1226" t="s">
        <v>828</v>
      </c>
      <c r="L1226" t="s">
        <v>1591</v>
      </c>
      <c r="M1226" t="s">
        <v>28</v>
      </c>
      <c r="N1226" t="s">
        <v>829</v>
      </c>
      <c r="O1226" t="s">
        <v>1620</v>
      </c>
      <c r="P1226" t="s">
        <v>767</v>
      </c>
      <c r="Q1226" t="s">
        <v>1621</v>
      </c>
    </row>
    <row r="1227" spans="1:25" hidden="1">
      <c r="A1227" s="59" t="s">
        <v>1589</v>
      </c>
      <c r="B1227" t="s">
        <v>1084</v>
      </c>
      <c r="D1227" s="81" t="s">
        <v>4446</v>
      </c>
      <c r="E1227" s="97">
        <v>2</v>
      </c>
      <c r="F1227" s="97" t="s">
        <v>54</v>
      </c>
      <c r="G1227" t="s">
        <v>27</v>
      </c>
      <c r="H1227" t="s">
        <v>27</v>
      </c>
      <c r="I1227" t="s">
        <v>27</v>
      </c>
      <c r="J1227" t="s">
        <v>27</v>
      </c>
      <c r="K1227" t="s">
        <v>828</v>
      </c>
      <c r="L1227" t="s">
        <v>1591</v>
      </c>
      <c r="M1227" t="s">
        <v>28</v>
      </c>
      <c r="N1227" t="s">
        <v>829</v>
      </c>
      <c r="O1227" t="s">
        <v>1622</v>
      </c>
      <c r="P1227" t="s">
        <v>767</v>
      </c>
      <c r="Q1227" t="s">
        <v>1623</v>
      </c>
    </row>
    <row r="1228" spans="1:25" s="130" customFormat="1" hidden="1">
      <c r="A1228" s="130" t="s">
        <v>1589</v>
      </c>
      <c r="B1228" s="130" t="s">
        <v>1084</v>
      </c>
      <c r="D1228" s="81" t="s">
        <v>4446</v>
      </c>
      <c r="E1228" s="98">
        <v>3</v>
      </c>
      <c r="F1228" s="98" t="s">
        <v>180</v>
      </c>
      <c r="G1228" s="130" t="s">
        <v>27</v>
      </c>
      <c r="H1228" s="130" t="s">
        <v>27</v>
      </c>
      <c r="I1228" s="130" t="s">
        <v>27</v>
      </c>
      <c r="J1228" s="130" t="s">
        <v>27</v>
      </c>
      <c r="K1228" s="130" t="s">
        <v>828</v>
      </c>
      <c r="L1228" s="130" t="s">
        <v>1500</v>
      </c>
      <c r="M1228" s="130" t="s">
        <v>27</v>
      </c>
      <c r="N1228" s="123" t="s">
        <v>31</v>
      </c>
      <c r="O1228" s="130" t="s">
        <v>1624</v>
      </c>
      <c r="P1228" s="130" t="s">
        <v>767</v>
      </c>
    </row>
    <row r="1229" spans="1:25">
      <c r="A1229" s="59">
        <v>315</v>
      </c>
      <c r="B1229" t="s">
        <v>111</v>
      </c>
      <c r="D1229" s="81" t="s">
        <v>1589</v>
      </c>
      <c r="E1229" s="97">
        <v>2</v>
      </c>
      <c r="F1229" s="97" t="s">
        <v>49</v>
      </c>
      <c r="G1229" t="s">
        <v>27</v>
      </c>
      <c r="H1229" t="s">
        <v>27</v>
      </c>
      <c r="I1229" t="s">
        <v>28</v>
      </c>
      <c r="J1229" s="81" t="s">
        <v>28</v>
      </c>
      <c r="K1229" s="85" t="s">
        <v>113</v>
      </c>
      <c r="L1229" s="85"/>
      <c r="M1229" t="s">
        <v>28</v>
      </c>
      <c r="N1229" t="s">
        <v>829</v>
      </c>
      <c r="O1229" t="s">
        <v>1625</v>
      </c>
      <c r="P1229" t="s">
        <v>767</v>
      </c>
      <c r="Q1229" t="s">
        <v>1611</v>
      </c>
      <c r="R1229" s="140" t="s">
        <v>4450</v>
      </c>
    </row>
    <row r="1230" spans="1:25">
      <c r="A1230" s="59">
        <v>315</v>
      </c>
      <c r="B1230" t="s">
        <v>111</v>
      </c>
      <c r="D1230" s="81" t="s">
        <v>1589</v>
      </c>
      <c r="E1230" s="97">
        <v>2</v>
      </c>
      <c r="F1230" s="97" t="s">
        <v>49</v>
      </c>
      <c r="G1230" t="s">
        <v>27</v>
      </c>
      <c r="H1230" t="s">
        <v>27</v>
      </c>
      <c r="I1230" t="s">
        <v>28</v>
      </c>
      <c r="J1230" s="81" t="s">
        <v>28</v>
      </c>
      <c r="K1230" s="85" t="s">
        <v>113</v>
      </c>
      <c r="L1230" s="85"/>
      <c r="M1230" t="s">
        <v>28</v>
      </c>
      <c r="N1230" t="s">
        <v>829</v>
      </c>
      <c r="O1230" t="s">
        <v>1626</v>
      </c>
      <c r="P1230" t="s">
        <v>767</v>
      </c>
      <c r="Q1230" t="s">
        <v>1611</v>
      </c>
      <c r="R1230" s="140" t="s">
        <v>4450</v>
      </c>
    </row>
    <row r="1231" spans="1:25">
      <c r="A1231" s="59">
        <v>315</v>
      </c>
      <c r="B1231" t="s">
        <v>111</v>
      </c>
      <c r="D1231" s="81" t="s">
        <v>1589</v>
      </c>
      <c r="E1231" s="97">
        <v>2</v>
      </c>
      <c r="F1231" s="97" t="s">
        <v>49</v>
      </c>
      <c r="G1231" t="s">
        <v>27</v>
      </c>
      <c r="H1231" t="s">
        <v>27</v>
      </c>
      <c r="I1231" t="s">
        <v>28</v>
      </c>
      <c r="J1231" s="81" t="s">
        <v>28</v>
      </c>
      <c r="K1231" s="85" t="s">
        <v>113</v>
      </c>
      <c r="L1231" s="85"/>
      <c r="M1231" t="s">
        <v>28</v>
      </c>
      <c r="N1231" t="s">
        <v>829</v>
      </c>
      <c r="O1231" t="s">
        <v>1627</v>
      </c>
      <c r="P1231" t="s">
        <v>767</v>
      </c>
      <c r="Q1231" t="s">
        <v>1611</v>
      </c>
      <c r="R1231" s="140" t="s">
        <v>4450</v>
      </c>
    </row>
    <row r="1232" spans="1:25">
      <c r="A1232" s="59">
        <v>315</v>
      </c>
      <c r="B1232" t="s">
        <v>111</v>
      </c>
      <c r="D1232" s="81" t="s">
        <v>1589</v>
      </c>
      <c r="E1232" s="97">
        <v>2</v>
      </c>
      <c r="F1232" s="97" t="s">
        <v>49</v>
      </c>
      <c r="G1232" t="s">
        <v>27</v>
      </c>
      <c r="H1232" t="s">
        <v>27</v>
      </c>
      <c r="I1232" t="s">
        <v>28</v>
      </c>
      <c r="J1232" s="81" t="s">
        <v>28</v>
      </c>
      <c r="K1232" s="85" t="s">
        <v>113</v>
      </c>
      <c r="L1232" s="85"/>
      <c r="M1232" t="s">
        <v>28</v>
      </c>
      <c r="N1232" t="s">
        <v>829</v>
      </c>
      <c r="O1232" t="s">
        <v>1628</v>
      </c>
      <c r="P1232" t="s">
        <v>767</v>
      </c>
      <c r="Q1232" t="s">
        <v>1611</v>
      </c>
      <c r="R1232" s="140" t="s">
        <v>4450</v>
      </c>
    </row>
    <row r="1233" spans="1:18">
      <c r="A1233" s="59">
        <v>315</v>
      </c>
      <c r="B1233" t="s">
        <v>111</v>
      </c>
      <c r="D1233" s="81" t="s">
        <v>1589</v>
      </c>
      <c r="E1233" s="97">
        <v>2</v>
      </c>
      <c r="F1233" s="97" t="s">
        <v>49</v>
      </c>
      <c r="G1233" t="s">
        <v>27</v>
      </c>
      <c r="H1233" t="s">
        <v>27</v>
      </c>
      <c r="I1233" t="s">
        <v>28</v>
      </c>
      <c r="J1233" s="81" t="s">
        <v>28</v>
      </c>
      <c r="K1233" s="85" t="s">
        <v>113</v>
      </c>
      <c r="L1233" s="85"/>
      <c r="M1233" t="s">
        <v>28</v>
      </c>
      <c r="N1233" t="s">
        <v>829</v>
      </c>
      <c r="O1233" t="s">
        <v>1629</v>
      </c>
      <c r="P1233" t="s">
        <v>767</v>
      </c>
      <c r="Q1233" t="s">
        <v>1611</v>
      </c>
      <c r="R1233" s="140" t="s">
        <v>4450</v>
      </c>
    </row>
    <row r="1234" spans="1:18">
      <c r="A1234" s="59">
        <v>315</v>
      </c>
      <c r="B1234" t="s">
        <v>111</v>
      </c>
      <c r="D1234" s="81" t="s">
        <v>1589</v>
      </c>
      <c r="E1234" s="97">
        <v>2</v>
      </c>
      <c r="F1234" s="97" t="s">
        <v>49</v>
      </c>
      <c r="G1234" t="s">
        <v>27</v>
      </c>
      <c r="H1234" t="s">
        <v>27</v>
      </c>
      <c r="I1234" t="s">
        <v>28</v>
      </c>
      <c r="J1234" s="81" t="s">
        <v>28</v>
      </c>
      <c r="K1234" s="85" t="s">
        <v>113</v>
      </c>
      <c r="L1234" s="85"/>
      <c r="M1234" t="s">
        <v>28</v>
      </c>
      <c r="N1234" t="s">
        <v>829</v>
      </c>
      <c r="O1234" t="s">
        <v>1630</v>
      </c>
      <c r="P1234" t="s">
        <v>767</v>
      </c>
      <c r="Q1234" t="s">
        <v>1611</v>
      </c>
      <c r="R1234" s="140" t="s">
        <v>4450</v>
      </c>
    </row>
    <row r="1235" spans="1:18" hidden="1">
      <c r="A1235" s="59" t="s">
        <v>1589</v>
      </c>
      <c r="B1235" t="s">
        <v>940</v>
      </c>
      <c r="D1235" s="81" t="s">
        <v>4446</v>
      </c>
      <c r="E1235" s="97">
        <v>2</v>
      </c>
      <c r="G1235" t="s">
        <v>27</v>
      </c>
      <c r="H1235" t="s">
        <v>27</v>
      </c>
      <c r="I1235" t="s">
        <v>27</v>
      </c>
      <c r="J1235" t="s">
        <v>27</v>
      </c>
      <c r="K1235" t="s">
        <v>828</v>
      </c>
      <c r="L1235" t="s">
        <v>1591</v>
      </c>
      <c r="M1235" t="s">
        <v>28</v>
      </c>
      <c r="N1235" t="s">
        <v>829</v>
      </c>
      <c r="O1235" t="s">
        <v>1631</v>
      </c>
      <c r="P1235" t="s">
        <v>1632</v>
      </c>
      <c r="Q1235" t="s">
        <v>1633</v>
      </c>
    </row>
    <row r="1236" spans="1:18" hidden="1">
      <c r="A1236" s="59" t="s">
        <v>1589</v>
      </c>
      <c r="B1236" t="s">
        <v>940</v>
      </c>
      <c r="D1236" s="81" t="s">
        <v>4446</v>
      </c>
      <c r="E1236" s="97">
        <v>2</v>
      </c>
      <c r="G1236" t="s">
        <v>27</v>
      </c>
      <c r="H1236" t="s">
        <v>27</v>
      </c>
      <c r="I1236" t="s">
        <v>27</v>
      </c>
      <c r="J1236" t="s">
        <v>27</v>
      </c>
      <c r="K1236" t="s">
        <v>828</v>
      </c>
      <c r="L1236" t="s">
        <v>1591</v>
      </c>
      <c r="M1236" t="s">
        <v>28</v>
      </c>
      <c r="N1236" t="s">
        <v>829</v>
      </c>
      <c r="O1236" t="s">
        <v>1634</v>
      </c>
      <c r="P1236" t="s">
        <v>1632</v>
      </c>
      <c r="Q1236" t="s">
        <v>1633</v>
      </c>
    </row>
    <row r="1237" spans="1:18" hidden="1">
      <c r="A1237" s="59" t="s">
        <v>1589</v>
      </c>
      <c r="B1237" t="s">
        <v>940</v>
      </c>
      <c r="D1237" s="81" t="s">
        <v>4446</v>
      </c>
      <c r="E1237" s="97">
        <v>1</v>
      </c>
      <c r="G1237" t="s">
        <v>27</v>
      </c>
      <c r="H1237" t="s">
        <v>27</v>
      </c>
      <c r="I1237" t="s">
        <v>27</v>
      </c>
      <c r="J1237" t="s">
        <v>27</v>
      </c>
      <c r="K1237" t="s">
        <v>828</v>
      </c>
      <c r="L1237" t="s">
        <v>1591</v>
      </c>
      <c r="M1237" t="s">
        <v>28</v>
      </c>
      <c r="N1237" t="s">
        <v>829</v>
      </c>
      <c r="O1237" t="s">
        <v>1635</v>
      </c>
      <c r="P1237" t="s">
        <v>1632</v>
      </c>
      <c r="Q1237" t="s">
        <v>1633</v>
      </c>
    </row>
    <row r="1238" spans="1:18" hidden="1">
      <c r="A1238" s="59" t="s">
        <v>1589</v>
      </c>
      <c r="B1238" t="s">
        <v>940</v>
      </c>
      <c r="D1238" s="81" t="s">
        <v>4446</v>
      </c>
      <c r="E1238" s="97">
        <v>2</v>
      </c>
      <c r="G1238" t="s">
        <v>27</v>
      </c>
      <c r="H1238" t="s">
        <v>27</v>
      </c>
      <c r="I1238" t="s">
        <v>27</v>
      </c>
      <c r="J1238" t="s">
        <v>27</v>
      </c>
      <c r="K1238" t="s">
        <v>828</v>
      </c>
      <c r="L1238" t="s">
        <v>1591</v>
      </c>
      <c r="M1238" t="s">
        <v>28</v>
      </c>
      <c r="N1238" t="s">
        <v>829</v>
      </c>
      <c r="O1238" t="s">
        <v>1636</v>
      </c>
      <c r="P1238" t="s">
        <v>1632</v>
      </c>
      <c r="Q1238" t="s">
        <v>1633</v>
      </c>
    </row>
    <row r="1239" spans="1:18" hidden="1">
      <c r="A1239" s="59" t="s">
        <v>1589</v>
      </c>
      <c r="B1239" t="s">
        <v>940</v>
      </c>
      <c r="D1239" s="81" t="s">
        <v>4446</v>
      </c>
      <c r="E1239" s="97">
        <v>2</v>
      </c>
      <c r="G1239" t="s">
        <v>27</v>
      </c>
      <c r="H1239" t="s">
        <v>27</v>
      </c>
      <c r="I1239" t="s">
        <v>27</v>
      </c>
      <c r="J1239" t="s">
        <v>27</v>
      </c>
      <c r="K1239" t="s">
        <v>828</v>
      </c>
      <c r="L1239" t="s">
        <v>1591</v>
      </c>
      <c r="M1239" t="s">
        <v>28</v>
      </c>
      <c r="N1239" t="s">
        <v>829</v>
      </c>
      <c r="O1239" t="s">
        <v>1637</v>
      </c>
      <c r="P1239" t="s">
        <v>1632</v>
      </c>
      <c r="Q1239" t="s">
        <v>1633</v>
      </c>
    </row>
    <row r="1240" spans="1:18">
      <c r="A1240" s="59">
        <v>146</v>
      </c>
      <c r="B1240" t="s">
        <v>940</v>
      </c>
      <c r="D1240" s="81" t="s">
        <v>1589</v>
      </c>
      <c r="E1240" s="97">
        <v>1</v>
      </c>
      <c r="F1240" s="97" t="s">
        <v>112</v>
      </c>
      <c r="G1240" t="s">
        <v>27</v>
      </c>
      <c r="H1240" t="s">
        <v>27</v>
      </c>
      <c r="I1240" t="s">
        <v>27</v>
      </c>
      <c r="J1240" t="s">
        <v>28</v>
      </c>
      <c r="K1240" t="s">
        <v>828</v>
      </c>
      <c r="M1240" t="s">
        <v>27</v>
      </c>
      <c r="N1240" t="s">
        <v>62</v>
      </c>
      <c r="O1240" t="s">
        <v>1638</v>
      </c>
      <c r="P1240" t="s">
        <v>1639</v>
      </c>
      <c r="Q1240" t="s">
        <v>1640</v>
      </c>
      <c r="R1240" s="140" t="s">
        <v>4453</v>
      </c>
    </row>
    <row r="1241" spans="1:18">
      <c r="A1241" s="59">
        <v>147</v>
      </c>
      <c r="B1241" t="s">
        <v>940</v>
      </c>
      <c r="D1241" s="81" t="s">
        <v>1589</v>
      </c>
      <c r="E1241" s="97">
        <v>1</v>
      </c>
      <c r="F1241" s="121" t="s">
        <v>26</v>
      </c>
      <c r="G1241" t="s">
        <v>27</v>
      </c>
      <c r="H1241" t="s">
        <v>27</v>
      </c>
      <c r="I1241" t="s">
        <v>27</v>
      </c>
      <c r="J1241" t="s">
        <v>28</v>
      </c>
      <c r="K1241" t="s">
        <v>828</v>
      </c>
      <c r="M1241" t="s">
        <v>27</v>
      </c>
      <c r="N1241" t="s">
        <v>62</v>
      </c>
      <c r="O1241" t="s">
        <v>1641</v>
      </c>
      <c r="P1241" t="s">
        <v>1639</v>
      </c>
      <c r="Q1241" t="s">
        <v>952</v>
      </c>
      <c r="R1241" s="140" t="s">
        <v>4453</v>
      </c>
    </row>
    <row r="1242" spans="1:18">
      <c r="A1242" s="59">
        <v>148</v>
      </c>
      <c r="B1242" t="s">
        <v>940</v>
      </c>
      <c r="D1242" s="81" t="s">
        <v>1589</v>
      </c>
      <c r="E1242" s="97">
        <v>2</v>
      </c>
      <c r="F1242" s="97" t="s">
        <v>54</v>
      </c>
      <c r="G1242" t="s">
        <v>27</v>
      </c>
      <c r="H1242" t="s">
        <v>27</v>
      </c>
      <c r="I1242" t="s">
        <v>27</v>
      </c>
      <c r="J1242" t="s">
        <v>28</v>
      </c>
      <c r="K1242" t="s">
        <v>828</v>
      </c>
      <c r="M1242" t="s">
        <v>27</v>
      </c>
      <c r="N1242" t="s">
        <v>62</v>
      </c>
      <c r="O1242" t="s">
        <v>1642</v>
      </c>
      <c r="P1242" t="s">
        <v>1639</v>
      </c>
      <c r="Q1242" t="s">
        <v>1643</v>
      </c>
      <c r="R1242" s="140" t="s">
        <v>4453</v>
      </c>
    </row>
    <row r="1243" spans="1:18">
      <c r="A1243" s="59">
        <v>149</v>
      </c>
      <c r="B1243" t="s">
        <v>940</v>
      </c>
      <c r="D1243" s="81" t="s">
        <v>1589</v>
      </c>
      <c r="E1243" s="97">
        <v>2</v>
      </c>
      <c r="F1243" s="97" t="s">
        <v>49</v>
      </c>
      <c r="G1243" t="s">
        <v>27</v>
      </c>
      <c r="H1243" t="s">
        <v>27</v>
      </c>
      <c r="I1243" t="s">
        <v>27</v>
      </c>
      <c r="J1243" t="s">
        <v>28</v>
      </c>
      <c r="K1243" t="s">
        <v>828</v>
      </c>
      <c r="M1243" t="s">
        <v>27</v>
      </c>
      <c r="N1243" t="s">
        <v>62</v>
      </c>
      <c r="O1243" t="s">
        <v>1644</v>
      </c>
      <c r="P1243" t="s">
        <v>1639</v>
      </c>
      <c r="Q1243" t="s">
        <v>963</v>
      </c>
      <c r="R1243" s="140" t="s">
        <v>4453</v>
      </c>
    </row>
    <row r="1244" spans="1:18">
      <c r="A1244" s="59">
        <v>150</v>
      </c>
      <c r="B1244" t="s">
        <v>940</v>
      </c>
      <c r="D1244" s="81" t="s">
        <v>1589</v>
      </c>
      <c r="E1244" s="97">
        <v>2</v>
      </c>
      <c r="F1244" s="97" t="s">
        <v>67</v>
      </c>
      <c r="G1244" t="s">
        <v>27</v>
      </c>
      <c r="H1244" t="s">
        <v>27</v>
      </c>
      <c r="I1244" t="s">
        <v>27</v>
      </c>
      <c r="J1244" t="s">
        <v>28</v>
      </c>
      <c r="K1244" t="s">
        <v>828</v>
      </c>
      <c r="M1244" t="s">
        <v>27</v>
      </c>
      <c r="N1244" t="s">
        <v>62</v>
      </c>
      <c r="O1244" t="s">
        <v>1645</v>
      </c>
      <c r="P1244" t="s">
        <v>1639</v>
      </c>
      <c r="Q1244" t="s">
        <v>1646</v>
      </c>
      <c r="R1244" s="140" t="s">
        <v>4453</v>
      </c>
    </row>
    <row r="1245" spans="1:18">
      <c r="A1245" s="59">
        <v>151</v>
      </c>
      <c r="B1245" t="s">
        <v>940</v>
      </c>
      <c r="D1245" s="81" t="s">
        <v>1589</v>
      </c>
      <c r="E1245" s="97">
        <v>3</v>
      </c>
      <c r="F1245" s="97" t="s">
        <v>74</v>
      </c>
      <c r="G1245" t="s">
        <v>27</v>
      </c>
      <c r="H1245" t="s">
        <v>27</v>
      </c>
      <c r="I1245" t="s">
        <v>27</v>
      </c>
      <c r="J1245" t="s">
        <v>28</v>
      </c>
      <c r="K1245" t="s">
        <v>828</v>
      </c>
      <c r="M1245" t="s">
        <v>27</v>
      </c>
      <c r="N1245" t="s">
        <v>62</v>
      </c>
      <c r="O1245" t="s">
        <v>1647</v>
      </c>
      <c r="P1245" t="s">
        <v>1639</v>
      </c>
      <c r="Q1245" t="s">
        <v>990</v>
      </c>
      <c r="R1245" s="140" t="s">
        <v>4453</v>
      </c>
    </row>
    <row r="1246" spans="1:18">
      <c r="A1246" s="59">
        <v>152</v>
      </c>
      <c r="B1246" t="s">
        <v>940</v>
      </c>
      <c r="D1246" s="81" t="s">
        <v>1589</v>
      </c>
      <c r="E1246" s="97">
        <v>3</v>
      </c>
      <c r="F1246" s="97" t="s">
        <v>180</v>
      </c>
      <c r="G1246" t="s">
        <v>27</v>
      </c>
      <c r="H1246" t="s">
        <v>27</v>
      </c>
      <c r="I1246" t="s">
        <v>27</v>
      </c>
      <c r="J1246" t="s">
        <v>28</v>
      </c>
      <c r="K1246" t="s">
        <v>828</v>
      </c>
      <c r="M1246" t="s">
        <v>27</v>
      </c>
      <c r="N1246" t="s">
        <v>62</v>
      </c>
      <c r="O1246" t="s">
        <v>1648</v>
      </c>
      <c r="P1246" t="s">
        <v>1639</v>
      </c>
      <c r="Q1246" t="s">
        <v>990</v>
      </c>
      <c r="R1246" s="140" t="s">
        <v>4453</v>
      </c>
    </row>
    <row r="1247" spans="1:18">
      <c r="A1247" s="59">
        <v>132</v>
      </c>
      <c r="B1247" t="s">
        <v>234</v>
      </c>
      <c r="D1247" s="81" t="s">
        <v>1589</v>
      </c>
      <c r="E1247" s="97">
        <v>1</v>
      </c>
      <c r="F1247" s="97" t="s">
        <v>112</v>
      </c>
      <c r="G1247" t="s">
        <v>27</v>
      </c>
      <c r="H1247" t="s">
        <v>27</v>
      </c>
      <c r="I1247" t="s">
        <v>27</v>
      </c>
      <c r="J1247" t="s">
        <v>28</v>
      </c>
      <c r="K1247" t="s">
        <v>828</v>
      </c>
      <c r="M1247" t="s">
        <v>27</v>
      </c>
      <c r="N1247" t="s">
        <v>62</v>
      </c>
      <c r="O1247" t="s">
        <v>1649</v>
      </c>
      <c r="P1247" t="s">
        <v>1650</v>
      </c>
      <c r="Q1247" t="s">
        <v>1651</v>
      </c>
      <c r="R1247" s="140" t="s">
        <v>4460</v>
      </c>
    </row>
    <row r="1248" spans="1:18">
      <c r="A1248" s="59">
        <v>133</v>
      </c>
      <c r="B1248" t="s">
        <v>234</v>
      </c>
      <c r="D1248" s="81" t="s">
        <v>1589</v>
      </c>
      <c r="E1248" s="97">
        <v>1</v>
      </c>
      <c r="F1248" s="121" t="s">
        <v>26</v>
      </c>
      <c r="G1248" t="s">
        <v>27</v>
      </c>
      <c r="H1248" t="s">
        <v>27</v>
      </c>
      <c r="I1248" t="s">
        <v>27</v>
      </c>
      <c r="J1248" t="s">
        <v>28</v>
      </c>
      <c r="K1248" t="s">
        <v>828</v>
      </c>
      <c r="M1248" t="s">
        <v>27</v>
      </c>
      <c r="N1248" t="s">
        <v>62</v>
      </c>
      <c r="O1248" t="s">
        <v>1652</v>
      </c>
      <c r="P1248" t="s">
        <v>1650</v>
      </c>
      <c r="Q1248" t="s">
        <v>1653</v>
      </c>
      <c r="R1248" s="140" t="s">
        <v>4460</v>
      </c>
    </row>
    <row r="1249" spans="1:18">
      <c r="A1249" s="59">
        <v>134</v>
      </c>
      <c r="B1249" t="s">
        <v>234</v>
      </c>
      <c r="D1249" s="81" t="s">
        <v>1589</v>
      </c>
      <c r="E1249" s="97">
        <v>2</v>
      </c>
      <c r="F1249" s="97" t="s">
        <v>54</v>
      </c>
      <c r="G1249" t="s">
        <v>27</v>
      </c>
      <c r="H1249" t="s">
        <v>27</v>
      </c>
      <c r="I1249" t="s">
        <v>27</v>
      </c>
      <c r="J1249" t="s">
        <v>28</v>
      </c>
      <c r="K1249" t="s">
        <v>828</v>
      </c>
      <c r="M1249" t="s">
        <v>27</v>
      </c>
      <c r="N1249" t="s">
        <v>62</v>
      </c>
      <c r="O1249" t="s">
        <v>1654</v>
      </c>
      <c r="P1249" t="s">
        <v>1650</v>
      </c>
      <c r="Q1249" t="s">
        <v>1655</v>
      </c>
      <c r="R1249" s="140" t="s">
        <v>4460</v>
      </c>
    </row>
    <row r="1250" spans="1:18">
      <c r="A1250" s="59">
        <v>135</v>
      </c>
      <c r="B1250" t="s">
        <v>234</v>
      </c>
      <c r="D1250" s="81" t="s">
        <v>1589</v>
      </c>
      <c r="E1250" s="97">
        <v>2</v>
      </c>
      <c r="F1250" s="97" t="s">
        <v>49</v>
      </c>
      <c r="G1250" t="s">
        <v>27</v>
      </c>
      <c r="H1250" t="s">
        <v>27</v>
      </c>
      <c r="I1250" t="s">
        <v>27</v>
      </c>
      <c r="J1250" t="s">
        <v>28</v>
      </c>
      <c r="K1250" t="s">
        <v>828</v>
      </c>
      <c r="M1250" t="s">
        <v>27</v>
      </c>
      <c r="N1250" t="s">
        <v>62</v>
      </c>
      <c r="O1250" t="s">
        <v>1656</v>
      </c>
      <c r="P1250" t="s">
        <v>1650</v>
      </c>
      <c r="Q1250" t="s">
        <v>1657</v>
      </c>
      <c r="R1250" s="140" t="s">
        <v>4460</v>
      </c>
    </row>
    <row r="1251" spans="1:18">
      <c r="A1251" s="59">
        <v>136</v>
      </c>
      <c r="B1251" t="s">
        <v>234</v>
      </c>
      <c r="D1251" s="81" t="s">
        <v>1589</v>
      </c>
      <c r="E1251" s="97">
        <v>2</v>
      </c>
      <c r="F1251" s="97" t="s">
        <v>67</v>
      </c>
      <c r="G1251" t="s">
        <v>27</v>
      </c>
      <c r="H1251" t="s">
        <v>27</v>
      </c>
      <c r="I1251" t="s">
        <v>27</v>
      </c>
      <c r="J1251" t="s">
        <v>28</v>
      </c>
      <c r="K1251" t="s">
        <v>828</v>
      </c>
      <c r="M1251" t="s">
        <v>27</v>
      </c>
      <c r="N1251" t="s">
        <v>62</v>
      </c>
      <c r="O1251" t="s">
        <v>1658</v>
      </c>
      <c r="P1251" t="s">
        <v>1650</v>
      </c>
      <c r="Q1251" t="s">
        <v>1659</v>
      </c>
      <c r="R1251" s="140" t="s">
        <v>4460</v>
      </c>
    </row>
    <row r="1252" spans="1:18">
      <c r="A1252" s="59">
        <v>137</v>
      </c>
      <c r="B1252" t="s">
        <v>234</v>
      </c>
      <c r="D1252" s="81" t="s">
        <v>1589</v>
      </c>
      <c r="E1252" s="97">
        <v>3</v>
      </c>
      <c r="F1252" s="97" t="s">
        <v>74</v>
      </c>
      <c r="G1252" t="s">
        <v>27</v>
      </c>
      <c r="H1252" t="s">
        <v>27</v>
      </c>
      <c r="I1252" t="s">
        <v>27</v>
      </c>
      <c r="J1252" t="s">
        <v>28</v>
      </c>
      <c r="K1252" t="s">
        <v>828</v>
      </c>
      <c r="M1252" t="s">
        <v>27</v>
      </c>
      <c r="N1252" t="s">
        <v>62</v>
      </c>
      <c r="O1252" t="s">
        <v>1660</v>
      </c>
      <c r="P1252" t="s">
        <v>1650</v>
      </c>
      <c r="Q1252" t="s">
        <v>1661</v>
      </c>
      <c r="R1252" s="140" t="s">
        <v>4460</v>
      </c>
    </row>
    <row r="1253" spans="1:18">
      <c r="A1253" s="59">
        <v>138</v>
      </c>
      <c r="B1253" t="s">
        <v>234</v>
      </c>
      <c r="D1253" s="81" t="s">
        <v>1589</v>
      </c>
      <c r="E1253" s="97">
        <v>3</v>
      </c>
      <c r="F1253" s="97" t="s">
        <v>180</v>
      </c>
      <c r="G1253" t="s">
        <v>27</v>
      </c>
      <c r="H1253" t="s">
        <v>27</v>
      </c>
      <c r="I1253" t="s">
        <v>27</v>
      </c>
      <c r="J1253" t="s">
        <v>28</v>
      </c>
      <c r="K1253" t="s">
        <v>828</v>
      </c>
      <c r="M1253" t="s">
        <v>27</v>
      </c>
      <c r="N1253" t="s">
        <v>62</v>
      </c>
      <c r="O1253" t="s">
        <v>1662</v>
      </c>
      <c r="P1253" t="s">
        <v>1650</v>
      </c>
      <c r="Q1253" t="s">
        <v>1663</v>
      </c>
      <c r="R1253" s="140" t="s">
        <v>4460</v>
      </c>
    </row>
    <row r="1254" spans="1:18" s="130" customFormat="1" hidden="1">
      <c r="A1254" s="130">
        <v>176</v>
      </c>
      <c r="B1254" s="130" t="s">
        <v>1084</v>
      </c>
      <c r="D1254" s="81">
        <v>0</v>
      </c>
      <c r="E1254" s="98">
        <v>2</v>
      </c>
      <c r="F1254" s="98" t="s">
        <v>54</v>
      </c>
      <c r="G1254" s="130" t="s">
        <v>27</v>
      </c>
      <c r="H1254" s="130" t="s">
        <v>27</v>
      </c>
      <c r="I1254" s="130" t="s">
        <v>27</v>
      </c>
      <c r="J1254" s="130" t="s">
        <v>27</v>
      </c>
      <c r="K1254" s="130" t="s">
        <v>828</v>
      </c>
      <c r="L1254" s="130" t="s">
        <v>1664</v>
      </c>
      <c r="M1254" s="130" t="s">
        <v>27</v>
      </c>
      <c r="N1254" s="123" t="s">
        <v>31</v>
      </c>
      <c r="O1254" s="130" t="s">
        <v>1665</v>
      </c>
      <c r="P1254" s="130" t="s">
        <v>1666</v>
      </c>
    </row>
    <row r="1255" spans="1:18" s="130" customFormat="1" hidden="1">
      <c r="A1255" s="130">
        <v>178</v>
      </c>
      <c r="B1255" s="130" t="s">
        <v>1084</v>
      </c>
      <c r="D1255" s="81">
        <v>0</v>
      </c>
      <c r="E1255" s="98">
        <v>2</v>
      </c>
      <c r="F1255" s="98" t="s">
        <v>54</v>
      </c>
      <c r="G1255" s="130" t="s">
        <v>27</v>
      </c>
      <c r="H1255" s="130" t="s">
        <v>27</v>
      </c>
      <c r="I1255" s="130" t="s">
        <v>27</v>
      </c>
      <c r="J1255" s="130" t="s">
        <v>27</v>
      </c>
      <c r="K1255" s="130" t="s">
        <v>828</v>
      </c>
      <c r="L1255" s="130" t="s">
        <v>1664</v>
      </c>
      <c r="M1255" s="130" t="s">
        <v>27</v>
      </c>
      <c r="N1255" s="123" t="s">
        <v>31</v>
      </c>
      <c r="O1255" s="130" t="s">
        <v>1667</v>
      </c>
      <c r="P1255" s="130" t="s">
        <v>1666</v>
      </c>
    </row>
    <row r="1256" spans="1:18">
      <c r="A1256" s="59">
        <v>179</v>
      </c>
      <c r="B1256" t="s">
        <v>1084</v>
      </c>
      <c r="C1256" s="133" t="s">
        <v>1688</v>
      </c>
      <c r="D1256" s="81" t="s">
        <v>1589</v>
      </c>
      <c r="E1256" s="97">
        <v>2</v>
      </c>
      <c r="F1256" s="97" t="s">
        <v>49</v>
      </c>
      <c r="G1256" t="s">
        <v>27</v>
      </c>
      <c r="H1256" t="s">
        <v>27</v>
      </c>
      <c r="I1256" t="s">
        <v>27</v>
      </c>
      <c r="J1256" t="s">
        <v>28</v>
      </c>
      <c r="K1256" t="s">
        <v>828</v>
      </c>
      <c r="M1256" t="s">
        <v>27</v>
      </c>
      <c r="N1256" t="s">
        <v>62</v>
      </c>
      <c r="O1256" t="s">
        <v>1668</v>
      </c>
      <c r="P1256" t="s">
        <v>1666</v>
      </c>
      <c r="Q1256" t="s">
        <v>1669</v>
      </c>
      <c r="R1256" s="140" t="s">
        <v>4459</v>
      </c>
    </row>
    <row r="1257" spans="1:18">
      <c r="A1257" s="59">
        <v>180</v>
      </c>
      <c r="B1257" t="s">
        <v>1084</v>
      </c>
      <c r="C1257" s="133" t="s">
        <v>1688</v>
      </c>
      <c r="D1257" s="81" t="s">
        <v>1589</v>
      </c>
      <c r="E1257" s="97">
        <v>3</v>
      </c>
      <c r="F1257" s="97" t="s">
        <v>74</v>
      </c>
      <c r="G1257" t="s">
        <v>27</v>
      </c>
      <c r="H1257" t="s">
        <v>27</v>
      </c>
      <c r="I1257" t="s">
        <v>27</v>
      </c>
      <c r="J1257" t="s">
        <v>28</v>
      </c>
      <c r="K1257" t="s">
        <v>828</v>
      </c>
      <c r="M1257" t="s">
        <v>27</v>
      </c>
      <c r="N1257" t="s">
        <v>62</v>
      </c>
      <c r="O1257" t="s">
        <v>1670</v>
      </c>
      <c r="P1257" t="s">
        <v>1666</v>
      </c>
      <c r="Q1257" t="s">
        <v>1671</v>
      </c>
      <c r="R1257" s="140" t="s">
        <v>4459</v>
      </c>
    </row>
    <row r="1258" spans="1:18" s="130" customFormat="1" hidden="1">
      <c r="A1258" s="130">
        <v>181</v>
      </c>
      <c r="B1258" s="130" t="s">
        <v>1084</v>
      </c>
      <c r="D1258" s="81">
        <v>0</v>
      </c>
      <c r="E1258" s="98">
        <v>3</v>
      </c>
      <c r="F1258" s="98" t="s">
        <v>180</v>
      </c>
      <c r="G1258" s="130" t="s">
        <v>27</v>
      </c>
      <c r="H1258" s="130" t="s">
        <v>27</v>
      </c>
      <c r="I1258" s="130" t="s">
        <v>27</v>
      </c>
      <c r="J1258" s="130" t="s">
        <v>27</v>
      </c>
      <c r="K1258" s="130" t="s">
        <v>828</v>
      </c>
      <c r="L1258" s="130" t="s">
        <v>1664</v>
      </c>
      <c r="M1258" s="130" t="s">
        <v>27</v>
      </c>
      <c r="N1258" s="123" t="s">
        <v>31</v>
      </c>
      <c r="O1258" s="130" t="s">
        <v>1672</v>
      </c>
      <c r="P1258" s="130" t="s">
        <v>1666</v>
      </c>
    </row>
    <row r="1259" spans="1:18">
      <c r="A1259" s="59">
        <v>161</v>
      </c>
      <c r="B1259" t="s">
        <v>405</v>
      </c>
      <c r="D1259" s="81" t="s">
        <v>1589</v>
      </c>
      <c r="E1259" s="97">
        <v>1</v>
      </c>
      <c r="F1259" s="97" t="s">
        <v>26</v>
      </c>
      <c r="G1259" t="s">
        <v>27</v>
      </c>
      <c r="H1259" t="s">
        <v>27</v>
      </c>
      <c r="I1259" t="s">
        <v>27</v>
      </c>
      <c r="J1259" t="s">
        <v>28</v>
      </c>
      <c r="K1259" t="s">
        <v>828</v>
      </c>
      <c r="M1259" t="s">
        <v>27</v>
      </c>
      <c r="N1259" t="s">
        <v>62</v>
      </c>
      <c r="O1259" t="s">
        <v>1673</v>
      </c>
      <c r="P1259" t="s">
        <v>1674</v>
      </c>
      <c r="Q1259" t="s">
        <v>1675</v>
      </c>
      <c r="R1259" s="140" t="s">
        <v>4454</v>
      </c>
    </row>
    <row r="1260" spans="1:18">
      <c r="A1260" s="59">
        <v>162</v>
      </c>
      <c r="B1260" t="s">
        <v>405</v>
      </c>
      <c r="D1260" s="81" t="s">
        <v>1589</v>
      </c>
      <c r="E1260" s="97">
        <v>2</v>
      </c>
      <c r="F1260" s="97" t="s">
        <v>54</v>
      </c>
      <c r="G1260" t="s">
        <v>27</v>
      </c>
      <c r="H1260" t="s">
        <v>27</v>
      </c>
      <c r="I1260" t="s">
        <v>27</v>
      </c>
      <c r="J1260" t="s">
        <v>28</v>
      </c>
      <c r="K1260" t="s">
        <v>828</v>
      </c>
      <c r="M1260" t="s">
        <v>27</v>
      </c>
      <c r="N1260" t="s">
        <v>62</v>
      </c>
      <c r="O1260" t="s">
        <v>1676</v>
      </c>
      <c r="P1260" t="s">
        <v>1674</v>
      </c>
      <c r="Q1260" t="s">
        <v>1677</v>
      </c>
      <c r="R1260" s="140" t="s">
        <v>4454</v>
      </c>
    </row>
    <row r="1261" spans="1:18">
      <c r="A1261" s="59">
        <v>163</v>
      </c>
      <c r="B1261" t="s">
        <v>405</v>
      </c>
      <c r="D1261" s="81" t="s">
        <v>1589</v>
      </c>
      <c r="E1261" s="97">
        <v>2</v>
      </c>
      <c r="F1261" s="97" t="s">
        <v>49</v>
      </c>
      <c r="G1261" t="s">
        <v>27</v>
      </c>
      <c r="H1261" t="s">
        <v>27</v>
      </c>
      <c r="I1261" t="s">
        <v>27</v>
      </c>
      <c r="J1261" t="s">
        <v>28</v>
      </c>
      <c r="K1261" t="s">
        <v>828</v>
      </c>
      <c r="M1261" t="s">
        <v>27</v>
      </c>
      <c r="N1261" t="s">
        <v>62</v>
      </c>
      <c r="O1261" t="s">
        <v>1678</v>
      </c>
      <c r="P1261" t="s">
        <v>1674</v>
      </c>
      <c r="Q1261" t="s">
        <v>1679</v>
      </c>
      <c r="R1261" s="140" t="s">
        <v>4454</v>
      </c>
    </row>
    <row r="1262" spans="1:18" s="130" customFormat="1" hidden="1">
      <c r="A1262" s="130">
        <v>164</v>
      </c>
      <c r="B1262" s="130" t="s">
        <v>405</v>
      </c>
      <c r="D1262" s="81">
        <v>0</v>
      </c>
      <c r="E1262" s="98">
        <v>2</v>
      </c>
      <c r="F1262" s="98" t="s">
        <v>67</v>
      </c>
      <c r="G1262" s="130" t="s">
        <v>27</v>
      </c>
      <c r="H1262" s="130" t="s">
        <v>27</v>
      </c>
      <c r="I1262" s="130" t="s">
        <v>27</v>
      </c>
      <c r="J1262" s="130" t="s">
        <v>27</v>
      </c>
      <c r="K1262" s="130" t="s">
        <v>828</v>
      </c>
      <c r="L1262" s="130" t="s">
        <v>1664</v>
      </c>
      <c r="M1262" s="130" t="s">
        <v>27</v>
      </c>
      <c r="N1262" s="123" t="s">
        <v>31</v>
      </c>
      <c r="O1262" s="130" t="s">
        <v>1680</v>
      </c>
      <c r="P1262" s="130" t="s">
        <v>1674</v>
      </c>
    </row>
    <row r="1263" spans="1:18">
      <c r="A1263" s="59">
        <v>166</v>
      </c>
      <c r="B1263" t="s">
        <v>405</v>
      </c>
      <c r="D1263" s="81" t="s">
        <v>1589</v>
      </c>
      <c r="E1263" s="97">
        <v>3</v>
      </c>
      <c r="F1263" s="97" t="s">
        <v>180</v>
      </c>
      <c r="G1263" t="s">
        <v>27</v>
      </c>
      <c r="H1263" t="s">
        <v>27</v>
      </c>
      <c r="I1263" t="s">
        <v>27</v>
      </c>
      <c r="J1263" t="s">
        <v>28</v>
      </c>
      <c r="K1263" t="s">
        <v>828</v>
      </c>
      <c r="M1263" t="s">
        <v>27</v>
      </c>
      <c r="N1263" t="s">
        <v>62</v>
      </c>
      <c r="O1263" t="s">
        <v>1681</v>
      </c>
      <c r="P1263" t="s">
        <v>1674</v>
      </c>
      <c r="Q1263" t="s">
        <v>1682</v>
      </c>
      <c r="R1263" s="140" t="s">
        <v>4454</v>
      </c>
    </row>
    <row r="1264" spans="1:18">
      <c r="A1264" s="59">
        <v>160</v>
      </c>
      <c r="B1264" t="s">
        <v>405</v>
      </c>
      <c r="D1264" s="81" t="s">
        <v>1589</v>
      </c>
      <c r="E1264" s="97">
        <v>1</v>
      </c>
      <c r="F1264" s="97" t="s">
        <v>112</v>
      </c>
      <c r="G1264" t="s">
        <v>27</v>
      </c>
      <c r="H1264" t="s">
        <v>27</v>
      </c>
      <c r="I1264" t="s">
        <v>27</v>
      </c>
      <c r="J1264" t="s">
        <v>28</v>
      </c>
      <c r="K1264" t="s">
        <v>828</v>
      </c>
      <c r="M1264" t="s">
        <v>27</v>
      </c>
      <c r="N1264" t="s">
        <v>62</v>
      </c>
      <c r="O1264" t="s">
        <v>1683</v>
      </c>
      <c r="P1264" t="s">
        <v>1674</v>
      </c>
      <c r="Q1264" t="s">
        <v>1684</v>
      </c>
      <c r="R1264" s="140" t="s">
        <v>4454</v>
      </c>
    </row>
    <row r="1265" spans="1:19">
      <c r="A1265" s="59">
        <v>165</v>
      </c>
      <c r="B1265" t="s">
        <v>405</v>
      </c>
      <c r="D1265" s="81" t="s">
        <v>1589</v>
      </c>
      <c r="E1265" s="97">
        <v>3</v>
      </c>
      <c r="F1265" s="97" t="s">
        <v>74</v>
      </c>
      <c r="G1265" t="s">
        <v>27</v>
      </c>
      <c r="H1265" t="s">
        <v>27</v>
      </c>
      <c r="I1265" t="s">
        <v>27</v>
      </c>
      <c r="J1265" t="s">
        <v>28</v>
      </c>
      <c r="K1265" t="s">
        <v>828</v>
      </c>
      <c r="M1265" t="s">
        <v>27</v>
      </c>
      <c r="N1265" t="s">
        <v>62</v>
      </c>
      <c r="O1265" t="s">
        <v>1685</v>
      </c>
      <c r="P1265" t="s">
        <v>1674</v>
      </c>
      <c r="Q1265" t="s">
        <v>1686</v>
      </c>
      <c r="R1265" s="140" t="s">
        <v>4454</v>
      </c>
    </row>
    <row r="1266" spans="1:19">
      <c r="A1266" s="59">
        <v>269</v>
      </c>
      <c r="B1266" t="s">
        <v>1687</v>
      </c>
      <c r="C1266" t="s">
        <v>1688</v>
      </c>
      <c r="D1266" s="81">
        <v>0</v>
      </c>
      <c r="E1266" s="97">
        <v>1</v>
      </c>
      <c r="F1266" s="97" t="s">
        <v>112</v>
      </c>
      <c r="G1266" t="s">
        <v>27</v>
      </c>
      <c r="H1266" t="s">
        <v>27</v>
      </c>
      <c r="I1266" t="s">
        <v>27</v>
      </c>
      <c r="J1266" t="s">
        <v>28</v>
      </c>
      <c r="K1266" t="s">
        <v>113</v>
      </c>
      <c r="N1266" t="s">
        <v>1689</v>
      </c>
      <c r="O1266" t="s">
        <v>1690</v>
      </c>
      <c r="P1266" s="1" t="s">
        <v>1691</v>
      </c>
      <c r="Q1266" s="1" t="s">
        <v>1692</v>
      </c>
      <c r="R1266" s="140" t="s">
        <v>4455</v>
      </c>
      <c r="S1266" s="1"/>
    </row>
    <row r="1267" spans="1:19">
      <c r="A1267" s="59">
        <v>269</v>
      </c>
      <c r="B1267" t="s">
        <v>1687</v>
      </c>
      <c r="C1267" t="s">
        <v>1688</v>
      </c>
      <c r="D1267" s="81">
        <v>0</v>
      </c>
      <c r="E1267" s="97">
        <v>1</v>
      </c>
      <c r="F1267" s="97" t="s">
        <v>112</v>
      </c>
      <c r="G1267" t="s">
        <v>27</v>
      </c>
      <c r="H1267" t="s">
        <v>27</v>
      </c>
      <c r="I1267" t="s">
        <v>27</v>
      </c>
      <c r="J1267" t="s">
        <v>28</v>
      </c>
      <c r="K1267" t="s">
        <v>113</v>
      </c>
      <c r="N1267" t="s">
        <v>1689</v>
      </c>
      <c r="O1267" t="s">
        <v>1693</v>
      </c>
      <c r="P1267" s="1" t="s">
        <v>1691</v>
      </c>
      <c r="Q1267" s="1" t="s">
        <v>1692</v>
      </c>
      <c r="R1267" s="140" t="s">
        <v>4455</v>
      </c>
      <c r="S1267" s="1"/>
    </row>
    <row r="1268" spans="1:19">
      <c r="A1268" s="59">
        <v>269</v>
      </c>
      <c r="B1268" t="s">
        <v>1687</v>
      </c>
      <c r="C1268" t="s">
        <v>1688</v>
      </c>
      <c r="D1268" s="81">
        <v>0</v>
      </c>
      <c r="E1268" s="97">
        <v>1</v>
      </c>
      <c r="F1268" s="97" t="s">
        <v>112</v>
      </c>
      <c r="G1268" t="s">
        <v>27</v>
      </c>
      <c r="H1268" t="s">
        <v>27</v>
      </c>
      <c r="I1268" t="s">
        <v>27</v>
      </c>
      <c r="J1268" t="s">
        <v>28</v>
      </c>
      <c r="K1268" t="s">
        <v>113</v>
      </c>
      <c r="N1268" t="s">
        <v>1689</v>
      </c>
      <c r="O1268" t="s">
        <v>1694</v>
      </c>
      <c r="P1268" s="1" t="s">
        <v>1691</v>
      </c>
      <c r="Q1268" s="1" t="s">
        <v>1692</v>
      </c>
      <c r="R1268" s="140" t="s">
        <v>4455</v>
      </c>
      <c r="S1268" s="1"/>
    </row>
    <row r="1269" spans="1:19">
      <c r="A1269" s="59">
        <v>269</v>
      </c>
      <c r="B1269" t="s">
        <v>1687</v>
      </c>
      <c r="C1269" t="s">
        <v>1688</v>
      </c>
      <c r="D1269" s="81">
        <v>0</v>
      </c>
      <c r="E1269" s="97">
        <v>1</v>
      </c>
      <c r="F1269" s="97" t="s">
        <v>112</v>
      </c>
      <c r="G1269" t="s">
        <v>27</v>
      </c>
      <c r="H1269" t="s">
        <v>27</v>
      </c>
      <c r="I1269" t="s">
        <v>27</v>
      </c>
      <c r="J1269" t="s">
        <v>28</v>
      </c>
      <c r="K1269" t="s">
        <v>113</v>
      </c>
      <c r="N1269" t="s">
        <v>1689</v>
      </c>
      <c r="O1269" t="s">
        <v>1695</v>
      </c>
      <c r="P1269" s="1" t="s">
        <v>1691</v>
      </c>
      <c r="Q1269" s="1" t="s">
        <v>1692</v>
      </c>
      <c r="R1269" s="140" t="s">
        <v>4455</v>
      </c>
      <c r="S1269" s="1"/>
    </row>
    <row r="1270" spans="1:19">
      <c r="A1270" s="59">
        <v>269</v>
      </c>
      <c r="B1270" t="s">
        <v>1687</v>
      </c>
      <c r="C1270" t="s">
        <v>1688</v>
      </c>
      <c r="D1270" s="81">
        <v>0</v>
      </c>
      <c r="E1270" s="97">
        <v>1</v>
      </c>
      <c r="F1270" s="97" t="s">
        <v>112</v>
      </c>
      <c r="G1270" t="s">
        <v>27</v>
      </c>
      <c r="H1270" t="s">
        <v>27</v>
      </c>
      <c r="I1270" t="s">
        <v>27</v>
      </c>
      <c r="J1270" t="s">
        <v>28</v>
      </c>
      <c r="K1270" t="s">
        <v>113</v>
      </c>
      <c r="N1270" t="s">
        <v>1689</v>
      </c>
      <c r="O1270" t="s">
        <v>1696</v>
      </c>
      <c r="P1270" s="1" t="s">
        <v>1691</v>
      </c>
      <c r="Q1270" s="1" t="s">
        <v>1692</v>
      </c>
      <c r="R1270" s="140" t="s">
        <v>4455</v>
      </c>
      <c r="S1270" s="1"/>
    </row>
    <row r="1271" spans="1:19">
      <c r="A1271" s="59">
        <v>269</v>
      </c>
      <c r="B1271" t="s">
        <v>1687</v>
      </c>
      <c r="C1271" t="s">
        <v>1688</v>
      </c>
      <c r="D1271" s="81">
        <v>0</v>
      </c>
      <c r="E1271" s="97">
        <v>1</v>
      </c>
      <c r="F1271" s="97" t="s">
        <v>112</v>
      </c>
      <c r="G1271" t="s">
        <v>27</v>
      </c>
      <c r="H1271" t="s">
        <v>27</v>
      </c>
      <c r="I1271" t="s">
        <v>27</v>
      </c>
      <c r="J1271" t="s">
        <v>28</v>
      </c>
      <c r="K1271" t="s">
        <v>113</v>
      </c>
      <c r="N1271" t="s">
        <v>1689</v>
      </c>
      <c r="O1271" t="s">
        <v>1697</v>
      </c>
      <c r="P1271" s="1" t="s">
        <v>1691</v>
      </c>
      <c r="Q1271" s="1" t="s">
        <v>1692</v>
      </c>
      <c r="R1271" s="140" t="s">
        <v>4455</v>
      </c>
      <c r="S1271" s="1"/>
    </row>
    <row r="1272" spans="1:19">
      <c r="A1272" s="59">
        <v>269</v>
      </c>
      <c r="B1272" t="s">
        <v>1687</v>
      </c>
      <c r="C1272" t="s">
        <v>1688</v>
      </c>
      <c r="D1272" s="81">
        <v>0</v>
      </c>
      <c r="E1272" s="97">
        <v>1</v>
      </c>
      <c r="F1272" s="97" t="s">
        <v>112</v>
      </c>
      <c r="G1272" t="s">
        <v>27</v>
      </c>
      <c r="H1272" t="s">
        <v>27</v>
      </c>
      <c r="I1272" t="s">
        <v>27</v>
      </c>
      <c r="J1272" t="s">
        <v>28</v>
      </c>
      <c r="K1272" t="s">
        <v>113</v>
      </c>
      <c r="N1272" t="s">
        <v>1689</v>
      </c>
      <c r="O1272" t="s">
        <v>1698</v>
      </c>
      <c r="P1272" s="1" t="s">
        <v>1691</v>
      </c>
      <c r="Q1272" s="1" t="s">
        <v>1699</v>
      </c>
      <c r="R1272" s="140" t="s">
        <v>4455</v>
      </c>
      <c r="S1272" s="1"/>
    </row>
    <row r="1273" spans="1:19">
      <c r="A1273" s="59">
        <v>269</v>
      </c>
      <c r="B1273" t="s">
        <v>1687</v>
      </c>
      <c r="C1273" t="s">
        <v>1688</v>
      </c>
      <c r="D1273" s="81">
        <v>0</v>
      </c>
      <c r="E1273" s="97">
        <v>1</v>
      </c>
      <c r="F1273" s="97" t="s">
        <v>112</v>
      </c>
      <c r="G1273" t="s">
        <v>27</v>
      </c>
      <c r="H1273" t="s">
        <v>27</v>
      </c>
      <c r="I1273" t="s">
        <v>27</v>
      </c>
      <c r="J1273" t="s">
        <v>28</v>
      </c>
      <c r="K1273" t="s">
        <v>113</v>
      </c>
      <c r="N1273" t="s">
        <v>1689</v>
      </c>
      <c r="O1273" t="s">
        <v>1700</v>
      </c>
      <c r="P1273" s="1" t="s">
        <v>1691</v>
      </c>
      <c r="Q1273" s="1" t="s">
        <v>1699</v>
      </c>
      <c r="R1273" s="140" t="s">
        <v>4455</v>
      </c>
      <c r="S1273" s="1"/>
    </row>
    <row r="1274" spans="1:19" hidden="1">
      <c r="A1274" s="59">
        <v>269</v>
      </c>
      <c r="B1274" t="s">
        <v>1687</v>
      </c>
      <c r="C1274" t="s">
        <v>1688</v>
      </c>
      <c r="D1274" s="81">
        <v>0</v>
      </c>
      <c r="E1274" s="97">
        <v>1</v>
      </c>
      <c r="F1274" s="97" t="s">
        <v>112</v>
      </c>
      <c r="G1274" t="s">
        <v>27</v>
      </c>
      <c r="H1274" t="s">
        <v>27</v>
      </c>
      <c r="I1274" t="s">
        <v>27</v>
      </c>
      <c r="J1274" t="s">
        <v>27</v>
      </c>
      <c r="K1274" t="s">
        <v>113</v>
      </c>
      <c r="L1274" t="s">
        <v>1701</v>
      </c>
      <c r="N1274" t="s">
        <v>51</v>
      </c>
      <c r="O1274" t="s">
        <v>1702</v>
      </c>
      <c r="P1274" s="1" t="s">
        <v>1691</v>
      </c>
      <c r="Q1274" s="1"/>
      <c r="R1274" s="140"/>
      <c r="S1274" s="1"/>
    </row>
    <row r="1275" spans="1:19" hidden="1">
      <c r="A1275" s="59">
        <v>269</v>
      </c>
      <c r="B1275" t="s">
        <v>1687</v>
      </c>
      <c r="C1275" t="s">
        <v>1688</v>
      </c>
      <c r="D1275" s="81">
        <v>0</v>
      </c>
      <c r="E1275" s="97">
        <v>1</v>
      </c>
      <c r="F1275" s="97" t="s">
        <v>112</v>
      </c>
      <c r="G1275" t="s">
        <v>27</v>
      </c>
      <c r="H1275" t="s">
        <v>27</v>
      </c>
      <c r="I1275" t="s">
        <v>27</v>
      </c>
      <c r="J1275" s="133" t="s">
        <v>27</v>
      </c>
      <c r="K1275" t="s">
        <v>113</v>
      </c>
      <c r="L1275" t="s">
        <v>1701</v>
      </c>
      <c r="N1275" t="s">
        <v>51</v>
      </c>
      <c r="O1275" t="s">
        <v>1703</v>
      </c>
      <c r="P1275" s="1" t="s">
        <v>1691</v>
      </c>
      <c r="Q1275" s="1"/>
      <c r="R1275" s="140"/>
      <c r="S1275" s="1"/>
    </row>
    <row r="1276" spans="1:19">
      <c r="A1276" s="59">
        <v>269</v>
      </c>
      <c r="B1276" t="s">
        <v>1687</v>
      </c>
      <c r="C1276" t="s">
        <v>1688</v>
      </c>
      <c r="D1276" s="81">
        <v>0</v>
      </c>
      <c r="E1276" s="97">
        <v>1</v>
      </c>
      <c r="F1276" s="97" t="s">
        <v>112</v>
      </c>
      <c r="G1276" t="s">
        <v>27</v>
      </c>
      <c r="H1276" t="s">
        <v>27</v>
      </c>
      <c r="I1276" t="s">
        <v>27</v>
      </c>
      <c r="J1276" t="s">
        <v>28</v>
      </c>
      <c r="K1276" t="s">
        <v>113</v>
      </c>
      <c r="N1276" t="s">
        <v>1689</v>
      </c>
      <c r="O1276" t="s">
        <v>1704</v>
      </c>
      <c r="P1276" s="1" t="s">
        <v>1691</v>
      </c>
      <c r="Q1276" s="1" t="s">
        <v>1705</v>
      </c>
      <c r="R1276" s="140" t="s">
        <v>4455</v>
      </c>
      <c r="S1276" s="1"/>
    </row>
    <row r="1277" spans="1:19">
      <c r="A1277" s="59">
        <v>269</v>
      </c>
      <c r="B1277" t="s">
        <v>1687</v>
      </c>
      <c r="C1277" t="s">
        <v>1688</v>
      </c>
      <c r="D1277" s="81">
        <v>0</v>
      </c>
      <c r="E1277" s="97">
        <v>1</v>
      </c>
      <c r="F1277" s="97" t="s">
        <v>112</v>
      </c>
      <c r="G1277" t="s">
        <v>27</v>
      </c>
      <c r="H1277" t="s">
        <v>27</v>
      </c>
      <c r="I1277" t="s">
        <v>27</v>
      </c>
      <c r="J1277" t="s">
        <v>28</v>
      </c>
      <c r="K1277" t="s">
        <v>113</v>
      </c>
      <c r="N1277" t="s">
        <v>1689</v>
      </c>
      <c r="O1277" t="s">
        <v>1706</v>
      </c>
      <c r="P1277" s="1" t="s">
        <v>1691</v>
      </c>
      <c r="Q1277" s="1" t="s">
        <v>1705</v>
      </c>
      <c r="R1277" s="140" t="s">
        <v>4455</v>
      </c>
      <c r="S1277" s="1"/>
    </row>
    <row r="1278" spans="1:19" hidden="1">
      <c r="A1278" s="59">
        <v>269</v>
      </c>
      <c r="B1278" t="s">
        <v>1687</v>
      </c>
      <c r="C1278" t="s">
        <v>1688</v>
      </c>
      <c r="D1278" s="81">
        <v>0</v>
      </c>
      <c r="E1278" s="97">
        <v>1</v>
      </c>
      <c r="F1278" s="97" t="s">
        <v>112</v>
      </c>
      <c r="G1278" t="s">
        <v>27</v>
      </c>
      <c r="H1278" t="s">
        <v>27</v>
      </c>
      <c r="I1278" t="s">
        <v>27</v>
      </c>
      <c r="J1278" s="133" t="s">
        <v>27</v>
      </c>
      <c r="K1278" t="s">
        <v>113</v>
      </c>
      <c r="L1278" t="s">
        <v>1701</v>
      </c>
      <c r="N1278" t="s">
        <v>51</v>
      </c>
      <c r="O1278" t="s">
        <v>1707</v>
      </c>
      <c r="P1278" s="1" t="s">
        <v>1691</v>
      </c>
      <c r="Q1278" s="1"/>
      <c r="R1278" s="140"/>
      <c r="S1278" s="1"/>
    </row>
    <row r="1279" spans="1:19">
      <c r="A1279" s="59">
        <v>274</v>
      </c>
      <c r="B1279" t="s">
        <v>1687</v>
      </c>
      <c r="C1279" t="s">
        <v>1708</v>
      </c>
      <c r="D1279" s="81">
        <v>0</v>
      </c>
      <c r="E1279" s="97">
        <v>1</v>
      </c>
      <c r="F1279" s="97" t="s">
        <v>1709</v>
      </c>
      <c r="G1279" t="s">
        <v>27</v>
      </c>
      <c r="H1279" t="s">
        <v>27</v>
      </c>
      <c r="I1279" t="s">
        <v>27</v>
      </c>
      <c r="J1279" t="s">
        <v>28</v>
      </c>
      <c r="K1279" t="s">
        <v>113</v>
      </c>
      <c r="N1279" t="s">
        <v>1689</v>
      </c>
      <c r="O1279" t="s">
        <v>1710</v>
      </c>
      <c r="P1279" s="1" t="s">
        <v>1691</v>
      </c>
      <c r="Q1279" s="1" t="s">
        <v>1711</v>
      </c>
      <c r="R1279" s="140" t="s">
        <v>4456</v>
      </c>
      <c r="S1279" s="1"/>
    </row>
    <row r="1280" spans="1:19">
      <c r="A1280" s="59">
        <v>274</v>
      </c>
      <c r="B1280" t="s">
        <v>1687</v>
      </c>
      <c r="C1280" t="s">
        <v>1708</v>
      </c>
      <c r="D1280" s="81">
        <v>0</v>
      </c>
      <c r="E1280" s="97">
        <v>1</v>
      </c>
      <c r="F1280" s="97" t="s">
        <v>1709</v>
      </c>
      <c r="G1280" t="s">
        <v>27</v>
      </c>
      <c r="H1280" t="s">
        <v>27</v>
      </c>
      <c r="I1280" t="s">
        <v>27</v>
      </c>
      <c r="J1280" t="s">
        <v>28</v>
      </c>
      <c r="K1280" t="s">
        <v>113</v>
      </c>
      <c r="N1280" t="s">
        <v>1689</v>
      </c>
      <c r="O1280" t="s">
        <v>1712</v>
      </c>
      <c r="P1280" s="1" t="s">
        <v>1691</v>
      </c>
      <c r="Q1280" s="1" t="s">
        <v>1713</v>
      </c>
      <c r="R1280" s="140" t="s">
        <v>4456</v>
      </c>
      <c r="S1280" s="1"/>
    </row>
    <row r="1281" spans="1:19">
      <c r="A1281" s="59">
        <v>275</v>
      </c>
      <c r="B1281" t="s">
        <v>1687</v>
      </c>
      <c r="C1281" t="s">
        <v>1714</v>
      </c>
      <c r="D1281" s="81">
        <v>0</v>
      </c>
      <c r="E1281" s="97">
        <v>1</v>
      </c>
      <c r="F1281" s="97" t="s">
        <v>1709</v>
      </c>
      <c r="G1281" t="s">
        <v>27</v>
      </c>
      <c r="H1281" t="s">
        <v>27</v>
      </c>
      <c r="I1281" t="s">
        <v>27</v>
      </c>
      <c r="J1281" t="s">
        <v>28</v>
      </c>
      <c r="K1281" t="s">
        <v>113</v>
      </c>
      <c r="N1281" t="s">
        <v>1689</v>
      </c>
      <c r="O1281" t="s">
        <v>1715</v>
      </c>
      <c r="P1281" s="1" t="s">
        <v>1691</v>
      </c>
      <c r="Q1281" s="1" t="s">
        <v>1716</v>
      </c>
      <c r="R1281" s="140" t="s">
        <v>4456</v>
      </c>
      <c r="S1281" s="1"/>
    </row>
    <row r="1282" spans="1:19">
      <c r="A1282" s="59">
        <v>276</v>
      </c>
      <c r="B1282" t="s">
        <v>1687</v>
      </c>
      <c r="C1282" t="s">
        <v>1717</v>
      </c>
      <c r="D1282" s="81">
        <v>0</v>
      </c>
      <c r="E1282" s="97">
        <v>1</v>
      </c>
      <c r="F1282" s="97" t="s">
        <v>1709</v>
      </c>
      <c r="G1282" t="s">
        <v>27</v>
      </c>
      <c r="H1282" t="s">
        <v>27</v>
      </c>
      <c r="I1282" t="s">
        <v>27</v>
      </c>
      <c r="J1282" t="s">
        <v>28</v>
      </c>
      <c r="K1282" t="s">
        <v>113</v>
      </c>
      <c r="N1282" t="s">
        <v>1689</v>
      </c>
      <c r="O1282" t="s">
        <v>1718</v>
      </c>
      <c r="P1282" s="1" t="s">
        <v>1691</v>
      </c>
      <c r="Q1282" s="1" t="s">
        <v>1719</v>
      </c>
      <c r="R1282" s="140" t="s">
        <v>4456</v>
      </c>
      <c r="S1282" s="1"/>
    </row>
    <row r="1283" spans="1:19" hidden="1">
      <c r="A1283" s="59">
        <v>278</v>
      </c>
      <c r="B1283" t="s">
        <v>1687</v>
      </c>
      <c r="C1283" t="s">
        <v>1708</v>
      </c>
      <c r="D1283" s="81">
        <v>0</v>
      </c>
      <c r="E1283" s="97" t="s">
        <v>614</v>
      </c>
      <c r="F1283" s="97" t="s">
        <v>1720</v>
      </c>
      <c r="G1283" t="s">
        <v>27</v>
      </c>
      <c r="H1283" t="s">
        <v>27</v>
      </c>
      <c r="I1283" t="s">
        <v>27</v>
      </c>
      <c r="J1283" t="s">
        <v>27</v>
      </c>
      <c r="K1283" t="s">
        <v>113</v>
      </c>
      <c r="L1283" t="s">
        <v>1701</v>
      </c>
      <c r="N1283" t="s">
        <v>51</v>
      </c>
      <c r="O1283" t="s">
        <v>1721</v>
      </c>
      <c r="P1283" s="1" t="s">
        <v>1691</v>
      </c>
      <c r="Q1283" s="1"/>
      <c r="R1283" s="140"/>
      <c r="S1283" s="1"/>
    </row>
    <row r="1284" spans="1:19" hidden="1">
      <c r="A1284" s="59">
        <v>277</v>
      </c>
      <c r="B1284" t="s">
        <v>1687</v>
      </c>
      <c r="C1284" t="s">
        <v>1708</v>
      </c>
      <c r="D1284" s="81">
        <v>0</v>
      </c>
      <c r="E1284" s="97" t="s">
        <v>614</v>
      </c>
      <c r="F1284" s="97" t="s">
        <v>1722</v>
      </c>
      <c r="G1284" t="s">
        <v>27</v>
      </c>
      <c r="H1284" t="s">
        <v>27</v>
      </c>
      <c r="I1284" t="s">
        <v>27</v>
      </c>
      <c r="J1284" s="133" t="s">
        <v>27</v>
      </c>
      <c r="K1284" t="s">
        <v>113</v>
      </c>
      <c r="L1284" t="s">
        <v>1701</v>
      </c>
      <c r="N1284" t="s">
        <v>51</v>
      </c>
      <c r="O1284" t="s">
        <v>1723</v>
      </c>
      <c r="P1284" s="1" t="s">
        <v>1691</v>
      </c>
      <c r="Q1284" s="1"/>
      <c r="R1284" s="140"/>
      <c r="S1284" s="1"/>
    </row>
    <row r="1285" spans="1:19" hidden="1">
      <c r="A1285" s="59">
        <v>279</v>
      </c>
      <c r="B1285" t="s">
        <v>1687</v>
      </c>
      <c r="C1285" t="s">
        <v>1714</v>
      </c>
      <c r="D1285" s="81">
        <v>0</v>
      </c>
      <c r="E1285" s="97" t="s">
        <v>614</v>
      </c>
      <c r="F1285" s="97" t="s">
        <v>1722</v>
      </c>
      <c r="G1285" t="s">
        <v>27</v>
      </c>
      <c r="H1285" t="s">
        <v>27</v>
      </c>
      <c r="I1285" t="s">
        <v>27</v>
      </c>
      <c r="J1285" s="133" t="s">
        <v>27</v>
      </c>
      <c r="K1285" t="s">
        <v>113</v>
      </c>
      <c r="L1285" t="s">
        <v>1701</v>
      </c>
      <c r="N1285" t="s">
        <v>51</v>
      </c>
      <c r="O1285" t="s">
        <v>1724</v>
      </c>
      <c r="P1285" s="1" t="s">
        <v>1691</v>
      </c>
      <c r="Q1285" s="1"/>
      <c r="R1285" s="140"/>
      <c r="S1285" s="1"/>
    </row>
    <row r="1286" spans="1:19" hidden="1">
      <c r="A1286" s="59">
        <v>280</v>
      </c>
      <c r="B1286" t="s">
        <v>1687</v>
      </c>
      <c r="C1286" t="s">
        <v>1708</v>
      </c>
      <c r="D1286" s="81">
        <v>0</v>
      </c>
      <c r="E1286" s="97" t="s">
        <v>668</v>
      </c>
      <c r="F1286" s="97" t="s">
        <v>1725</v>
      </c>
      <c r="G1286" t="s">
        <v>27</v>
      </c>
      <c r="H1286" t="s">
        <v>27</v>
      </c>
      <c r="I1286" t="s">
        <v>27</v>
      </c>
      <c r="J1286" s="133" t="s">
        <v>27</v>
      </c>
      <c r="K1286" t="s">
        <v>113</v>
      </c>
      <c r="L1286" t="s">
        <v>1701</v>
      </c>
      <c r="N1286" t="s">
        <v>51</v>
      </c>
      <c r="O1286" t="s">
        <v>1726</v>
      </c>
      <c r="P1286" s="1" t="s">
        <v>1691</v>
      </c>
      <c r="Q1286" s="1"/>
      <c r="R1286" s="140"/>
      <c r="S1286" s="1"/>
    </row>
    <row r="1287" spans="1:19" hidden="1">
      <c r="A1287" s="59">
        <v>281</v>
      </c>
      <c r="B1287" t="s">
        <v>1687</v>
      </c>
      <c r="C1287" t="s">
        <v>1717</v>
      </c>
      <c r="D1287" s="81">
        <v>0</v>
      </c>
      <c r="E1287" s="97" t="s">
        <v>668</v>
      </c>
      <c r="F1287" s="97" t="s">
        <v>1725</v>
      </c>
      <c r="G1287" t="s">
        <v>27</v>
      </c>
      <c r="H1287" t="s">
        <v>27</v>
      </c>
      <c r="I1287" t="s">
        <v>27</v>
      </c>
      <c r="J1287" s="133" t="s">
        <v>27</v>
      </c>
      <c r="K1287" t="s">
        <v>113</v>
      </c>
      <c r="L1287" t="s">
        <v>1701</v>
      </c>
      <c r="N1287" t="s">
        <v>51</v>
      </c>
      <c r="O1287" t="s">
        <v>1727</v>
      </c>
      <c r="P1287" s="1" t="s">
        <v>1691</v>
      </c>
      <c r="Q1287" s="1"/>
      <c r="R1287" s="140"/>
      <c r="S1287" s="1"/>
    </row>
    <row r="1288" spans="1:19" hidden="1">
      <c r="A1288" s="59">
        <v>281</v>
      </c>
      <c r="B1288" t="s">
        <v>1687</v>
      </c>
      <c r="C1288" t="s">
        <v>1717</v>
      </c>
      <c r="D1288" s="81">
        <v>0</v>
      </c>
      <c r="E1288" s="97" t="s">
        <v>668</v>
      </c>
      <c r="F1288" s="97" t="s">
        <v>1725</v>
      </c>
      <c r="G1288" t="s">
        <v>27</v>
      </c>
      <c r="H1288" t="s">
        <v>27</v>
      </c>
      <c r="I1288" t="s">
        <v>27</v>
      </c>
      <c r="J1288" s="133" t="s">
        <v>27</v>
      </c>
      <c r="K1288" t="s">
        <v>113</v>
      </c>
      <c r="L1288" t="s">
        <v>1701</v>
      </c>
      <c r="N1288" t="s">
        <v>51</v>
      </c>
      <c r="O1288" t="s">
        <v>1728</v>
      </c>
      <c r="P1288" s="1" t="s">
        <v>1691</v>
      </c>
      <c r="Q1288" s="1"/>
      <c r="R1288" s="140"/>
      <c r="S1288" s="1"/>
    </row>
    <row r="1289" spans="1:19" hidden="1">
      <c r="A1289" s="59">
        <v>270</v>
      </c>
      <c r="B1289" t="s">
        <v>1687</v>
      </c>
      <c r="C1289" t="s">
        <v>1688</v>
      </c>
      <c r="D1289" s="81">
        <v>0</v>
      </c>
      <c r="E1289" s="97">
        <v>1</v>
      </c>
      <c r="F1289" s="97" t="s">
        <v>26</v>
      </c>
      <c r="G1289" t="s">
        <v>27</v>
      </c>
      <c r="H1289" t="s">
        <v>27</v>
      </c>
      <c r="I1289" t="s">
        <v>27</v>
      </c>
      <c r="J1289" s="133" t="s">
        <v>27</v>
      </c>
      <c r="K1289" t="s">
        <v>113</v>
      </c>
      <c r="L1289" t="s">
        <v>1701</v>
      </c>
      <c r="N1289" t="s">
        <v>51</v>
      </c>
      <c r="O1289" t="s">
        <v>1729</v>
      </c>
      <c r="P1289" s="1" t="s">
        <v>1691</v>
      </c>
      <c r="Q1289" s="1"/>
      <c r="R1289" s="140"/>
      <c r="S1289" s="1"/>
    </row>
    <row r="1290" spans="1:19">
      <c r="A1290" s="59">
        <v>270</v>
      </c>
      <c r="B1290" t="s">
        <v>1687</v>
      </c>
      <c r="C1290" t="s">
        <v>1688</v>
      </c>
      <c r="D1290" s="81">
        <v>0</v>
      </c>
      <c r="E1290" s="97">
        <v>1</v>
      </c>
      <c r="F1290" s="97" t="s">
        <v>26</v>
      </c>
      <c r="G1290" t="s">
        <v>27</v>
      </c>
      <c r="H1290" t="s">
        <v>27</v>
      </c>
      <c r="I1290" t="s">
        <v>27</v>
      </c>
      <c r="J1290" t="s">
        <v>28</v>
      </c>
      <c r="K1290" t="s">
        <v>113</v>
      </c>
      <c r="N1290" t="s">
        <v>1689</v>
      </c>
      <c r="O1290" t="s">
        <v>1730</v>
      </c>
      <c r="P1290" s="1" t="s">
        <v>1691</v>
      </c>
      <c r="Q1290" s="1" t="s">
        <v>1731</v>
      </c>
      <c r="R1290" s="140" t="s">
        <v>4455</v>
      </c>
      <c r="S1290" s="1"/>
    </row>
    <row r="1291" spans="1:19" hidden="1">
      <c r="A1291" s="59">
        <v>270</v>
      </c>
      <c r="B1291" t="s">
        <v>1687</v>
      </c>
      <c r="C1291" t="s">
        <v>1688</v>
      </c>
      <c r="D1291" s="81">
        <v>0</v>
      </c>
      <c r="E1291" s="97">
        <v>1</v>
      </c>
      <c r="F1291" s="97" t="s">
        <v>26</v>
      </c>
      <c r="G1291" t="s">
        <v>27</v>
      </c>
      <c r="H1291" t="s">
        <v>27</v>
      </c>
      <c r="I1291" t="s">
        <v>27</v>
      </c>
      <c r="J1291" s="133" t="s">
        <v>27</v>
      </c>
      <c r="K1291" t="s">
        <v>113</v>
      </c>
      <c r="L1291" t="s">
        <v>1701</v>
      </c>
      <c r="N1291" t="s">
        <v>51</v>
      </c>
      <c r="O1291" t="s">
        <v>1732</v>
      </c>
      <c r="P1291" s="1" t="s">
        <v>1691</v>
      </c>
      <c r="Q1291" s="1"/>
      <c r="R1291" s="140"/>
      <c r="S1291" s="1"/>
    </row>
    <row r="1292" spans="1:19">
      <c r="A1292" s="59">
        <v>270</v>
      </c>
      <c r="B1292" t="s">
        <v>1687</v>
      </c>
      <c r="C1292" t="s">
        <v>1688</v>
      </c>
      <c r="D1292" s="81">
        <v>0</v>
      </c>
      <c r="E1292" s="97">
        <v>1</v>
      </c>
      <c r="F1292" s="97" t="s">
        <v>26</v>
      </c>
      <c r="G1292" t="s">
        <v>27</v>
      </c>
      <c r="H1292" t="s">
        <v>27</v>
      </c>
      <c r="I1292" t="s">
        <v>27</v>
      </c>
      <c r="J1292" t="s">
        <v>28</v>
      </c>
      <c r="K1292" t="s">
        <v>113</v>
      </c>
      <c r="N1292" t="s">
        <v>1689</v>
      </c>
      <c r="O1292" t="s">
        <v>1733</v>
      </c>
      <c r="P1292" s="1" t="s">
        <v>1691</v>
      </c>
      <c r="Q1292" s="1" t="s">
        <v>1731</v>
      </c>
      <c r="R1292" s="140" t="s">
        <v>4455</v>
      </c>
      <c r="S1292" s="1"/>
    </row>
    <row r="1293" spans="1:19">
      <c r="A1293" s="59">
        <v>283</v>
      </c>
      <c r="B1293" t="s">
        <v>1687</v>
      </c>
      <c r="C1293" t="s">
        <v>1734</v>
      </c>
      <c r="D1293" s="81">
        <v>0</v>
      </c>
      <c r="E1293" s="97" t="s">
        <v>614</v>
      </c>
      <c r="F1293" s="97" t="s">
        <v>1735</v>
      </c>
      <c r="G1293" t="s">
        <v>27</v>
      </c>
      <c r="H1293" t="s">
        <v>27</v>
      </c>
      <c r="I1293" t="s">
        <v>27</v>
      </c>
      <c r="J1293" t="s">
        <v>28</v>
      </c>
      <c r="K1293" t="s">
        <v>113</v>
      </c>
      <c r="N1293" t="s">
        <v>1689</v>
      </c>
      <c r="O1293" t="s">
        <v>1736</v>
      </c>
      <c r="P1293" s="1" t="s">
        <v>1691</v>
      </c>
      <c r="Q1293" s="1" t="s">
        <v>1737</v>
      </c>
      <c r="R1293" s="140" t="s">
        <v>4456</v>
      </c>
      <c r="S1293" s="1"/>
    </row>
    <row r="1294" spans="1:19" hidden="1">
      <c r="A1294" s="59">
        <v>283</v>
      </c>
      <c r="B1294" t="s">
        <v>1687</v>
      </c>
      <c r="C1294" t="s">
        <v>1734</v>
      </c>
      <c r="D1294" s="81">
        <v>0</v>
      </c>
      <c r="E1294" s="97" t="s">
        <v>614</v>
      </c>
      <c r="F1294" s="97" t="s">
        <v>1735</v>
      </c>
      <c r="G1294" t="s">
        <v>27</v>
      </c>
      <c r="H1294" t="s">
        <v>27</v>
      </c>
      <c r="I1294" t="s">
        <v>27</v>
      </c>
      <c r="J1294" s="133" t="s">
        <v>27</v>
      </c>
      <c r="K1294" t="s">
        <v>113</v>
      </c>
      <c r="L1294" t="s">
        <v>1701</v>
      </c>
      <c r="N1294" t="s">
        <v>51</v>
      </c>
      <c r="O1294" t="s">
        <v>1738</v>
      </c>
      <c r="P1294" s="1" t="s">
        <v>1691</v>
      </c>
      <c r="Q1294" s="1"/>
      <c r="R1294" s="140"/>
      <c r="S1294" s="1"/>
    </row>
    <row r="1295" spans="1:19" s="130" customFormat="1" hidden="1">
      <c r="A1295" s="130">
        <v>283</v>
      </c>
      <c r="B1295" s="130" t="s">
        <v>1687</v>
      </c>
      <c r="C1295" s="130" t="s">
        <v>1734</v>
      </c>
      <c r="D1295" s="81">
        <v>0</v>
      </c>
      <c r="E1295" s="98" t="s">
        <v>614</v>
      </c>
      <c r="F1295" s="98" t="s">
        <v>1735</v>
      </c>
      <c r="G1295" s="130" t="s">
        <v>27</v>
      </c>
      <c r="H1295" s="130" t="s">
        <v>27</v>
      </c>
      <c r="I1295" s="130" t="s">
        <v>27</v>
      </c>
      <c r="J1295" s="130" t="s">
        <v>27</v>
      </c>
      <c r="K1295" s="130" t="s">
        <v>113</v>
      </c>
      <c r="L1295" s="130" t="s">
        <v>157</v>
      </c>
      <c r="N1295" s="130" t="s">
        <v>1739</v>
      </c>
      <c r="O1295" s="130" t="s">
        <v>1740</v>
      </c>
      <c r="P1295" s="63" t="s">
        <v>1691</v>
      </c>
      <c r="Q1295" s="63"/>
      <c r="R1295" s="63"/>
      <c r="S1295" s="63"/>
    </row>
    <row r="1296" spans="1:19" hidden="1">
      <c r="A1296" s="59">
        <v>282</v>
      </c>
      <c r="B1296" t="s">
        <v>1687</v>
      </c>
      <c r="C1296" t="s">
        <v>1734</v>
      </c>
      <c r="D1296" s="81">
        <v>0</v>
      </c>
      <c r="E1296" s="97" t="s">
        <v>614</v>
      </c>
      <c r="F1296" s="97" t="s">
        <v>1741</v>
      </c>
      <c r="G1296" t="s">
        <v>27</v>
      </c>
      <c r="H1296" t="s">
        <v>27</v>
      </c>
      <c r="I1296" t="s">
        <v>27</v>
      </c>
      <c r="J1296" s="133" t="s">
        <v>27</v>
      </c>
      <c r="K1296" t="s">
        <v>113</v>
      </c>
      <c r="L1296" t="s">
        <v>1701</v>
      </c>
      <c r="N1296" t="s">
        <v>51</v>
      </c>
      <c r="O1296" t="s">
        <v>1742</v>
      </c>
      <c r="P1296" s="1" t="s">
        <v>1691</v>
      </c>
      <c r="Q1296" s="1"/>
      <c r="R1296" s="140"/>
      <c r="S1296" s="1"/>
    </row>
    <row r="1297" spans="1:19" hidden="1">
      <c r="A1297" s="59">
        <v>282</v>
      </c>
      <c r="B1297" t="s">
        <v>1687</v>
      </c>
      <c r="C1297" t="s">
        <v>1734</v>
      </c>
      <c r="D1297" s="81">
        <v>0</v>
      </c>
      <c r="E1297" s="97" t="s">
        <v>614</v>
      </c>
      <c r="F1297" s="97" t="s">
        <v>1741</v>
      </c>
      <c r="G1297" t="s">
        <v>27</v>
      </c>
      <c r="H1297" t="s">
        <v>27</v>
      </c>
      <c r="I1297" t="s">
        <v>27</v>
      </c>
      <c r="J1297" s="133" t="s">
        <v>27</v>
      </c>
      <c r="K1297" t="s">
        <v>113</v>
      </c>
      <c r="L1297" t="s">
        <v>1701</v>
      </c>
      <c r="N1297" t="s">
        <v>51</v>
      </c>
      <c r="O1297" t="s">
        <v>1743</v>
      </c>
      <c r="P1297" s="1" t="s">
        <v>1691</v>
      </c>
      <c r="Q1297" s="1"/>
      <c r="R1297" s="140"/>
      <c r="S1297" s="1"/>
    </row>
    <row r="1298" spans="1:19">
      <c r="A1298" s="59">
        <v>282</v>
      </c>
      <c r="B1298" t="s">
        <v>1687</v>
      </c>
      <c r="C1298" t="s">
        <v>1734</v>
      </c>
      <c r="D1298" s="81">
        <v>0</v>
      </c>
      <c r="E1298" s="97" t="s">
        <v>614</v>
      </c>
      <c r="F1298" s="97" t="s">
        <v>1741</v>
      </c>
      <c r="G1298" t="s">
        <v>27</v>
      </c>
      <c r="H1298" t="s">
        <v>27</v>
      </c>
      <c r="I1298" t="s">
        <v>27</v>
      </c>
      <c r="J1298" t="s">
        <v>28</v>
      </c>
      <c r="K1298" t="s">
        <v>113</v>
      </c>
      <c r="N1298" t="s">
        <v>1689</v>
      </c>
      <c r="O1298" t="s">
        <v>1744</v>
      </c>
      <c r="P1298" s="1" t="s">
        <v>1691</v>
      </c>
      <c r="Q1298" s="1" t="s">
        <v>1745</v>
      </c>
      <c r="R1298" s="140" t="s">
        <v>4456</v>
      </c>
      <c r="S1298" s="1"/>
    </row>
    <row r="1299" spans="1:19" hidden="1">
      <c r="A1299" s="59">
        <v>284</v>
      </c>
      <c r="B1299" t="s">
        <v>1687</v>
      </c>
      <c r="C1299" t="s">
        <v>1714</v>
      </c>
      <c r="D1299" s="81">
        <v>0</v>
      </c>
      <c r="E1299" s="97" t="s">
        <v>668</v>
      </c>
      <c r="F1299" s="97" t="s">
        <v>1746</v>
      </c>
      <c r="G1299" t="s">
        <v>27</v>
      </c>
      <c r="H1299" t="s">
        <v>27</v>
      </c>
      <c r="I1299" t="s">
        <v>27</v>
      </c>
      <c r="J1299" s="133" t="s">
        <v>27</v>
      </c>
      <c r="K1299" t="s">
        <v>113</v>
      </c>
      <c r="L1299" t="s">
        <v>1701</v>
      </c>
      <c r="N1299" t="s">
        <v>51</v>
      </c>
      <c r="O1299" t="s">
        <v>1747</v>
      </c>
      <c r="P1299" s="1" t="s">
        <v>1691</v>
      </c>
      <c r="Q1299" s="1"/>
      <c r="R1299" s="140"/>
      <c r="S1299" s="1"/>
    </row>
    <row r="1300" spans="1:19">
      <c r="A1300" s="59">
        <v>272</v>
      </c>
      <c r="B1300" t="s">
        <v>1687</v>
      </c>
      <c r="C1300" t="s">
        <v>1688</v>
      </c>
      <c r="D1300" s="81">
        <v>0</v>
      </c>
      <c r="E1300" s="97">
        <v>2</v>
      </c>
      <c r="F1300" s="97" t="s">
        <v>49</v>
      </c>
      <c r="G1300" t="s">
        <v>27</v>
      </c>
      <c r="H1300" t="s">
        <v>27</v>
      </c>
      <c r="I1300" t="s">
        <v>27</v>
      </c>
      <c r="J1300" t="s">
        <v>28</v>
      </c>
      <c r="K1300" t="s">
        <v>113</v>
      </c>
      <c r="N1300" t="s">
        <v>1689</v>
      </c>
      <c r="O1300" t="s">
        <v>1748</v>
      </c>
      <c r="P1300" s="1" t="s">
        <v>1691</v>
      </c>
      <c r="Q1300" s="1" t="s">
        <v>1749</v>
      </c>
      <c r="R1300" s="140" t="s">
        <v>4455</v>
      </c>
      <c r="S1300" s="1"/>
    </row>
    <row r="1301" spans="1:19">
      <c r="A1301" s="59">
        <v>272</v>
      </c>
      <c r="B1301" t="s">
        <v>1687</v>
      </c>
      <c r="C1301" t="s">
        <v>1688</v>
      </c>
      <c r="D1301" s="81">
        <v>0</v>
      </c>
      <c r="E1301" s="97">
        <v>2</v>
      </c>
      <c r="F1301" s="97" t="s">
        <v>49</v>
      </c>
      <c r="G1301" t="s">
        <v>27</v>
      </c>
      <c r="H1301" t="s">
        <v>27</v>
      </c>
      <c r="I1301" t="s">
        <v>27</v>
      </c>
      <c r="J1301" t="s">
        <v>28</v>
      </c>
      <c r="K1301" t="s">
        <v>113</v>
      </c>
      <c r="N1301" t="s">
        <v>1689</v>
      </c>
      <c r="O1301" t="s">
        <v>1750</v>
      </c>
      <c r="P1301" s="1" t="s">
        <v>1691</v>
      </c>
      <c r="Q1301" s="1" t="s">
        <v>1749</v>
      </c>
      <c r="R1301" s="140" t="s">
        <v>4455</v>
      </c>
      <c r="S1301" s="1"/>
    </row>
    <row r="1302" spans="1:19">
      <c r="A1302" s="59">
        <v>272</v>
      </c>
      <c r="B1302" t="s">
        <v>1687</v>
      </c>
      <c r="C1302" t="s">
        <v>1688</v>
      </c>
      <c r="D1302" s="81">
        <v>0</v>
      </c>
      <c r="E1302" s="97">
        <v>2</v>
      </c>
      <c r="F1302" s="97" t="s">
        <v>49</v>
      </c>
      <c r="G1302" t="s">
        <v>27</v>
      </c>
      <c r="H1302" t="s">
        <v>27</v>
      </c>
      <c r="I1302" t="s">
        <v>27</v>
      </c>
      <c r="J1302" t="s">
        <v>28</v>
      </c>
      <c r="K1302" t="s">
        <v>113</v>
      </c>
      <c r="N1302" t="s">
        <v>1689</v>
      </c>
      <c r="O1302" t="s">
        <v>1751</v>
      </c>
      <c r="P1302" s="1" t="s">
        <v>1691</v>
      </c>
      <c r="Q1302" s="1" t="s">
        <v>1749</v>
      </c>
      <c r="R1302" s="140" t="s">
        <v>4455</v>
      </c>
      <c r="S1302" s="1"/>
    </row>
    <row r="1303" spans="1:19">
      <c r="A1303" s="59">
        <v>272</v>
      </c>
      <c r="B1303" t="s">
        <v>1687</v>
      </c>
      <c r="C1303" t="s">
        <v>1688</v>
      </c>
      <c r="D1303" s="81">
        <v>0</v>
      </c>
      <c r="E1303" s="97">
        <v>2</v>
      </c>
      <c r="F1303" s="97" t="s">
        <v>49</v>
      </c>
      <c r="G1303" t="s">
        <v>27</v>
      </c>
      <c r="H1303" t="s">
        <v>27</v>
      </c>
      <c r="I1303" t="s">
        <v>27</v>
      </c>
      <c r="J1303" t="s">
        <v>28</v>
      </c>
      <c r="K1303" t="s">
        <v>113</v>
      </c>
      <c r="N1303" t="s">
        <v>1689</v>
      </c>
      <c r="O1303" t="s">
        <v>1752</v>
      </c>
      <c r="P1303" s="1" t="s">
        <v>1691</v>
      </c>
      <c r="Q1303" s="1" t="s">
        <v>1753</v>
      </c>
      <c r="R1303" s="140" t="s">
        <v>4455</v>
      </c>
      <c r="S1303" s="1"/>
    </row>
    <row r="1304" spans="1:19" hidden="1">
      <c r="A1304" s="59">
        <v>272</v>
      </c>
      <c r="B1304" t="s">
        <v>1687</v>
      </c>
      <c r="C1304" t="s">
        <v>1688</v>
      </c>
      <c r="D1304" s="81">
        <v>0</v>
      </c>
      <c r="E1304" s="97">
        <v>2</v>
      </c>
      <c r="F1304" s="97" t="s">
        <v>49</v>
      </c>
      <c r="G1304" t="s">
        <v>27</v>
      </c>
      <c r="H1304" t="s">
        <v>27</v>
      </c>
      <c r="I1304" t="s">
        <v>27</v>
      </c>
      <c r="J1304" s="133" t="s">
        <v>27</v>
      </c>
      <c r="K1304" t="s">
        <v>113</v>
      </c>
      <c r="L1304" t="s">
        <v>1701</v>
      </c>
      <c r="N1304" t="s">
        <v>51</v>
      </c>
      <c r="O1304" t="s">
        <v>1754</v>
      </c>
      <c r="P1304" s="1" t="s">
        <v>1691</v>
      </c>
      <c r="Q1304" s="1"/>
      <c r="R1304" s="140"/>
      <c r="S1304" s="1"/>
    </row>
    <row r="1305" spans="1:19">
      <c r="A1305" s="59">
        <v>272</v>
      </c>
      <c r="B1305" t="s">
        <v>1687</v>
      </c>
      <c r="C1305" t="s">
        <v>1688</v>
      </c>
      <c r="D1305" s="81">
        <v>0</v>
      </c>
      <c r="E1305" s="97">
        <v>2</v>
      </c>
      <c r="F1305" s="97" t="s">
        <v>49</v>
      </c>
      <c r="G1305" t="s">
        <v>27</v>
      </c>
      <c r="H1305" t="s">
        <v>27</v>
      </c>
      <c r="I1305" t="s">
        <v>27</v>
      </c>
      <c r="J1305" t="s">
        <v>28</v>
      </c>
      <c r="K1305" t="s">
        <v>113</v>
      </c>
      <c r="N1305" t="s">
        <v>1689</v>
      </c>
      <c r="O1305" t="s">
        <v>1755</v>
      </c>
      <c r="P1305" s="1" t="s">
        <v>1691</v>
      </c>
      <c r="Q1305" s="1" t="s">
        <v>1753</v>
      </c>
      <c r="R1305" s="140" t="s">
        <v>4455</v>
      </c>
      <c r="S1305" s="1"/>
    </row>
    <row r="1306" spans="1:19" hidden="1">
      <c r="A1306" s="59">
        <v>272</v>
      </c>
      <c r="B1306" t="s">
        <v>1687</v>
      </c>
      <c r="C1306" t="s">
        <v>1688</v>
      </c>
      <c r="D1306" s="81">
        <v>0</v>
      </c>
      <c r="E1306" s="97">
        <v>2</v>
      </c>
      <c r="F1306" s="97" t="s">
        <v>49</v>
      </c>
      <c r="G1306" t="s">
        <v>27</v>
      </c>
      <c r="H1306" t="s">
        <v>27</v>
      </c>
      <c r="I1306" t="s">
        <v>27</v>
      </c>
      <c r="J1306" s="133" t="s">
        <v>27</v>
      </c>
      <c r="K1306" t="s">
        <v>113</v>
      </c>
      <c r="L1306" t="s">
        <v>1701</v>
      </c>
      <c r="N1306" t="s">
        <v>51</v>
      </c>
      <c r="O1306" t="s">
        <v>1756</v>
      </c>
      <c r="P1306" s="1" t="s">
        <v>1691</v>
      </c>
      <c r="Q1306" s="1"/>
      <c r="R1306" s="140"/>
      <c r="S1306" s="1"/>
    </row>
    <row r="1307" spans="1:19">
      <c r="A1307" s="59">
        <v>272</v>
      </c>
      <c r="B1307" t="s">
        <v>1687</v>
      </c>
      <c r="C1307" t="s">
        <v>1688</v>
      </c>
      <c r="D1307" s="81">
        <v>0</v>
      </c>
      <c r="E1307" s="97">
        <v>2</v>
      </c>
      <c r="F1307" s="97" t="s">
        <v>49</v>
      </c>
      <c r="G1307" t="s">
        <v>27</v>
      </c>
      <c r="H1307" t="s">
        <v>27</v>
      </c>
      <c r="I1307" t="s">
        <v>27</v>
      </c>
      <c r="J1307" t="s">
        <v>28</v>
      </c>
      <c r="K1307" t="s">
        <v>113</v>
      </c>
      <c r="N1307" t="s">
        <v>1689</v>
      </c>
      <c r="O1307" t="s">
        <v>1757</v>
      </c>
      <c r="P1307" s="1" t="s">
        <v>1691</v>
      </c>
      <c r="Q1307" s="1" t="s">
        <v>1758</v>
      </c>
      <c r="R1307" s="140" t="s">
        <v>4455</v>
      </c>
      <c r="S1307" s="1"/>
    </row>
    <row r="1308" spans="1:19">
      <c r="A1308" s="59">
        <v>272</v>
      </c>
      <c r="B1308" t="s">
        <v>1687</v>
      </c>
      <c r="C1308" t="s">
        <v>1688</v>
      </c>
      <c r="D1308" s="81">
        <v>0</v>
      </c>
      <c r="E1308" s="97">
        <v>2</v>
      </c>
      <c r="F1308" s="97" t="s">
        <v>49</v>
      </c>
      <c r="G1308" t="s">
        <v>27</v>
      </c>
      <c r="H1308" t="s">
        <v>27</v>
      </c>
      <c r="I1308" t="s">
        <v>27</v>
      </c>
      <c r="J1308" t="s">
        <v>28</v>
      </c>
      <c r="K1308" t="s">
        <v>113</v>
      </c>
      <c r="N1308" t="s">
        <v>1689</v>
      </c>
      <c r="O1308" t="s">
        <v>1759</v>
      </c>
      <c r="P1308" s="1" t="s">
        <v>1691</v>
      </c>
      <c r="Q1308" s="1" t="s">
        <v>1758</v>
      </c>
      <c r="R1308" s="140" t="s">
        <v>4455</v>
      </c>
      <c r="S1308" s="1"/>
    </row>
    <row r="1309" spans="1:19" hidden="1">
      <c r="A1309" s="59">
        <v>289</v>
      </c>
      <c r="B1309" t="s">
        <v>1687</v>
      </c>
      <c r="C1309" t="s">
        <v>1708</v>
      </c>
      <c r="D1309" s="81">
        <v>0</v>
      </c>
      <c r="E1309" s="97" t="s">
        <v>1760</v>
      </c>
      <c r="F1309" s="97" t="s">
        <v>1761</v>
      </c>
      <c r="G1309" t="s">
        <v>27</v>
      </c>
      <c r="H1309" t="s">
        <v>27</v>
      </c>
      <c r="I1309" t="s">
        <v>27</v>
      </c>
      <c r="J1309" s="133" t="s">
        <v>27</v>
      </c>
      <c r="K1309" t="s">
        <v>113</v>
      </c>
      <c r="L1309" t="s">
        <v>1701</v>
      </c>
      <c r="N1309" t="s">
        <v>51</v>
      </c>
      <c r="O1309" t="s">
        <v>1762</v>
      </c>
      <c r="P1309" s="1" t="s">
        <v>1691</v>
      </c>
      <c r="Q1309" s="1"/>
      <c r="R1309" s="140"/>
      <c r="S1309" s="1"/>
    </row>
    <row r="1310" spans="1:19">
      <c r="A1310" s="59">
        <v>289</v>
      </c>
      <c r="B1310" t="s">
        <v>1687</v>
      </c>
      <c r="C1310" t="s">
        <v>1708</v>
      </c>
      <c r="D1310" s="81">
        <v>0</v>
      </c>
      <c r="E1310" s="97" t="s">
        <v>1760</v>
      </c>
      <c r="F1310" s="97" t="s">
        <v>1761</v>
      </c>
      <c r="G1310" t="s">
        <v>27</v>
      </c>
      <c r="H1310" t="s">
        <v>27</v>
      </c>
      <c r="I1310" t="s">
        <v>27</v>
      </c>
      <c r="J1310" t="s">
        <v>28</v>
      </c>
      <c r="K1310" t="s">
        <v>113</v>
      </c>
      <c r="N1310" t="s">
        <v>1689</v>
      </c>
      <c r="O1310" t="s">
        <v>1763</v>
      </c>
      <c r="P1310" s="1" t="s">
        <v>1691</v>
      </c>
      <c r="Q1310" s="1" t="s">
        <v>1764</v>
      </c>
      <c r="R1310" s="140" t="s">
        <v>4456</v>
      </c>
      <c r="S1310" s="1"/>
    </row>
    <row r="1311" spans="1:19" hidden="1">
      <c r="A1311" s="59">
        <v>290</v>
      </c>
      <c r="B1311" t="s">
        <v>1687</v>
      </c>
      <c r="C1311" t="s">
        <v>1714</v>
      </c>
      <c r="D1311" s="81">
        <v>0</v>
      </c>
      <c r="E1311" s="97" t="s">
        <v>1760</v>
      </c>
      <c r="F1311" s="97" t="s">
        <v>1761</v>
      </c>
      <c r="G1311" t="s">
        <v>27</v>
      </c>
      <c r="H1311" t="s">
        <v>27</v>
      </c>
      <c r="I1311" t="s">
        <v>27</v>
      </c>
      <c r="J1311" s="133" t="s">
        <v>27</v>
      </c>
      <c r="K1311" t="s">
        <v>113</v>
      </c>
      <c r="L1311" t="s">
        <v>1701</v>
      </c>
      <c r="N1311" t="s">
        <v>51</v>
      </c>
      <c r="O1311" t="s">
        <v>1765</v>
      </c>
      <c r="P1311" s="1" t="s">
        <v>1691</v>
      </c>
      <c r="Q1311" s="1"/>
      <c r="R1311" s="140"/>
      <c r="S1311" s="1"/>
    </row>
    <row r="1312" spans="1:19" hidden="1">
      <c r="A1312" s="59">
        <v>290</v>
      </c>
      <c r="B1312" t="s">
        <v>1687</v>
      </c>
      <c r="C1312" t="s">
        <v>1714</v>
      </c>
      <c r="D1312" s="81">
        <v>0</v>
      </c>
      <c r="E1312" s="97" t="s">
        <v>1760</v>
      </c>
      <c r="F1312" s="97" t="s">
        <v>1761</v>
      </c>
      <c r="G1312" t="s">
        <v>27</v>
      </c>
      <c r="H1312" t="s">
        <v>27</v>
      </c>
      <c r="I1312" t="s">
        <v>27</v>
      </c>
      <c r="J1312" s="133" t="s">
        <v>27</v>
      </c>
      <c r="K1312" t="s">
        <v>113</v>
      </c>
      <c r="L1312" t="s">
        <v>1701</v>
      </c>
      <c r="N1312" t="s">
        <v>51</v>
      </c>
      <c r="O1312" t="s">
        <v>1766</v>
      </c>
      <c r="P1312" s="1" t="s">
        <v>1691</v>
      </c>
      <c r="Q1312" s="1"/>
      <c r="R1312" s="140"/>
      <c r="S1312" s="1"/>
    </row>
    <row r="1313" spans="1:19" hidden="1">
      <c r="A1313" s="59">
        <v>291</v>
      </c>
      <c r="B1313" t="s">
        <v>1687</v>
      </c>
      <c r="C1313" t="s">
        <v>1717</v>
      </c>
      <c r="D1313" s="81">
        <v>0</v>
      </c>
      <c r="E1313" s="97" t="s">
        <v>1767</v>
      </c>
      <c r="F1313" s="97" t="s">
        <v>1768</v>
      </c>
      <c r="G1313" t="s">
        <v>27</v>
      </c>
      <c r="H1313" t="s">
        <v>27</v>
      </c>
      <c r="I1313" t="s">
        <v>27</v>
      </c>
      <c r="J1313" s="133" t="s">
        <v>27</v>
      </c>
      <c r="K1313" t="s">
        <v>113</v>
      </c>
      <c r="L1313" t="s">
        <v>1701</v>
      </c>
      <c r="N1313" t="s">
        <v>51</v>
      </c>
      <c r="O1313" t="s">
        <v>1769</v>
      </c>
      <c r="P1313" s="1" t="s">
        <v>1691</v>
      </c>
      <c r="Q1313" s="1"/>
      <c r="R1313" s="140"/>
      <c r="S1313" s="1"/>
    </row>
    <row r="1314" spans="1:19" hidden="1">
      <c r="A1314" s="59">
        <v>292</v>
      </c>
      <c r="B1314" t="s">
        <v>1687</v>
      </c>
      <c r="C1314" t="s">
        <v>1734</v>
      </c>
      <c r="D1314" s="81">
        <v>0</v>
      </c>
      <c r="E1314" s="97" t="s">
        <v>1767</v>
      </c>
      <c r="F1314" s="97" t="s">
        <v>1768</v>
      </c>
      <c r="G1314" t="s">
        <v>27</v>
      </c>
      <c r="H1314" t="s">
        <v>27</v>
      </c>
      <c r="I1314" t="s">
        <v>27</v>
      </c>
      <c r="J1314" s="133" t="s">
        <v>27</v>
      </c>
      <c r="K1314" t="s">
        <v>113</v>
      </c>
      <c r="L1314" t="s">
        <v>1701</v>
      </c>
      <c r="N1314" t="s">
        <v>51</v>
      </c>
      <c r="O1314" t="s">
        <v>1770</v>
      </c>
      <c r="P1314" s="1" t="s">
        <v>1691</v>
      </c>
      <c r="Q1314" s="1"/>
      <c r="R1314" s="140"/>
      <c r="S1314" s="1"/>
    </row>
    <row r="1315" spans="1:19" hidden="1">
      <c r="A1315" s="59">
        <v>292</v>
      </c>
      <c r="B1315" t="s">
        <v>1687</v>
      </c>
      <c r="C1315" t="s">
        <v>1734</v>
      </c>
      <c r="D1315" s="81">
        <v>0</v>
      </c>
      <c r="E1315" s="97" t="s">
        <v>1767</v>
      </c>
      <c r="F1315" s="97" t="s">
        <v>1768</v>
      </c>
      <c r="G1315" t="s">
        <v>27</v>
      </c>
      <c r="H1315" t="s">
        <v>27</v>
      </c>
      <c r="I1315" t="s">
        <v>27</v>
      </c>
      <c r="J1315" s="133" t="s">
        <v>27</v>
      </c>
      <c r="K1315" t="s">
        <v>113</v>
      </c>
      <c r="L1315" t="s">
        <v>1701</v>
      </c>
      <c r="N1315" t="s">
        <v>51</v>
      </c>
      <c r="O1315" t="s">
        <v>1771</v>
      </c>
      <c r="P1315" s="1" t="s">
        <v>1691</v>
      </c>
      <c r="Q1315" s="1"/>
      <c r="R1315" s="140"/>
      <c r="S1315" s="1"/>
    </row>
    <row r="1316" spans="1:19">
      <c r="A1316" s="59">
        <v>292</v>
      </c>
      <c r="B1316" t="s">
        <v>1687</v>
      </c>
      <c r="C1316" t="s">
        <v>1734</v>
      </c>
      <c r="D1316" s="81">
        <v>0</v>
      </c>
      <c r="E1316" s="97" t="s">
        <v>1767</v>
      </c>
      <c r="F1316" s="97" t="s">
        <v>1768</v>
      </c>
      <c r="G1316" t="s">
        <v>27</v>
      </c>
      <c r="H1316" t="s">
        <v>27</v>
      </c>
      <c r="I1316" t="s">
        <v>27</v>
      </c>
      <c r="J1316" t="s">
        <v>28</v>
      </c>
      <c r="K1316" t="s">
        <v>113</v>
      </c>
      <c r="N1316" t="s">
        <v>1689</v>
      </c>
      <c r="O1316" t="s">
        <v>1772</v>
      </c>
      <c r="P1316" s="1" t="s">
        <v>1691</v>
      </c>
      <c r="Q1316" s="1" t="s">
        <v>1773</v>
      </c>
      <c r="R1316" s="140" t="s">
        <v>4456</v>
      </c>
      <c r="S1316" s="1"/>
    </row>
    <row r="1317" spans="1:19" hidden="1">
      <c r="A1317" s="59">
        <v>293</v>
      </c>
      <c r="B1317" t="s">
        <v>1687</v>
      </c>
      <c r="C1317" t="s">
        <v>1708</v>
      </c>
      <c r="D1317" s="81">
        <v>0</v>
      </c>
      <c r="E1317" s="97" t="s">
        <v>350</v>
      </c>
      <c r="F1317" s="97" t="s">
        <v>726</v>
      </c>
      <c r="G1317" t="s">
        <v>27</v>
      </c>
      <c r="H1317" t="s">
        <v>27</v>
      </c>
      <c r="I1317" t="s">
        <v>27</v>
      </c>
      <c r="J1317" s="133" t="s">
        <v>27</v>
      </c>
      <c r="K1317" t="s">
        <v>113</v>
      </c>
      <c r="L1317" t="s">
        <v>1701</v>
      </c>
      <c r="N1317" t="s">
        <v>51</v>
      </c>
      <c r="O1317" t="s">
        <v>1774</v>
      </c>
      <c r="P1317" s="1" t="s">
        <v>1691</v>
      </c>
      <c r="Q1317" s="1"/>
      <c r="R1317" s="140"/>
      <c r="S1317" s="1"/>
    </row>
    <row r="1318" spans="1:19" hidden="1">
      <c r="A1318" s="59">
        <v>293</v>
      </c>
      <c r="B1318" t="s">
        <v>1687</v>
      </c>
      <c r="C1318" t="s">
        <v>1708</v>
      </c>
      <c r="D1318" s="81">
        <v>0</v>
      </c>
      <c r="E1318" s="97" t="s">
        <v>350</v>
      </c>
      <c r="F1318" s="97" t="s">
        <v>726</v>
      </c>
      <c r="G1318" t="s">
        <v>27</v>
      </c>
      <c r="H1318" t="s">
        <v>27</v>
      </c>
      <c r="I1318" t="s">
        <v>27</v>
      </c>
      <c r="J1318" s="133" t="s">
        <v>27</v>
      </c>
      <c r="K1318" t="s">
        <v>113</v>
      </c>
      <c r="L1318" t="s">
        <v>1701</v>
      </c>
      <c r="N1318" t="s">
        <v>51</v>
      </c>
      <c r="O1318" t="s">
        <v>1775</v>
      </c>
      <c r="P1318" s="1" t="s">
        <v>1691</v>
      </c>
      <c r="Q1318" s="1"/>
      <c r="R1318" s="140"/>
      <c r="S1318" s="1"/>
    </row>
    <row r="1319" spans="1:19">
      <c r="A1319" s="59">
        <v>273</v>
      </c>
      <c r="B1319" t="s">
        <v>1687</v>
      </c>
      <c r="C1319" t="s">
        <v>1688</v>
      </c>
      <c r="D1319" s="81">
        <v>0</v>
      </c>
      <c r="E1319" s="97">
        <v>2</v>
      </c>
      <c r="F1319" s="97" t="s">
        <v>67</v>
      </c>
      <c r="G1319" t="s">
        <v>27</v>
      </c>
      <c r="H1319" t="s">
        <v>27</v>
      </c>
      <c r="I1319" t="s">
        <v>27</v>
      </c>
      <c r="J1319" t="s">
        <v>28</v>
      </c>
      <c r="K1319" t="s">
        <v>113</v>
      </c>
      <c r="N1319" t="s">
        <v>1689</v>
      </c>
      <c r="O1319" t="s">
        <v>1776</v>
      </c>
      <c r="P1319" s="1" t="s">
        <v>1691</v>
      </c>
      <c r="Q1319" s="1" t="s">
        <v>1749</v>
      </c>
      <c r="R1319" s="140" t="s">
        <v>4455</v>
      </c>
      <c r="S1319" s="1"/>
    </row>
    <row r="1320" spans="1:19" hidden="1">
      <c r="A1320" s="59">
        <v>273</v>
      </c>
      <c r="B1320" t="s">
        <v>1687</v>
      </c>
      <c r="C1320" t="s">
        <v>1688</v>
      </c>
      <c r="D1320" s="81">
        <v>0</v>
      </c>
      <c r="E1320" s="97">
        <v>2</v>
      </c>
      <c r="F1320" s="97" t="s">
        <v>67</v>
      </c>
      <c r="G1320" t="s">
        <v>27</v>
      </c>
      <c r="H1320" t="s">
        <v>27</v>
      </c>
      <c r="I1320" t="s">
        <v>27</v>
      </c>
      <c r="J1320" s="133" t="s">
        <v>27</v>
      </c>
      <c r="K1320" t="s">
        <v>113</v>
      </c>
      <c r="L1320" t="s">
        <v>1701</v>
      </c>
      <c r="N1320" t="s">
        <v>51</v>
      </c>
      <c r="O1320" t="s">
        <v>1777</v>
      </c>
      <c r="P1320" s="1" t="s">
        <v>1691</v>
      </c>
      <c r="Q1320" s="1"/>
      <c r="R1320" s="140"/>
      <c r="S1320" s="1"/>
    </row>
    <row r="1321" spans="1:19">
      <c r="A1321" s="59">
        <v>273</v>
      </c>
      <c r="B1321" t="s">
        <v>1687</v>
      </c>
      <c r="C1321" t="s">
        <v>1688</v>
      </c>
      <c r="D1321" s="81">
        <v>0</v>
      </c>
      <c r="E1321" s="97">
        <v>2</v>
      </c>
      <c r="F1321" s="97" t="s">
        <v>67</v>
      </c>
      <c r="G1321" t="s">
        <v>27</v>
      </c>
      <c r="H1321" t="s">
        <v>27</v>
      </c>
      <c r="I1321" t="s">
        <v>27</v>
      </c>
      <c r="J1321" t="s">
        <v>28</v>
      </c>
      <c r="K1321" t="s">
        <v>113</v>
      </c>
      <c r="N1321" t="s">
        <v>1689</v>
      </c>
      <c r="O1321" t="s">
        <v>1778</v>
      </c>
      <c r="P1321" s="1" t="s">
        <v>1691</v>
      </c>
      <c r="Q1321" s="1" t="s">
        <v>1753</v>
      </c>
      <c r="R1321" s="140" t="s">
        <v>4455</v>
      </c>
      <c r="S1321" s="1"/>
    </row>
    <row r="1322" spans="1:19" hidden="1">
      <c r="A1322" s="59">
        <v>273</v>
      </c>
      <c r="B1322" t="s">
        <v>1687</v>
      </c>
      <c r="C1322" t="s">
        <v>1688</v>
      </c>
      <c r="D1322" s="81">
        <v>0</v>
      </c>
      <c r="E1322" s="97">
        <v>2</v>
      </c>
      <c r="F1322" s="97" t="s">
        <v>67</v>
      </c>
      <c r="G1322" t="s">
        <v>27</v>
      </c>
      <c r="H1322" t="s">
        <v>27</v>
      </c>
      <c r="I1322" t="s">
        <v>27</v>
      </c>
      <c r="J1322" s="133" t="s">
        <v>27</v>
      </c>
      <c r="K1322" t="s">
        <v>113</v>
      </c>
      <c r="L1322" t="s">
        <v>1701</v>
      </c>
      <c r="N1322" t="s">
        <v>51</v>
      </c>
      <c r="O1322" t="s">
        <v>1779</v>
      </c>
      <c r="P1322" s="1" t="s">
        <v>1691</v>
      </c>
      <c r="Q1322" s="1"/>
      <c r="R1322" s="140"/>
      <c r="S1322" s="1"/>
    </row>
    <row r="1323" spans="1:19" hidden="1">
      <c r="A1323" s="59">
        <v>273</v>
      </c>
      <c r="B1323" t="s">
        <v>1687</v>
      </c>
      <c r="C1323" t="s">
        <v>1688</v>
      </c>
      <c r="D1323" s="81">
        <v>0</v>
      </c>
      <c r="E1323" s="97">
        <v>2</v>
      </c>
      <c r="F1323" s="97" t="s">
        <v>67</v>
      </c>
      <c r="G1323" t="s">
        <v>27</v>
      </c>
      <c r="H1323" t="s">
        <v>27</v>
      </c>
      <c r="I1323" t="s">
        <v>27</v>
      </c>
      <c r="J1323" s="133" t="s">
        <v>27</v>
      </c>
      <c r="K1323" t="s">
        <v>113</v>
      </c>
      <c r="L1323" t="s">
        <v>1701</v>
      </c>
      <c r="N1323" t="s">
        <v>51</v>
      </c>
      <c r="O1323" t="s">
        <v>1780</v>
      </c>
      <c r="P1323" s="1" t="s">
        <v>1691</v>
      </c>
      <c r="Q1323" s="1"/>
      <c r="R1323" s="140"/>
      <c r="S1323" s="1"/>
    </row>
    <row r="1324" spans="1:19">
      <c r="A1324" s="59">
        <v>273</v>
      </c>
      <c r="B1324" t="s">
        <v>1687</v>
      </c>
      <c r="C1324" t="s">
        <v>1688</v>
      </c>
      <c r="D1324" s="81">
        <v>0</v>
      </c>
      <c r="E1324" s="97">
        <v>2</v>
      </c>
      <c r="F1324" s="97" t="s">
        <v>67</v>
      </c>
      <c r="G1324" t="s">
        <v>27</v>
      </c>
      <c r="H1324" t="s">
        <v>27</v>
      </c>
      <c r="I1324" t="s">
        <v>27</v>
      </c>
      <c r="J1324" t="s">
        <v>28</v>
      </c>
      <c r="K1324" t="s">
        <v>113</v>
      </c>
      <c r="N1324" t="s">
        <v>1689</v>
      </c>
      <c r="O1324" t="s">
        <v>1781</v>
      </c>
      <c r="P1324" s="1" t="s">
        <v>1691</v>
      </c>
      <c r="Q1324" s="1" t="s">
        <v>1758</v>
      </c>
      <c r="R1324" s="140" t="s">
        <v>4455</v>
      </c>
      <c r="S1324" s="1"/>
    </row>
    <row r="1325" spans="1:19" hidden="1">
      <c r="A1325" s="59">
        <v>273</v>
      </c>
      <c r="B1325" t="s">
        <v>1687</v>
      </c>
      <c r="C1325" t="s">
        <v>1688</v>
      </c>
      <c r="D1325" s="81">
        <v>0</v>
      </c>
      <c r="E1325" s="97">
        <v>2</v>
      </c>
      <c r="F1325" s="97" t="s">
        <v>67</v>
      </c>
      <c r="G1325" t="s">
        <v>27</v>
      </c>
      <c r="H1325" t="s">
        <v>27</v>
      </c>
      <c r="I1325" t="s">
        <v>27</v>
      </c>
      <c r="J1325" s="133" t="s">
        <v>27</v>
      </c>
      <c r="K1325" t="s">
        <v>113</v>
      </c>
      <c r="L1325" t="s">
        <v>1701</v>
      </c>
      <c r="N1325" t="s">
        <v>51</v>
      </c>
      <c r="O1325" t="s">
        <v>1782</v>
      </c>
      <c r="P1325" s="1" t="s">
        <v>1691</v>
      </c>
      <c r="Q1325" s="1"/>
      <c r="R1325" s="140"/>
      <c r="S1325" s="1"/>
    </row>
    <row r="1326" spans="1:19">
      <c r="A1326" s="59">
        <v>273</v>
      </c>
      <c r="B1326" t="s">
        <v>1687</v>
      </c>
      <c r="C1326" t="s">
        <v>1688</v>
      </c>
      <c r="D1326" s="81">
        <v>0</v>
      </c>
      <c r="E1326" s="97">
        <v>2</v>
      </c>
      <c r="F1326" s="97" t="s">
        <v>67</v>
      </c>
      <c r="G1326" t="s">
        <v>27</v>
      </c>
      <c r="H1326" t="s">
        <v>27</v>
      </c>
      <c r="I1326" t="s">
        <v>27</v>
      </c>
      <c r="J1326" t="s">
        <v>28</v>
      </c>
      <c r="K1326" t="s">
        <v>113</v>
      </c>
      <c r="N1326" t="s">
        <v>1689</v>
      </c>
      <c r="O1326" t="s">
        <v>1783</v>
      </c>
      <c r="P1326" s="1" t="s">
        <v>1691</v>
      </c>
      <c r="Q1326" s="1" t="s">
        <v>1758</v>
      </c>
      <c r="R1326" s="140" t="s">
        <v>4455</v>
      </c>
      <c r="S1326" s="1"/>
    </row>
    <row r="1327" spans="1:19">
      <c r="A1327" s="59">
        <v>294</v>
      </c>
      <c r="B1327" t="s">
        <v>1687</v>
      </c>
      <c r="C1327" t="s">
        <v>1734</v>
      </c>
      <c r="D1327" s="81">
        <v>0</v>
      </c>
      <c r="E1327" s="97" t="s">
        <v>1767</v>
      </c>
      <c r="F1327" s="97" t="s">
        <v>1784</v>
      </c>
      <c r="G1327" t="s">
        <v>27</v>
      </c>
      <c r="H1327" t="s">
        <v>27</v>
      </c>
      <c r="I1327" t="s">
        <v>27</v>
      </c>
      <c r="J1327" t="s">
        <v>28</v>
      </c>
      <c r="K1327" t="s">
        <v>113</v>
      </c>
      <c r="N1327" t="s">
        <v>1689</v>
      </c>
      <c r="O1327" t="s">
        <v>1785</v>
      </c>
      <c r="P1327" s="1" t="s">
        <v>1691</v>
      </c>
      <c r="Q1327" s="1" t="s">
        <v>1786</v>
      </c>
      <c r="R1327" s="140" t="s">
        <v>4456</v>
      </c>
      <c r="S1327" s="1"/>
    </row>
    <row r="1328" spans="1:19" hidden="1">
      <c r="A1328" s="59">
        <v>294</v>
      </c>
      <c r="B1328" t="s">
        <v>1687</v>
      </c>
      <c r="C1328" t="s">
        <v>1734</v>
      </c>
      <c r="D1328" s="81">
        <v>0</v>
      </c>
      <c r="E1328" s="97" t="s">
        <v>1767</v>
      </c>
      <c r="F1328" s="97" t="s">
        <v>1784</v>
      </c>
      <c r="G1328" t="s">
        <v>27</v>
      </c>
      <c r="H1328" t="s">
        <v>27</v>
      </c>
      <c r="I1328" t="s">
        <v>27</v>
      </c>
      <c r="J1328" s="133" t="s">
        <v>27</v>
      </c>
      <c r="K1328" t="s">
        <v>113</v>
      </c>
      <c r="L1328" t="s">
        <v>1701</v>
      </c>
      <c r="N1328" t="s">
        <v>51</v>
      </c>
      <c r="O1328" t="s">
        <v>1787</v>
      </c>
      <c r="P1328" s="1" t="s">
        <v>1691</v>
      </c>
      <c r="Q1328" s="1"/>
      <c r="R1328" s="140"/>
      <c r="S1328" s="1"/>
    </row>
    <row r="1329" spans="1:19">
      <c r="A1329" s="59">
        <v>294</v>
      </c>
      <c r="B1329" t="s">
        <v>1687</v>
      </c>
      <c r="C1329" t="s">
        <v>1734</v>
      </c>
      <c r="D1329" s="81">
        <v>0</v>
      </c>
      <c r="E1329" s="97" t="s">
        <v>1767</v>
      </c>
      <c r="F1329" s="97" t="s">
        <v>1784</v>
      </c>
      <c r="G1329" t="s">
        <v>27</v>
      </c>
      <c r="H1329" t="s">
        <v>27</v>
      </c>
      <c r="I1329" t="s">
        <v>27</v>
      </c>
      <c r="J1329" t="s">
        <v>28</v>
      </c>
      <c r="K1329" t="s">
        <v>113</v>
      </c>
      <c r="N1329" t="s">
        <v>1689</v>
      </c>
      <c r="O1329" t="s">
        <v>1788</v>
      </c>
      <c r="P1329" s="1" t="s">
        <v>1691</v>
      </c>
      <c r="Q1329" s="1" t="s">
        <v>1786</v>
      </c>
      <c r="R1329" s="140" t="s">
        <v>4456</v>
      </c>
      <c r="S1329" s="1"/>
    </row>
    <row r="1330" spans="1:19">
      <c r="A1330" s="59">
        <v>271</v>
      </c>
      <c r="B1330" t="s">
        <v>1687</v>
      </c>
      <c r="C1330" t="s">
        <v>1688</v>
      </c>
      <c r="D1330" s="81">
        <v>0</v>
      </c>
      <c r="E1330" s="97">
        <v>2</v>
      </c>
      <c r="F1330" s="97" t="s">
        <v>54</v>
      </c>
      <c r="G1330" t="s">
        <v>27</v>
      </c>
      <c r="H1330" t="s">
        <v>27</v>
      </c>
      <c r="I1330" t="s">
        <v>27</v>
      </c>
      <c r="J1330" t="s">
        <v>28</v>
      </c>
      <c r="K1330" t="s">
        <v>113</v>
      </c>
      <c r="N1330" t="s">
        <v>1689</v>
      </c>
      <c r="O1330" t="s">
        <v>1789</v>
      </c>
      <c r="P1330" s="1" t="s">
        <v>1691</v>
      </c>
      <c r="Q1330" s="1" t="s">
        <v>1790</v>
      </c>
      <c r="R1330" s="140" t="s">
        <v>4455</v>
      </c>
      <c r="S1330" s="1"/>
    </row>
    <row r="1331" spans="1:19">
      <c r="A1331" s="59">
        <v>271</v>
      </c>
      <c r="B1331" t="s">
        <v>1687</v>
      </c>
      <c r="C1331" t="s">
        <v>1688</v>
      </c>
      <c r="D1331" s="81">
        <v>0</v>
      </c>
      <c r="E1331" s="97">
        <v>2</v>
      </c>
      <c r="F1331" s="97" t="s">
        <v>54</v>
      </c>
      <c r="G1331" t="s">
        <v>27</v>
      </c>
      <c r="H1331" t="s">
        <v>27</v>
      </c>
      <c r="I1331" t="s">
        <v>27</v>
      </c>
      <c r="J1331" t="s">
        <v>28</v>
      </c>
      <c r="K1331" t="s">
        <v>113</v>
      </c>
      <c r="N1331" t="s">
        <v>1689</v>
      </c>
      <c r="O1331" t="s">
        <v>1791</v>
      </c>
      <c r="P1331" s="1" t="s">
        <v>1691</v>
      </c>
      <c r="Q1331" s="1" t="s">
        <v>1790</v>
      </c>
      <c r="R1331" s="140" t="s">
        <v>4455</v>
      </c>
      <c r="S1331" s="1"/>
    </row>
    <row r="1332" spans="1:19">
      <c r="A1332" s="59">
        <v>271</v>
      </c>
      <c r="B1332" t="s">
        <v>1687</v>
      </c>
      <c r="C1332" t="s">
        <v>1688</v>
      </c>
      <c r="D1332" s="81">
        <v>0</v>
      </c>
      <c r="E1332" s="97">
        <v>2</v>
      </c>
      <c r="F1332" s="97" t="s">
        <v>54</v>
      </c>
      <c r="G1332" t="s">
        <v>27</v>
      </c>
      <c r="H1332" t="s">
        <v>27</v>
      </c>
      <c r="I1332" t="s">
        <v>27</v>
      </c>
      <c r="J1332" t="s">
        <v>28</v>
      </c>
      <c r="K1332" t="s">
        <v>113</v>
      </c>
      <c r="N1332" t="s">
        <v>1689</v>
      </c>
      <c r="O1332" t="s">
        <v>1792</v>
      </c>
      <c r="P1332" s="1" t="s">
        <v>1691</v>
      </c>
      <c r="Q1332" s="1" t="s">
        <v>1790</v>
      </c>
      <c r="R1332" s="140" t="s">
        <v>4455</v>
      </c>
      <c r="S1332" s="1"/>
    </row>
    <row r="1333" spans="1:19" hidden="1">
      <c r="A1333" s="59">
        <v>271</v>
      </c>
      <c r="B1333" t="s">
        <v>1687</v>
      </c>
      <c r="C1333" t="s">
        <v>1688</v>
      </c>
      <c r="D1333" s="81">
        <v>0</v>
      </c>
      <c r="E1333" s="97">
        <v>2</v>
      </c>
      <c r="F1333" s="97" t="s">
        <v>54</v>
      </c>
      <c r="G1333" t="s">
        <v>27</v>
      </c>
      <c r="H1333" t="s">
        <v>27</v>
      </c>
      <c r="I1333" t="s">
        <v>27</v>
      </c>
      <c r="J1333" s="133" t="s">
        <v>27</v>
      </c>
      <c r="K1333" t="s">
        <v>113</v>
      </c>
      <c r="L1333" t="s">
        <v>1701</v>
      </c>
      <c r="N1333" t="s">
        <v>51</v>
      </c>
      <c r="O1333" t="s">
        <v>1793</v>
      </c>
      <c r="P1333" s="1" t="s">
        <v>1691</v>
      </c>
      <c r="Q1333" s="1"/>
      <c r="R1333" s="140"/>
      <c r="S1333" s="1"/>
    </row>
    <row r="1334" spans="1:19">
      <c r="A1334" s="59">
        <v>271</v>
      </c>
      <c r="B1334" t="s">
        <v>1687</v>
      </c>
      <c r="C1334" t="s">
        <v>1688</v>
      </c>
      <c r="D1334" s="81">
        <v>0</v>
      </c>
      <c r="E1334" s="97">
        <v>2</v>
      </c>
      <c r="F1334" s="97" t="s">
        <v>54</v>
      </c>
      <c r="G1334" t="s">
        <v>27</v>
      </c>
      <c r="H1334" t="s">
        <v>27</v>
      </c>
      <c r="I1334" t="s">
        <v>27</v>
      </c>
      <c r="J1334" t="s">
        <v>28</v>
      </c>
      <c r="K1334" t="s">
        <v>113</v>
      </c>
      <c r="N1334" t="s">
        <v>1689</v>
      </c>
      <c r="O1334" t="s">
        <v>1794</v>
      </c>
      <c r="P1334" s="1" t="s">
        <v>1691</v>
      </c>
      <c r="Q1334" s="1" t="s">
        <v>1790</v>
      </c>
      <c r="R1334" s="140" t="s">
        <v>4455</v>
      </c>
      <c r="S1334" s="1"/>
    </row>
    <row r="1335" spans="1:19" hidden="1">
      <c r="A1335" s="59">
        <v>271</v>
      </c>
      <c r="B1335" t="s">
        <v>1687</v>
      </c>
      <c r="C1335" t="s">
        <v>1688</v>
      </c>
      <c r="D1335" s="81">
        <v>0</v>
      </c>
      <c r="E1335" s="97">
        <v>2</v>
      </c>
      <c r="F1335" s="97" t="s">
        <v>54</v>
      </c>
      <c r="G1335" t="s">
        <v>27</v>
      </c>
      <c r="H1335" t="s">
        <v>27</v>
      </c>
      <c r="I1335" t="s">
        <v>27</v>
      </c>
      <c r="J1335" s="133" t="s">
        <v>27</v>
      </c>
      <c r="K1335" t="s">
        <v>113</v>
      </c>
      <c r="L1335" t="s">
        <v>1701</v>
      </c>
      <c r="N1335" t="s">
        <v>51</v>
      </c>
      <c r="O1335" t="s">
        <v>1795</v>
      </c>
      <c r="P1335" s="1" t="s">
        <v>1691</v>
      </c>
      <c r="Q1335" s="1"/>
      <c r="R1335" s="140"/>
      <c r="S1335" s="1"/>
    </row>
    <row r="1336" spans="1:19">
      <c r="A1336" s="59">
        <v>271</v>
      </c>
      <c r="B1336" t="s">
        <v>1687</v>
      </c>
      <c r="C1336" t="s">
        <v>1688</v>
      </c>
      <c r="D1336" s="81">
        <v>0</v>
      </c>
      <c r="E1336" s="97">
        <v>2</v>
      </c>
      <c r="F1336" s="97" t="s">
        <v>54</v>
      </c>
      <c r="G1336" t="s">
        <v>27</v>
      </c>
      <c r="H1336" t="s">
        <v>27</v>
      </c>
      <c r="I1336" t="s">
        <v>27</v>
      </c>
      <c r="J1336" t="s">
        <v>28</v>
      </c>
      <c r="K1336" t="s">
        <v>113</v>
      </c>
      <c r="N1336" t="s">
        <v>1689</v>
      </c>
      <c r="O1336" t="s">
        <v>1796</v>
      </c>
      <c r="P1336" s="1" t="s">
        <v>1691</v>
      </c>
      <c r="Q1336" s="1" t="s">
        <v>1790</v>
      </c>
      <c r="R1336" s="140" t="s">
        <v>4455</v>
      </c>
      <c r="S1336" s="1"/>
    </row>
    <row r="1337" spans="1:19" hidden="1">
      <c r="A1337" s="59">
        <v>285</v>
      </c>
      <c r="B1337" t="s">
        <v>1687</v>
      </c>
      <c r="C1337" t="s">
        <v>1714</v>
      </c>
      <c r="D1337" s="81">
        <v>0</v>
      </c>
      <c r="E1337" s="97" t="s">
        <v>1767</v>
      </c>
      <c r="F1337" s="97" t="s">
        <v>1797</v>
      </c>
      <c r="G1337" t="s">
        <v>27</v>
      </c>
      <c r="H1337" t="s">
        <v>27</v>
      </c>
      <c r="I1337" t="s">
        <v>27</v>
      </c>
      <c r="J1337" s="133" t="s">
        <v>27</v>
      </c>
      <c r="K1337" t="s">
        <v>113</v>
      </c>
      <c r="L1337" t="s">
        <v>1701</v>
      </c>
      <c r="N1337" t="s">
        <v>51</v>
      </c>
      <c r="O1337" t="s">
        <v>1798</v>
      </c>
      <c r="P1337" s="1" t="s">
        <v>1691</v>
      </c>
      <c r="Q1337" s="1"/>
      <c r="R1337" s="140"/>
      <c r="S1337" s="1"/>
    </row>
    <row r="1338" spans="1:19" hidden="1">
      <c r="A1338" s="59">
        <v>285</v>
      </c>
      <c r="B1338" t="s">
        <v>1687</v>
      </c>
      <c r="C1338" t="s">
        <v>1714</v>
      </c>
      <c r="D1338" s="81">
        <v>0</v>
      </c>
      <c r="E1338" s="97" t="s">
        <v>1767</v>
      </c>
      <c r="F1338" s="97" t="s">
        <v>1797</v>
      </c>
      <c r="G1338" t="s">
        <v>27</v>
      </c>
      <c r="H1338" t="s">
        <v>27</v>
      </c>
      <c r="I1338" t="s">
        <v>27</v>
      </c>
      <c r="J1338" s="133" t="s">
        <v>27</v>
      </c>
      <c r="K1338" t="s">
        <v>113</v>
      </c>
      <c r="L1338" t="s">
        <v>1701</v>
      </c>
      <c r="N1338" t="s">
        <v>51</v>
      </c>
      <c r="O1338" t="s">
        <v>1799</v>
      </c>
      <c r="P1338" s="1" t="s">
        <v>1691</v>
      </c>
      <c r="Q1338" s="1"/>
      <c r="R1338" s="140"/>
      <c r="S1338" s="1"/>
    </row>
    <row r="1339" spans="1:19">
      <c r="A1339" s="59">
        <v>286</v>
      </c>
      <c r="B1339" t="s">
        <v>1687</v>
      </c>
      <c r="C1339" t="s">
        <v>1734</v>
      </c>
      <c r="D1339" s="81">
        <v>0</v>
      </c>
      <c r="E1339" s="97" t="s">
        <v>1767</v>
      </c>
      <c r="F1339" s="97" t="s">
        <v>1797</v>
      </c>
      <c r="G1339" t="s">
        <v>27</v>
      </c>
      <c r="H1339" t="s">
        <v>27</v>
      </c>
      <c r="I1339" t="s">
        <v>27</v>
      </c>
      <c r="J1339" t="s">
        <v>28</v>
      </c>
      <c r="K1339" t="s">
        <v>113</v>
      </c>
      <c r="N1339" t="s">
        <v>1689</v>
      </c>
      <c r="O1339" t="s">
        <v>1800</v>
      </c>
      <c r="P1339" s="1" t="s">
        <v>1691</v>
      </c>
      <c r="Q1339" s="1" t="s">
        <v>1801</v>
      </c>
      <c r="R1339" s="140" t="s">
        <v>4456</v>
      </c>
      <c r="S1339" s="1"/>
    </row>
    <row r="1340" spans="1:19" hidden="1">
      <c r="A1340" s="59">
        <v>286</v>
      </c>
      <c r="B1340" t="s">
        <v>1687</v>
      </c>
      <c r="C1340" t="s">
        <v>1734</v>
      </c>
      <c r="D1340" s="81">
        <v>0</v>
      </c>
      <c r="E1340" s="97" t="s">
        <v>1767</v>
      </c>
      <c r="F1340" s="97" t="s">
        <v>1797</v>
      </c>
      <c r="G1340" t="s">
        <v>27</v>
      </c>
      <c r="H1340" t="s">
        <v>27</v>
      </c>
      <c r="I1340" t="s">
        <v>27</v>
      </c>
      <c r="J1340" s="133" t="s">
        <v>27</v>
      </c>
      <c r="K1340" t="s">
        <v>113</v>
      </c>
      <c r="L1340" t="s">
        <v>1701</v>
      </c>
      <c r="N1340" t="s">
        <v>51</v>
      </c>
      <c r="O1340" s="85" t="s">
        <v>1802</v>
      </c>
      <c r="P1340" s="1" t="s">
        <v>1691</v>
      </c>
      <c r="Q1340" s="1"/>
      <c r="R1340" s="140"/>
      <c r="S1340" s="1"/>
    </row>
    <row r="1341" spans="1:19">
      <c r="A1341" s="59">
        <v>286</v>
      </c>
      <c r="B1341" t="s">
        <v>1687</v>
      </c>
      <c r="C1341" t="s">
        <v>1734</v>
      </c>
      <c r="D1341" s="81">
        <v>0</v>
      </c>
      <c r="E1341" s="97" t="s">
        <v>1767</v>
      </c>
      <c r="F1341" s="97" t="s">
        <v>1797</v>
      </c>
      <c r="G1341" t="s">
        <v>27</v>
      </c>
      <c r="H1341" t="s">
        <v>27</v>
      </c>
      <c r="I1341" t="s">
        <v>27</v>
      </c>
      <c r="J1341" t="s">
        <v>28</v>
      </c>
      <c r="K1341" t="s">
        <v>113</v>
      </c>
      <c r="N1341" t="s">
        <v>1689</v>
      </c>
      <c r="O1341" s="85" t="s">
        <v>1803</v>
      </c>
      <c r="P1341" s="1" t="s">
        <v>1691</v>
      </c>
      <c r="Q1341" s="1" t="s">
        <v>1801</v>
      </c>
      <c r="R1341" s="140" t="s">
        <v>4456</v>
      </c>
      <c r="S1341" s="1"/>
    </row>
    <row r="1342" spans="1:19">
      <c r="A1342" s="59">
        <v>287</v>
      </c>
      <c r="B1342" t="s">
        <v>1687</v>
      </c>
      <c r="C1342" t="s">
        <v>1708</v>
      </c>
      <c r="D1342" s="81">
        <v>0</v>
      </c>
      <c r="E1342" s="97" t="s">
        <v>350</v>
      </c>
      <c r="F1342" s="97" t="s">
        <v>802</v>
      </c>
      <c r="G1342" t="s">
        <v>27</v>
      </c>
      <c r="H1342" t="s">
        <v>27</v>
      </c>
      <c r="I1342" t="s">
        <v>27</v>
      </c>
      <c r="J1342" t="s">
        <v>28</v>
      </c>
      <c r="K1342" t="s">
        <v>113</v>
      </c>
      <c r="N1342" t="s">
        <v>1689</v>
      </c>
      <c r="O1342" s="85" t="s">
        <v>1804</v>
      </c>
      <c r="P1342" s="1" t="s">
        <v>1691</v>
      </c>
      <c r="Q1342" s="1" t="s">
        <v>1805</v>
      </c>
      <c r="R1342" s="140" t="s">
        <v>4456</v>
      </c>
      <c r="S1342" s="1"/>
    </row>
    <row r="1343" spans="1:19" hidden="1">
      <c r="A1343" s="59">
        <v>288</v>
      </c>
      <c r="B1343" t="s">
        <v>1687</v>
      </c>
      <c r="C1343" t="s">
        <v>1714</v>
      </c>
      <c r="D1343" s="81">
        <v>0</v>
      </c>
      <c r="E1343" s="97" t="s">
        <v>350</v>
      </c>
      <c r="F1343" s="97" t="s">
        <v>351</v>
      </c>
      <c r="G1343" t="s">
        <v>27</v>
      </c>
      <c r="H1343" t="s">
        <v>27</v>
      </c>
      <c r="I1343" t="s">
        <v>27</v>
      </c>
      <c r="J1343" s="133" t="s">
        <v>27</v>
      </c>
      <c r="K1343" t="s">
        <v>113</v>
      </c>
      <c r="L1343" t="s">
        <v>1701</v>
      </c>
      <c r="N1343" t="s">
        <v>51</v>
      </c>
      <c r="O1343" s="85" t="s">
        <v>1806</v>
      </c>
      <c r="P1343" s="1" t="s">
        <v>1691</v>
      </c>
      <c r="Q1343" s="1"/>
      <c r="R1343" s="140"/>
      <c r="S1343" s="1"/>
    </row>
    <row r="1344" spans="1:19">
      <c r="A1344" s="59">
        <v>295</v>
      </c>
      <c r="B1344" t="s">
        <v>1687</v>
      </c>
      <c r="C1344" t="s">
        <v>48</v>
      </c>
      <c r="D1344" s="81" t="s">
        <v>1589</v>
      </c>
      <c r="E1344" s="97">
        <v>1</v>
      </c>
      <c r="F1344" s="97" t="s">
        <v>112</v>
      </c>
      <c r="G1344" t="s">
        <v>27</v>
      </c>
      <c r="H1344" t="s">
        <v>27</v>
      </c>
      <c r="I1344" t="s">
        <v>27</v>
      </c>
      <c r="J1344" t="s">
        <v>28</v>
      </c>
      <c r="K1344" t="s">
        <v>29</v>
      </c>
      <c r="N1344" t="s">
        <v>1689</v>
      </c>
      <c r="O1344" t="s">
        <v>1807</v>
      </c>
      <c r="P1344" t="s">
        <v>1808</v>
      </c>
      <c r="Q1344" t="s">
        <v>1809</v>
      </c>
      <c r="R1344" s="140" t="s">
        <v>4457</v>
      </c>
    </row>
    <row r="1345" spans="1:18">
      <c r="A1345" s="59">
        <v>295</v>
      </c>
      <c r="B1345" t="s">
        <v>1687</v>
      </c>
      <c r="C1345" t="s">
        <v>48</v>
      </c>
      <c r="D1345" s="81" t="s">
        <v>1589</v>
      </c>
      <c r="E1345" s="97">
        <v>1</v>
      </c>
      <c r="F1345" s="97" t="s">
        <v>112</v>
      </c>
      <c r="G1345" t="s">
        <v>27</v>
      </c>
      <c r="H1345" t="s">
        <v>27</v>
      </c>
      <c r="I1345" t="s">
        <v>27</v>
      </c>
      <c r="J1345" t="s">
        <v>28</v>
      </c>
      <c r="K1345" t="s">
        <v>29</v>
      </c>
      <c r="N1345" t="s">
        <v>1689</v>
      </c>
      <c r="O1345" s="85" t="s">
        <v>1810</v>
      </c>
      <c r="P1345" t="s">
        <v>1808</v>
      </c>
      <c r="Q1345" t="s">
        <v>1811</v>
      </c>
      <c r="R1345" s="140" t="s">
        <v>4457</v>
      </c>
    </row>
    <row r="1346" spans="1:18">
      <c r="A1346" s="59">
        <v>295</v>
      </c>
      <c r="B1346" t="s">
        <v>1687</v>
      </c>
      <c r="C1346" t="s">
        <v>48</v>
      </c>
      <c r="D1346" s="81" t="s">
        <v>1589</v>
      </c>
      <c r="E1346" s="97">
        <v>1</v>
      </c>
      <c r="F1346" s="97" t="s">
        <v>112</v>
      </c>
      <c r="G1346" t="s">
        <v>27</v>
      </c>
      <c r="H1346" t="s">
        <v>27</v>
      </c>
      <c r="I1346" t="s">
        <v>27</v>
      </c>
      <c r="J1346" t="s">
        <v>28</v>
      </c>
      <c r="K1346" t="s">
        <v>29</v>
      </c>
      <c r="N1346" t="s">
        <v>1689</v>
      </c>
      <c r="O1346" s="85" t="s">
        <v>1812</v>
      </c>
      <c r="P1346" t="s">
        <v>1808</v>
      </c>
      <c r="Q1346" t="s">
        <v>1813</v>
      </c>
      <c r="R1346" s="140" t="s">
        <v>4457</v>
      </c>
    </row>
    <row r="1347" spans="1:18">
      <c r="A1347" s="59">
        <v>295</v>
      </c>
      <c r="B1347" t="s">
        <v>1687</v>
      </c>
      <c r="C1347" t="s">
        <v>48</v>
      </c>
      <c r="D1347" s="81" t="s">
        <v>1589</v>
      </c>
      <c r="E1347" s="97">
        <v>1</v>
      </c>
      <c r="F1347" s="97" t="s">
        <v>112</v>
      </c>
      <c r="G1347" t="s">
        <v>27</v>
      </c>
      <c r="H1347" t="s">
        <v>27</v>
      </c>
      <c r="I1347" t="s">
        <v>27</v>
      </c>
      <c r="J1347" t="s">
        <v>28</v>
      </c>
      <c r="K1347" t="s">
        <v>29</v>
      </c>
      <c r="N1347" t="s">
        <v>1689</v>
      </c>
      <c r="O1347" s="85" t="s">
        <v>1814</v>
      </c>
      <c r="P1347" t="s">
        <v>1808</v>
      </c>
      <c r="Q1347" t="s">
        <v>1809</v>
      </c>
      <c r="R1347" s="140" t="s">
        <v>4457</v>
      </c>
    </row>
    <row r="1348" spans="1:18">
      <c r="A1348" s="59">
        <v>295</v>
      </c>
      <c r="B1348" t="s">
        <v>1687</v>
      </c>
      <c r="C1348" t="s">
        <v>48</v>
      </c>
      <c r="D1348" s="81" t="s">
        <v>1589</v>
      </c>
      <c r="E1348" s="97">
        <v>1</v>
      </c>
      <c r="F1348" s="97" t="s">
        <v>112</v>
      </c>
      <c r="G1348" t="s">
        <v>27</v>
      </c>
      <c r="H1348" t="s">
        <v>27</v>
      </c>
      <c r="I1348" t="s">
        <v>27</v>
      </c>
      <c r="J1348" t="s">
        <v>28</v>
      </c>
      <c r="K1348" t="s">
        <v>29</v>
      </c>
      <c r="N1348" t="s">
        <v>1689</v>
      </c>
      <c r="O1348" s="85" t="s">
        <v>1815</v>
      </c>
      <c r="P1348" t="s">
        <v>1808</v>
      </c>
      <c r="Q1348" t="s">
        <v>1811</v>
      </c>
      <c r="R1348" s="140" t="s">
        <v>4457</v>
      </c>
    </row>
    <row r="1349" spans="1:18">
      <c r="A1349" s="59">
        <v>295</v>
      </c>
      <c r="B1349" t="s">
        <v>1687</v>
      </c>
      <c r="C1349" t="s">
        <v>48</v>
      </c>
      <c r="D1349" s="81" t="s">
        <v>1589</v>
      </c>
      <c r="E1349" s="97">
        <v>1</v>
      </c>
      <c r="F1349" s="97" t="s">
        <v>112</v>
      </c>
      <c r="G1349" t="s">
        <v>27</v>
      </c>
      <c r="H1349" t="s">
        <v>27</v>
      </c>
      <c r="I1349" t="s">
        <v>27</v>
      </c>
      <c r="J1349" t="s">
        <v>28</v>
      </c>
      <c r="K1349" t="s">
        <v>29</v>
      </c>
      <c r="N1349" t="s">
        <v>1689</v>
      </c>
      <c r="O1349" s="85" t="s">
        <v>1816</v>
      </c>
      <c r="P1349" t="s">
        <v>1808</v>
      </c>
      <c r="Q1349" t="s">
        <v>1813</v>
      </c>
      <c r="R1349" s="140" t="s">
        <v>4457</v>
      </c>
    </row>
    <row r="1350" spans="1:18">
      <c r="A1350" s="59">
        <v>296</v>
      </c>
      <c r="B1350" t="s">
        <v>1687</v>
      </c>
      <c r="C1350" t="s">
        <v>66</v>
      </c>
      <c r="D1350" s="81" t="s">
        <v>1589</v>
      </c>
      <c r="E1350" s="97">
        <v>1</v>
      </c>
      <c r="F1350" s="97" t="s">
        <v>112</v>
      </c>
      <c r="G1350" t="s">
        <v>27</v>
      </c>
      <c r="H1350" t="s">
        <v>27</v>
      </c>
      <c r="I1350" t="s">
        <v>27</v>
      </c>
      <c r="J1350" t="s">
        <v>28</v>
      </c>
      <c r="K1350" t="s">
        <v>29</v>
      </c>
      <c r="N1350" t="s">
        <v>1689</v>
      </c>
      <c r="O1350" s="85" t="s">
        <v>1817</v>
      </c>
      <c r="P1350" t="s">
        <v>1808</v>
      </c>
      <c r="Q1350" t="s">
        <v>1818</v>
      </c>
      <c r="R1350" s="140" t="s">
        <v>4457</v>
      </c>
    </row>
    <row r="1351" spans="1:18">
      <c r="A1351" s="59">
        <v>296</v>
      </c>
      <c r="B1351" t="s">
        <v>1687</v>
      </c>
      <c r="C1351" t="s">
        <v>66</v>
      </c>
      <c r="D1351" s="81" t="s">
        <v>1589</v>
      </c>
      <c r="E1351" s="97">
        <v>1</v>
      </c>
      <c r="F1351" s="97" t="s">
        <v>112</v>
      </c>
      <c r="G1351" t="s">
        <v>27</v>
      </c>
      <c r="H1351" t="s">
        <v>27</v>
      </c>
      <c r="I1351" t="s">
        <v>27</v>
      </c>
      <c r="J1351" t="s">
        <v>28</v>
      </c>
      <c r="K1351" t="s">
        <v>29</v>
      </c>
      <c r="N1351" t="s">
        <v>1689</v>
      </c>
      <c r="O1351" s="85" t="s">
        <v>1819</v>
      </c>
      <c r="P1351" t="s">
        <v>1808</v>
      </c>
      <c r="Q1351" t="s">
        <v>1820</v>
      </c>
      <c r="R1351" s="140" t="s">
        <v>4457</v>
      </c>
    </row>
    <row r="1352" spans="1:18">
      <c r="A1352" s="59">
        <v>296</v>
      </c>
      <c r="B1352" t="s">
        <v>1687</v>
      </c>
      <c r="C1352" t="s">
        <v>66</v>
      </c>
      <c r="D1352" s="81" t="s">
        <v>1589</v>
      </c>
      <c r="E1352" s="97">
        <v>1</v>
      </c>
      <c r="F1352" s="97" t="s">
        <v>112</v>
      </c>
      <c r="G1352" t="s">
        <v>27</v>
      </c>
      <c r="H1352" t="s">
        <v>27</v>
      </c>
      <c r="I1352" t="s">
        <v>27</v>
      </c>
      <c r="J1352" t="s">
        <v>28</v>
      </c>
      <c r="K1352" t="s">
        <v>29</v>
      </c>
      <c r="N1352" t="s">
        <v>1689</v>
      </c>
      <c r="O1352" s="85" t="s">
        <v>1821</v>
      </c>
      <c r="P1352" t="s">
        <v>1808</v>
      </c>
      <c r="Q1352" t="s">
        <v>1822</v>
      </c>
      <c r="R1352" s="140" t="s">
        <v>4457</v>
      </c>
    </row>
    <row r="1353" spans="1:18">
      <c r="A1353" s="59">
        <v>296</v>
      </c>
      <c r="B1353" t="s">
        <v>1687</v>
      </c>
      <c r="C1353" t="s">
        <v>66</v>
      </c>
      <c r="D1353" s="81" t="s">
        <v>1589</v>
      </c>
      <c r="E1353" s="97">
        <v>1</v>
      </c>
      <c r="F1353" s="97" t="s">
        <v>112</v>
      </c>
      <c r="G1353" t="s">
        <v>27</v>
      </c>
      <c r="H1353" t="s">
        <v>27</v>
      </c>
      <c r="I1353" t="s">
        <v>27</v>
      </c>
      <c r="J1353" t="s">
        <v>28</v>
      </c>
      <c r="K1353" t="s">
        <v>29</v>
      </c>
      <c r="N1353" t="s">
        <v>1689</v>
      </c>
      <c r="O1353" s="85" t="s">
        <v>1823</v>
      </c>
      <c r="P1353" t="s">
        <v>1808</v>
      </c>
      <c r="Q1353" t="s">
        <v>1822</v>
      </c>
      <c r="R1353" s="140" t="s">
        <v>4457</v>
      </c>
    </row>
    <row r="1354" spans="1:18">
      <c r="A1354" s="59">
        <v>297</v>
      </c>
      <c r="B1354" t="s">
        <v>1687</v>
      </c>
      <c r="C1354" t="s">
        <v>253</v>
      </c>
      <c r="D1354" s="81" t="s">
        <v>1589</v>
      </c>
      <c r="E1354" s="97">
        <v>1</v>
      </c>
      <c r="F1354" s="97" t="s">
        <v>112</v>
      </c>
      <c r="G1354" t="s">
        <v>27</v>
      </c>
      <c r="H1354" t="s">
        <v>27</v>
      </c>
      <c r="I1354" t="s">
        <v>27</v>
      </c>
      <c r="J1354" t="s">
        <v>28</v>
      </c>
      <c r="K1354" t="s">
        <v>29</v>
      </c>
      <c r="N1354" t="s">
        <v>1689</v>
      </c>
      <c r="O1354" s="85" t="s">
        <v>1824</v>
      </c>
      <c r="P1354" t="s">
        <v>1808</v>
      </c>
      <c r="Q1354" t="s">
        <v>1825</v>
      </c>
      <c r="R1354" s="140" t="s">
        <v>4457</v>
      </c>
    </row>
    <row r="1355" spans="1:18">
      <c r="A1355" s="59">
        <v>297</v>
      </c>
      <c r="B1355" t="s">
        <v>1687</v>
      </c>
      <c r="C1355" t="s">
        <v>253</v>
      </c>
      <c r="D1355" s="81" t="s">
        <v>1589</v>
      </c>
      <c r="E1355" s="97">
        <v>1</v>
      </c>
      <c r="F1355" s="97" t="s">
        <v>112</v>
      </c>
      <c r="G1355" t="s">
        <v>27</v>
      </c>
      <c r="H1355" t="s">
        <v>27</v>
      </c>
      <c r="I1355" t="s">
        <v>27</v>
      </c>
      <c r="J1355" t="s">
        <v>28</v>
      </c>
      <c r="K1355" t="s">
        <v>29</v>
      </c>
      <c r="N1355" t="s">
        <v>1689</v>
      </c>
      <c r="O1355" s="85" t="s">
        <v>1826</v>
      </c>
      <c r="P1355" t="s">
        <v>1808</v>
      </c>
      <c r="Q1355" t="s">
        <v>1827</v>
      </c>
      <c r="R1355" s="140" t="s">
        <v>4457</v>
      </c>
    </row>
    <row r="1356" spans="1:18" hidden="1">
      <c r="A1356" s="59">
        <v>297</v>
      </c>
      <c r="B1356" t="s">
        <v>1687</v>
      </c>
      <c r="C1356" t="s">
        <v>253</v>
      </c>
      <c r="D1356" s="81">
        <v>0</v>
      </c>
      <c r="E1356" s="97">
        <v>1</v>
      </c>
      <c r="F1356" s="97" t="s">
        <v>112</v>
      </c>
      <c r="G1356" t="s">
        <v>27</v>
      </c>
      <c r="H1356" t="s">
        <v>27</v>
      </c>
      <c r="I1356" t="s">
        <v>27</v>
      </c>
      <c r="J1356" t="s">
        <v>27</v>
      </c>
      <c r="K1356" t="s">
        <v>29</v>
      </c>
      <c r="L1356" t="s">
        <v>1701</v>
      </c>
      <c r="N1356" t="s">
        <v>51</v>
      </c>
      <c r="O1356" s="85" t="s">
        <v>1828</v>
      </c>
      <c r="P1356" t="s">
        <v>1808</v>
      </c>
    </row>
    <row r="1357" spans="1:18">
      <c r="A1357" s="59">
        <v>299</v>
      </c>
      <c r="B1357" t="s">
        <v>1687</v>
      </c>
      <c r="C1357" t="s">
        <v>48</v>
      </c>
      <c r="D1357" s="81" t="s">
        <v>1589</v>
      </c>
      <c r="E1357" s="97">
        <v>1</v>
      </c>
      <c r="F1357" s="97" t="s">
        <v>26</v>
      </c>
      <c r="G1357" t="s">
        <v>27</v>
      </c>
      <c r="H1357" t="s">
        <v>27</v>
      </c>
      <c r="I1357" t="s">
        <v>27</v>
      </c>
      <c r="J1357" t="s">
        <v>28</v>
      </c>
      <c r="K1357" t="s">
        <v>29</v>
      </c>
      <c r="N1357" t="s">
        <v>1689</v>
      </c>
      <c r="O1357" s="85" t="s">
        <v>1829</v>
      </c>
      <c r="P1357" t="s">
        <v>1808</v>
      </c>
      <c r="Q1357" t="s">
        <v>1830</v>
      </c>
      <c r="R1357" s="140" t="s">
        <v>4457</v>
      </c>
    </row>
    <row r="1358" spans="1:18">
      <c r="A1358" s="59">
        <v>299</v>
      </c>
      <c r="B1358" t="s">
        <v>1687</v>
      </c>
      <c r="C1358" t="s">
        <v>48</v>
      </c>
      <c r="D1358" s="81" t="s">
        <v>1589</v>
      </c>
      <c r="E1358" s="97">
        <v>1</v>
      </c>
      <c r="F1358" s="97" t="s">
        <v>26</v>
      </c>
      <c r="G1358" t="s">
        <v>27</v>
      </c>
      <c r="H1358" t="s">
        <v>27</v>
      </c>
      <c r="I1358" t="s">
        <v>27</v>
      </c>
      <c r="J1358" t="s">
        <v>28</v>
      </c>
      <c r="K1358" t="s">
        <v>29</v>
      </c>
      <c r="N1358" t="s">
        <v>1689</v>
      </c>
      <c r="O1358" s="85" t="s">
        <v>1831</v>
      </c>
      <c r="P1358" t="s">
        <v>1808</v>
      </c>
      <c r="Q1358" t="s">
        <v>1832</v>
      </c>
      <c r="R1358" s="140" t="s">
        <v>4457</v>
      </c>
    </row>
    <row r="1359" spans="1:18">
      <c r="A1359" s="59">
        <v>299</v>
      </c>
      <c r="B1359" t="s">
        <v>1687</v>
      </c>
      <c r="C1359" t="s">
        <v>48</v>
      </c>
      <c r="D1359" s="81" t="s">
        <v>1589</v>
      </c>
      <c r="E1359" s="97">
        <v>1</v>
      </c>
      <c r="F1359" s="97" t="s">
        <v>26</v>
      </c>
      <c r="G1359" t="s">
        <v>27</v>
      </c>
      <c r="H1359" t="s">
        <v>27</v>
      </c>
      <c r="I1359" t="s">
        <v>27</v>
      </c>
      <c r="J1359" t="s">
        <v>28</v>
      </c>
      <c r="K1359" t="s">
        <v>29</v>
      </c>
      <c r="N1359" t="s">
        <v>1689</v>
      </c>
      <c r="O1359" s="85" t="s">
        <v>1833</v>
      </c>
      <c r="P1359" t="s">
        <v>1808</v>
      </c>
      <c r="Q1359" t="s">
        <v>1832</v>
      </c>
      <c r="R1359" s="140" t="s">
        <v>4457</v>
      </c>
    </row>
    <row r="1360" spans="1:18">
      <c r="A1360" s="59">
        <v>299</v>
      </c>
      <c r="B1360" t="s">
        <v>1687</v>
      </c>
      <c r="C1360" t="s">
        <v>48</v>
      </c>
      <c r="D1360" s="81" t="s">
        <v>1589</v>
      </c>
      <c r="E1360" s="97">
        <v>1</v>
      </c>
      <c r="F1360" s="97" t="s">
        <v>26</v>
      </c>
      <c r="G1360" t="s">
        <v>27</v>
      </c>
      <c r="H1360" t="s">
        <v>27</v>
      </c>
      <c r="I1360" t="s">
        <v>27</v>
      </c>
      <c r="J1360" t="s">
        <v>28</v>
      </c>
      <c r="K1360" t="s">
        <v>29</v>
      </c>
      <c r="N1360" t="s">
        <v>1689</v>
      </c>
      <c r="O1360" s="85" t="s">
        <v>1834</v>
      </c>
      <c r="P1360" t="s">
        <v>1808</v>
      </c>
      <c r="Q1360" t="s">
        <v>1835</v>
      </c>
      <c r="R1360" s="140" t="s">
        <v>4457</v>
      </c>
    </row>
    <row r="1361" spans="1:18">
      <c r="A1361" s="59">
        <v>299</v>
      </c>
      <c r="B1361" t="s">
        <v>1687</v>
      </c>
      <c r="C1361" t="s">
        <v>48</v>
      </c>
      <c r="D1361" s="81" t="s">
        <v>1589</v>
      </c>
      <c r="E1361" s="97">
        <v>1</v>
      </c>
      <c r="F1361" s="97" t="s">
        <v>26</v>
      </c>
      <c r="G1361" t="s">
        <v>27</v>
      </c>
      <c r="H1361" t="s">
        <v>27</v>
      </c>
      <c r="I1361" t="s">
        <v>27</v>
      </c>
      <c r="J1361" t="s">
        <v>28</v>
      </c>
      <c r="K1361" t="s">
        <v>29</v>
      </c>
      <c r="N1361" t="s">
        <v>1689</v>
      </c>
      <c r="O1361" s="85" t="s">
        <v>1836</v>
      </c>
      <c r="P1361" t="s">
        <v>1808</v>
      </c>
      <c r="Q1361" t="s">
        <v>1835</v>
      </c>
      <c r="R1361" s="140" t="s">
        <v>4457</v>
      </c>
    </row>
    <row r="1362" spans="1:18">
      <c r="A1362" s="59">
        <v>299</v>
      </c>
      <c r="B1362" t="s">
        <v>1687</v>
      </c>
      <c r="C1362" t="s">
        <v>48</v>
      </c>
      <c r="D1362" s="81" t="s">
        <v>1589</v>
      </c>
      <c r="E1362" s="97">
        <v>1</v>
      </c>
      <c r="F1362" s="97" t="s">
        <v>26</v>
      </c>
      <c r="G1362" t="s">
        <v>27</v>
      </c>
      <c r="H1362" t="s">
        <v>27</v>
      </c>
      <c r="I1362" t="s">
        <v>27</v>
      </c>
      <c r="J1362" t="s">
        <v>28</v>
      </c>
      <c r="K1362" t="s">
        <v>29</v>
      </c>
      <c r="N1362" t="s">
        <v>1689</v>
      </c>
      <c r="O1362" s="85" t="s">
        <v>1837</v>
      </c>
      <c r="P1362" t="s">
        <v>1808</v>
      </c>
      <c r="Q1362" t="s">
        <v>1835</v>
      </c>
      <c r="R1362" s="140" t="s">
        <v>4457</v>
      </c>
    </row>
    <row r="1363" spans="1:18">
      <c r="A1363" s="59">
        <v>299</v>
      </c>
      <c r="B1363" t="s">
        <v>1687</v>
      </c>
      <c r="C1363" t="s">
        <v>48</v>
      </c>
      <c r="D1363" s="81" t="s">
        <v>1589</v>
      </c>
      <c r="E1363" s="97">
        <v>1</v>
      </c>
      <c r="F1363" s="97" t="s">
        <v>26</v>
      </c>
      <c r="G1363" t="s">
        <v>27</v>
      </c>
      <c r="H1363" t="s">
        <v>27</v>
      </c>
      <c r="I1363" t="s">
        <v>27</v>
      </c>
      <c r="J1363" t="s">
        <v>28</v>
      </c>
      <c r="K1363" t="s">
        <v>29</v>
      </c>
      <c r="N1363" t="s">
        <v>1689</v>
      </c>
      <c r="O1363" s="85" t="s">
        <v>1838</v>
      </c>
      <c r="P1363" t="s">
        <v>1808</v>
      </c>
      <c r="Q1363" t="s">
        <v>1835</v>
      </c>
      <c r="R1363" s="140" t="s">
        <v>4457</v>
      </c>
    </row>
    <row r="1364" spans="1:18">
      <c r="A1364" s="59">
        <v>300</v>
      </c>
      <c r="B1364" t="s">
        <v>1687</v>
      </c>
      <c r="C1364" t="s">
        <v>66</v>
      </c>
      <c r="D1364" s="81" t="s">
        <v>1589</v>
      </c>
      <c r="E1364" s="97">
        <v>1</v>
      </c>
      <c r="F1364" s="97" t="s">
        <v>26</v>
      </c>
      <c r="G1364" t="s">
        <v>27</v>
      </c>
      <c r="H1364" t="s">
        <v>27</v>
      </c>
      <c r="I1364" t="s">
        <v>27</v>
      </c>
      <c r="J1364" t="s">
        <v>28</v>
      </c>
      <c r="K1364" t="s">
        <v>29</v>
      </c>
      <c r="N1364" t="s">
        <v>1689</v>
      </c>
      <c r="O1364" s="85" t="s">
        <v>1839</v>
      </c>
      <c r="P1364" t="s">
        <v>1808</v>
      </c>
      <c r="Q1364" t="s">
        <v>1840</v>
      </c>
      <c r="R1364" s="140" t="s">
        <v>4457</v>
      </c>
    </row>
    <row r="1365" spans="1:18">
      <c r="A1365" s="59">
        <v>300</v>
      </c>
      <c r="B1365" t="s">
        <v>1687</v>
      </c>
      <c r="C1365" t="s">
        <v>66</v>
      </c>
      <c r="D1365" s="81" t="s">
        <v>1589</v>
      </c>
      <c r="E1365" s="97">
        <v>1</v>
      </c>
      <c r="F1365" s="97" t="s">
        <v>26</v>
      </c>
      <c r="G1365" t="s">
        <v>27</v>
      </c>
      <c r="H1365" t="s">
        <v>27</v>
      </c>
      <c r="I1365" t="s">
        <v>27</v>
      </c>
      <c r="J1365" t="s">
        <v>28</v>
      </c>
      <c r="K1365" t="s">
        <v>29</v>
      </c>
      <c r="N1365" t="s">
        <v>1689</v>
      </c>
      <c r="O1365" s="85" t="s">
        <v>1841</v>
      </c>
      <c r="P1365" t="s">
        <v>1808</v>
      </c>
      <c r="Q1365" t="s">
        <v>1842</v>
      </c>
      <c r="R1365" s="140" t="s">
        <v>4457</v>
      </c>
    </row>
    <row r="1366" spans="1:18">
      <c r="A1366" s="59">
        <v>300</v>
      </c>
      <c r="B1366" t="s">
        <v>1687</v>
      </c>
      <c r="C1366" t="s">
        <v>66</v>
      </c>
      <c r="D1366" s="81" t="s">
        <v>1589</v>
      </c>
      <c r="E1366" s="97">
        <v>1</v>
      </c>
      <c r="F1366" s="97" t="s">
        <v>26</v>
      </c>
      <c r="G1366" t="s">
        <v>27</v>
      </c>
      <c r="H1366" t="s">
        <v>27</v>
      </c>
      <c r="I1366" t="s">
        <v>27</v>
      </c>
      <c r="J1366" t="s">
        <v>28</v>
      </c>
      <c r="K1366" t="s">
        <v>29</v>
      </c>
      <c r="N1366" t="s">
        <v>1689</v>
      </c>
      <c r="O1366" s="85" t="s">
        <v>1843</v>
      </c>
      <c r="P1366" t="s">
        <v>1808</v>
      </c>
      <c r="Q1366" t="s">
        <v>1844</v>
      </c>
      <c r="R1366" s="140" t="s">
        <v>4457</v>
      </c>
    </row>
    <row r="1367" spans="1:18">
      <c r="A1367" s="59">
        <v>301</v>
      </c>
      <c r="B1367" t="s">
        <v>1687</v>
      </c>
      <c r="C1367" t="s">
        <v>253</v>
      </c>
      <c r="D1367" s="81" t="s">
        <v>1589</v>
      </c>
      <c r="E1367" s="97">
        <v>1</v>
      </c>
      <c r="F1367" s="97" t="s">
        <v>26</v>
      </c>
      <c r="G1367" t="s">
        <v>27</v>
      </c>
      <c r="H1367" t="s">
        <v>27</v>
      </c>
      <c r="I1367" t="s">
        <v>27</v>
      </c>
      <c r="J1367" t="s">
        <v>28</v>
      </c>
      <c r="K1367" t="s">
        <v>29</v>
      </c>
      <c r="N1367" t="s">
        <v>1689</v>
      </c>
      <c r="O1367" s="85" t="s">
        <v>1845</v>
      </c>
      <c r="P1367" t="s">
        <v>1808</v>
      </c>
      <c r="Q1367" t="s">
        <v>1846</v>
      </c>
      <c r="R1367" s="140" t="s">
        <v>4457</v>
      </c>
    </row>
    <row r="1368" spans="1:18">
      <c r="A1368" s="59">
        <v>301</v>
      </c>
      <c r="B1368" t="s">
        <v>1687</v>
      </c>
      <c r="C1368" t="s">
        <v>253</v>
      </c>
      <c r="D1368" s="81" t="s">
        <v>1589</v>
      </c>
      <c r="E1368" s="97">
        <v>1</v>
      </c>
      <c r="F1368" s="97" t="s">
        <v>26</v>
      </c>
      <c r="G1368" t="s">
        <v>27</v>
      </c>
      <c r="H1368" t="s">
        <v>27</v>
      </c>
      <c r="I1368" t="s">
        <v>27</v>
      </c>
      <c r="J1368" t="s">
        <v>28</v>
      </c>
      <c r="K1368" t="s">
        <v>29</v>
      </c>
      <c r="N1368" t="s">
        <v>1689</v>
      </c>
      <c r="O1368" s="85" t="s">
        <v>1847</v>
      </c>
      <c r="P1368" t="s">
        <v>1808</v>
      </c>
      <c r="Q1368" t="s">
        <v>1848</v>
      </c>
      <c r="R1368" s="140" t="s">
        <v>4457</v>
      </c>
    </row>
    <row r="1369" spans="1:18">
      <c r="A1369" s="59">
        <v>301</v>
      </c>
      <c r="B1369" t="s">
        <v>1687</v>
      </c>
      <c r="C1369" t="s">
        <v>253</v>
      </c>
      <c r="D1369" s="81" t="s">
        <v>1589</v>
      </c>
      <c r="E1369" s="97">
        <v>1</v>
      </c>
      <c r="F1369" s="97" t="s">
        <v>26</v>
      </c>
      <c r="G1369" t="s">
        <v>27</v>
      </c>
      <c r="H1369" t="s">
        <v>27</v>
      </c>
      <c r="I1369" t="s">
        <v>27</v>
      </c>
      <c r="J1369" t="s">
        <v>28</v>
      </c>
      <c r="K1369" t="s">
        <v>29</v>
      </c>
      <c r="N1369" t="s">
        <v>1689</v>
      </c>
      <c r="O1369" s="85" t="s">
        <v>1849</v>
      </c>
      <c r="P1369" t="s">
        <v>1808</v>
      </c>
      <c r="Q1369" t="s">
        <v>1850</v>
      </c>
      <c r="R1369" s="140" t="s">
        <v>4457</v>
      </c>
    </row>
    <row r="1370" spans="1:18">
      <c r="A1370" s="59">
        <v>298</v>
      </c>
      <c r="B1370" t="s">
        <v>1687</v>
      </c>
      <c r="C1370" t="s">
        <v>1851</v>
      </c>
      <c r="D1370" s="81" t="s">
        <v>4447</v>
      </c>
      <c r="E1370" s="97">
        <v>1</v>
      </c>
      <c r="F1370" s="97" t="s">
        <v>26</v>
      </c>
      <c r="G1370" t="s">
        <v>27</v>
      </c>
      <c r="H1370" t="s">
        <v>27</v>
      </c>
      <c r="I1370" t="s">
        <v>27</v>
      </c>
      <c r="J1370" t="s">
        <v>28</v>
      </c>
      <c r="K1370" t="s">
        <v>29</v>
      </c>
      <c r="N1370" t="s">
        <v>1689</v>
      </c>
      <c r="O1370" s="85" t="s">
        <v>1852</v>
      </c>
      <c r="P1370" t="s">
        <v>1808</v>
      </c>
      <c r="Q1370" t="s">
        <v>1853</v>
      </c>
      <c r="R1370" s="140" t="s">
        <v>4457</v>
      </c>
    </row>
    <row r="1371" spans="1:18">
      <c r="A1371" s="59">
        <v>305</v>
      </c>
      <c r="B1371" t="s">
        <v>1687</v>
      </c>
      <c r="C1371" t="s">
        <v>48</v>
      </c>
      <c r="D1371" s="81" t="s">
        <v>1589</v>
      </c>
      <c r="E1371" s="97">
        <v>2</v>
      </c>
      <c r="F1371" s="97" t="s">
        <v>49</v>
      </c>
      <c r="G1371" t="s">
        <v>27</v>
      </c>
      <c r="H1371" t="s">
        <v>27</v>
      </c>
      <c r="I1371" t="s">
        <v>27</v>
      </c>
      <c r="J1371" t="s">
        <v>28</v>
      </c>
      <c r="K1371" t="s">
        <v>29</v>
      </c>
      <c r="N1371" t="s">
        <v>1689</v>
      </c>
      <c r="O1371" s="85" t="s">
        <v>1854</v>
      </c>
      <c r="P1371" t="s">
        <v>1808</v>
      </c>
      <c r="Q1371" t="s">
        <v>1855</v>
      </c>
      <c r="R1371" s="140" t="s">
        <v>4457</v>
      </c>
    </row>
    <row r="1372" spans="1:18">
      <c r="A1372" s="59">
        <v>305</v>
      </c>
      <c r="B1372" t="s">
        <v>1687</v>
      </c>
      <c r="C1372" t="s">
        <v>48</v>
      </c>
      <c r="D1372" s="81" t="s">
        <v>1589</v>
      </c>
      <c r="E1372" s="97">
        <v>2</v>
      </c>
      <c r="F1372" s="97" t="s">
        <v>49</v>
      </c>
      <c r="G1372" t="s">
        <v>27</v>
      </c>
      <c r="H1372" t="s">
        <v>27</v>
      </c>
      <c r="I1372" t="s">
        <v>27</v>
      </c>
      <c r="J1372" t="s">
        <v>28</v>
      </c>
      <c r="K1372" t="s">
        <v>29</v>
      </c>
      <c r="N1372" t="s">
        <v>1689</v>
      </c>
      <c r="O1372" s="85" t="s">
        <v>1856</v>
      </c>
      <c r="P1372" t="s">
        <v>1808</v>
      </c>
      <c r="Q1372" t="s">
        <v>1857</v>
      </c>
      <c r="R1372" s="140" t="s">
        <v>4457</v>
      </c>
    </row>
    <row r="1373" spans="1:18">
      <c r="A1373" s="59">
        <v>305</v>
      </c>
      <c r="B1373" t="s">
        <v>1687</v>
      </c>
      <c r="C1373" t="s">
        <v>48</v>
      </c>
      <c r="D1373" s="81" t="s">
        <v>1589</v>
      </c>
      <c r="E1373" s="97">
        <v>2</v>
      </c>
      <c r="F1373" s="97" t="s">
        <v>49</v>
      </c>
      <c r="G1373" t="s">
        <v>27</v>
      </c>
      <c r="H1373" t="s">
        <v>27</v>
      </c>
      <c r="I1373" t="s">
        <v>27</v>
      </c>
      <c r="J1373" t="s">
        <v>28</v>
      </c>
      <c r="K1373" t="s">
        <v>29</v>
      </c>
      <c r="N1373" t="s">
        <v>1689</v>
      </c>
      <c r="O1373" s="85" t="s">
        <v>1858</v>
      </c>
      <c r="P1373" t="s">
        <v>1808</v>
      </c>
      <c r="Q1373" t="s">
        <v>1859</v>
      </c>
      <c r="R1373" s="140" t="s">
        <v>4457</v>
      </c>
    </row>
    <row r="1374" spans="1:18">
      <c r="A1374" s="59">
        <v>305</v>
      </c>
      <c r="B1374" t="s">
        <v>1687</v>
      </c>
      <c r="C1374" t="s">
        <v>48</v>
      </c>
      <c r="D1374" s="81" t="s">
        <v>1589</v>
      </c>
      <c r="E1374" s="97">
        <v>2</v>
      </c>
      <c r="F1374" s="97" t="s">
        <v>49</v>
      </c>
      <c r="G1374" t="s">
        <v>27</v>
      </c>
      <c r="H1374" t="s">
        <v>27</v>
      </c>
      <c r="I1374" t="s">
        <v>27</v>
      </c>
      <c r="J1374" t="s">
        <v>28</v>
      </c>
      <c r="K1374" t="s">
        <v>29</v>
      </c>
      <c r="N1374" t="s">
        <v>1689</v>
      </c>
      <c r="O1374" s="85" t="s">
        <v>1860</v>
      </c>
      <c r="P1374" t="s">
        <v>1808</v>
      </c>
      <c r="Q1374" t="s">
        <v>1861</v>
      </c>
      <c r="R1374" s="140" t="s">
        <v>4457</v>
      </c>
    </row>
    <row r="1375" spans="1:18">
      <c r="A1375" s="59">
        <v>305</v>
      </c>
      <c r="B1375" t="s">
        <v>1687</v>
      </c>
      <c r="C1375" t="s">
        <v>48</v>
      </c>
      <c r="D1375" s="81" t="s">
        <v>1589</v>
      </c>
      <c r="E1375" s="97">
        <v>2</v>
      </c>
      <c r="F1375" s="97" t="s">
        <v>49</v>
      </c>
      <c r="G1375" t="s">
        <v>27</v>
      </c>
      <c r="H1375" t="s">
        <v>27</v>
      </c>
      <c r="I1375" t="s">
        <v>27</v>
      </c>
      <c r="J1375" t="s">
        <v>28</v>
      </c>
      <c r="K1375" t="s">
        <v>29</v>
      </c>
      <c r="N1375" t="s">
        <v>1689</v>
      </c>
      <c r="O1375" s="85" t="s">
        <v>1862</v>
      </c>
      <c r="P1375" t="s">
        <v>1808</v>
      </c>
      <c r="Q1375" t="s">
        <v>1863</v>
      </c>
      <c r="R1375" s="140" t="s">
        <v>4457</v>
      </c>
    </row>
    <row r="1376" spans="1:18">
      <c r="A1376" s="59">
        <v>305</v>
      </c>
      <c r="B1376" t="s">
        <v>1687</v>
      </c>
      <c r="C1376" t="s">
        <v>48</v>
      </c>
      <c r="D1376" s="81" t="s">
        <v>1589</v>
      </c>
      <c r="E1376" s="97">
        <v>2</v>
      </c>
      <c r="F1376" s="97" t="s">
        <v>49</v>
      </c>
      <c r="G1376" t="s">
        <v>27</v>
      </c>
      <c r="H1376" t="s">
        <v>27</v>
      </c>
      <c r="I1376" t="s">
        <v>27</v>
      </c>
      <c r="J1376" t="s">
        <v>28</v>
      </c>
      <c r="K1376" t="s">
        <v>29</v>
      </c>
      <c r="N1376" t="s">
        <v>1689</v>
      </c>
      <c r="O1376" s="85" t="s">
        <v>1864</v>
      </c>
      <c r="P1376" t="s">
        <v>1808</v>
      </c>
      <c r="Q1376" t="s">
        <v>1865</v>
      </c>
      <c r="R1376" s="140" t="s">
        <v>4457</v>
      </c>
    </row>
    <row r="1377" spans="1:18" hidden="1">
      <c r="A1377" s="59">
        <v>306</v>
      </c>
      <c r="B1377" t="s">
        <v>1687</v>
      </c>
      <c r="C1377" t="s">
        <v>66</v>
      </c>
      <c r="D1377" s="81">
        <v>0</v>
      </c>
      <c r="E1377" s="97">
        <v>2</v>
      </c>
      <c r="F1377" s="97" t="s">
        <v>49</v>
      </c>
      <c r="G1377" t="s">
        <v>27</v>
      </c>
      <c r="H1377" t="s">
        <v>27</v>
      </c>
      <c r="I1377" t="s">
        <v>27</v>
      </c>
      <c r="J1377" t="s">
        <v>27</v>
      </c>
      <c r="K1377" t="s">
        <v>29</v>
      </c>
      <c r="L1377" t="s">
        <v>1701</v>
      </c>
      <c r="N1377" t="s">
        <v>51</v>
      </c>
      <c r="O1377" s="85" t="s">
        <v>1866</v>
      </c>
      <c r="P1377" t="s">
        <v>1808</v>
      </c>
    </row>
    <row r="1378" spans="1:18" hidden="1">
      <c r="A1378" s="59">
        <v>306</v>
      </c>
      <c r="B1378" t="s">
        <v>1687</v>
      </c>
      <c r="C1378" t="s">
        <v>66</v>
      </c>
      <c r="D1378" s="81">
        <v>0</v>
      </c>
      <c r="E1378" s="97">
        <v>2</v>
      </c>
      <c r="F1378" s="97" t="s">
        <v>49</v>
      </c>
      <c r="G1378" t="s">
        <v>27</v>
      </c>
      <c r="H1378" t="s">
        <v>27</v>
      </c>
      <c r="I1378" t="s">
        <v>27</v>
      </c>
      <c r="J1378" t="s">
        <v>27</v>
      </c>
      <c r="K1378" t="s">
        <v>29</v>
      </c>
      <c r="L1378" t="s">
        <v>1701</v>
      </c>
      <c r="N1378" t="s">
        <v>51</v>
      </c>
      <c r="O1378" t="s">
        <v>1867</v>
      </c>
      <c r="P1378" t="s">
        <v>1808</v>
      </c>
    </row>
    <row r="1379" spans="1:18">
      <c r="A1379" s="59">
        <v>306</v>
      </c>
      <c r="B1379" t="s">
        <v>1687</v>
      </c>
      <c r="C1379" t="s">
        <v>66</v>
      </c>
      <c r="D1379" s="81" t="s">
        <v>1589</v>
      </c>
      <c r="E1379" s="97">
        <v>2</v>
      </c>
      <c r="F1379" s="97" t="s">
        <v>49</v>
      </c>
      <c r="G1379" t="s">
        <v>27</v>
      </c>
      <c r="H1379" t="s">
        <v>27</v>
      </c>
      <c r="I1379" t="s">
        <v>27</v>
      </c>
      <c r="J1379" t="s">
        <v>28</v>
      </c>
      <c r="K1379" t="s">
        <v>29</v>
      </c>
      <c r="N1379" t="s">
        <v>1689</v>
      </c>
      <c r="O1379" t="s">
        <v>1868</v>
      </c>
      <c r="P1379" t="s">
        <v>1808</v>
      </c>
      <c r="Q1379" t="s">
        <v>1869</v>
      </c>
      <c r="R1379" s="140" t="s">
        <v>4457</v>
      </c>
    </row>
    <row r="1380" spans="1:18">
      <c r="A1380" s="59">
        <v>307</v>
      </c>
      <c r="B1380" t="s">
        <v>1687</v>
      </c>
      <c r="C1380" t="s">
        <v>253</v>
      </c>
      <c r="D1380" s="81" t="s">
        <v>1589</v>
      </c>
      <c r="E1380" s="97">
        <v>2</v>
      </c>
      <c r="F1380" s="97" t="s">
        <v>49</v>
      </c>
      <c r="G1380" t="s">
        <v>27</v>
      </c>
      <c r="H1380" t="s">
        <v>27</v>
      </c>
      <c r="I1380" t="s">
        <v>27</v>
      </c>
      <c r="J1380" t="s">
        <v>28</v>
      </c>
      <c r="K1380" t="s">
        <v>29</v>
      </c>
      <c r="N1380" t="s">
        <v>1689</v>
      </c>
      <c r="O1380" t="s">
        <v>1870</v>
      </c>
      <c r="P1380" t="s">
        <v>1808</v>
      </c>
      <c r="Q1380" t="s">
        <v>1871</v>
      </c>
      <c r="R1380" s="140" t="s">
        <v>4457</v>
      </c>
    </row>
    <row r="1381" spans="1:18">
      <c r="A1381" s="59">
        <v>307</v>
      </c>
      <c r="B1381" t="s">
        <v>1687</v>
      </c>
      <c r="C1381" t="s">
        <v>253</v>
      </c>
      <c r="D1381" s="81" t="s">
        <v>1589</v>
      </c>
      <c r="E1381" s="97">
        <v>2</v>
      </c>
      <c r="F1381" s="97" t="s">
        <v>49</v>
      </c>
      <c r="G1381" t="s">
        <v>27</v>
      </c>
      <c r="H1381" t="s">
        <v>27</v>
      </c>
      <c r="I1381" t="s">
        <v>27</v>
      </c>
      <c r="J1381" t="s">
        <v>28</v>
      </c>
      <c r="K1381" t="s">
        <v>29</v>
      </c>
      <c r="N1381" t="s">
        <v>1689</v>
      </c>
      <c r="O1381" t="s">
        <v>1872</v>
      </c>
      <c r="P1381" t="s">
        <v>1808</v>
      </c>
      <c r="Q1381" t="s">
        <v>1873</v>
      </c>
      <c r="R1381" s="140" t="s">
        <v>4457</v>
      </c>
    </row>
    <row r="1382" spans="1:18">
      <c r="A1382" s="59">
        <v>307</v>
      </c>
      <c r="B1382" t="s">
        <v>1687</v>
      </c>
      <c r="C1382" t="s">
        <v>253</v>
      </c>
      <c r="D1382" s="81" t="s">
        <v>1589</v>
      </c>
      <c r="E1382" s="97">
        <v>2</v>
      </c>
      <c r="F1382" s="97" t="s">
        <v>49</v>
      </c>
      <c r="G1382" t="s">
        <v>27</v>
      </c>
      <c r="H1382" t="s">
        <v>27</v>
      </c>
      <c r="I1382" t="s">
        <v>27</v>
      </c>
      <c r="J1382" t="s">
        <v>28</v>
      </c>
      <c r="K1382" t="s">
        <v>29</v>
      </c>
      <c r="N1382" t="s">
        <v>1689</v>
      </c>
      <c r="O1382" t="s">
        <v>1874</v>
      </c>
      <c r="P1382" t="s">
        <v>1808</v>
      </c>
      <c r="Q1382" t="s">
        <v>1875</v>
      </c>
      <c r="R1382" s="140" t="s">
        <v>4457</v>
      </c>
    </row>
    <row r="1383" spans="1:18" hidden="1">
      <c r="A1383" s="59">
        <v>302</v>
      </c>
      <c r="B1383" t="s">
        <v>1687</v>
      </c>
      <c r="C1383" t="s">
        <v>48</v>
      </c>
      <c r="D1383" s="81">
        <v>0</v>
      </c>
      <c r="E1383" s="97">
        <v>2</v>
      </c>
      <c r="F1383" s="97" t="s">
        <v>54</v>
      </c>
      <c r="G1383" t="s">
        <v>27</v>
      </c>
      <c r="H1383" t="s">
        <v>27</v>
      </c>
      <c r="I1383" t="s">
        <v>27</v>
      </c>
      <c r="J1383" t="s">
        <v>27</v>
      </c>
      <c r="K1383" t="s">
        <v>29</v>
      </c>
      <c r="L1383" t="s">
        <v>1701</v>
      </c>
      <c r="N1383" t="s">
        <v>51</v>
      </c>
      <c r="O1383" t="s">
        <v>1876</v>
      </c>
      <c r="P1383" t="s">
        <v>1808</v>
      </c>
    </row>
    <row r="1384" spans="1:18">
      <c r="A1384" s="59">
        <v>302</v>
      </c>
      <c r="B1384" t="s">
        <v>1687</v>
      </c>
      <c r="C1384" t="s">
        <v>48</v>
      </c>
      <c r="D1384" s="81" t="s">
        <v>1589</v>
      </c>
      <c r="E1384" s="97">
        <v>2</v>
      </c>
      <c r="F1384" s="97" t="s">
        <v>54</v>
      </c>
      <c r="G1384" t="s">
        <v>27</v>
      </c>
      <c r="H1384" t="s">
        <v>27</v>
      </c>
      <c r="I1384" t="s">
        <v>27</v>
      </c>
      <c r="J1384" t="s">
        <v>28</v>
      </c>
      <c r="K1384" t="s">
        <v>29</v>
      </c>
      <c r="N1384" t="s">
        <v>1689</v>
      </c>
      <c r="O1384" t="s">
        <v>1877</v>
      </c>
      <c r="P1384" t="s">
        <v>1808</v>
      </c>
      <c r="Q1384" t="s">
        <v>1878</v>
      </c>
      <c r="R1384" s="140" t="s">
        <v>4457</v>
      </c>
    </row>
    <row r="1385" spans="1:18">
      <c r="A1385" s="59">
        <v>302</v>
      </c>
      <c r="B1385" t="s">
        <v>1687</v>
      </c>
      <c r="C1385" t="s">
        <v>48</v>
      </c>
      <c r="D1385" s="81" t="s">
        <v>1589</v>
      </c>
      <c r="E1385" s="97">
        <v>2</v>
      </c>
      <c r="F1385" s="97" t="s">
        <v>54</v>
      </c>
      <c r="G1385" t="s">
        <v>27</v>
      </c>
      <c r="H1385" t="s">
        <v>27</v>
      </c>
      <c r="I1385" t="s">
        <v>27</v>
      </c>
      <c r="J1385" t="s">
        <v>28</v>
      </c>
      <c r="K1385" t="s">
        <v>29</v>
      </c>
      <c r="N1385" t="s">
        <v>1689</v>
      </c>
      <c r="O1385" t="s">
        <v>1879</v>
      </c>
      <c r="P1385" t="s">
        <v>1808</v>
      </c>
      <c r="Q1385" t="s">
        <v>1880</v>
      </c>
      <c r="R1385" s="140" t="s">
        <v>4457</v>
      </c>
    </row>
    <row r="1386" spans="1:18">
      <c r="A1386" s="59">
        <v>302</v>
      </c>
      <c r="B1386" t="s">
        <v>1687</v>
      </c>
      <c r="C1386" t="s">
        <v>48</v>
      </c>
      <c r="D1386" s="81" t="s">
        <v>1589</v>
      </c>
      <c r="E1386" s="97">
        <v>2</v>
      </c>
      <c r="F1386" s="97" t="s">
        <v>54</v>
      </c>
      <c r="G1386" t="s">
        <v>27</v>
      </c>
      <c r="H1386" t="s">
        <v>27</v>
      </c>
      <c r="I1386" t="s">
        <v>27</v>
      </c>
      <c r="J1386" t="s">
        <v>28</v>
      </c>
      <c r="K1386" t="s">
        <v>29</v>
      </c>
      <c r="N1386" t="s">
        <v>1689</v>
      </c>
      <c r="O1386" t="s">
        <v>1881</v>
      </c>
      <c r="P1386" t="s">
        <v>1808</v>
      </c>
      <c r="Q1386" t="s">
        <v>1882</v>
      </c>
      <c r="R1386" s="140" t="s">
        <v>4457</v>
      </c>
    </row>
    <row r="1387" spans="1:18">
      <c r="A1387" s="59">
        <v>302</v>
      </c>
      <c r="B1387" t="s">
        <v>1687</v>
      </c>
      <c r="C1387" t="s">
        <v>48</v>
      </c>
      <c r="D1387" s="81" t="s">
        <v>1589</v>
      </c>
      <c r="E1387" s="97">
        <v>2</v>
      </c>
      <c r="F1387" s="97" t="s">
        <v>54</v>
      </c>
      <c r="G1387" t="s">
        <v>27</v>
      </c>
      <c r="H1387" t="s">
        <v>27</v>
      </c>
      <c r="I1387" t="s">
        <v>27</v>
      </c>
      <c r="J1387" t="s">
        <v>28</v>
      </c>
      <c r="K1387" t="s">
        <v>29</v>
      </c>
      <c r="N1387" t="s">
        <v>1689</v>
      </c>
      <c r="O1387" t="s">
        <v>1883</v>
      </c>
      <c r="P1387" t="s">
        <v>1808</v>
      </c>
      <c r="Q1387" t="s">
        <v>1884</v>
      </c>
      <c r="R1387" s="140" t="s">
        <v>4457</v>
      </c>
    </row>
    <row r="1388" spans="1:18">
      <c r="A1388" s="59">
        <v>302</v>
      </c>
      <c r="B1388" t="s">
        <v>1687</v>
      </c>
      <c r="C1388" t="s">
        <v>48</v>
      </c>
      <c r="D1388" s="81" t="s">
        <v>1589</v>
      </c>
      <c r="E1388" s="97">
        <v>2</v>
      </c>
      <c r="F1388" s="97" t="s">
        <v>54</v>
      </c>
      <c r="G1388" t="s">
        <v>27</v>
      </c>
      <c r="H1388" t="s">
        <v>27</v>
      </c>
      <c r="I1388" t="s">
        <v>27</v>
      </c>
      <c r="J1388" t="s">
        <v>28</v>
      </c>
      <c r="K1388" t="s">
        <v>29</v>
      </c>
      <c r="N1388" t="s">
        <v>1689</v>
      </c>
      <c r="O1388" t="s">
        <v>1885</v>
      </c>
      <c r="P1388" t="s">
        <v>1808</v>
      </c>
      <c r="Q1388" t="s">
        <v>1886</v>
      </c>
      <c r="R1388" s="140" t="s">
        <v>4457</v>
      </c>
    </row>
    <row r="1389" spans="1:18">
      <c r="A1389" s="59">
        <v>303</v>
      </c>
      <c r="B1389" t="s">
        <v>1687</v>
      </c>
      <c r="C1389" t="s">
        <v>66</v>
      </c>
      <c r="D1389" s="81" t="s">
        <v>1589</v>
      </c>
      <c r="E1389" s="97">
        <v>2</v>
      </c>
      <c r="F1389" s="97" t="s">
        <v>54</v>
      </c>
      <c r="G1389" t="s">
        <v>27</v>
      </c>
      <c r="H1389" t="s">
        <v>27</v>
      </c>
      <c r="I1389" t="s">
        <v>27</v>
      </c>
      <c r="J1389" t="s">
        <v>28</v>
      </c>
      <c r="K1389" t="s">
        <v>29</v>
      </c>
      <c r="N1389" t="s">
        <v>1689</v>
      </c>
      <c r="O1389" t="s">
        <v>1887</v>
      </c>
      <c r="P1389" t="s">
        <v>1808</v>
      </c>
      <c r="Q1389" t="s">
        <v>1888</v>
      </c>
      <c r="R1389" s="140" t="s">
        <v>4457</v>
      </c>
    </row>
    <row r="1390" spans="1:18">
      <c r="A1390" s="59">
        <v>303</v>
      </c>
      <c r="B1390" t="s">
        <v>1687</v>
      </c>
      <c r="C1390" t="s">
        <v>66</v>
      </c>
      <c r="D1390" s="81" t="s">
        <v>1589</v>
      </c>
      <c r="E1390" s="97">
        <v>2</v>
      </c>
      <c r="F1390" s="97" t="s">
        <v>54</v>
      </c>
      <c r="G1390" t="s">
        <v>27</v>
      </c>
      <c r="H1390" t="s">
        <v>27</v>
      </c>
      <c r="I1390" t="s">
        <v>27</v>
      </c>
      <c r="J1390" t="s">
        <v>28</v>
      </c>
      <c r="K1390" t="s">
        <v>29</v>
      </c>
      <c r="N1390" t="s">
        <v>1689</v>
      </c>
      <c r="O1390" t="s">
        <v>1889</v>
      </c>
      <c r="P1390" t="s">
        <v>1808</v>
      </c>
      <c r="Q1390" t="s">
        <v>1890</v>
      </c>
      <c r="R1390" s="140" t="s">
        <v>4457</v>
      </c>
    </row>
    <row r="1391" spans="1:18" hidden="1">
      <c r="A1391" s="59">
        <v>303</v>
      </c>
      <c r="B1391" t="s">
        <v>1687</v>
      </c>
      <c r="C1391" t="s">
        <v>66</v>
      </c>
      <c r="D1391" s="81">
        <v>0</v>
      </c>
      <c r="E1391" s="97">
        <v>2</v>
      </c>
      <c r="F1391" s="97" t="s">
        <v>54</v>
      </c>
      <c r="G1391" t="s">
        <v>27</v>
      </c>
      <c r="H1391" t="s">
        <v>27</v>
      </c>
      <c r="I1391" t="s">
        <v>27</v>
      </c>
      <c r="J1391" t="s">
        <v>27</v>
      </c>
      <c r="K1391" t="s">
        <v>29</v>
      </c>
      <c r="L1391" t="s">
        <v>1701</v>
      </c>
      <c r="N1391" t="s">
        <v>51</v>
      </c>
      <c r="O1391" t="s">
        <v>1891</v>
      </c>
      <c r="P1391" t="s">
        <v>1808</v>
      </c>
    </row>
    <row r="1392" spans="1:18" hidden="1">
      <c r="A1392" s="59">
        <v>304</v>
      </c>
      <c r="B1392" t="s">
        <v>1687</v>
      </c>
      <c r="C1392" t="s">
        <v>253</v>
      </c>
      <c r="D1392" s="81">
        <v>0</v>
      </c>
      <c r="E1392" s="97">
        <v>2</v>
      </c>
      <c r="F1392" s="97" t="s">
        <v>54</v>
      </c>
      <c r="G1392" t="s">
        <v>27</v>
      </c>
      <c r="H1392" t="s">
        <v>27</v>
      </c>
      <c r="I1392" t="s">
        <v>27</v>
      </c>
      <c r="J1392" t="s">
        <v>27</v>
      </c>
      <c r="K1392" t="s">
        <v>29</v>
      </c>
      <c r="L1392" t="s">
        <v>1701</v>
      </c>
      <c r="N1392" t="s">
        <v>51</v>
      </c>
      <c r="O1392" t="s">
        <v>1892</v>
      </c>
      <c r="P1392" t="s">
        <v>1808</v>
      </c>
    </row>
    <row r="1393" spans="1:18">
      <c r="A1393" s="59">
        <v>304</v>
      </c>
      <c r="B1393" t="s">
        <v>1687</v>
      </c>
      <c r="C1393" t="s">
        <v>253</v>
      </c>
      <c r="D1393" s="81" t="s">
        <v>1589</v>
      </c>
      <c r="E1393" s="97">
        <v>2</v>
      </c>
      <c r="F1393" s="97" t="s">
        <v>54</v>
      </c>
      <c r="G1393" t="s">
        <v>27</v>
      </c>
      <c r="H1393" t="s">
        <v>27</v>
      </c>
      <c r="I1393" t="s">
        <v>27</v>
      </c>
      <c r="J1393" t="s">
        <v>28</v>
      </c>
      <c r="K1393" t="s">
        <v>29</v>
      </c>
      <c r="N1393" t="s">
        <v>1689</v>
      </c>
      <c r="O1393" t="s">
        <v>1893</v>
      </c>
      <c r="P1393" t="s">
        <v>1808</v>
      </c>
      <c r="Q1393" t="s">
        <v>1894</v>
      </c>
      <c r="R1393" s="140" t="s">
        <v>4457</v>
      </c>
    </row>
    <row r="1394" spans="1:18" hidden="1">
      <c r="A1394" s="59">
        <v>304</v>
      </c>
      <c r="B1394" t="s">
        <v>1687</v>
      </c>
      <c r="C1394" t="s">
        <v>253</v>
      </c>
      <c r="D1394" s="81">
        <v>0</v>
      </c>
      <c r="E1394" s="97">
        <v>2</v>
      </c>
      <c r="F1394" s="97" t="s">
        <v>54</v>
      </c>
      <c r="G1394" t="s">
        <v>27</v>
      </c>
      <c r="H1394" t="s">
        <v>27</v>
      </c>
      <c r="I1394" t="s">
        <v>27</v>
      </c>
      <c r="J1394" t="s">
        <v>27</v>
      </c>
      <c r="K1394" t="s">
        <v>29</v>
      </c>
      <c r="L1394" t="s">
        <v>1701</v>
      </c>
      <c r="N1394" t="s">
        <v>51</v>
      </c>
      <c r="O1394" t="s">
        <v>1895</v>
      </c>
      <c r="P1394" t="s">
        <v>1808</v>
      </c>
    </row>
    <row r="1395" spans="1:18" hidden="1">
      <c r="A1395" s="59">
        <v>311</v>
      </c>
      <c r="B1395" t="s">
        <v>1687</v>
      </c>
      <c r="C1395" t="s">
        <v>48</v>
      </c>
      <c r="D1395" s="81">
        <v>0</v>
      </c>
      <c r="E1395" s="97">
        <v>3</v>
      </c>
      <c r="F1395" s="97" t="s">
        <v>180</v>
      </c>
      <c r="G1395" t="s">
        <v>27</v>
      </c>
      <c r="H1395" t="s">
        <v>27</v>
      </c>
      <c r="I1395" t="s">
        <v>27</v>
      </c>
      <c r="J1395" t="s">
        <v>27</v>
      </c>
      <c r="K1395" t="s">
        <v>29</v>
      </c>
      <c r="L1395" t="s">
        <v>1701</v>
      </c>
      <c r="N1395" t="s">
        <v>51</v>
      </c>
      <c r="O1395" t="s">
        <v>1896</v>
      </c>
      <c r="P1395" t="s">
        <v>1808</v>
      </c>
    </row>
    <row r="1396" spans="1:18" hidden="1">
      <c r="A1396" s="59">
        <v>311</v>
      </c>
      <c r="B1396" t="s">
        <v>1687</v>
      </c>
      <c r="C1396" t="s">
        <v>48</v>
      </c>
      <c r="D1396" s="81">
        <v>0</v>
      </c>
      <c r="E1396" s="97">
        <v>3</v>
      </c>
      <c r="F1396" s="97" t="s">
        <v>180</v>
      </c>
      <c r="G1396" t="s">
        <v>27</v>
      </c>
      <c r="H1396" t="s">
        <v>27</v>
      </c>
      <c r="I1396" t="s">
        <v>27</v>
      </c>
      <c r="J1396" t="s">
        <v>27</v>
      </c>
      <c r="K1396" t="s">
        <v>29</v>
      </c>
      <c r="L1396" t="s">
        <v>1701</v>
      </c>
      <c r="N1396" t="s">
        <v>51</v>
      </c>
      <c r="O1396" t="s">
        <v>1897</v>
      </c>
      <c r="P1396" t="s">
        <v>1808</v>
      </c>
    </row>
    <row r="1397" spans="1:18" hidden="1">
      <c r="A1397" s="59">
        <v>311</v>
      </c>
      <c r="B1397" t="s">
        <v>1687</v>
      </c>
      <c r="C1397" t="s">
        <v>48</v>
      </c>
      <c r="D1397" s="81">
        <v>0</v>
      </c>
      <c r="E1397" s="97">
        <v>3</v>
      </c>
      <c r="F1397" s="97" t="s">
        <v>180</v>
      </c>
      <c r="G1397" t="s">
        <v>27</v>
      </c>
      <c r="H1397" t="s">
        <v>27</v>
      </c>
      <c r="I1397" t="s">
        <v>27</v>
      </c>
      <c r="J1397" t="s">
        <v>27</v>
      </c>
      <c r="K1397" t="s">
        <v>29</v>
      </c>
      <c r="L1397" t="s">
        <v>1701</v>
      </c>
      <c r="N1397" t="s">
        <v>51</v>
      </c>
      <c r="O1397" t="s">
        <v>1898</v>
      </c>
      <c r="P1397" t="s">
        <v>1808</v>
      </c>
    </row>
    <row r="1398" spans="1:18" hidden="1">
      <c r="A1398" s="59">
        <v>311</v>
      </c>
      <c r="B1398" t="s">
        <v>1687</v>
      </c>
      <c r="C1398" t="s">
        <v>48</v>
      </c>
      <c r="D1398" s="81">
        <v>0</v>
      </c>
      <c r="E1398" s="97">
        <v>3</v>
      </c>
      <c r="F1398" s="97" t="s">
        <v>180</v>
      </c>
      <c r="G1398" t="s">
        <v>27</v>
      </c>
      <c r="H1398" t="s">
        <v>27</v>
      </c>
      <c r="I1398" t="s">
        <v>27</v>
      </c>
      <c r="J1398" t="s">
        <v>27</v>
      </c>
      <c r="K1398" t="s">
        <v>29</v>
      </c>
      <c r="L1398" t="s">
        <v>1701</v>
      </c>
      <c r="N1398" t="s">
        <v>51</v>
      </c>
      <c r="O1398" t="s">
        <v>1899</v>
      </c>
      <c r="P1398" t="s">
        <v>1808</v>
      </c>
    </row>
    <row r="1399" spans="1:18">
      <c r="A1399" s="59">
        <v>311</v>
      </c>
      <c r="B1399" t="s">
        <v>1687</v>
      </c>
      <c r="C1399" t="s">
        <v>48</v>
      </c>
      <c r="D1399" s="81" t="s">
        <v>1589</v>
      </c>
      <c r="E1399" s="97">
        <v>3</v>
      </c>
      <c r="F1399" s="97" t="s">
        <v>180</v>
      </c>
      <c r="G1399" t="s">
        <v>27</v>
      </c>
      <c r="H1399" t="s">
        <v>27</v>
      </c>
      <c r="I1399" t="s">
        <v>27</v>
      </c>
      <c r="J1399" t="s">
        <v>28</v>
      </c>
      <c r="K1399" t="s">
        <v>29</v>
      </c>
      <c r="N1399" t="s">
        <v>1689</v>
      </c>
      <c r="O1399" t="s">
        <v>1900</v>
      </c>
      <c r="P1399" t="s">
        <v>1808</v>
      </c>
      <c r="Q1399" t="s">
        <v>1901</v>
      </c>
      <c r="R1399" s="140" t="s">
        <v>4457</v>
      </c>
    </row>
    <row r="1400" spans="1:18">
      <c r="A1400" s="59">
        <v>311</v>
      </c>
      <c r="B1400" t="s">
        <v>1687</v>
      </c>
      <c r="C1400" t="s">
        <v>48</v>
      </c>
      <c r="D1400" s="81" t="s">
        <v>1589</v>
      </c>
      <c r="E1400" s="97">
        <v>3</v>
      </c>
      <c r="F1400" s="97" t="s">
        <v>180</v>
      </c>
      <c r="G1400" t="s">
        <v>27</v>
      </c>
      <c r="H1400" t="s">
        <v>27</v>
      </c>
      <c r="I1400" t="s">
        <v>27</v>
      </c>
      <c r="J1400" t="s">
        <v>28</v>
      </c>
      <c r="K1400" t="s">
        <v>29</v>
      </c>
      <c r="N1400" t="s">
        <v>1689</v>
      </c>
      <c r="O1400" t="s">
        <v>1902</v>
      </c>
      <c r="P1400" t="s">
        <v>1808</v>
      </c>
      <c r="Q1400" t="s">
        <v>1903</v>
      </c>
      <c r="R1400" s="140" t="s">
        <v>4457</v>
      </c>
    </row>
    <row r="1401" spans="1:18">
      <c r="A1401" s="59">
        <v>312</v>
      </c>
      <c r="B1401" t="s">
        <v>1687</v>
      </c>
      <c r="C1401" t="s">
        <v>66</v>
      </c>
      <c r="D1401" s="81" t="s">
        <v>1589</v>
      </c>
      <c r="E1401" s="97">
        <v>3</v>
      </c>
      <c r="F1401" s="97" t="s">
        <v>180</v>
      </c>
      <c r="G1401" t="s">
        <v>27</v>
      </c>
      <c r="H1401" t="s">
        <v>27</v>
      </c>
      <c r="I1401" t="s">
        <v>27</v>
      </c>
      <c r="J1401" t="s">
        <v>28</v>
      </c>
      <c r="K1401" t="s">
        <v>29</v>
      </c>
      <c r="N1401" t="s">
        <v>1689</v>
      </c>
      <c r="O1401" t="s">
        <v>1904</v>
      </c>
      <c r="P1401" t="s">
        <v>1808</v>
      </c>
      <c r="Q1401" t="s">
        <v>1905</v>
      </c>
      <c r="R1401" s="140" t="s">
        <v>4457</v>
      </c>
    </row>
    <row r="1402" spans="1:18">
      <c r="A1402" s="59">
        <v>312</v>
      </c>
      <c r="B1402" t="s">
        <v>1687</v>
      </c>
      <c r="C1402" t="s">
        <v>66</v>
      </c>
      <c r="D1402" s="81" t="s">
        <v>1589</v>
      </c>
      <c r="E1402" s="97">
        <v>3</v>
      </c>
      <c r="F1402" s="97" t="s">
        <v>180</v>
      </c>
      <c r="G1402" t="s">
        <v>27</v>
      </c>
      <c r="H1402" t="s">
        <v>27</v>
      </c>
      <c r="I1402" t="s">
        <v>27</v>
      </c>
      <c r="J1402" t="s">
        <v>28</v>
      </c>
      <c r="K1402" t="s">
        <v>29</v>
      </c>
      <c r="N1402" t="s">
        <v>1689</v>
      </c>
      <c r="O1402" t="s">
        <v>1906</v>
      </c>
      <c r="P1402" t="s">
        <v>1808</v>
      </c>
      <c r="Q1402" t="s">
        <v>1907</v>
      </c>
      <c r="R1402" s="140" t="s">
        <v>4457</v>
      </c>
    </row>
    <row r="1403" spans="1:18">
      <c r="A1403" s="59">
        <v>312</v>
      </c>
      <c r="B1403" t="s">
        <v>1687</v>
      </c>
      <c r="C1403" t="s">
        <v>66</v>
      </c>
      <c r="D1403" s="81" t="s">
        <v>1589</v>
      </c>
      <c r="E1403" s="97">
        <v>3</v>
      </c>
      <c r="F1403" s="97" t="s">
        <v>180</v>
      </c>
      <c r="G1403" t="s">
        <v>27</v>
      </c>
      <c r="H1403" t="s">
        <v>27</v>
      </c>
      <c r="I1403" t="s">
        <v>27</v>
      </c>
      <c r="J1403" t="s">
        <v>28</v>
      </c>
      <c r="K1403" t="s">
        <v>29</v>
      </c>
      <c r="N1403" t="s">
        <v>1689</v>
      </c>
      <c r="O1403" t="s">
        <v>1908</v>
      </c>
      <c r="P1403" t="s">
        <v>1808</v>
      </c>
      <c r="Q1403" t="s">
        <v>1909</v>
      </c>
      <c r="R1403" s="140" t="s">
        <v>4457</v>
      </c>
    </row>
    <row r="1404" spans="1:18">
      <c r="A1404" s="59">
        <v>313</v>
      </c>
      <c r="B1404" t="s">
        <v>1687</v>
      </c>
      <c r="C1404" t="s">
        <v>253</v>
      </c>
      <c r="D1404" s="81" t="s">
        <v>1589</v>
      </c>
      <c r="E1404" s="97">
        <v>3</v>
      </c>
      <c r="F1404" s="97" t="s">
        <v>180</v>
      </c>
      <c r="G1404" t="s">
        <v>27</v>
      </c>
      <c r="H1404" t="s">
        <v>27</v>
      </c>
      <c r="I1404" t="s">
        <v>27</v>
      </c>
      <c r="J1404" t="s">
        <v>28</v>
      </c>
      <c r="K1404" t="s">
        <v>29</v>
      </c>
      <c r="N1404" t="s">
        <v>1689</v>
      </c>
      <c r="O1404" t="s">
        <v>1910</v>
      </c>
      <c r="P1404" t="s">
        <v>1808</v>
      </c>
      <c r="Q1404" t="s">
        <v>1911</v>
      </c>
      <c r="R1404" s="140" t="s">
        <v>4457</v>
      </c>
    </row>
    <row r="1405" spans="1:18" hidden="1">
      <c r="A1405" s="59">
        <v>313</v>
      </c>
      <c r="B1405" t="s">
        <v>1687</v>
      </c>
      <c r="C1405" t="s">
        <v>253</v>
      </c>
      <c r="D1405" s="81">
        <v>0</v>
      </c>
      <c r="E1405" s="97">
        <v>3</v>
      </c>
      <c r="F1405" s="97" t="s">
        <v>180</v>
      </c>
      <c r="G1405" t="s">
        <v>27</v>
      </c>
      <c r="H1405" t="s">
        <v>27</v>
      </c>
      <c r="I1405" t="s">
        <v>27</v>
      </c>
      <c r="J1405" t="s">
        <v>27</v>
      </c>
      <c r="K1405" t="s">
        <v>29</v>
      </c>
      <c r="L1405" t="s">
        <v>1701</v>
      </c>
      <c r="N1405" t="s">
        <v>51</v>
      </c>
      <c r="O1405" t="s">
        <v>1912</v>
      </c>
      <c r="P1405" t="s">
        <v>1808</v>
      </c>
    </row>
    <row r="1406" spans="1:18">
      <c r="A1406" s="59">
        <v>313</v>
      </c>
      <c r="B1406" t="s">
        <v>1687</v>
      </c>
      <c r="C1406" t="s">
        <v>253</v>
      </c>
      <c r="D1406" s="81" t="s">
        <v>1589</v>
      </c>
      <c r="E1406" s="97">
        <v>3</v>
      </c>
      <c r="F1406" s="97" t="s">
        <v>180</v>
      </c>
      <c r="G1406" t="s">
        <v>27</v>
      </c>
      <c r="H1406" t="s">
        <v>27</v>
      </c>
      <c r="I1406" t="s">
        <v>27</v>
      </c>
      <c r="J1406" t="s">
        <v>28</v>
      </c>
      <c r="K1406" t="s">
        <v>29</v>
      </c>
      <c r="N1406" t="s">
        <v>1689</v>
      </c>
      <c r="O1406" t="s">
        <v>1913</v>
      </c>
      <c r="P1406" t="s">
        <v>1808</v>
      </c>
      <c r="Q1406" t="s">
        <v>1914</v>
      </c>
      <c r="R1406" s="140" t="s">
        <v>4457</v>
      </c>
    </row>
    <row r="1407" spans="1:18">
      <c r="A1407" s="59">
        <v>308</v>
      </c>
      <c r="B1407" t="s">
        <v>1687</v>
      </c>
      <c r="C1407" t="s">
        <v>48</v>
      </c>
      <c r="D1407" s="81" t="s">
        <v>1589</v>
      </c>
      <c r="E1407" s="97">
        <v>3</v>
      </c>
      <c r="F1407" s="97" t="s">
        <v>74</v>
      </c>
      <c r="G1407" t="s">
        <v>27</v>
      </c>
      <c r="H1407" t="s">
        <v>27</v>
      </c>
      <c r="I1407" t="s">
        <v>27</v>
      </c>
      <c r="J1407" t="s">
        <v>28</v>
      </c>
      <c r="K1407" t="s">
        <v>29</v>
      </c>
      <c r="N1407" t="s">
        <v>1689</v>
      </c>
      <c r="O1407" t="s">
        <v>1915</v>
      </c>
      <c r="P1407" t="s">
        <v>1808</v>
      </c>
      <c r="Q1407" t="s">
        <v>1916</v>
      </c>
      <c r="R1407" s="140" t="s">
        <v>4457</v>
      </c>
    </row>
    <row r="1408" spans="1:18">
      <c r="A1408" s="59">
        <v>308</v>
      </c>
      <c r="B1408" t="s">
        <v>1687</v>
      </c>
      <c r="C1408" t="s">
        <v>48</v>
      </c>
      <c r="D1408" s="81" t="s">
        <v>1589</v>
      </c>
      <c r="E1408" s="97">
        <v>3</v>
      </c>
      <c r="F1408" s="97" t="s">
        <v>74</v>
      </c>
      <c r="G1408" t="s">
        <v>27</v>
      </c>
      <c r="H1408" t="s">
        <v>27</v>
      </c>
      <c r="I1408" t="s">
        <v>27</v>
      </c>
      <c r="J1408" t="s">
        <v>28</v>
      </c>
      <c r="K1408" t="s">
        <v>29</v>
      </c>
      <c r="N1408" t="s">
        <v>1689</v>
      </c>
      <c r="O1408" t="s">
        <v>1917</v>
      </c>
      <c r="P1408" t="s">
        <v>1808</v>
      </c>
      <c r="Q1408" t="s">
        <v>1918</v>
      </c>
      <c r="R1408" s="140" t="s">
        <v>4457</v>
      </c>
    </row>
    <row r="1409" spans="1:18">
      <c r="A1409" s="59">
        <v>308</v>
      </c>
      <c r="B1409" t="s">
        <v>1687</v>
      </c>
      <c r="C1409" t="s">
        <v>48</v>
      </c>
      <c r="D1409" s="81" t="s">
        <v>1589</v>
      </c>
      <c r="E1409" s="97">
        <v>3</v>
      </c>
      <c r="F1409" s="97" t="s">
        <v>74</v>
      </c>
      <c r="G1409" t="s">
        <v>27</v>
      </c>
      <c r="H1409" t="s">
        <v>27</v>
      </c>
      <c r="I1409" t="s">
        <v>27</v>
      </c>
      <c r="J1409" t="s">
        <v>28</v>
      </c>
      <c r="K1409" t="s">
        <v>29</v>
      </c>
      <c r="N1409" t="s">
        <v>1689</v>
      </c>
      <c r="O1409" t="s">
        <v>1919</v>
      </c>
      <c r="P1409" t="s">
        <v>1808</v>
      </c>
      <c r="Q1409" t="s">
        <v>1920</v>
      </c>
      <c r="R1409" s="140" t="s">
        <v>4457</v>
      </c>
    </row>
    <row r="1410" spans="1:18">
      <c r="A1410" s="59">
        <v>308</v>
      </c>
      <c r="B1410" t="s">
        <v>1687</v>
      </c>
      <c r="C1410" t="s">
        <v>48</v>
      </c>
      <c r="D1410" s="81" t="s">
        <v>1589</v>
      </c>
      <c r="E1410" s="97">
        <v>3</v>
      </c>
      <c r="F1410" s="97" t="s">
        <v>74</v>
      </c>
      <c r="G1410" t="s">
        <v>27</v>
      </c>
      <c r="H1410" t="s">
        <v>27</v>
      </c>
      <c r="I1410" t="s">
        <v>27</v>
      </c>
      <c r="J1410" t="s">
        <v>28</v>
      </c>
      <c r="K1410" t="s">
        <v>29</v>
      </c>
      <c r="N1410" t="s">
        <v>1689</v>
      </c>
      <c r="O1410" t="s">
        <v>1921</v>
      </c>
      <c r="P1410" t="s">
        <v>1808</v>
      </c>
      <c r="Q1410" t="s">
        <v>1922</v>
      </c>
      <c r="R1410" s="140" t="s">
        <v>4457</v>
      </c>
    </row>
    <row r="1411" spans="1:18">
      <c r="A1411" s="59">
        <v>308</v>
      </c>
      <c r="B1411" t="s">
        <v>1687</v>
      </c>
      <c r="C1411" t="s">
        <v>48</v>
      </c>
      <c r="D1411" s="81" t="s">
        <v>1589</v>
      </c>
      <c r="E1411" s="97">
        <v>3</v>
      </c>
      <c r="F1411" s="97" t="s">
        <v>74</v>
      </c>
      <c r="G1411" t="s">
        <v>27</v>
      </c>
      <c r="H1411" t="s">
        <v>27</v>
      </c>
      <c r="I1411" t="s">
        <v>27</v>
      </c>
      <c r="J1411" t="s">
        <v>28</v>
      </c>
      <c r="K1411" t="s">
        <v>29</v>
      </c>
      <c r="N1411" t="s">
        <v>1689</v>
      </c>
      <c r="O1411" t="s">
        <v>1923</v>
      </c>
      <c r="P1411" t="s">
        <v>1808</v>
      </c>
      <c r="Q1411" t="s">
        <v>1924</v>
      </c>
      <c r="R1411" s="140" t="s">
        <v>4457</v>
      </c>
    </row>
    <row r="1412" spans="1:18">
      <c r="A1412" s="59">
        <v>308</v>
      </c>
      <c r="B1412" t="s">
        <v>1687</v>
      </c>
      <c r="C1412" t="s">
        <v>48</v>
      </c>
      <c r="D1412" s="81" t="s">
        <v>1589</v>
      </c>
      <c r="E1412" s="97">
        <v>3</v>
      </c>
      <c r="F1412" s="97" t="s">
        <v>74</v>
      </c>
      <c r="G1412" t="s">
        <v>27</v>
      </c>
      <c r="H1412" t="s">
        <v>27</v>
      </c>
      <c r="I1412" t="s">
        <v>27</v>
      </c>
      <c r="J1412" t="s">
        <v>28</v>
      </c>
      <c r="K1412" t="s">
        <v>29</v>
      </c>
      <c r="N1412" t="s">
        <v>1689</v>
      </c>
      <c r="O1412" t="s">
        <v>1925</v>
      </c>
      <c r="P1412" t="s">
        <v>1808</v>
      </c>
      <c r="Q1412" t="s">
        <v>1926</v>
      </c>
      <c r="R1412" s="140" t="s">
        <v>4457</v>
      </c>
    </row>
    <row r="1413" spans="1:18">
      <c r="A1413" s="59">
        <v>309</v>
      </c>
      <c r="B1413" t="s">
        <v>1687</v>
      </c>
      <c r="C1413" t="s">
        <v>66</v>
      </c>
      <c r="D1413" s="81" t="s">
        <v>1589</v>
      </c>
      <c r="E1413" s="97">
        <v>3</v>
      </c>
      <c r="F1413" s="97" t="s">
        <v>74</v>
      </c>
      <c r="G1413" t="s">
        <v>27</v>
      </c>
      <c r="H1413" t="s">
        <v>27</v>
      </c>
      <c r="I1413" t="s">
        <v>27</v>
      </c>
      <c r="J1413" t="s">
        <v>28</v>
      </c>
      <c r="K1413" t="s">
        <v>29</v>
      </c>
      <c r="N1413" t="s">
        <v>1689</v>
      </c>
      <c r="O1413" t="s">
        <v>1927</v>
      </c>
      <c r="P1413" t="s">
        <v>1808</v>
      </c>
      <c r="Q1413" t="s">
        <v>1928</v>
      </c>
      <c r="R1413" s="140" t="s">
        <v>4457</v>
      </c>
    </row>
    <row r="1414" spans="1:18">
      <c r="A1414" s="59">
        <v>309</v>
      </c>
      <c r="B1414" t="s">
        <v>1687</v>
      </c>
      <c r="C1414" t="s">
        <v>66</v>
      </c>
      <c r="D1414" s="81" t="s">
        <v>1589</v>
      </c>
      <c r="E1414" s="97">
        <v>3</v>
      </c>
      <c r="F1414" s="97" t="s">
        <v>74</v>
      </c>
      <c r="G1414" t="s">
        <v>27</v>
      </c>
      <c r="H1414" t="s">
        <v>27</v>
      </c>
      <c r="I1414" t="s">
        <v>27</v>
      </c>
      <c r="J1414" t="s">
        <v>28</v>
      </c>
      <c r="K1414" t="s">
        <v>29</v>
      </c>
      <c r="N1414" t="s">
        <v>1689</v>
      </c>
      <c r="O1414" t="s">
        <v>1929</v>
      </c>
      <c r="P1414" t="s">
        <v>1808</v>
      </c>
      <c r="Q1414" t="s">
        <v>1930</v>
      </c>
      <c r="R1414" s="140" t="s">
        <v>4457</v>
      </c>
    </row>
    <row r="1415" spans="1:18">
      <c r="A1415" s="59">
        <v>309</v>
      </c>
      <c r="B1415" t="s">
        <v>1687</v>
      </c>
      <c r="C1415" t="s">
        <v>66</v>
      </c>
      <c r="D1415" s="81" t="s">
        <v>1589</v>
      </c>
      <c r="E1415" s="97">
        <v>3</v>
      </c>
      <c r="F1415" s="97" t="s">
        <v>74</v>
      </c>
      <c r="G1415" t="s">
        <v>27</v>
      </c>
      <c r="H1415" t="s">
        <v>27</v>
      </c>
      <c r="I1415" t="s">
        <v>27</v>
      </c>
      <c r="J1415" t="s">
        <v>28</v>
      </c>
      <c r="K1415" t="s">
        <v>29</v>
      </c>
      <c r="N1415" t="s">
        <v>1689</v>
      </c>
      <c r="O1415" t="s">
        <v>1931</v>
      </c>
      <c r="P1415" t="s">
        <v>1808</v>
      </c>
      <c r="Q1415" t="s">
        <v>1932</v>
      </c>
      <c r="R1415" s="140" t="s">
        <v>4457</v>
      </c>
    </row>
    <row r="1416" spans="1:18">
      <c r="A1416" s="59">
        <v>310</v>
      </c>
      <c r="B1416" t="s">
        <v>1687</v>
      </c>
      <c r="C1416" t="s">
        <v>253</v>
      </c>
      <c r="D1416" s="81" t="s">
        <v>1589</v>
      </c>
      <c r="E1416" s="97">
        <v>3</v>
      </c>
      <c r="F1416" s="97" t="s">
        <v>74</v>
      </c>
      <c r="G1416" t="s">
        <v>27</v>
      </c>
      <c r="H1416" t="s">
        <v>27</v>
      </c>
      <c r="I1416" t="s">
        <v>27</v>
      </c>
      <c r="J1416" t="s">
        <v>28</v>
      </c>
      <c r="K1416" t="s">
        <v>29</v>
      </c>
      <c r="N1416" t="s">
        <v>1689</v>
      </c>
      <c r="O1416" t="s">
        <v>1933</v>
      </c>
      <c r="P1416" t="s">
        <v>1808</v>
      </c>
      <c r="Q1416" t="s">
        <v>1934</v>
      </c>
      <c r="R1416" s="140" t="s">
        <v>4457</v>
      </c>
    </row>
    <row r="1417" spans="1:18" hidden="1">
      <c r="A1417" s="59">
        <v>310</v>
      </c>
      <c r="B1417" t="s">
        <v>1687</v>
      </c>
      <c r="C1417" t="s">
        <v>253</v>
      </c>
      <c r="D1417" s="81">
        <v>0</v>
      </c>
      <c r="E1417" s="97">
        <v>3</v>
      </c>
      <c r="F1417" s="97" t="s">
        <v>74</v>
      </c>
      <c r="G1417" t="s">
        <v>27</v>
      </c>
      <c r="H1417" t="s">
        <v>27</v>
      </c>
      <c r="I1417" t="s">
        <v>27</v>
      </c>
      <c r="J1417" t="s">
        <v>27</v>
      </c>
      <c r="K1417" t="s">
        <v>29</v>
      </c>
      <c r="L1417" t="s">
        <v>1701</v>
      </c>
      <c r="N1417" t="s">
        <v>51</v>
      </c>
      <c r="O1417" t="s">
        <v>1935</v>
      </c>
      <c r="P1417" t="s">
        <v>1808</v>
      </c>
    </row>
    <row r="1418" spans="1:18">
      <c r="A1418" s="59">
        <v>310</v>
      </c>
      <c r="B1418" t="s">
        <v>1687</v>
      </c>
      <c r="C1418" t="s">
        <v>253</v>
      </c>
      <c r="D1418" s="81" t="s">
        <v>1589</v>
      </c>
      <c r="E1418" s="97">
        <v>3</v>
      </c>
      <c r="F1418" s="97" t="s">
        <v>74</v>
      </c>
      <c r="G1418" t="s">
        <v>27</v>
      </c>
      <c r="H1418" t="s">
        <v>27</v>
      </c>
      <c r="I1418" t="s">
        <v>27</v>
      </c>
      <c r="J1418" t="s">
        <v>28</v>
      </c>
      <c r="K1418" t="s">
        <v>29</v>
      </c>
      <c r="N1418" t="s">
        <v>1689</v>
      </c>
      <c r="O1418" t="s">
        <v>1936</v>
      </c>
      <c r="P1418" t="s">
        <v>1808</v>
      </c>
      <c r="Q1418" t="s">
        <v>1937</v>
      </c>
      <c r="R1418" s="140" t="s">
        <v>4457</v>
      </c>
    </row>
    <row r="1419" spans="1:18" hidden="1">
      <c r="A1419" s="59">
        <v>310</v>
      </c>
      <c r="B1419" t="s">
        <v>1687</v>
      </c>
      <c r="C1419" t="s">
        <v>253</v>
      </c>
      <c r="D1419" s="81">
        <v>0</v>
      </c>
      <c r="E1419" s="97">
        <v>3</v>
      </c>
      <c r="F1419" s="97" t="s">
        <v>74</v>
      </c>
      <c r="G1419" t="s">
        <v>27</v>
      </c>
      <c r="H1419" t="s">
        <v>27</v>
      </c>
      <c r="I1419" t="s">
        <v>27</v>
      </c>
      <c r="J1419" t="s">
        <v>27</v>
      </c>
      <c r="K1419" t="s">
        <v>29</v>
      </c>
      <c r="L1419" t="s">
        <v>1701</v>
      </c>
      <c r="N1419" t="s">
        <v>51</v>
      </c>
      <c r="O1419" t="s">
        <v>1938</v>
      </c>
      <c r="P1419" t="s">
        <v>1808</v>
      </c>
    </row>
    <row r="1420" spans="1:18">
      <c r="A1420" s="59">
        <v>313</v>
      </c>
      <c r="B1420" t="s">
        <v>1687</v>
      </c>
      <c r="C1420" t="s">
        <v>1939</v>
      </c>
      <c r="D1420" s="81">
        <v>0</v>
      </c>
      <c r="G1420" t="s">
        <v>27</v>
      </c>
      <c r="H1420" t="s">
        <v>27</v>
      </c>
      <c r="I1420" t="s">
        <v>27</v>
      </c>
      <c r="J1420" t="s">
        <v>28</v>
      </c>
      <c r="K1420" t="s">
        <v>828</v>
      </c>
      <c r="N1420" t="s">
        <v>1689</v>
      </c>
      <c r="O1420" t="s">
        <v>1940</v>
      </c>
      <c r="P1420" t="s">
        <v>1941</v>
      </c>
      <c r="Q1420" t="s">
        <v>1942</v>
      </c>
      <c r="R1420" s="140" t="s">
        <v>4458</v>
      </c>
    </row>
    <row r="1421" spans="1:18" hidden="1">
      <c r="A1421" s="59">
        <v>313</v>
      </c>
      <c r="B1421" t="s">
        <v>1687</v>
      </c>
      <c r="C1421" t="s">
        <v>1939</v>
      </c>
      <c r="D1421" s="81">
        <v>0</v>
      </c>
      <c r="G1421" t="s">
        <v>27</v>
      </c>
      <c r="H1421" t="s">
        <v>27</v>
      </c>
      <c r="I1421" t="s">
        <v>27</v>
      </c>
      <c r="J1421" t="s">
        <v>27</v>
      </c>
      <c r="K1421" t="s">
        <v>828</v>
      </c>
      <c r="L1421" t="s">
        <v>1701</v>
      </c>
      <c r="N1421" t="s">
        <v>51</v>
      </c>
      <c r="O1421" t="s">
        <v>1943</v>
      </c>
      <c r="P1421" t="s">
        <v>1941</v>
      </c>
    </row>
    <row r="1422" spans="1:18">
      <c r="A1422" s="59">
        <v>313</v>
      </c>
      <c r="B1422" t="s">
        <v>1687</v>
      </c>
      <c r="C1422" t="s">
        <v>1939</v>
      </c>
      <c r="D1422" s="81">
        <v>0</v>
      </c>
      <c r="G1422" t="s">
        <v>27</v>
      </c>
      <c r="H1422" t="s">
        <v>27</v>
      </c>
      <c r="I1422" t="s">
        <v>27</v>
      </c>
      <c r="J1422" t="s">
        <v>28</v>
      </c>
      <c r="K1422" t="s">
        <v>828</v>
      </c>
      <c r="N1422" t="s">
        <v>1689</v>
      </c>
      <c r="O1422" t="s">
        <v>1944</v>
      </c>
      <c r="P1422" t="s">
        <v>1941</v>
      </c>
      <c r="Q1422" t="s">
        <v>1945</v>
      </c>
      <c r="R1422" s="140" t="s">
        <v>4458</v>
      </c>
    </row>
    <row r="1423" spans="1:18">
      <c r="A1423" s="59">
        <v>313</v>
      </c>
      <c r="B1423" t="s">
        <v>1687</v>
      </c>
      <c r="C1423" t="s">
        <v>1939</v>
      </c>
      <c r="D1423" s="81">
        <v>0</v>
      </c>
      <c r="G1423" t="s">
        <v>27</v>
      </c>
      <c r="H1423" t="s">
        <v>27</v>
      </c>
      <c r="I1423" t="s">
        <v>27</v>
      </c>
      <c r="J1423" t="s">
        <v>28</v>
      </c>
      <c r="K1423" t="s">
        <v>828</v>
      </c>
      <c r="N1423" t="s">
        <v>1689</v>
      </c>
      <c r="O1423" t="s">
        <v>1946</v>
      </c>
      <c r="P1423" t="s">
        <v>1941</v>
      </c>
      <c r="Q1423" t="s">
        <v>1945</v>
      </c>
      <c r="R1423" s="140" t="s">
        <v>4458</v>
      </c>
    </row>
    <row r="1424" spans="1:18">
      <c r="A1424" s="59">
        <v>313</v>
      </c>
      <c r="B1424" t="s">
        <v>1687</v>
      </c>
      <c r="C1424" t="s">
        <v>1939</v>
      </c>
      <c r="D1424" s="81">
        <v>0</v>
      </c>
      <c r="G1424" t="s">
        <v>27</v>
      </c>
      <c r="H1424" t="s">
        <v>27</v>
      </c>
      <c r="I1424" t="s">
        <v>27</v>
      </c>
      <c r="J1424" t="s">
        <v>28</v>
      </c>
      <c r="K1424" t="s">
        <v>828</v>
      </c>
      <c r="N1424" t="s">
        <v>1689</v>
      </c>
      <c r="O1424" t="s">
        <v>1947</v>
      </c>
      <c r="P1424" t="s">
        <v>1941</v>
      </c>
      <c r="Q1424" t="s">
        <v>1945</v>
      </c>
      <c r="R1424" s="140" t="s">
        <v>4458</v>
      </c>
    </row>
    <row r="1425" spans="1:19" hidden="1">
      <c r="A1425" s="59">
        <v>313</v>
      </c>
      <c r="B1425" t="s">
        <v>1687</v>
      </c>
      <c r="C1425" t="s">
        <v>1939</v>
      </c>
      <c r="D1425" s="81">
        <v>0</v>
      </c>
      <c r="G1425" t="s">
        <v>27</v>
      </c>
      <c r="H1425" t="s">
        <v>27</v>
      </c>
      <c r="I1425" t="s">
        <v>27</v>
      </c>
      <c r="J1425" t="s">
        <v>27</v>
      </c>
      <c r="K1425" t="s">
        <v>828</v>
      </c>
      <c r="L1425" t="s">
        <v>1701</v>
      </c>
      <c r="N1425" t="s">
        <v>51</v>
      </c>
      <c r="O1425" t="s">
        <v>1948</v>
      </c>
      <c r="P1425" t="s">
        <v>1941</v>
      </c>
    </row>
    <row r="1426" spans="1:19" hidden="1">
      <c r="A1426" s="59">
        <v>313</v>
      </c>
      <c r="B1426" t="s">
        <v>1687</v>
      </c>
      <c r="C1426" t="s">
        <v>1939</v>
      </c>
      <c r="D1426" s="81">
        <v>0</v>
      </c>
      <c r="G1426" t="s">
        <v>27</v>
      </c>
      <c r="H1426" t="s">
        <v>27</v>
      </c>
      <c r="I1426" t="s">
        <v>27</v>
      </c>
      <c r="J1426" t="s">
        <v>27</v>
      </c>
      <c r="K1426" t="s">
        <v>828</v>
      </c>
      <c r="L1426" t="s">
        <v>1701</v>
      </c>
      <c r="N1426" t="s">
        <v>51</v>
      </c>
      <c r="O1426" t="s">
        <v>1949</v>
      </c>
      <c r="P1426" t="s">
        <v>1941</v>
      </c>
    </row>
    <row r="1427" spans="1:19">
      <c r="A1427" s="59">
        <v>313</v>
      </c>
      <c r="B1427" t="s">
        <v>1687</v>
      </c>
      <c r="C1427" t="s">
        <v>1939</v>
      </c>
      <c r="D1427" s="81">
        <v>0</v>
      </c>
      <c r="G1427" t="s">
        <v>27</v>
      </c>
      <c r="H1427" t="s">
        <v>27</v>
      </c>
      <c r="I1427" t="s">
        <v>27</v>
      </c>
      <c r="J1427" t="s">
        <v>28</v>
      </c>
      <c r="K1427" t="s">
        <v>828</v>
      </c>
      <c r="N1427" t="s">
        <v>1689</v>
      </c>
      <c r="O1427" t="s">
        <v>1950</v>
      </c>
      <c r="P1427" t="s">
        <v>1941</v>
      </c>
      <c r="Q1427" t="s">
        <v>1945</v>
      </c>
      <c r="R1427" s="140" t="s">
        <v>4458</v>
      </c>
    </row>
    <row r="1428" spans="1:19">
      <c r="A1428" s="59">
        <v>313</v>
      </c>
      <c r="B1428" t="s">
        <v>1687</v>
      </c>
      <c r="C1428" t="s">
        <v>1939</v>
      </c>
      <c r="D1428" s="81">
        <v>0</v>
      </c>
      <c r="G1428" t="s">
        <v>27</v>
      </c>
      <c r="H1428" t="s">
        <v>27</v>
      </c>
      <c r="I1428" t="s">
        <v>27</v>
      </c>
      <c r="J1428" t="s">
        <v>28</v>
      </c>
      <c r="K1428" t="s">
        <v>828</v>
      </c>
      <c r="N1428" t="s">
        <v>1689</v>
      </c>
      <c r="O1428" t="s">
        <v>1951</v>
      </c>
      <c r="P1428" t="s">
        <v>1941</v>
      </c>
      <c r="Q1428" t="s">
        <v>1945</v>
      </c>
      <c r="R1428" s="140" t="s">
        <v>4458</v>
      </c>
    </row>
    <row r="1429" spans="1:19">
      <c r="A1429" s="59">
        <v>313</v>
      </c>
      <c r="B1429" t="s">
        <v>1687</v>
      </c>
      <c r="C1429" t="s">
        <v>1939</v>
      </c>
      <c r="D1429" s="81">
        <v>0</v>
      </c>
      <c r="G1429" t="s">
        <v>27</v>
      </c>
      <c r="H1429" t="s">
        <v>27</v>
      </c>
      <c r="I1429" t="s">
        <v>27</v>
      </c>
      <c r="J1429" t="s">
        <v>28</v>
      </c>
      <c r="K1429" t="s">
        <v>828</v>
      </c>
      <c r="N1429" t="s">
        <v>1689</v>
      </c>
      <c r="O1429" t="s">
        <v>1952</v>
      </c>
      <c r="P1429" t="s">
        <v>1941</v>
      </c>
      <c r="Q1429" t="s">
        <v>1953</v>
      </c>
      <c r="R1429" s="140" t="s">
        <v>4458</v>
      </c>
    </row>
    <row r="1430" spans="1:19">
      <c r="A1430" s="59">
        <v>313</v>
      </c>
      <c r="B1430" t="s">
        <v>1687</v>
      </c>
      <c r="C1430" t="s">
        <v>1939</v>
      </c>
      <c r="D1430" s="81">
        <v>0</v>
      </c>
      <c r="G1430" t="s">
        <v>27</v>
      </c>
      <c r="H1430" t="s">
        <v>27</v>
      </c>
      <c r="I1430" t="s">
        <v>27</v>
      </c>
      <c r="J1430" t="s">
        <v>28</v>
      </c>
      <c r="K1430" t="s">
        <v>828</v>
      </c>
      <c r="N1430" t="s">
        <v>1689</v>
      </c>
      <c r="O1430" t="s">
        <v>1954</v>
      </c>
      <c r="P1430" t="s">
        <v>1941</v>
      </c>
      <c r="Q1430" t="s">
        <v>1953</v>
      </c>
      <c r="R1430" s="140" t="s">
        <v>4458</v>
      </c>
    </row>
    <row r="1431" spans="1:19" hidden="1">
      <c r="A1431" s="59">
        <v>313</v>
      </c>
      <c r="B1431" t="s">
        <v>1687</v>
      </c>
      <c r="C1431" t="s">
        <v>1939</v>
      </c>
      <c r="D1431" s="81">
        <v>0</v>
      </c>
      <c r="G1431" t="s">
        <v>27</v>
      </c>
      <c r="H1431" t="s">
        <v>27</v>
      </c>
      <c r="I1431" t="s">
        <v>27</v>
      </c>
      <c r="J1431" t="s">
        <v>27</v>
      </c>
      <c r="K1431" t="s">
        <v>828</v>
      </c>
      <c r="L1431" t="s">
        <v>1701</v>
      </c>
      <c r="N1431" t="s">
        <v>51</v>
      </c>
      <c r="O1431" t="s">
        <v>1955</v>
      </c>
      <c r="P1431" t="s">
        <v>1941</v>
      </c>
    </row>
    <row r="1432" spans="1:19" s="130" customFormat="1" hidden="1">
      <c r="A1432" s="59">
        <v>313</v>
      </c>
      <c r="B1432" s="130" t="s">
        <v>1687</v>
      </c>
      <c r="C1432" s="130" t="s">
        <v>1939</v>
      </c>
      <c r="D1432" s="81">
        <v>0</v>
      </c>
      <c r="E1432" s="98"/>
      <c r="F1432" s="98"/>
      <c r="G1432" s="130" t="s">
        <v>27</v>
      </c>
      <c r="H1432" s="130" t="s">
        <v>27</v>
      </c>
      <c r="I1432" s="130" t="s">
        <v>27</v>
      </c>
      <c r="J1432" s="130" t="s">
        <v>27</v>
      </c>
      <c r="K1432" s="130" t="s">
        <v>828</v>
      </c>
      <c r="L1432" s="130" t="s">
        <v>1956</v>
      </c>
      <c r="N1432" s="130" t="s">
        <v>1689</v>
      </c>
      <c r="O1432" s="130" t="s">
        <v>1957</v>
      </c>
      <c r="P1432" s="130" t="s">
        <v>1941</v>
      </c>
    </row>
    <row r="1433" spans="1:19">
      <c r="A1433" s="59">
        <v>313</v>
      </c>
      <c r="B1433" t="s">
        <v>1687</v>
      </c>
      <c r="C1433" t="s">
        <v>1939</v>
      </c>
      <c r="D1433" s="81">
        <v>0</v>
      </c>
      <c r="G1433" t="s">
        <v>27</v>
      </c>
      <c r="H1433" t="s">
        <v>27</v>
      </c>
      <c r="I1433" t="s">
        <v>27</v>
      </c>
      <c r="J1433" t="s">
        <v>28</v>
      </c>
      <c r="K1433" t="s">
        <v>828</v>
      </c>
      <c r="N1433" t="s">
        <v>1689</v>
      </c>
      <c r="O1433" t="s">
        <v>1958</v>
      </c>
      <c r="P1433" t="s">
        <v>1941</v>
      </c>
      <c r="Q1433" t="s">
        <v>1953</v>
      </c>
      <c r="R1433" s="140" t="s">
        <v>4458</v>
      </c>
    </row>
    <row r="1434" spans="1:19">
      <c r="A1434" s="59">
        <v>313</v>
      </c>
      <c r="B1434" t="s">
        <v>1687</v>
      </c>
      <c r="C1434" t="s">
        <v>1939</v>
      </c>
      <c r="D1434" s="81">
        <v>0</v>
      </c>
      <c r="G1434" t="s">
        <v>27</v>
      </c>
      <c r="H1434" t="s">
        <v>27</v>
      </c>
      <c r="I1434" t="s">
        <v>27</v>
      </c>
      <c r="J1434" t="s">
        <v>28</v>
      </c>
      <c r="K1434" t="s">
        <v>828</v>
      </c>
      <c r="N1434" t="s">
        <v>1689</v>
      </c>
      <c r="O1434" t="s">
        <v>1959</v>
      </c>
      <c r="P1434" t="s">
        <v>1941</v>
      </c>
      <c r="Q1434" t="s">
        <v>1960</v>
      </c>
      <c r="R1434" s="140" t="s">
        <v>4458</v>
      </c>
    </row>
    <row r="1435" spans="1:19">
      <c r="A1435" s="59">
        <v>313</v>
      </c>
      <c r="B1435" t="s">
        <v>1687</v>
      </c>
      <c r="C1435" t="s">
        <v>1939</v>
      </c>
      <c r="D1435" s="81">
        <v>0</v>
      </c>
      <c r="G1435" t="s">
        <v>27</v>
      </c>
      <c r="H1435" t="s">
        <v>27</v>
      </c>
      <c r="I1435" t="s">
        <v>27</v>
      </c>
      <c r="J1435" t="s">
        <v>28</v>
      </c>
      <c r="K1435" t="s">
        <v>828</v>
      </c>
      <c r="N1435" t="s">
        <v>1689</v>
      </c>
      <c r="O1435" t="s">
        <v>1961</v>
      </c>
      <c r="P1435" t="s">
        <v>1941</v>
      </c>
      <c r="Q1435" t="s">
        <v>1962</v>
      </c>
      <c r="R1435" s="140" t="s">
        <v>4458</v>
      </c>
    </row>
    <row r="1436" spans="1:19">
      <c r="A1436" s="59">
        <v>313</v>
      </c>
      <c r="B1436" t="s">
        <v>1687</v>
      </c>
      <c r="C1436" t="s">
        <v>1939</v>
      </c>
      <c r="D1436" s="81">
        <v>0</v>
      </c>
      <c r="G1436" t="s">
        <v>27</v>
      </c>
      <c r="H1436" t="s">
        <v>27</v>
      </c>
      <c r="I1436" t="s">
        <v>27</v>
      </c>
      <c r="J1436" t="s">
        <v>28</v>
      </c>
      <c r="K1436" t="s">
        <v>828</v>
      </c>
      <c r="N1436" t="s">
        <v>1689</v>
      </c>
      <c r="O1436" t="s">
        <v>1963</v>
      </c>
      <c r="P1436" t="s">
        <v>1941</v>
      </c>
      <c r="Q1436" t="s">
        <v>1962</v>
      </c>
      <c r="R1436" s="140" t="s">
        <v>4458</v>
      </c>
    </row>
    <row r="1437" spans="1:19">
      <c r="A1437" s="59">
        <v>313</v>
      </c>
      <c r="B1437" t="s">
        <v>1687</v>
      </c>
      <c r="C1437" t="s">
        <v>1939</v>
      </c>
      <c r="D1437" s="81">
        <v>0</v>
      </c>
      <c r="G1437" t="s">
        <v>27</v>
      </c>
      <c r="H1437" t="s">
        <v>27</v>
      </c>
      <c r="I1437" t="s">
        <v>27</v>
      </c>
      <c r="J1437" t="s">
        <v>28</v>
      </c>
      <c r="K1437" t="s">
        <v>828</v>
      </c>
      <c r="N1437" t="s">
        <v>1689</v>
      </c>
      <c r="O1437" t="s">
        <v>1964</v>
      </c>
      <c r="P1437" t="s">
        <v>1941</v>
      </c>
      <c r="Q1437" t="s">
        <v>1962</v>
      </c>
      <c r="R1437" s="140" t="s">
        <v>4458</v>
      </c>
    </row>
    <row r="1438" spans="1:19">
      <c r="A1438" s="59">
        <v>313</v>
      </c>
      <c r="B1438" t="s">
        <v>1687</v>
      </c>
      <c r="C1438" t="s">
        <v>1939</v>
      </c>
      <c r="D1438" s="81">
        <v>0</v>
      </c>
      <c r="G1438" t="s">
        <v>27</v>
      </c>
      <c r="H1438" t="s">
        <v>27</v>
      </c>
      <c r="I1438" t="s">
        <v>27</v>
      </c>
      <c r="J1438" t="s">
        <v>28</v>
      </c>
      <c r="K1438" t="s">
        <v>828</v>
      </c>
      <c r="N1438" t="s">
        <v>1689</v>
      </c>
      <c r="O1438" t="s">
        <v>1965</v>
      </c>
      <c r="P1438" t="s">
        <v>1941</v>
      </c>
      <c r="Q1438" t="s">
        <v>1966</v>
      </c>
      <c r="R1438" s="140" t="s">
        <v>4458</v>
      </c>
    </row>
    <row r="1439" spans="1:19">
      <c r="A1439" s="59">
        <v>313</v>
      </c>
      <c r="B1439" t="s">
        <v>1687</v>
      </c>
      <c r="C1439" t="s">
        <v>1939</v>
      </c>
      <c r="D1439" s="81">
        <v>0</v>
      </c>
      <c r="G1439" t="s">
        <v>27</v>
      </c>
      <c r="H1439" t="s">
        <v>27</v>
      </c>
      <c r="I1439" t="s">
        <v>27</v>
      </c>
      <c r="J1439" t="s">
        <v>28</v>
      </c>
      <c r="K1439" t="s">
        <v>828</v>
      </c>
      <c r="N1439" t="s">
        <v>1689</v>
      </c>
      <c r="O1439" t="s">
        <v>1967</v>
      </c>
      <c r="P1439" t="s">
        <v>1941</v>
      </c>
      <c r="Q1439" t="s">
        <v>1966</v>
      </c>
      <c r="R1439" s="140" t="s">
        <v>4458</v>
      </c>
    </row>
    <row r="1440" spans="1:19">
      <c r="A1440" s="59">
        <v>132</v>
      </c>
      <c r="B1440" t="s">
        <v>234</v>
      </c>
      <c r="D1440" s="81" t="s">
        <v>1589</v>
      </c>
      <c r="E1440" s="97">
        <v>1</v>
      </c>
      <c r="F1440" s="97" t="s">
        <v>112</v>
      </c>
      <c r="G1440" t="s">
        <v>27</v>
      </c>
      <c r="H1440" t="s">
        <v>27</v>
      </c>
      <c r="I1440" t="s">
        <v>27</v>
      </c>
      <c r="J1440" t="s">
        <v>28</v>
      </c>
      <c r="K1440" t="s">
        <v>828</v>
      </c>
      <c r="M1440" t="s">
        <v>27</v>
      </c>
      <c r="N1440" t="s">
        <v>62</v>
      </c>
      <c r="O1440" t="s">
        <v>1968</v>
      </c>
      <c r="P1440" t="s">
        <v>1969</v>
      </c>
      <c r="Q1440" t="s">
        <v>1970</v>
      </c>
      <c r="R1440" s="140" t="s">
        <v>4460</v>
      </c>
      <c r="S1440" s="129" t="s">
        <v>1971</v>
      </c>
    </row>
    <row r="1441" spans="1:19">
      <c r="A1441" s="59">
        <v>132</v>
      </c>
      <c r="B1441" t="s">
        <v>234</v>
      </c>
      <c r="D1441" s="81" t="s">
        <v>1589</v>
      </c>
      <c r="E1441" s="97">
        <v>1</v>
      </c>
      <c r="F1441" s="97" t="s">
        <v>112</v>
      </c>
      <c r="G1441" t="s">
        <v>27</v>
      </c>
      <c r="H1441" t="s">
        <v>27</v>
      </c>
      <c r="I1441" t="s">
        <v>27</v>
      </c>
      <c r="J1441" t="s">
        <v>28</v>
      </c>
      <c r="K1441" t="s">
        <v>828</v>
      </c>
      <c r="M1441" t="s">
        <v>27</v>
      </c>
      <c r="N1441" t="s">
        <v>62</v>
      </c>
      <c r="O1441" t="s">
        <v>1972</v>
      </c>
      <c r="P1441" t="s">
        <v>1969</v>
      </c>
      <c r="Q1441" t="s">
        <v>1970</v>
      </c>
      <c r="R1441" s="140" t="s">
        <v>4460</v>
      </c>
      <c r="S1441" s="129" t="s">
        <v>1971</v>
      </c>
    </row>
    <row r="1442" spans="1:19">
      <c r="A1442" s="59">
        <v>132</v>
      </c>
      <c r="B1442" t="s">
        <v>234</v>
      </c>
      <c r="D1442" s="81" t="s">
        <v>1589</v>
      </c>
      <c r="E1442" s="97">
        <v>1</v>
      </c>
      <c r="F1442" s="97" t="s">
        <v>112</v>
      </c>
      <c r="G1442" t="s">
        <v>27</v>
      </c>
      <c r="H1442" t="s">
        <v>27</v>
      </c>
      <c r="I1442" t="s">
        <v>27</v>
      </c>
      <c r="J1442" t="s">
        <v>28</v>
      </c>
      <c r="K1442" t="s">
        <v>828</v>
      </c>
      <c r="M1442" t="s">
        <v>27</v>
      </c>
      <c r="N1442" t="s">
        <v>62</v>
      </c>
      <c r="O1442" t="s">
        <v>1973</v>
      </c>
      <c r="P1442" t="s">
        <v>1969</v>
      </c>
      <c r="Q1442" t="s">
        <v>1970</v>
      </c>
      <c r="R1442" s="140" t="s">
        <v>4460</v>
      </c>
      <c r="S1442" s="129" t="s">
        <v>1971</v>
      </c>
    </row>
    <row r="1443" spans="1:19">
      <c r="A1443" s="59">
        <v>132</v>
      </c>
      <c r="B1443" t="s">
        <v>234</v>
      </c>
      <c r="D1443" s="81" t="s">
        <v>1589</v>
      </c>
      <c r="E1443" s="97">
        <v>1</v>
      </c>
      <c r="F1443" s="97" t="s">
        <v>112</v>
      </c>
      <c r="G1443" t="s">
        <v>27</v>
      </c>
      <c r="H1443" t="s">
        <v>27</v>
      </c>
      <c r="I1443" t="s">
        <v>27</v>
      </c>
      <c r="J1443" t="s">
        <v>28</v>
      </c>
      <c r="K1443" t="s">
        <v>828</v>
      </c>
      <c r="M1443" t="s">
        <v>27</v>
      </c>
      <c r="N1443" t="s">
        <v>62</v>
      </c>
      <c r="O1443" t="s">
        <v>1974</v>
      </c>
      <c r="P1443" t="s">
        <v>1969</v>
      </c>
      <c r="Q1443" t="s">
        <v>1970</v>
      </c>
      <c r="R1443" s="140" t="s">
        <v>4460</v>
      </c>
      <c r="S1443" s="129" t="s">
        <v>1971</v>
      </c>
    </row>
    <row r="1444" spans="1:19">
      <c r="A1444" s="59">
        <v>133</v>
      </c>
      <c r="B1444" t="s">
        <v>234</v>
      </c>
      <c r="D1444" s="81" t="s">
        <v>1589</v>
      </c>
      <c r="E1444" s="97">
        <v>1</v>
      </c>
      <c r="F1444" s="97" t="s">
        <v>26</v>
      </c>
      <c r="G1444" t="s">
        <v>27</v>
      </c>
      <c r="H1444" t="s">
        <v>27</v>
      </c>
      <c r="I1444" t="s">
        <v>27</v>
      </c>
      <c r="J1444" t="s">
        <v>28</v>
      </c>
      <c r="K1444" t="s">
        <v>828</v>
      </c>
      <c r="M1444" t="s">
        <v>27</v>
      </c>
      <c r="N1444" t="s">
        <v>62</v>
      </c>
      <c r="O1444" t="s">
        <v>1975</v>
      </c>
      <c r="P1444" t="s">
        <v>1969</v>
      </c>
      <c r="Q1444" t="s">
        <v>1976</v>
      </c>
      <c r="R1444" s="140" t="s">
        <v>4461</v>
      </c>
      <c r="S1444" s="129" t="s">
        <v>1971</v>
      </c>
    </row>
    <row r="1445" spans="1:19">
      <c r="A1445" s="59">
        <v>133</v>
      </c>
      <c r="B1445" t="s">
        <v>234</v>
      </c>
      <c r="D1445" s="81" t="s">
        <v>1589</v>
      </c>
      <c r="E1445" s="97">
        <v>1</v>
      </c>
      <c r="F1445" s="97" t="s">
        <v>26</v>
      </c>
      <c r="G1445" t="s">
        <v>27</v>
      </c>
      <c r="H1445" t="s">
        <v>27</v>
      </c>
      <c r="I1445" t="s">
        <v>27</v>
      </c>
      <c r="J1445" t="s">
        <v>28</v>
      </c>
      <c r="K1445" t="s">
        <v>828</v>
      </c>
      <c r="M1445" t="s">
        <v>27</v>
      </c>
      <c r="N1445" t="s">
        <v>62</v>
      </c>
      <c r="O1445" t="s">
        <v>1977</v>
      </c>
      <c r="P1445" t="s">
        <v>1969</v>
      </c>
      <c r="Q1445" t="s">
        <v>1976</v>
      </c>
      <c r="R1445" s="140" t="s">
        <v>4461</v>
      </c>
      <c r="S1445" s="129" t="s">
        <v>1971</v>
      </c>
    </row>
    <row r="1446" spans="1:19">
      <c r="A1446" s="59">
        <v>133</v>
      </c>
      <c r="B1446" t="s">
        <v>234</v>
      </c>
      <c r="D1446" s="81" t="s">
        <v>1589</v>
      </c>
      <c r="E1446" s="97">
        <v>1</v>
      </c>
      <c r="F1446" s="97" t="s">
        <v>26</v>
      </c>
      <c r="G1446" t="s">
        <v>27</v>
      </c>
      <c r="H1446" t="s">
        <v>27</v>
      </c>
      <c r="I1446" t="s">
        <v>27</v>
      </c>
      <c r="J1446" t="s">
        <v>28</v>
      </c>
      <c r="K1446" t="s">
        <v>828</v>
      </c>
      <c r="M1446" t="s">
        <v>27</v>
      </c>
      <c r="N1446" t="s">
        <v>62</v>
      </c>
      <c r="O1446" t="s">
        <v>1978</v>
      </c>
      <c r="P1446" t="s">
        <v>1969</v>
      </c>
      <c r="Q1446" t="s">
        <v>1976</v>
      </c>
      <c r="R1446" s="140" t="s">
        <v>4461</v>
      </c>
      <c r="S1446" s="129" t="s">
        <v>1971</v>
      </c>
    </row>
    <row r="1447" spans="1:19">
      <c r="A1447" s="59">
        <v>134</v>
      </c>
      <c r="B1447" t="s">
        <v>234</v>
      </c>
      <c r="D1447" s="81" t="s">
        <v>1589</v>
      </c>
      <c r="E1447" s="97">
        <v>2</v>
      </c>
      <c r="F1447" s="97" t="s">
        <v>54</v>
      </c>
      <c r="G1447" t="s">
        <v>27</v>
      </c>
      <c r="H1447" t="s">
        <v>28</v>
      </c>
      <c r="I1447" t="s">
        <v>28</v>
      </c>
      <c r="J1447" t="s">
        <v>28</v>
      </c>
      <c r="K1447" t="s">
        <v>828</v>
      </c>
      <c r="M1447" t="s">
        <v>27</v>
      </c>
      <c r="N1447" t="s">
        <v>62</v>
      </c>
      <c r="O1447" t="s">
        <v>1979</v>
      </c>
      <c r="P1447" t="s">
        <v>1969</v>
      </c>
      <c r="Q1447" t="s">
        <v>849</v>
      </c>
      <c r="R1447" s="140" t="s">
        <v>4460</v>
      </c>
      <c r="S1447" s="129" t="s">
        <v>1971</v>
      </c>
    </row>
    <row r="1448" spans="1:19">
      <c r="A1448" s="59">
        <v>134</v>
      </c>
      <c r="B1448" t="s">
        <v>234</v>
      </c>
      <c r="D1448" s="81" t="s">
        <v>1589</v>
      </c>
      <c r="E1448" s="97">
        <v>2</v>
      </c>
      <c r="F1448" s="97" t="s">
        <v>54</v>
      </c>
      <c r="G1448" t="s">
        <v>27</v>
      </c>
      <c r="H1448" t="s">
        <v>28</v>
      </c>
      <c r="I1448" t="s">
        <v>28</v>
      </c>
      <c r="J1448" t="s">
        <v>28</v>
      </c>
      <c r="K1448" t="s">
        <v>828</v>
      </c>
      <c r="M1448" t="s">
        <v>27</v>
      </c>
      <c r="N1448" t="s">
        <v>62</v>
      </c>
      <c r="O1448" t="s">
        <v>1980</v>
      </c>
      <c r="P1448" t="s">
        <v>1969</v>
      </c>
      <c r="Q1448" t="s">
        <v>849</v>
      </c>
      <c r="R1448" s="140" t="s">
        <v>4460</v>
      </c>
      <c r="S1448" s="129" t="s">
        <v>1971</v>
      </c>
    </row>
    <row r="1449" spans="1:19">
      <c r="A1449" s="59">
        <v>134</v>
      </c>
      <c r="B1449" t="s">
        <v>234</v>
      </c>
      <c r="D1449" s="81" t="s">
        <v>1589</v>
      </c>
      <c r="E1449" s="97">
        <v>2</v>
      </c>
      <c r="F1449" s="97" t="s">
        <v>54</v>
      </c>
      <c r="G1449" t="s">
        <v>27</v>
      </c>
      <c r="H1449" t="s">
        <v>28</v>
      </c>
      <c r="I1449" t="s">
        <v>28</v>
      </c>
      <c r="J1449" t="s">
        <v>28</v>
      </c>
      <c r="K1449" t="s">
        <v>828</v>
      </c>
      <c r="M1449" t="s">
        <v>27</v>
      </c>
      <c r="N1449" t="s">
        <v>62</v>
      </c>
      <c r="O1449" t="s">
        <v>1981</v>
      </c>
      <c r="P1449" t="s">
        <v>1969</v>
      </c>
      <c r="Q1449" t="s">
        <v>849</v>
      </c>
      <c r="R1449" s="140" t="s">
        <v>4460</v>
      </c>
      <c r="S1449" s="129" t="s">
        <v>1971</v>
      </c>
    </row>
    <row r="1450" spans="1:19">
      <c r="A1450" s="59">
        <v>134</v>
      </c>
      <c r="B1450" t="s">
        <v>234</v>
      </c>
      <c r="D1450" s="81" t="s">
        <v>1589</v>
      </c>
      <c r="E1450" s="97">
        <v>2</v>
      </c>
      <c r="F1450" s="97" t="s">
        <v>54</v>
      </c>
      <c r="G1450" t="s">
        <v>27</v>
      </c>
      <c r="H1450" t="s">
        <v>28</v>
      </c>
      <c r="I1450" t="s">
        <v>28</v>
      </c>
      <c r="J1450" t="s">
        <v>28</v>
      </c>
      <c r="K1450" t="s">
        <v>828</v>
      </c>
      <c r="M1450" t="s">
        <v>27</v>
      </c>
      <c r="N1450" t="s">
        <v>62</v>
      </c>
      <c r="O1450" t="s">
        <v>1982</v>
      </c>
      <c r="P1450" t="s">
        <v>1969</v>
      </c>
      <c r="Q1450" t="s">
        <v>849</v>
      </c>
      <c r="R1450" s="140" t="s">
        <v>4460</v>
      </c>
      <c r="S1450" s="129" t="s">
        <v>1971</v>
      </c>
    </row>
    <row r="1451" spans="1:19">
      <c r="A1451" s="59">
        <v>135</v>
      </c>
      <c r="B1451" t="s">
        <v>234</v>
      </c>
      <c r="D1451" s="81" t="s">
        <v>1589</v>
      </c>
      <c r="E1451" s="97">
        <v>2</v>
      </c>
      <c r="F1451" s="97" t="s">
        <v>49</v>
      </c>
      <c r="G1451" t="s">
        <v>27</v>
      </c>
      <c r="H1451" t="s">
        <v>27</v>
      </c>
      <c r="I1451" t="s">
        <v>27</v>
      </c>
      <c r="J1451" t="s">
        <v>28</v>
      </c>
      <c r="K1451" t="s">
        <v>828</v>
      </c>
      <c r="M1451" t="s">
        <v>27</v>
      </c>
      <c r="N1451" t="s">
        <v>62</v>
      </c>
      <c r="O1451" t="s">
        <v>1983</v>
      </c>
      <c r="P1451" t="s">
        <v>1969</v>
      </c>
      <c r="Q1451" t="s">
        <v>1984</v>
      </c>
      <c r="R1451" s="140" t="s">
        <v>4460</v>
      </c>
      <c r="S1451" s="129" t="s">
        <v>1971</v>
      </c>
    </row>
    <row r="1452" spans="1:19">
      <c r="A1452" s="59">
        <v>135</v>
      </c>
      <c r="B1452" t="s">
        <v>234</v>
      </c>
      <c r="D1452" s="81" t="s">
        <v>1589</v>
      </c>
      <c r="E1452" s="97">
        <v>2</v>
      </c>
      <c r="F1452" s="97" t="s">
        <v>49</v>
      </c>
      <c r="G1452" t="s">
        <v>27</v>
      </c>
      <c r="H1452" t="s">
        <v>27</v>
      </c>
      <c r="I1452" t="s">
        <v>27</v>
      </c>
      <c r="J1452" t="s">
        <v>28</v>
      </c>
      <c r="K1452" t="s">
        <v>828</v>
      </c>
      <c r="M1452" t="s">
        <v>27</v>
      </c>
      <c r="N1452" t="s">
        <v>62</v>
      </c>
      <c r="O1452" t="s">
        <v>1985</v>
      </c>
      <c r="P1452" t="s">
        <v>1969</v>
      </c>
      <c r="Q1452" t="s">
        <v>1984</v>
      </c>
      <c r="R1452" s="140" t="s">
        <v>4460</v>
      </c>
      <c r="S1452" s="129" t="s">
        <v>1971</v>
      </c>
    </row>
    <row r="1453" spans="1:19">
      <c r="A1453" s="59">
        <v>135</v>
      </c>
      <c r="B1453" t="s">
        <v>234</v>
      </c>
      <c r="D1453" s="81" t="s">
        <v>1589</v>
      </c>
      <c r="E1453" s="97">
        <v>2</v>
      </c>
      <c r="F1453" s="97" t="s">
        <v>49</v>
      </c>
      <c r="G1453" t="s">
        <v>27</v>
      </c>
      <c r="H1453" t="s">
        <v>27</v>
      </c>
      <c r="I1453" t="s">
        <v>27</v>
      </c>
      <c r="J1453" t="s">
        <v>28</v>
      </c>
      <c r="K1453" t="s">
        <v>828</v>
      </c>
      <c r="M1453" t="s">
        <v>27</v>
      </c>
      <c r="N1453" t="s">
        <v>62</v>
      </c>
      <c r="O1453" t="s">
        <v>1986</v>
      </c>
      <c r="P1453" t="s">
        <v>1969</v>
      </c>
      <c r="Q1453" t="s">
        <v>1984</v>
      </c>
      <c r="R1453" s="140" t="s">
        <v>4460</v>
      </c>
      <c r="S1453" s="129" t="s">
        <v>1971</v>
      </c>
    </row>
    <row r="1454" spans="1:19">
      <c r="A1454" s="59">
        <v>135</v>
      </c>
      <c r="B1454" t="s">
        <v>234</v>
      </c>
      <c r="D1454" s="81" t="s">
        <v>1589</v>
      </c>
      <c r="E1454" s="97">
        <v>2</v>
      </c>
      <c r="F1454" s="97" t="s">
        <v>49</v>
      </c>
      <c r="G1454" t="s">
        <v>27</v>
      </c>
      <c r="H1454" t="s">
        <v>27</v>
      </c>
      <c r="I1454" t="s">
        <v>27</v>
      </c>
      <c r="J1454" t="s">
        <v>28</v>
      </c>
      <c r="K1454" t="s">
        <v>828</v>
      </c>
      <c r="M1454" t="s">
        <v>27</v>
      </c>
      <c r="N1454" t="s">
        <v>62</v>
      </c>
      <c r="O1454" t="s">
        <v>1987</v>
      </c>
      <c r="P1454" t="s">
        <v>1969</v>
      </c>
      <c r="Q1454" t="s">
        <v>1984</v>
      </c>
      <c r="R1454" s="140" t="s">
        <v>4460</v>
      </c>
      <c r="S1454" s="129" t="s">
        <v>1971</v>
      </c>
    </row>
    <row r="1455" spans="1:19" s="130" customFormat="1" hidden="1">
      <c r="A1455" s="130">
        <v>136</v>
      </c>
      <c r="B1455" s="130" t="s">
        <v>234</v>
      </c>
      <c r="D1455" s="81">
        <v>0</v>
      </c>
      <c r="E1455" s="98">
        <v>2</v>
      </c>
      <c r="F1455" s="98" t="s">
        <v>1988</v>
      </c>
      <c r="G1455" s="130" t="s">
        <v>27</v>
      </c>
      <c r="H1455" s="130" t="s">
        <v>27</v>
      </c>
      <c r="I1455" s="130" t="s">
        <v>27</v>
      </c>
      <c r="J1455" s="130" t="s">
        <v>27</v>
      </c>
      <c r="K1455" s="130" t="s">
        <v>828</v>
      </c>
      <c r="L1455" s="130" t="s">
        <v>1989</v>
      </c>
      <c r="M1455" s="130" t="s">
        <v>27</v>
      </c>
      <c r="N1455" s="130" t="s">
        <v>1990</v>
      </c>
      <c r="O1455" s="130" t="s">
        <v>1991</v>
      </c>
      <c r="P1455" s="130" t="s">
        <v>1969</v>
      </c>
      <c r="S1455" s="131" t="s">
        <v>1971</v>
      </c>
    </row>
    <row r="1456" spans="1:19">
      <c r="A1456" s="59">
        <v>136</v>
      </c>
      <c r="B1456" t="s">
        <v>234</v>
      </c>
      <c r="D1456" s="81" t="s">
        <v>1589</v>
      </c>
      <c r="E1456" s="97">
        <v>2</v>
      </c>
      <c r="F1456" s="97" t="s">
        <v>1988</v>
      </c>
      <c r="G1456" t="s">
        <v>27</v>
      </c>
      <c r="H1456" t="s">
        <v>27</v>
      </c>
      <c r="I1456" t="s">
        <v>27</v>
      </c>
      <c r="J1456" t="s">
        <v>28</v>
      </c>
      <c r="K1456" t="s">
        <v>828</v>
      </c>
      <c r="M1456" t="s">
        <v>27</v>
      </c>
      <c r="N1456" t="s">
        <v>62</v>
      </c>
      <c r="O1456" t="s">
        <v>1992</v>
      </c>
      <c r="P1456" t="s">
        <v>1969</v>
      </c>
      <c r="Q1456" t="s">
        <v>1993</v>
      </c>
      <c r="R1456" s="140" t="s">
        <v>4460</v>
      </c>
      <c r="S1456" s="129" t="s">
        <v>1971</v>
      </c>
    </row>
    <row r="1457" spans="1:19">
      <c r="A1457" s="59">
        <v>136</v>
      </c>
      <c r="B1457" t="s">
        <v>234</v>
      </c>
      <c r="D1457" s="81" t="s">
        <v>1589</v>
      </c>
      <c r="E1457" s="97">
        <v>2</v>
      </c>
      <c r="F1457" s="97" t="s">
        <v>1988</v>
      </c>
      <c r="G1457" t="s">
        <v>27</v>
      </c>
      <c r="H1457" t="s">
        <v>27</v>
      </c>
      <c r="I1457" t="s">
        <v>27</v>
      </c>
      <c r="J1457" t="s">
        <v>28</v>
      </c>
      <c r="K1457" t="s">
        <v>828</v>
      </c>
      <c r="M1457" t="s">
        <v>27</v>
      </c>
      <c r="N1457" t="s">
        <v>62</v>
      </c>
      <c r="O1457" t="s">
        <v>1994</v>
      </c>
      <c r="P1457" t="s">
        <v>1969</v>
      </c>
      <c r="Q1457" t="s">
        <v>1993</v>
      </c>
      <c r="R1457" s="140" t="s">
        <v>4460</v>
      </c>
      <c r="S1457" s="129" t="s">
        <v>1971</v>
      </c>
    </row>
    <row r="1458" spans="1:19">
      <c r="A1458" s="59">
        <v>136</v>
      </c>
      <c r="B1458" t="s">
        <v>234</v>
      </c>
      <c r="D1458" s="81" t="s">
        <v>1589</v>
      </c>
      <c r="E1458" s="97">
        <v>2</v>
      </c>
      <c r="F1458" s="97" t="s">
        <v>1988</v>
      </c>
      <c r="G1458" t="s">
        <v>27</v>
      </c>
      <c r="H1458" t="s">
        <v>27</v>
      </c>
      <c r="I1458" t="s">
        <v>27</v>
      </c>
      <c r="J1458" t="s">
        <v>28</v>
      </c>
      <c r="K1458" t="s">
        <v>828</v>
      </c>
      <c r="M1458" t="s">
        <v>27</v>
      </c>
      <c r="N1458" t="s">
        <v>62</v>
      </c>
      <c r="O1458" t="s">
        <v>1995</v>
      </c>
      <c r="P1458" t="s">
        <v>1969</v>
      </c>
      <c r="Q1458" t="s">
        <v>1993</v>
      </c>
      <c r="R1458" s="140" t="s">
        <v>4460</v>
      </c>
      <c r="S1458" s="129" t="s">
        <v>1971</v>
      </c>
    </row>
    <row r="1459" spans="1:19">
      <c r="A1459" s="59">
        <v>137</v>
      </c>
      <c r="B1459" t="s">
        <v>234</v>
      </c>
      <c r="D1459" s="81" t="s">
        <v>1589</v>
      </c>
      <c r="E1459" s="97">
        <v>3</v>
      </c>
      <c r="F1459" s="97" t="s">
        <v>74</v>
      </c>
      <c r="G1459" t="s">
        <v>27</v>
      </c>
      <c r="H1459" t="s">
        <v>27</v>
      </c>
      <c r="I1459" t="s">
        <v>27</v>
      </c>
      <c r="J1459" t="s">
        <v>28</v>
      </c>
      <c r="K1459" t="s">
        <v>828</v>
      </c>
      <c r="M1459" t="s">
        <v>27</v>
      </c>
      <c r="N1459" t="s">
        <v>62</v>
      </c>
      <c r="O1459" t="s">
        <v>1996</v>
      </c>
      <c r="P1459" t="s">
        <v>1969</v>
      </c>
      <c r="Q1459" t="s">
        <v>1997</v>
      </c>
      <c r="R1459" s="140" t="s">
        <v>4461</v>
      </c>
      <c r="S1459" s="129" t="s">
        <v>1971</v>
      </c>
    </row>
    <row r="1460" spans="1:19">
      <c r="A1460" s="59">
        <v>137</v>
      </c>
      <c r="B1460" t="s">
        <v>234</v>
      </c>
      <c r="D1460" s="81" t="s">
        <v>1589</v>
      </c>
      <c r="E1460" s="97">
        <v>3</v>
      </c>
      <c r="F1460" s="97" t="s">
        <v>74</v>
      </c>
      <c r="G1460" t="s">
        <v>27</v>
      </c>
      <c r="H1460" t="s">
        <v>27</v>
      </c>
      <c r="I1460" t="s">
        <v>27</v>
      </c>
      <c r="J1460" t="s">
        <v>28</v>
      </c>
      <c r="K1460" t="s">
        <v>828</v>
      </c>
      <c r="M1460" t="s">
        <v>27</v>
      </c>
      <c r="N1460" t="s">
        <v>62</v>
      </c>
      <c r="O1460" t="s">
        <v>1998</v>
      </c>
      <c r="P1460" t="s">
        <v>1969</v>
      </c>
      <c r="Q1460" t="s">
        <v>1997</v>
      </c>
      <c r="R1460" s="140" t="s">
        <v>4461</v>
      </c>
      <c r="S1460" s="129" t="s">
        <v>1971</v>
      </c>
    </row>
    <row r="1461" spans="1:19">
      <c r="A1461" s="59">
        <v>137</v>
      </c>
      <c r="B1461" t="s">
        <v>234</v>
      </c>
      <c r="D1461" s="81" t="s">
        <v>1589</v>
      </c>
      <c r="E1461" s="97">
        <v>3</v>
      </c>
      <c r="F1461" s="97" t="s">
        <v>74</v>
      </c>
      <c r="G1461" t="s">
        <v>27</v>
      </c>
      <c r="H1461" t="s">
        <v>27</v>
      </c>
      <c r="I1461" t="s">
        <v>27</v>
      </c>
      <c r="J1461" t="s">
        <v>28</v>
      </c>
      <c r="K1461" t="s">
        <v>828</v>
      </c>
      <c r="M1461" t="s">
        <v>27</v>
      </c>
      <c r="N1461" t="s">
        <v>62</v>
      </c>
      <c r="O1461" t="s">
        <v>1999</v>
      </c>
      <c r="P1461" t="s">
        <v>1969</v>
      </c>
      <c r="Q1461" t="s">
        <v>1997</v>
      </c>
      <c r="R1461" s="140" t="s">
        <v>4461</v>
      </c>
      <c r="S1461" s="129" t="s">
        <v>1971</v>
      </c>
    </row>
    <row r="1462" spans="1:19">
      <c r="A1462" s="59">
        <v>137</v>
      </c>
      <c r="B1462" t="s">
        <v>234</v>
      </c>
      <c r="D1462" s="81" t="s">
        <v>1589</v>
      </c>
      <c r="E1462" s="97">
        <v>3</v>
      </c>
      <c r="F1462" s="97" t="s">
        <v>74</v>
      </c>
      <c r="G1462" t="s">
        <v>27</v>
      </c>
      <c r="H1462" t="s">
        <v>27</v>
      </c>
      <c r="I1462" t="s">
        <v>27</v>
      </c>
      <c r="J1462" t="s">
        <v>28</v>
      </c>
      <c r="K1462" t="s">
        <v>828</v>
      </c>
      <c r="M1462" t="s">
        <v>27</v>
      </c>
      <c r="N1462" t="s">
        <v>62</v>
      </c>
      <c r="O1462" t="s">
        <v>2000</v>
      </c>
      <c r="P1462" t="s">
        <v>1969</v>
      </c>
      <c r="Q1462" t="s">
        <v>1997</v>
      </c>
      <c r="R1462" s="140" t="s">
        <v>4461</v>
      </c>
      <c r="S1462" s="129" t="s">
        <v>1971</v>
      </c>
    </row>
    <row r="1463" spans="1:19">
      <c r="A1463" s="59">
        <v>138</v>
      </c>
      <c r="B1463" t="s">
        <v>234</v>
      </c>
      <c r="D1463" s="81" t="s">
        <v>1589</v>
      </c>
      <c r="E1463" s="97">
        <v>3</v>
      </c>
      <c r="F1463" s="97" t="s">
        <v>180</v>
      </c>
      <c r="G1463" t="s">
        <v>27</v>
      </c>
      <c r="H1463" t="s">
        <v>27</v>
      </c>
      <c r="I1463" t="s">
        <v>27</v>
      </c>
      <c r="J1463" t="s">
        <v>28</v>
      </c>
      <c r="K1463" t="s">
        <v>828</v>
      </c>
      <c r="M1463" t="s">
        <v>27</v>
      </c>
      <c r="N1463" t="s">
        <v>62</v>
      </c>
      <c r="O1463" t="s">
        <v>2001</v>
      </c>
      <c r="P1463" t="s">
        <v>1969</v>
      </c>
      <c r="Q1463" t="s">
        <v>2002</v>
      </c>
      <c r="R1463" s="140" t="s">
        <v>4460</v>
      </c>
      <c r="S1463" s="129" t="s">
        <v>1971</v>
      </c>
    </row>
    <row r="1464" spans="1:19">
      <c r="A1464" s="59">
        <v>138</v>
      </c>
      <c r="B1464" t="s">
        <v>234</v>
      </c>
      <c r="D1464" s="81" t="s">
        <v>1589</v>
      </c>
      <c r="E1464" s="97">
        <v>3</v>
      </c>
      <c r="F1464" s="97" t="s">
        <v>180</v>
      </c>
      <c r="G1464" t="s">
        <v>27</v>
      </c>
      <c r="H1464" t="s">
        <v>27</v>
      </c>
      <c r="I1464" t="s">
        <v>27</v>
      </c>
      <c r="J1464" t="s">
        <v>28</v>
      </c>
      <c r="K1464" t="s">
        <v>828</v>
      </c>
      <c r="M1464" t="s">
        <v>27</v>
      </c>
      <c r="N1464" t="s">
        <v>62</v>
      </c>
      <c r="O1464" t="s">
        <v>2003</v>
      </c>
      <c r="P1464" t="s">
        <v>1969</v>
      </c>
      <c r="Q1464" t="s">
        <v>2002</v>
      </c>
      <c r="R1464" s="140" t="s">
        <v>4460</v>
      </c>
      <c r="S1464" s="129" t="s">
        <v>1971</v>
      </c>
    </row>
    <row r="1465" spans="1:19">
      <c r="A1465" s="59">
        <v>138</v>
      </c>
      <c r="B1465" t="s">
        <v>234</v>
      </c>
      <c r="D1465" s="81" t="s">
        <v>1589</v>
      </c>
      <c r="E1465" s="97">
        <v>3</v>
      </c>
      <c r="F1465" s="97" t="s">
        <v>180</v>
      </c>
      <c r="G1465" t="s">
        <v>27</v>
      </c>
      <c r="H1465" t="s">
        <v>27</v>
      </c>
      <c r="I1465" t="s">
        <v>27</v>
      </c>
      <c r="J1465" t="s">
        <v>28</v>
      </c>
      <c r="K1465" t="s">
        <v>828</v>
      </c>
      <c r="M1465" t="s">
        <v>27</v>
      </c>
      <c r="N1465" t="s">
        <v>62</v>
      </c>
      <c r="O1465" t="s">
        <v>2004</v>
      </c>
      <c r="P1465" t="s">
        <v>1969</v>
      </c>
      <c r="Q1465" t="s">
        <v>2002</v>
      </c>
      <c r="R1465" s="140" t="s">
        <v>4460</v>
      </c>
      <c r="S1465" s="129" t="s">
        <v>1971</v>
      </c>
    </row>
    <row r="1466" spans="1:19">
      <c r="A1466" s="59">
        <v>138</v>
      </c>
      <c r="B1466" t="s">
        <v>234</v>
      </c>
      <c r="D1466" s="81" t="s">
        <v>1589</v>
      </c>
      <c r="E1466" s="97">
        <v>3</v>
      </c>
      <c r="F1466" s="97" t="s">
        <v>180</v>
      </c>
      <c r="G1466" t="s">
        <v>27</v>
      </c>
      <c r="H1466" t="s">
        <v>27</v>
      </c>
      <c r="I1466" t="s">
        <v>27</v>
      </c>
      <c r="J1466" t="s">
        <v>28</v>
      </c>
      <c r="K1466" t="s">
        <v>828</v>
      </c>
      <c r="M1466" t="s">
        <v>27</v>
      </c>
      <c r="N1466" t="s">
        <v>62</v>
      </c>
      <c r="O1466" t="s">
        <v>2005</v>
      </c>
      <c r="P1466" t="s">
        <v>1969</v>
      </c>
      <c r="Q1466" t="s">
        <v>2002</v>
      </c>
      <c r="R1466" s="140" t="s">
        <v>4460</v>
      </c>
      <c r="S1466" s="129" t="s">
        <v>1971</v>
      </c>
    </row>
    <row r="1467" spans="1:19">
      <c r="A1467" s="59">
        <v>146</v>
      </c>
      <c r="B1467" t="s">
        <v>940</v>
      </c>
      <c r="D1467" s="81" t="s">
        <v>1589</v>
      </c>
      <c r="E1467" s="97">
        <v>1</v>
      </c>
      <c r="F1467" s="97" t="s">
        <v>112</v>
      </c>
      <c r="G1467" t="s">
        <v>27</v>
      </c>
      <c r="H1467" t="s">
        <v>27</v>
      </c>
      <c r="I1467" t="s">
        <v>27</v>
      </c>
      <c r="J1467" t="s">
        <v>28</v>
      </c>
      <c r="K1467" t="s">
        <v>828</v>
      </c>
      <c r="M1467" t="s">
        <v>27</v>
      </c>
      <c r="N1467" t="s">
        <v>62</v>
      </c>
      <c r="O1467" t="s">
        <v>2006</v>
      </c>
      <c r="P1467" t="s">
        <v>1969</v>
      </c>
      <c r="Q1467" t="s">
        <v>2007</v>
      </c>
      <c r="R1467" s="140" t="s">
        <v>4453</v>
      </c>
      <c r="S1467" s="129" t="s">
        <v>1971</v>
      </c>
    </row>
    <row r="1468" spans="1:19">
      <c r="A1468" s="59">
        <v>146</v>
      </c>
      <c r="B1468" t="s">
        <v>940</v>
      </c>
      <c r="D1468" s="81" t="s">
        <v>1589</v>
      </c>
      <c r="E1468" s="97">
        <v>1</v>
      </c>
      <c r="F1468" s="97" t="s">
        <v>112</v>
      </c>
      <c r="G1468" t="s">
        <v>27</v>
      </c>
      <c r="H1468" t="s">
        <v>27</v>
      </c>
      <c r="I1468" t="s">
        <v>27</v>
      </c>
      <c r="J1468" t="s">
        <v>28</v>
      </c>
      <c r="K1468" t="s">
        <v>828</v>
      </c>
      <c r="M1468" t="s">
        <v>27</v>
      </c>
      <c r="N1468" t="s">
        <v>62</v>
      </c>
      <c r="O1468" t="s">
        <v>2008</v>
      </c>
      <c r="P1468" t="s">
        <v>1969</v>
      </c>
      <c r="Q1468" t="s">
        <v>2007</v>
      </c>
      <c r="R1468" s="140" t="s">
        <v>4453</v>
      </c>
      <c r="S1468" s="129" t="s">
        <v>1971</v>
      </c>
    </row>
    <row r="1469" spans="1:19">
      <c r="A1469" s="59">
        <v>146</v>
      </c>
      <c r="B1469" t="s">
        <v>940</v>
      </c>
      <c r="D1469" s="81" t="s">
        <v>1589</v>
      </c>
      <c r="E1469" s="97">
        <v>1</v>
      </c>
      <c r="F1469" s="97" t="s">
        <v>112</v>
      </c>
      <c r="G1469" t="s">
        <v>27</v>
      </c>
      <c r="H1469" t="s">
        <v>27</v>
      </c>
      <c r="I1469" t="s">
        <v>27</v>
      </c>
      <c r="J1469" t="s">
        <v>28</v>
      </c>
      <c r="K1469" t="s">
        <v>828</v>
      </c>
      <c r="M1469" t="s">
        <v>27</v>
      </c>
      <c r="N1469" t="s">
        <v>62</v>
      </c>
      <c r="O1469" t="s">
        <v>2009</v>
      </c>
      <c r="P1469" t="s">
        <v>1969</v>
      </c>
      <c r="Q1469" t="s">
        <v>2010</v>
      </c>
      <c r="R1469" s="140" t="s">
        <v>4453</v>
      </c>
      <c r="S1469" s="129" t="s">
        <v>1971</v>
      </c>
    </row>
    <row r="1470" spans="1:19">
      <c r="A1470" s="59">
        <v>146</v>
      </c>
      <c r="B1470" t="s">
        <v>940</v>
      </c>
      <c r="D1470" s="81" t="s">
        <v>1589</v>
      </c>
      <c r="E1470" s="97">
        <v>1</v>
      </c>
      <c r="F1470" s="97" t="s">
        <v>112</v>
      </c>
      <c r="G1470" t="s">
        <v>27</v>
      </c>
      <c r="H1470" t="s">
        <v>27</v>
      </c>
      <c r="I1470" t="s">
        <v>27</v>
      </c>
      <c r="J1470" t="s">
        <v>28</v>
      </c>
      <c r="K1470" t="s">
        <v>828</v>
      </c>
      <c r="M1470" t="s">
        <v>27</v>
      </c>
      <c r="N1470" t="s">
        <v>62</v>
      </c>
      <c r="O1470" t="s">
        <v>2011</v>
      </c>
      <c r="P1470" t="s">
        <v>1969</v>
      </c>
      <c r="Q1470" t="s">
        <v>2010</v>
      </c>
      <c r="R1470" s="140" t="s">
        <v>4453</v>
      </c>
      <c r="S1470" s="129" t="s">
        <v>1971</v>
      </c>
    </row>
    <row r="1471" spans="1:19">
      <c r="A1471" s="59">
        <v>147</v>
      </c>
      <c r="B1471" t="s">
        <v>940</v>
      </c>
      <c r="D1471" s="81" t="s">
        <v>1589</v>
      </c>
      <c r="E1471" s="97">
        <v>1</v>
      </c>
      <c r="F1471" s="97" t="s">
        <v>26</v>
      </c>
      <c r="G1471" t="s">
        <v>27</v>
      </c>
      <c r="H1471" t="s">
        <v>28</v>
      </c>
      <c r="I1471" t="s">
        <v>28</v>
      </c>
      <c r="J1471" t="s">
        <v>28</v>
      </c>
      <c r="K1471" t="s">
        <v>828</v>
      </c>
      <c r="M1471" t="s">
        <v>27</v>
      </c>
      <c r="N1471" t="s">
        <v>62</v>
      </c>
      <c r="O1471" t="s">
        <v>2012</v>
      </c>
      <c r="P1471" t="s">
        <v>1969</v>
      </c>
      <c r="Q1471" t="s">
        <v>2013</v>
      </c>
      <c r="R1471" s="140" t="s">
        <v>4453</v>
      </c>
      <c r="S1471" s="129" t="s">
        <v>1971</v>
      </c>
    </row>
    <row r="1472" spans="1:19">
      <c r="A1472" s="59">
        <v>147</v>
      </c>
      <c r="B1472" t="s">
        <v>940</v>
      </c>
      <c r="D1472" s="81" t="s">
        <v>1589</v>
      </c>
      <c r="E1472" s="97">
        <v>1</v>
      </c>
      <c r="F1472" s="97" t="s">
        <v>26</v>
      </c>
      <c r="G1472" t="s">
        <v>27</v>
      </c>
      <c r="H1472" t="s">
        <v>28</v>
      </c>
      <c r="I1472" t="s">
        <v>28</v>
      </c>
      <c r="J1472" t="s">
        <v>28</v>
      </c>
      <c r="K1472" t="s">
        <v>828</v>
      </c>
      <c r="M1472" t="s">
        <v>27</v>
      </c>
      <c r="N1472" t="s">
        <v>62</v>
      </c>
      <c r="O1472" t="s">
        <v>2014</v>
      </c>
      <c r="P1472" t="s">
        <v>1969</v>
      </c>
      <c r="Q1472" t="s">
        <v>2013</v>
      </c>
      <c r="R1472" s="140" t="s">
        <v>4453</v>
      </c>
      <c r="S1472" s="129" t="s">
        <v>1971</v>
      </c>
    </row>
    <row r="1473" spans="1:19">
      <c r="A1473" s="59">
        <v>147</v>
      </c>
      <c r="B1473" t="s">
        <v>940</v>
      </c>
      <c r="D1473" s="81" t="s">
        <v>1589</v>
      </c>
      <c r="E1473" s="97">
        <v>1</v>
      </c>
      <c r="F1473" s="97" t="s">
        <v>26</v>
      </c>
      <c r="G1473" t="s">
        <v>27</v>
      </c>
      <c r="H1473" t="s">
        <v>28</v>
      </c>
      <c r="I1473" t="s">
        <v>28</v>
      </c>
      <c r="J1473" t="s">
        <v>28</v>
      </c>
      <c r="K1473" t="s">
        <v>828</v>
      </c>
      <c r="M1473" t="s">
        <v>27</v>
      </c>
      <c r="N1473" t="s">
        <v>62</v>
      </c>
      <c r="O1473" t="s">
        <v>2015</v>
      </c>
      <c r="P1473" t="s">
        <v>1969</v>
      </c>
      <c r="Q1473" t="s">
        <v>2016</v>
      </c>
      <c r="R1473" s="140" t="s">
        <v>4453</v>
      </c>
      <c r="S1473" s="129" t="s">
        <v>1971</v>
      </c>
    </row>
    <row r="1474" spans="1:19">
      <c r="A1474" s="59">
        <v>147</v>
      </c>
      <c r="B1474" t="s">
        <v>940</v>
      </c>
      <c r="D1474" s="81" t="s">
        <v>1589</v>
      </c>
      <c r="E1474" s="97">
        <v>1</v>
      </c>
      <c r="F1474" s="97" t="s">
        <v>26</v>
      </c>
      <c r="G1474" t="s">
        <v>27</v>
      </c>
      <c r="H1474" t="s">
        <v>28</v>
      </c>
      <c r="I1474" t="s">
        <v>28</v>
      </c>
      <c r="J1474" t="s">
        <v>28</v>
      </c>
      <c r="K1474" t="s">
        <v>828</v>
      </c>
      <c r="M1474" t="s">
        <v>27</v>
      </c>
      <c r="N1474" t="s">
        <v>62</v>
      </c>
      <c r="O1474" t="s">
        <v>2017</v>
      </c>
      <c r="P1474" t="s">
        <v>1969</v>
      </c>
      <c r="Q1474" t="s">
        <v>2018</v>
      </c>
      <c r="R1474" s="140" t="s">
        <v>4453</v>
      </c>
      <c r="S1474" s="129" t="s">
        <v>1971</v>
      </c>
    </row>
    <row r="1475" spans="1:19">
      <c r="A1475" s="59">
        <v>148</v>
      </c>
      <c r="B1475" t="s">
        <v>940</v>
      </c>
      <c r="D1475" s="81" t="s">
        <v>1589</v>
      </c>
      <c r="E1475" s="97">
        <v>2</v>
      </c>
      <c r="F1475" s="97" t="s">
        <v>54</v>
      </c>
      <c r="G1475" t="s">
        <v>27</v>
      </c>
      <c r="H1475" t="s">
        <v>28</v>
      </c>
      <c r="I1475" t="s">
        <v>28</v>
      </c>
      <c r="J1475" t="s">
        <v>28</v>
      </c>
      <c r="K1475" t="s">
        <v>828</v>
      </c>
      <c r="M1475" t="s">
        <v>27</v>
      </c>
      <c r="N1475" t="s">
        <v>62</v>
      </c>
      <c r="O1475" t="s">
        <v>2019</v>
      </c>
      <c r="P1475" t="s">
        <v>1969</v>
      </c>
      <c r="Q1475" t="s">
        <v>2020</v>
      </c>
      <c r="R1475" s="140" t="s">
        <v>4453</v>
      </c>
      <c r="S1475" s="129" t="s">
        <v>1971</v>
      </c>
    </row>
    <row r="1476" spans="1:19">
      <c r="A1476" s="59">
        <v>148</v>
      </c>
      <c r="B1476" t="s">
        <v>940</v>
      </c>
      <c r="D1476" s="81" t="s">
        <v>1589</v>
      </c>
      <c r="E1476" s="97">
        <v>2</v>
      </c>
      <c r="F1476" s="97" t="s">
        <v>54</v>
      </c>
      <c r="G1476" t="s">
        <v>27</v>
      </c>
      <c r="H1476" t="s">
        <v>28</v>
      </c>
      <c r="I1476" t="s">
        <v>28</v>
      </c>
      <c r="J1476" t="s">
        <v>28</v>
      </c>
      <c r="K1476" t="s">
        <v>828</v>
      </c>
      <c r="M1476" t="s">
        <v>27</v>
      </c>
      <c r="N1476" t="s">
        <v>62</v>
      </c>
      <c r="O1476" t="s">
        <v>2021</v>
      </c>
      <c r="P1476" t="s">
        <v>1969</v>
      </c>
      <c r="Q1476" t="s">
        <v>2020</v>
      </c>
      <c r="R1476" s="140" t="s">
        <v>4453</v>
      </c>
      <c r="S1476" s="129" t="s">
        <v>1971</v>
      </c>
    </row>
    <row r="1477" spans="1:19">
      <c r="A1477" s="59">
        <v>148</v>
      </c>
      <c r="B1477" t="s">
        <v>940</v>
      </c>
      <c r="D1477" s="81" t="s">
        <v>1589</v>
      </c>
      <c r="E1477" s="97">
        <v>2</v>
      </c>
      <c r="F1477" s="97" t="s">
        <v>54</v>
      </c>
      <c r="G1477" t="s">
        <v>27</v>
      </c>
      <c r="H1477" t="s">
        <v>28</v>
      </c>
      <c r="I1477" t="s">
        <v>28</v>
      </c>
      <c r="J1477" t="s">
        <v>28</v>
      </c>
      <c r="K1477" t="s">
        <v>828</v>
      </c>
      <c r="M1477" t="s">
        <v>27</v>
      </c>
      <c r="N1477" t="s">
        <v>62</v>
      </c>
      <c r="O1477" t="s">
        <v>2022</v>
      </c>
      <c r="P1477" t="s">
        <v>1969</v>
      </c>
      <c r="Q1477" t="s">
        <v>2023</v>
      </c>
      <c r="R1477" s="140" t="s">
        <v>4453</v>
      </c>
      <c r="S1477" s="129" t="s">
        <v>1971</v>
      </c>
    </row>
    <row r="1478" spans="1:19">
      <c r="A1478" s="59">
        <v>148</v>
      </c>
      <c r="B1478" t="s">
        <v>940</v>
      </c>
      <c r="D1478" s="81" t="s">
        <v>1589</v>
      </c>
      <c r="E1478" s="97">
        <v>2</v>
      </c>
      <c r="F1478" s="97" t="s">
        <v>54</v>
      </c>
      <c r="G1478" t="s">
        <v>27</v>
      </c>
      <c r="H1478" t="s">
        <v>28</v>
      </c>
      <c r="I1478" t="s">
        <v>28</v>
      </c>
      <c r="J1478" t="s">
        <v>28</v>
      </c>
      <c r="K1478" t="s">
        <v>828</v>
      </c>
      <c r="M1478" t="s">
        <v>27</v>
      </c>
      <c r="N1478" t="s">
        <v>62</v>
      </c>
      <c r="O1478" t="s">
        <v>2024</v>
      </c>
      <c r="P1478" t="s">
        <v>1969</v>
      </c>
      <c r="Q1478" t="s">
        <v>2023</v>
      </c>
      <c r="R1478" s="140" t="s">
        <v>4453</v>
      </c>
      <c r="S1478" s="129" t="s">
        <v>1971</v>
      </c>
    </row>
    <row r="1479" spans="1:19">
      <c r="A1479" s="59">
        <v>149</v>
      </c>
      <c r="B1479" t="s">
        <v>940</v>
      </c>
      <c r="D1479" s="81" t="s">
        <v>1589</v>
      </c>
      <c r="E1479" s="97">
        <v>2</v>
      </c>
      <c r="F1479" s="97" t="s">
        <v>49</v>
      </c>
      <c r="G1479" t="s">
        <v>27</v>
      </c>
      <c r="H1479" t="s">
        <v>27</v>
      </c>
      <c r="I1479" t="s">
        <v>27</v>
      </c>
      <c r="J1479" t="s">
        <v>28</v>
      </c>
      <c r="K1479" t="s">
        <v>828</v>
      </c>
      <c r="M1479" t="s">
        <v>27</v>
      </c>
      <c r="N1479" t="s">
        <v>62</v>
      </c>
      <c r="O1479" t="s">
        <v>2025</v>
      </c>
      <c r="P1479" t="s">
        <v>1969</v>
      </c>
      <c r="Q1479" t="s">
        <v>2026</v>
      </c>
      <c r="R1479" s="140" t="s">
        <v>4453</v>
      </c>
      <c r="S1479" s="129" t="s">
        <v>1971</v>
      </c>
    </row>
    <row r="1480" spans="1:19">
      <c r="A1480" s="59">
        <v>149</v>
      </c>
      <c r="B1480" t="s">
        <v>940</v>
      </c>
      <c r="D1480" s="81" t="s">
        <v>1589</v>
      </c>
      <c r="E1480" s="97">
        <v>2</v>
      </c>
      <c r="F1480" s="97" t="s">
        <v>49</v>
      </c>
      <c r="G1480" t="s">
        <v>27</v>
      </c>
      <c r="H1480" t="s">
        <v>27</v>
      </c>
      <c r="I1480" t="s">
        <v>27</v>
      </c>
      <c r="J1480" t="s">
        <v>28</v>
      </c>
      <c r="K1480" t="s">
        <v>828</v>
      </c>
      <c r="M1480" t="s">
        <v>27</v>
      </c>
      <c r="N1480" t="s">
        <v>62</v>
      </c>
      <c r="O1480" t="s">
        <v>2027</v>
      </c>
      <c r="P1480" t="s">
        <v>1969</v>
      </c>
      <c r="Q1480" t="s">
        <v>2026</v>
      </c>
      <c r="R1480" s="140" t="s">
        <v>4453</v>
      </c>
      <c r="S1480" s="129" t="s">
        <v>1971</v>
      </c>
    </row>
    <row r="1481" spans="1:19">
      <c r="A1481" s="59">
        <v>149</v>
      </c>
      <c r="B1481" t="s">
        <v>940</v>
      </c>
      <c r="D1481" s="81" t="s">
        <v>1589</v>
      </c>
      <c r="E1481" s="97">
        <v>2</v>
      </c>
      <c r="F1481" s="97" t="s">
        <v>49</v>
      </c>
      <c r="G1481" t="s">
        <v>27</v>
      </c>
      <c r="H1481" t="s">
        <v>27</v>
      </c>
      <c r="I1481" t="s">
        <v>27</v>
      </c>
      <c r="J1481" t="s">
        <v>28</v>
      </c>
      <c r="K1481" t="s">
        <v>828</v>
      </c>
      <c r="M1481" t="s">
        <v>27</v>
      </c>
      <c r="N1481" t="s">
        <v>62</v>
      </c>
      <c r="O1481" t="s">
        <v>2028</v>
      </c>
      <c r="P1481" t="s">
        <v>1969</v>
      </c>
      <c r="Q1481" t="s">
        <v>2029</v>
      </c>
      <c r="R1481" s="140" t="s">
        <v>4453</v>
      </c>
      <c r="S1481" s="129" t="s">
        <v>1971</v>
      </c>
    </row>
    <row r="1482" spans="1:19">
      <c r="A1482" s="59">
        <v>149</v>
      </c>
      <c r="B1482" t="s">
        <v>940</v>
      </c>
      <c r="D1482" s="81" t="s">
        <v>1589</v>
      </c>
      <c r="E1482" s="97">
        <v>2</v>
      </c>
      <c r="F1482" s="97" t="s">
        <v>49</v>
      </c>
      <c r="G1482" t="s">
        <v>27</v>
      </c>
      <c r="H1482" t="s">
        <v>27</v>
      </c>
      <c r="I1482" t="s">
        <v>27</v>
      </c>
      <c r="J1482" t="s">
        <v>28</v>
      </c>
      <c r="K1482" t="s">
        <v>828</v>
      </c>
      <c r="M1482" t="s">
        <v>27</v>
      </c>
      <c r="N1482" t="s">
        <v>62</v>
      </c>
      <c r="O1482" t="s">
        <v>2030</v>
      </c>
      <c r="P1482" t="s">
        <v>1969</v>
      </c>
      <c r="Q1482" t="s">
        <v>2029</v>
      </c>
      <c r="R1482" s="140" t="s">
        <v>4453</v>
      </c>
      <c r="S1482" s="129" t="s">
        <v>1971</v>
      </c>
    </row>
    <row r="1483" spans="1:19">
      <c r="A1483" s="59">
        <v>150</v>
      </c>
      <c r="B1483" t="s">
        <v>940</v>
      </c>
      <c r="D1483" s="81" t="s">
        <v>1589</v>
      </c>
      <c r="E1483" s="97">
        <v>2</v>
      </c>
      <c r="F1483" s="97" t="s">
        <v>1988</v>
      </c>
      <c r="G1483" t="s">
        <v>27</v>
      </c>
      <c r="H1483" t="s">
        <v>27</v>
      </c>
      <c r="I1483" t="s">
        <v>27</v>
      </c>
      <c r="J1483" t="s">
        <v>28</v>
      </c>
      <c r="K1483" t="s">
        <v>828</v>
      </c>
      <c r="M1483" t="s">
        <v>27</v>
      </c>
      <c r="N1483" t="s">
        <v>62</v>
      </c>
      <c r="O1483" t="s">
        <v>2031</v>
      </c>
      <c r="P1483" t="s">
        <v>1969</v>
      </c>
      <c r="Q1483" t="s">
        <v>2032</v>
      </c>
      <c r="R1483" s="140" t="s">
        <v>4453</v>
      </c>
      <c r="S1483" s="129" t="s">
        <v>1971</v>
      </c>
    </row>
    <row r="1484" spans="1:19">
      <c r="A1484" s="59">
        <v>150</v>
      </c>
      <c r="B1484" t="s">
        <v>940</v>
      </c>
      <c r="D1484" s="81" t="s">
        <v>1589</v>
      </c>
      <c r="E1484" s="97">
        <v>2</v>
      </c>
      <c r="F1484" s="97" t="s">
        <v>1988</v>
      </c>
      <c r="G1484" t="s">
        <v>27</v>
      </c>
      <c r="H1484" t="s">
        <v>27</v>
      </c>
      <c r="I1484" t="s">
        <v>27</v>
      </c>
      <c r="J1484" t="s">
        <v>28</v>
      </c>
      <c r="K1484" t="s">
        <v>828</v>
      </c>
      <c r="M1484" t="s">
        <v>27</v>
      </c>
      <c r="N1484" t="s">
        <v>62</v>
      </c>
      <c r="O1484" t="s">
        <v>2033</v>
      </c>
      <c r="P1484" t="s">
        <v>1969</v>
      </c>
      <c r="Q1484" t="s">
        <v>2032</v>
      </c>
      <c r="R1484" s="140" t="s">
        <v>4453</v>
      </c>
      <c r="S1484" s="129" t="s">
        <v>1971</v>
      </c>
    </row>
    <row r="1485" spans="1:19">
      <c r="A1485" s="59">
        <v>150</v>
      </c>
      <c r="B1485" t="s">
        <v>940</v>
      </c>
      <c r="D1485" s="81" t="s">
        <v>1589</v>
      </c>
      <c r="E1485" s="97">
        <v>2</v>
      </c>
      <c r="F1485" s="97" t="s">
        <v>1988</v>
      </c>
      <c r="G1485" t="s">
        <v>27</v>
      </c>
      <c r="H1485" t="s">
        <v>27</v>
      </c>
      <c r="I1485" t="s">
        <v>27</v>
      </c>
      <c r="J1485" t="s">
        <v>28</v>
      </c>
      <c r="K1485" t="s">
        <v>828</v>
      </c>
      <c r="M1485" t="s">
        <v>27</v>
      </c>
      <c r="N1485" t="s">
        <v>62</v>
      </c>
      <c r="O1485" t="s">
        <v>2034</v>
      </c>
      <c r="P1485" t="s">
        <v>1969</v>
      </c>
      <c r="Q1485" t="s">
        <v>2035</v>
      </c>
      <c r="R1485" s="140" t="s">
        <v>4453</v>
      </c>
      <c r="S1485" s="129" t="s">
        <v>1971</v>
      </c>
    </row>
    <row r="1486" spans="1:19">
      <c r="A1486" s="59">
        <v>150</v>
      </c>
      <c r="B1486" t="s">
        <v>940</v>
      </c>
      <c r="D1486" s="81" t="s">
        <v>1589</v>
      </c>
      <c r="E1486" s="97">
        <v>2</v>
      </c>
      <c r="F1486" s="97" t="s">
        <v>1988</v>
      </c>
      <c r="G1486" t="s">
        <v>27</v>
      </c>
      <c r="H1486" t="s">
        <v>27</v>
      </c>
      <c r="I1486" t="s">
        <v>27</v>
      </c>
      <c r="J1486" t="s">
        <v>28</v>
      </c>
      <c r="K1486" t="s">
        <v>828</v>
      </c>
      <c r="M1486" t="s">
        <v>27</v>
      </c>
      <c r="N1486" t="s">
        <v>62</v>
      </c>
      <c r="O1486" t="s">
        <v>2036</v>
      </c>
      <c r="P1486" t="s">
        <v>1969</v>
      </c>
      <c r="Q1486" t="s">
        <v>2035</v>
      </c>
      <c r="R1486" s="140" t="s">
        <v>4453</v>
      </c>
      <c r="S1486" s="129" t="s">
        <v>1971</v>
      </c>
    </row>
    <row r="1487" spans="1:19">
      <c r="A1487" s="59">
        <v>151</v>
      </c>
      <c r="B1487" t="s">
        <v>940</v>
      </c>
      <c r="D1487" s="81" t="s">
        <v>1589</v>
      </c>
      <c r="E1487" s="97">
        <v>3</v>
      </c>
      <c r="F1487" s="97" t="s">
        <v>74</v>
      </c>
      <c r="G1487" t="s">
        <v>27</v>
      </c>
      <c r="H1487" t="s">
        <v>27</v>
      </c>
      <c r="I1487" t="s">
        <v>27</v>
      </c>
      <c r="J1487" t="s">
        <v>28</v>
      </c>
      <c r="K1487" t="s">
        <v>828</v>
      </c>
      <c r="M1487" t="s">
        <v>27</v>
      </c>
      <c r="N1487" t="s">
        <v>62</v>
      </c>
      <c r="O1487" t="s">
        <v>2037</v>
      </c>
      <c r="P1487" t="s">
        <v>1969</v>
      </c>
      <c r="Q1487" t="s">
        <v>2038</v>
      </c>
      <c r="R1487" s="140" t="s">
        <v>4453</v>
      </c>
      <c r="S1487" s="129" t="s">
        <v>1971</v>
      </c>
    </row>
    <row r="1488" spans="1:19">
      <c r="A1488" s="59">
        <v>151</v>
      </c>
      <c r="B1488" t="s">
        <v>940</v>
      </c>
      <c r="D1488" s="81" t="s">
        <v>1589</v>
      </c>
      <c r="E1488" s="97">
        <v>3</v>
      </c>
      <c r="F1488" s="97" t="s">
        <v>74</v>
      </c>
      <c r="G1488" t="s">
        <v>27</v>
      </c>
      <c r="H1488" t="s">
        <v>27</v>
      </c>
      <c r="I1488" t="s">
        <v>27</v>
      </c>
      <c r="J1488" t="s">
        <v>28</v>
      </c>
      <c r="K1488" t="s">
        <v>828</v>
      </c>
      <c r="M1488" t="s">
        <v>27</v>
      </c>
      <c r="N1488" t="s">
        <v>62</v>
      </c>
      <c r="O1488" t="s">
        <v>2039</v>
      </c>
      <c r="P1488" t="s">
        <v>1969</v>
      </c>
      <c r="Q1488" t="s">
        <v>2038</v>
      </c>
      <c r="R1488" s="140" t="s">
        <v>4453</v>
      </c>
      <c r="S1488" s="129" t="s">
        <v>1971</v>
      </c>
    </row>
    <row r="1489" spans="1:19">
      <c r="A1489" s="59">
        <v>151</v>
      </c>
      <c r="B1489" t="s">
        <v>940</v>
      </c>
      <c r="D1489" s="81" t="s">
        <v>1589</v>
      </c>
      <c r="E1489" s="97">
        <v>3</v>
      </c>
      <c r="F1489" s="97" t="s">
        <v>74</v>
      </c>
      <c r="G1489" t="s">
        <v>27</v>
      </c>
      <c r="H1489" t="s">
        <v>27</v>
      </c>
      <c r="I1489" t="s">
        <v>27</v>
      </c>
      <c r="J1489" t="s">
        <v>28</v>
      </c>
      <c r="K1489" t="s">
        <v>828</v>
      </c>
      <c r="M1489" t="s">
        <v>27</v>
      </c>
      <c r="N1489" t="s">
        <v>62</v>
      </c>
      <c r="O1489" t="s">
        <v>2040</v>
      </c>
      <c r="P1489" t="s">
        <v>1969</v>
      </c>
      <c r="Q1489" t="s">
        <v>2041</v>
      </c>
      <c r="R1489" s="140" t="s">
        <v>4453</v>
      </c>
      <c r="S1489" s="129" t="s">
        <v>1971</v>
      </c>
    </row>
    <row r="1490" spans="1:19">
      <c r="A1490" s="59">
        <v>151</v>
      </c>
      <c r="B1490" t="s">
        <v>940</v>
      </c>
      <c r="D1490" s="81" t="s">
        <v>1589</v>
      </c>
      <c r="E1490" s="97">
        <v>3</v>
      </c>
      <c r="F1490" s="97" t="s">
        <v>74</v>
      </c>
      <c r="G1490" t="s">
        <v>27</v>
      </c>
      <c r="H1490" t="s">
        <v>27</v>
      </c>
      <c r="I1490" t="s">
        <v>27</v>
      </c>
      <c r="J1490" t="s">
        <v>28</v>
      </c>
      <c r="K1490" t="s">
        <v>828</v>
      </c>
      <c r="M1490" t="s">
        <v>27</v>
      </c>
      <c r="N1490" t="s">
        <v>62</v>
      </c>
      <c r="O1490" t="s">
        <v>2042</v>
      </c>
      <c r="P1490" t="s">
        <v>1969</v>
      </c>
      <c r="Q1490" t="s">
        <v>2041</v>
      </c>
      <c r="R1490" s="140" t="s">
        <v>4453</v>
      </c>
      <c r="S1490" s="129" t="s">
        <v>1971</v>
      </c>
    </row>
    <row r="1491" spans="1:19">
      <c r="A1491" s="59">
        <v>152</v>
      </c>
      <c r="B1491" t="s">
        <v>940</v>
      </c>
      <c r="D1491" s="81" t="s">
        <v>1589</v>
      </c>
      <c r="E1491" s="97">
        <v>3</v>
      </c>
      <c r="F1491" s="97" t="s">
        <v>180</v>
      </c>
      <c r="G1491" t="s">
        <v>27</v>
      </c>
      <c r="H1491" t="s">
        <v>27</v>
      </c>
      <c r="I1491" t="s">
        <v>27</v>
      </c>
      <c r="J1491" t="s">
        <v>28</v>
      </c>
      <c r="K1491" t="s">
        <v>828</v>
      </c>
      <c r="M1491" t="s">
        <v>27</v>
      </c>
      <c r="N1491" t="s">
        <v>62</v>
      </c>
      <c r="O1491" t="s">
        <v>2043</v>
      </c>
      <c r="P1491" t="s">
        <v>1969</v>
      </c>
      <c r="Q1491" t="s">
        <v>2044</v>
      </c>
      <c r="R1491" s="140" t="s">
        <v>4453</v>
      </c>
      <c r="S1491" s="129" t="s">
        <v>1971</v>
      </c>
    </row>
    <row r="1492" spans="1:19">
      <c r="A1492" s="59">
        <v>152</v>
      </c>
      <c r="B1492" t="s">
        <v>940</v>
      </c>
      <c r="D1492" s="81" t="s">
        <v>1589</v>
      </c>
      <c r="E1492" s="97">
        <v>3</v>
      </c>
      <c r="F1492" s="97" t="s">
        <v>180</v>
      </c>
      <c r="G1492" t="s">
        <v>27</v>
      </c>
      <c r="H1492" t="s">
        <v>27</v>
      </c>
      <c r="I1492" t="s">
        <v>27</v>
      </c>
      <c r="J1492" t="s">
        <v>28</v>
      </c>
      <c r="K1492" t="s">
        <v>828</v>
      </c>
      <c r="M1492" t="s">
        <v>27</v>
      </c>
      <c r="N1492" t="s">
        <v>62</v>
      </c>
      <c r="O1492" t="s">
        <v>2045</v>
      </c>
      <c r="P1492" t="s">
        <v>1969</v>
      </c>
      <c r="Q1492" t="s">
        <v>2044</v>
      </c>
      <c r="R1492" s="140" t="s">
        <v>4453</v>
      </c>
      <c r="S1492" s="129" t="s">
        <v>1971</v>
      </c>
    </row>
    <row r="1493" spans="1:19">
      <c r="A1493" s="59">
        <v>152</v>
      </c>
      <c r="B1493" t="s">
        <v>940</v>
      </c>
      <c r="D1493" s="81" t="s">
        <v>1589</v>
      </c>
      <c r="E1493" s="97">
        <v>3</v>
      </c>
      <c r="F1493" s="97" t="s">
        <v>180</v>
      </c>
      <c r="G1493" t="s">
        <v>27</v>
      </c>
      <c r="H1493" t="s">
        <v>27</v>
      </c>
      <c r="I1493" t="s">
        <v>27</v>
      </c>
      <c r="J1493" t="s">
        <v>28</v>
      </c>
      <c r="K1493" t="s">
        <v>828</v>
      </c>
      <c r="M1493" t="s">
        <v>27</v>
      </c>
      <c r="N1493" t="s">
        <v>62</v>
      </c>
      <c r="O1493" t="s">
        <v>2046</v>
      </c>
      <c r="P1493" t="s">
        <v>1969</v>
      </c>
      <c r="Q1493" t="s">
        <v>2047</v>
      </c>
      <c r="R1493" s="140" t="s">
        <v>4453</v>
      </c>
      <c r="S1493" s="129" t="s">
        <v>1971</v>
      </c>
    </row>
    <row r="1494" spans="1:19">
      <c r="A1494" s="59">
        <v>152</v>
      </c>
      <c r="B1494" t="s">
        <v>940</v>
      </c>
      <c r="D1494" s="81" t="s">
        <v>1589</v>
      </c>
      <c r="E1494" s="97">
        <v>3</v>
      </c>
      <c r="F1494" s="97" t="s">
        <v>180</v>
      </c>
      <c r="G1494" t="s">
        <v>27</v>
      </c>
      <c r="H1494" t="s">
        <v>27</v>
      </c>
      <c r="I1494" t="s">
        <v>27</v>
      </c>
      <c r="J1494" t="s">
        <v>28</v>
      </c>
      <c r="K1494" t="s">
        <v>828</v>
      </c>
      <c r="M1494" t="s">
        <v>27</v>
      </c>
      <c r="N1494" t="s">
        <v>62</v>
      </c>
      <c r="O1494" t="s">
        <v>2048</v>
      </c>
      <c r="P1494" t="s">
        <v>1969</v>
      </c>
      <c r="Q1494" t="s">
        <v>2047</v>
      </c>
      <c r="R1494" s="140" t="s">
        <v>4453</v>
      </c>
      <c r="S1494" s="129" t="s">
        <v>1971</v>
      </c>
    </row>
    <row r="1495" spans="1:19">
      <c r="A1495" s="59">
        <v>160</v>
      </c>
      <c r="B1495" t="s">
        <v>405</v>
      </c>
      <c r="D1495" s="81" t="s">
        <v>1589</v>
      </c>
      <c r="E1495" s="97">
        <v>1</v>
      </c>
      <c r="F1495" s="97" t="s">
        <v>112</v>
      </c>
      <c r="G1495" t="s">
        <v>27</v>
      </c>
      <c r="H1495" t="s">
        <v>27</v>
      </c>
      <c r="I1495" t="s">
        <v>27</v>
      </c>
      <c r="J1495" t="s">
        <v>28</v>
      </c>
      <c r="K1495" t="s">
        <v>828</v>
      </c>
      <c r="M1495" t="s">
        <v>27</v>
      </c>
      <c r="N1495" t="s">
        <v>62</v>
      </c>
      <c r="O1495" t="s">
        <v>2049</v>
      </c>
      <c r="P1495" t="s">
        <v>1969</v>
      </c>
      <c r="Q1495" t="s">
        <v>2050</v>
      </c>
      <c r="R1495" s="140" t="s">
        <v>4454</v>
      </c>
      <c r="S1495" s="129" t="s">
        <v>1971</v>
      </c>
    </row>
    <row r="1496" spans="1:19">
      <c r="A1496" s="59">
        <v>160</v>
      </c>
      <c r="B1496" t="s">
        <v>405</v>
      </c>
      <c r="D1496" s="81" t="s">
        <v>1589</v>
      </c>
      <c r="E1496" s="97">
        <v>1</v>
      </c>
      <c r="F1496" s="97" t="s">
        <v>112</v>
      </c>
      <c r="G1496" t="s">
        <v>27</v>
      </c>
      <c r="H1496" t="s">
        <v>27</v>
      </c>
      <c r="I1496" t="s">
        <v>27</v>
      </c>
      <c r="J1496" t="s">
        <v>28</v>
      </c>
      <c r="K1496" t="s">
        <v>828</v>
      </c>
      <c r="M1496" t="s">
        <v>27</v>
      </c>
      <c r="N1496" t="s">
        <v>62</v>
      </c>
      <c r="O1496" t="s">
        <v>2051</v>
      </c>
      <c r="P1496" t="s">
        <v>1969</v>
      </c>
      <c r="Q1496" t="s">
        <v>2050</v>
      </c>
      <c r="R1496" s="140" t="s">
        <v>4454</v>
      </c>
      <c r="S1496" s="129" t="s">
        <v>1971</v>
      </c>
    </row>
    <row r="1497" spans="1:19">
      <c r="A1497" s="59">
        <v>160</v>
      </c>
      <c r="B1497" t="s">
        <v>405</v>
      </c>
      <c r="D1497" s="81" t="s">
        <v>1589</v>
      </c>
      <c r="E1497" s="97">
        <v>1</v>
      </c>
      <c r="F1497" s="97" t="s">
        <v>112</v>
      </c>
      <c r="G1497" t="s">
        <v>27</v>
      </c>
      <c r="H1497" t="s">
        <v>27</v>
      </c>
      <c r="I1497" t="s">
        <v>27</v>
      </c>
      <c r="J1497" t="s">
        <v>28</v>
      </c>
      <c r="K1497" t="s">
        <v>828</v>
      </c>
      <c r="M1497" t="s">
        <v>27</v>
      </c>
      <c r="N1497" t="s">
        <v>62</v>
      </c>
      <c r="O1497" t="s">
        <v>2052</v>
      </c>
      <c r="P1497" t="s">
        <v>1969</v>
      </c>
      <c r="Q1497" t="s">
        <v>2050</v>
      </c>
      <c r="R1497" s="140" t="s">
        <v>4454</v>
      </c>
      <c r="S1497" s="129" t="s">
        <v>1971</v>
      </c>
    </row>
    <row r="1498" spans="1:19" s="137" customFormat="1" hidden="1">
      <c r="A1498" s="130">
        <v>160</v>
      </c>
      <c r="B1498" s="137" t="s">
        <v>405</v>
      </c>
      <c r="D1498" s="81">
        <v>0</v>
      </c>
      <c r="E1498" s="98">
        <v>1</v>
      </c>
      <c r="F1498" s="98" t="s">
        <v>112</v>
      </c>
      <c r="G1498" s="137" t="s">
        <v>27</v>
      </c>
      <c r="H1498" s="137" t="s">
        <v>27</v>
      </c>
      <c r="I1498" s="137" t="s">
        <v>27</v>
      </c>
      <c r="J1498" s="137" t="s">
        <v>27</v>
      </c>
      <c r="K1498" s="137" t="s">
        <v>828</v>
      </c>
      <c r="L1498" s="99" t="s">
        <v>1989</v>
      </c>
      <c r="M1498" s="137" t="s">
        <v>27</v>
      </c>
      <c r="N1498" s="137" t="s">
        <v>1990</v>
      </c>
      <c r="O1498" s="137" t="s">
        <v>2053</v>
      </c>
      <c r="P1498" s="137" t="s">
        <v>1969</v>
      </c>
      <c r="S1498" s="14" t="s">
        <v>1971</v>
      </c>
    </row>
    <row r="1499" spans="1:19">
      <c r="A1499" s="59">
        <v>161</v>
      </c>
      <c r="B1499" t="s">
        <v>405</v>
      </c>
      <c r="D1499" s="81" t="s">
        <v>1589</v>
      </c>
      <c r="E1499" s="97">
        <v>1</v>
      </c>
      <c r="F1499" s="97" t="s">
        <v>26</v>
      </c>
      <c r="G1499" t="s">
        <v>27</v>
      </c>
      <c r="H1499" t="s">
        <v>28</v>
      </c>
      <c r="I1499" t="s">
        <v>28</v>
      </c>
      <c r="J1499" t="s">
        <v>28</v>
      </c>
      <c r="K1499" t="s">
        <v>828</v>
      </c>
      <c r="M1499" t="s">
        <v>27</v>
      </c>
      <c r="N1499" t="s">
        <v>62</v>
      </c>
      <c r="O1499" t="s">
        <v>2054</v>
      </c>
      <c r="P1499" t="s">
        <v>1969</v>
      </c>
      <c r="Q1499" t="s">
        <v>2055</v>
      </c>
      <c r="R1499" s="140" t="s">
        <v>4454</v>
      </c>
      <c r="S1499" s="129" t="s">
        <v>1971</v>
      </c>
    </row>
    <row r="1500" spans="1:19">
      <c r="A1500" s="59">
        <v>161</v>
      </c>
      <c r="B1500" t="s">
        <v>405</v>
      </c>
      <c r="D1500" s="81" t="s">
        <v>1589</v>
      </c>
      <c r="E1500" s="97">
        <v>1</v>
      </c>
      <c r="F1500" s="97" t="s">
        <v>26</v>
      </c>
      <c r="G1500" t="s">
        <v>27</v>
      </c>
      <c r="H1500" t="s">
        <v>28</v>
      </c>
      <c r="I1500" t="s">
        <v>28</v>
      </c>
      <c r="J1500" t="s">
        <v>28</v>
      </c>
      <c r="K1500" t="s">
        <v>828</v>
      </c>
      <c r="M1500" t="s">
        <v>27</v>
      </c>
      <c r="N1500" t="s">
        <v>62</v>
      </c>
      <c r="O1500" t="s">
        <v>2056</v>
      </c>
      <c r="P1500" t="s">
        <v>1969</v>
      </c>
      <c r="Q1500" t="s">
        <v>2055</v>
      </c>
      <c r="R1500" s="140" t="s">
        <v>4454</v>
      </c>
      <c r="S1500" s="129" t="s">
        <v>1971</v>
      </c>
    </row>
    <row r="1501" spans="1:19">
      <c r="A1501" s="59">
        <v>161</v>
      </c>
      <c r="B1501" t="s">
        <v>405</v>
      </c>
      <c r="D1501" s="81" t="s">
        <v>1589</v>
      </c>
      <c r="E1501" s="97">
        <v>1</v>
      </c>
      <c r="F1501" s="97" t="s">
        <v>26</v>
      </c>
      <c r="G1501" t="s">
        <v>27</v>
      </c>
      <c r="H1501" t="s">
        <v>28</v>
      </c>
      <c r="I1501" t="s">
        <v>28</v>
      </c>
      <c r="J1501" t="s">
        <v>28</v>
      </c>
      <c r="K1501" t="s">
        <v>828</v>
      </c>
      <c r="M1501" t="s">
        <v>27</v>
      </c>
      <c r="N1501" t="s">
        <v>62</v>
      </c>
      <c r="O1501" t="s">
        <v>2057</v>
      </c>
      <c r="P1501" t="s">
        <v>1969</v>
      </c>
      <c r="Q1501" t="s">
        <v>2055</v>
      </c>
      <c r="R1501" s="140" t="s">
        <v>4454</v>
      </c>
      <c r="S1501" s="129" t="s">
        <v>1971</v>
      </c>
    </row>
    <row r="1502" spans="1:19">
      <c r="A1502" s="59">
        <v>161</v>
      </c>
      <c r="B1502" t="s">
        <v>405</v>
      </c>
      <c r="D1502" s="81" t="s">
        <v>1589</v>
      </c>
      <c r="E1502" s="97">
        <v>1</v>
      </c>
      <c r="F1502" s="97" t="s">
        <v>26</v>
      </c>
      <c r="G1502" t="s">
        <v>27</v>
      </c>
      <c r="H1502" t="s">
        <v>28</v>
      </c>
      <c r="I1502" t="s">
        <v>28</v>
      </c>
      <c r="J1502" t="s">
        <v>28</v>
      </c>
      <c r="K1502" t="s">
        <v>828</v>
      </c>
      <c r="M1502" t="s">
        <v>27</v>
      </c>
      <c r="N1502" t="s">
        <v>62</v>
      </c>
      <c r="O1502" t="s">
        <v>2058</v>
      </c>
      <c r="P1502" t="s">
        <v>1969</v>
      </c>
      <c r="Q1502" t="s">
        <v>2055</v>
      </c>
      <c r="R1502" s="140" t="s">
        <v>4454</v>
      </c>
      <c r="S1502" s="129" t="s">
        <v>1971</v>
      </c>
    </row>
    <row r="1503" spans="1:19">
      <c r="A1503" s="59">
        <v>162</v>
      </c>
      <c r="B1503" t="s">
        <v>405</v>
      </c>
      <c r="D1503" s="81" t="s">
        <v>1589</v>
      </c>
      <c r="E1503" s="97">
        <v>2</v>
      </c>
      <c r="F1503" s="97" t="s">
        <v>54</v>
      </c>
      <c r="G1503" t="s">
        <v>27</v>
      </c>
      <c r="H1503" t="s">
        <v>27</v>
      </c>
      <c r="I1503" t="s">
        <v>27</v>
      </c>
      <c r="J1503" t="s">
        <v>28</v>
      </c>
      <c r="K1503" t="s">
        <v>828</v>
      </c>
      <c r="M1503" t="s">
        <v>27</v>
      </c>
      <c r="N1503" t="s">
        <v>62</v>
      </c>
      <c r="O1503" t="s">
        <v>2059</v>
      </c>
      <c r="P1503" t="s">
        <v>1969</v>
      </c>
      <c r="Q1503" t="s">
        <v>1027</v>
      </c>
      <c r="R1503" s="140" t="s">
        <v>4454</v>
      </c>
      <c r="S1503" s="129" t="s">
        <v>1971</v>
      </c>
    </row>
    <row r="1504" spans="1:19">
      <c r="A1504" s="59">
        <v>162</v>
      </c>
      <c r="B1504" t="s">
        <v>405</v>
      </c>
      <c r="D1504" s="81" t="s">
        <v>1589</v>
      </c>
      <c r="E1504" s="97">
        <v>2</v>
      </c>
      <c r="F1504" s="97" t="s">
        <v>54</v>
      </c>
      <c r="G1504" t="s">
        <v>27</v>
      </c>
      <c r="H1504" t="s">
        <v>27</v>
      </c>
      <c r="I1504" t="s">
        <v>27</v>
      </c>
      <c r="J1504" t="s">
        <v>28</v>
      </c>
      <c r="K1504" t="s">
        <v>828</v>
      </c>
      <c r="M1504" t="s">
        <v>27</v>
      </c>
      <c r="N1504" t="s">
        <v>62</v>
      </c>
      <c r="O1504" t="s">
        <v>2060</v>
      </c>
      <c r="P1504" t="s">
        <v>1969</v>
      </c>
      <c r="Q1504" t="s">
        <v>1027</v>
      </c>
      <c r="R1504" s="140" t="s">
        <v>4454</v>
      </c>
      <c r="S1504" s="129" t="s">
        <v>1971</v>
      </c>
    </row>
    <row r="1505" spans="1:19">
      <c r="A1505" s="59">
        <v>162</v>
      </c>
      <c r="B1505" t="s">
        <v>405</v>
      </c>
      <c r="D1505" s="81" t="s">
        <v>1589</v>
      </c>
      <c r="E1505" s="97">
        <v>2</v>
      </c>
      <c r="F1505" s="97" t="s">
        <v>54</v>
      </c>
      <c r="G1505" t="s">
        <v>27</v>
      </c>
      <c r="H1505" t="s">
        <v>27</v>
      </c>
      <c r="I1505" t="s">
        <v>27</v>
      </c>
      <c r="J1505" t="s">
        <v>28</v>
      </c>
      <c r="K1505" t="s">
        <v>828</v>
      </c>
      <c r="M1505" t="s">
        <v>27</v>
      </c>
      <c r="N1505" t="s">
        <v>62</v>
      </c>
      <c r="O1505" t="s">
        <v>2061</v>
      </c>
      <c r="P1505" t="s">
        <v>1969</v>
      </c>
      <c r="Q1505" t="s">
        <v>1027</v>
      </c>
      <c r="R1505" s="140" t="s">
        <v>4454</v>
      </c>
      <c r="S1505" s="129" t="s">
        <v>1971</v>
      </c>
    </row>
    <row r="1506" spans="1:19">
      <c r="A1506" s="59">
        <v>162</v>
      </c>
      <c r="B1506" t="s">
        <v>405</v>
      </c>
      <c r="D1506" s="81" t="s">
        <v>1589</v>
      </c>
      <c r="E1506" s="97">
        <v>2</v>
      </c>
      <c r="F1506" s="97" t="s">
        <v>54</v>
      </c>
      <c r="G1506" t="s">
        <v>27</v>
      </c>
      <c r="H1506" t="s">
        <v>27</v>
      </c>
      <c r="I1506" t="s">
        <v>27</v>
      </c>
      <c r="J1506" t="s">
        <v>28</v>
      </c>
      <c r="K1506" t="s">
        <v>828</v>
      </c>
      <c r="M1506" t="s">
        <v>27</v>
      </c>
      <c r="N1506" t="s">
        <v>62</v>
      </c>
      <c r="O1506" t="s">
        <v>2062</v>
      </c>
      <c r="P1506" t="s">
        <v>1969</v>
      </c>
      <c r="Q1506" t="s">
        <v>1027</v>
      </c>
      <c r="R1506" s="140" t="s">
        <v>4454</v>
      </c>
      <c r="S1506" s="129" t="s">
        <v>1971</v>
      </c>
    </row>
    <row r="1507" spans="1:19">
      <c r="A1507" s="59">
        <v>163</v>
      </c>
      <c r="B1507" t="s">
        <v>405</v>
      </c>
      <c r="D1507" s="81" t="s">
        <v>1589</v>
      </c>
      <c r="E1507" s="97">
        <v>2</v>
      </c>
      <c r="F1507" s="97" t="s">
        <v>49</v>
      </c>
      <c r="G1507" t="s">
        <v>27</v>
      </c>
      <c r="H1507" t="s">
        <v>27</v>
      </c>
      <c r="I1507" t="s">
        <v>27</v>
      </c>
      <c r="J1507" t="s">
        <v>28</v>
      </c>
      <c r="K1507" t="s">
        <v>828</v>
      </c>
      <c r="M1507" t="s">
        <v>27</v>
      </c>
      <c r="N1507" t="s">
        <v>62</v>
      </c>
      <c r="O1507" t="s">
        <v>2063</v>
      </c>
      <c r="P1507" t="s">
        <v>1969</v>
      </c>
      <c r="Q1507" t="s">
        <v>2064</v>
      </c>
      <c r="R1507" s="140" t="s">
        <v>4454</v>
      </c>
      <c r="S1507" s="129" t="s">
        <v>1971</v>
      </c>
    </row>
    <row r="1508" spans="1:19">
      <c r="A1508" s="59">
        <v>163</v>
      </c>
      <c r="B1508" t="s">
        <v>405</v>
      </c>
      <c r="D1508" s="81" t="s">
        <v>1589</v>
      </c>
      <c r="E1508" s="97">
        <v>2</v>
      </c>
      <c r="F1508" s="97" t="s">
        <v>49</v>
      </c>
      <c r="G1508" t="s">
        <v>27</v>
      </c>
      <c r="H1508" t="s">
        <v>27</v>
      </c>
      <c r="I1508" t="s">
        <v>27</v>
      </c>
      <c r="J1508" t="s">
        <v>28</v>
      </c>
      <c r="K1508" t="s">
        <v>828</v>
      </c>
      <c r="M1508" t="s">
        <v>27</v>
      </c>
      <c r="N1508" t="s">
        <v>62</v>
      </c>
      <c r="O1508" t="s">
        <v>2065</v>
      </c>
      <c r="P1508" t="s">
        <v>1969</v>
      </c>
      <c r="Q1508" t="s">
        <v>2064</v>
      </c>
      <c r="R1508" s="140" t="s">
        <v>4454</v>
      </c>
      <c r="S1508" s="129" t="s">
        <v>1971</v>
      </c>
    </row>
    <row r="1509" spans="1:19">
      <c r="A1509" s="59">
        <v>163</v>
      </c>
      <c r="B1509" t="s">
        <v>405</v>
      </c>
      <c r="D1509" s="81" t="s">
        <v>1589</v>
      </c>
      <c r="E1509" s="97">
        <v>2</v>
      </c>
      <c r="F1509" s="97" t="s">
        <v>49</v>
      </c>
      <c r="G1509" t="s">
        <v>27</v>
      </c>
      <c r="H1509" t="s">
        <v>27</v>
      </c>
      <c r="I1509" t="s">
        <v>27</v>
      </c>
      <c r="J1509" t="s">
        <v>28</v>
      </c>
      <c r="K1509" t="s">
        <v>828</v>
      </c>
      <c r="M1509" t="s">
        <v>27</v>
      </c>
      <c r="N1509" t="s">
        <v>62</v>
      </c>
      <c r="O1509" t="s">
        <v>2066</v>
      </c>
      <c r="P1509" t="s">
        <v>1969</v>
      </c>
      <c r="Q1509" t="s">
        <v>2064</v>
      </c>
      <c r="R1509" s="140" t="s">
        <v>4454</v>
      </c>
      <c r="S1509" s="129" t="s">
        <v>1971</v>
      </c>
    </row>
    <row r="1510" spans="1:19">
      <c r="A1510" s="59">
        <v>163</v>
      </c>
      <c r="B1510" t="s">
        <v>405</v>
      </c>
      <c r="D1510" s="81" t="s">
        <v>1589</v>
      </c>
      <c r="E1510" s="97">
        <v>2</v>
      </c>
      <c r="F1510" s="97" t="s">
        <v>49</v>
      </c>
      <c r="G1510" t="s">
        <v>27</v>
      </c>
      <c r="H1510" t="s">
        <v>27</v>
      </c>
      <c r="I1510" t="s">
        <v>27</v>
      </c>
      <c r="J1510" t="s">
        <v>28</v>
      </c>
      <c r="K1510" t="s">
        <v>828</v>
      </c>
      <c r="M1510" t="s">
        <v>27</v>
      </c>
      <c r="N1510" t="s">
        <v>62</v>
      </c>
      <c r="O1510" t="s">
        <v>2067</v>
      </c>
      <c r="P1510" t="s">
        <v>1969</v>
      </c>
      <c r="Q1510" t="s">
        <v>2064</v>
      </c>
      <c r="R1510" s="140" t="s">
        <v>4454</v>
      </c>
      <c r="S1510" s="129" t="s">
        <v>1971</v>
      </c>
    </row>
    <row r="1511" spans="1:19">
      <c r="A1511" s="59">
        <v>164</v>
      </c>
      <c r="B1511" t="s">
        <v>405</v>
      </c>
      <c r="D1511" s="81" t="s">
        <v>1589</v>
      </c>
      <c r="E1511" s="97">
        <v>2</v>
      </c>
      <c r="F1511" s="97" t="s">
        <v>1988</v>
      </c>
      <c r="G1511" t="s">
        <v>27</v>
      </c>
      <c r="H1511" t="s">
        <v>27</v>
      </c>
      <c r="I1511" t="s">
        <v>27</v>
      </c>
      <c r="J1511" t="s">
        <v>28</v>
      </c>
      <c r="K1511" t="s">
        <v>828</v>
      </c>
      <c r="M1511" t="s">
        <v>27</v>
      </c>
      <c r="N1511" t="s">
        <v>62</v>
      </c>
      <c r="O1511" t="s">
        <v>2068</v>
      </c>
      <c r="P1511" t="s">
        <v>1969</v>
      </c>
      <c r="Q1511" t="s">
        <v>2069</v>
      </c>
      <c r="R1511" s="140" t="s">
        <v>4454</v>
      </c>
      <c r="S1511" s="129" t="s">
        <v>1971</v>
      </c>
    </row>
    <row r="1512" spans="1:19">
      <c r="A1512" s="59">
        <v>164</v>
      </c>
      <c r="B1512" t="s">
        <v>405</v>
      </c>
      <c r="D1512" s="81" t="s">
        <v>1589</v>
      </c>
      <c r="E1512" s="97">
        <v>2</v>
      </c>
      <c r="F1512" s="97" t="s">
        <v>1988</v>
      </c>
      <c r="G1512" t="s">
        <v>27</v>
      </c>
      <c r="H1512" t="s">
        <v>27</v>
      </c>
      <c r="I1512" t="s">
        <v>27</v>
      </c>
      <c r="J1512" t="s">
        <v>28</v>
      </c>
      <c r="K1512" t="s">
        <v>828</v>
      </c>
      <c r="M1512" t="s">
        <v>27</v>
      </c>
      <c r="N1512" t="s">
        <v>62</v>
      </c>
      <c r="O1512" t="s">
        <v>2070</v>
      </c>
      <c r="P1512" t="s">
        <v>1969</v>
      </c>
      <c r="Q1512" t="s">
        <v>2069</v>
      </c>
      <c r="R1512" s="140" t="s">
        <v>4454</v>
      </c>
      <c r="S1512" s="129" t="s">
        <v>1971</v>
      </c>
    </row>
    <row r="1513" spans="1:19">
      <c r="A1513" s="59">
        <v>164</v>
      </c>
      <c r="B1513" t="s">
        <v>405</v>
      </c>
      <c r="D1513" s="81" t="s">
        <v>1589</v>
      </c>
      <c r="E1513" s="97">
        <v>2</v>
      </c>
      <c r="F1513" s="97" t="s">
        <v>1988</v>
      </c>
      <c r="G1513" t="s">
        <v>27</v>
      </c>
      <c r="H1513" t="s">
        <v>27</v>
      </c>
      <c r="I1513" t="s">
        <v>27</v>
      </c>
      <c r="J1513" t="s">
        <v>28</v>
      </c>
      <c r="K1513" t="s">
        <v>828</v>
      </c>
      <c r="M1513" t="s">
        <v>27</v>
      </c>
      <c r="N1513" t="s">
        <v>62</v>
      </c>
      <c r="O1513" t="s">
        <v>2071</v>
      </c>
      <c r="P1513" t="s">
        <v>1969</v>
      </c>
      <c r="Q1513" t="s">
        <v>2069</v>
      </c>
      <c r="R1513" s="140" t="s">
        <v>4454</v>
      </c>
      <c r="S1513" s="129" t="s">
        <v>1971</v>
      </c>
    </row>
    <row r="1514" spans="1:19">
      <c r="A1514" s="59">
        <v>164</v>
      </c>
      <c r="B1514" t="s">
        <v>405</v>
      </c>
      <c r="D1514" s="81" t="s">
        <v>1589</v>
      </c>
      <c r="E1514" s="97">
        <v>2</v>
      </c>
      <c r="F1514" s="97" t="s">
        <v>1988</v>
      </c>
      <c r="G1514" t="s">
        <v>27</v>
      </c>
      <c r="H1514" t="s">
        <v>27</v>
      </c>
      <c r="I1514" t="s">
        <v>27</v>
      </c>
      <c r="J1514" t="s">
        <v>28</v>
      </c>
      <c r="K1514" t="s">
        <v>828</v>
      </c>
      <c r="M1514" t="s">
        <v>27</v>
      </c>
      <c r="N1514" t="s">
        <v>62</v>
      </c>
      <c r="O1514" t="s">
        <v>2072</v>
      </c>
      <c r="P1514" t="s">
        <v>1969</v>
      </c>
      <c r="Q1514" t="s">
        <v>2069</v>
      </c>
      <c r="R1514" s="140" t="s">
        <v>4454</v>
      </c>
      <c r="S1514" s="129" t="s">
        <v>1971</v>
      </c>
    </row>
    <row r="1515" spans="1:19">
      <c r="A1515" s="59">
        <v>165</v>
      </c>
      <c r="B1515" t="s">
        <v>405</v>
      </c>
      <c r="D1515" s="81" t="s">
        <v>1589</v>
      </c>
      <c r="E1515" s="97">
        <v>3</v>
      </c>
      <c r="F1515" s="97" t="s">
        <v>74</v>
      </c>
      <c r="G1515" t="s">
        <v>27</v>
      </c>
      <c r="H1515" t="s">
        <v>28</v>
      </c>
      <c r="I1515" t="s">
        <v>28</v>
      </c>
      <c r="J1515" t="s">
        <v>28</v>
      </c>
      <c r="K1515" t="s">
        <v>828</v>
      </c>
      <c r="M1515" t="s">
        <v>27</v>
      </c>
      <c r="N1515" t="s">
        <v>62</v>
      </c>
      <c r="O1515" t="s">
        <v>2073</v>
      </c>
      <c r="P1515" t="s">
        <v>1969</v>
      </c>
      <c r="Q1515" t="s">
        <v>2074</v>
      </c>
      <c r="R1515" s="140" t="s">
        <v>4454</v>
      </c>
      <c r="S1515" s="129" t="s">
        <v>1971</v>
      </c>
    </row>
    <row r="1516" spans="1:19">
      <c r="A1516" s="59">
        <v>165</v>
      </c>
      <c r="B1516" t="s">
        <v>405</v>
      </c>
      <c r="D1516" s="81" t="s">
        <v>1589</v>
      </c>
      <c r="E1516" s="97">
        <v>3</v>
      </c>
      <c r="F1516" s="97" t="s">
        <v>74</v>
      </c>
      <c r="G1516" t="s">
        <v>27</v>
      </c>
      <c r="H1516" t="s">
        <v>28</v>
      </c>
      <c r="I1516" t="s">
        <v>28</v>
      </c>
      <c r="J1516" t="s">
        <v>28</v>
      </c>
      <c r="K1516" t="s">
        <v>828</v>
      </c>
      <c r="M1516" t="s">
        <v>27</v>
      </c>
      <c r="N1516" t="s">
        <v>62</v>
      </c>
      <c r="O1516" t="s">
        <v>2075</v>
      </c>
      <c r="P1516" t="s">
        <v>1969</v>
      </c>
      <c r="Q1516" t="s">
        <v>2074</v>
      </c>
      <c r="R1516" s="140" t="s">
        <v>4454</v>
      </c>
      <c r="S1516" s="129" t="s">
        <v>1971</v>
      </c>
    </row>
    <row r="1517" spans="1:19">
      <c r="A1517" s="59">
        <v>165</v>
      </c>
      <c r="B1517" t="s">
        <v>405</v>
      </c>
      <c r="D1517" s="81" t="s">
        <v>1589</v>
      </c>
      <c r="E1517" s="97">
        <v>3</v>
      </c>
      <c r="F1517" s="97" t="s">
        <v>74</v>
      </c>
      <c r="G1517" t="s">
        <v>27</v>
      </c>
      <c r="H1517" t="s">
        <v>28</v>
      </c>
      <c r="I1517" t="s">
        <v>28</v>
      </c>
      <c r="J1517" t="s">
        <v>28</v>
      </c>
      <c r="K1517" t="s">
        <v>828</v>
      </c>
      <c r="M1517" t="s">
        <v>27</v>
      </c>
      <c r="N1517" t="s">
        <v>62</v>
      </c>
      <c r="O1517" t="s">
        <v>2076</v>
      </c>
      <c r="P1517" t="s">
        <v>1969</v>
      </c>
      <c r="Q1517" t="s">
        <v>2074</v>
      </c>
      <c r="R1517" s="140" t="s">
        <v>4454</v>
      </c>
      <c r="S1517" s="129" t="s">
        <v>1971</v>
      </c>
    </row>
    <row r="1518" spans="1:19">
      <c r="A1518" s="59">
        <v>165</v>
      </c>
      <c r="B1518" t="s">
        <v>405</v>
      </c>
      <c r="D1518" s="81" t="s">
        <v>1589</v>
      </c>
      <c r="E1518" s="97">
        <v>3</v>
      </c>
      <c r="F1518" s="97" t="s">
        <v>74</v>
      </c>
      <c r="G1518" t="s">
        <v>27</v>
      </c>
      <c r="H1518" t="s">
        <v>28</v>
      </c>
      <c r="I1518" t="s">
        <v>28</v>
      </c>
      <c r="J1518" t="s">
        <v>28</v>
      </c>
      <c r="K1518" t="s">
        <v>828</v>
      </c>
      <c r="M1518" t="s">
        <v>27</v>
      </c>
      <c r="N1518" t="s">
        <v>62</v>
      </c>
      <c r="O1518" t="s">
        <v>2077</v>
      </c>
      <c r="P1518" t="s">
        <v>1969</v>
      </c>
      <c r="Q1518" t="s">
        <v>2074</v>
      </c>
      <c r="R1518" s="140" t="s">
        <v>4454</v>
      </c>
      <c r="S1518" s="129" t="s">
        <v>1971</v>
      </c>
    </row>
    <row r="1519" spans="1:19" s="130" customFormat="1" hidden="1">
      <c r="A1519" s="130">
        <v>166</v>
      </c>
      <c r="B1519" s="130" t="s">
        <v>405</v>
      </c>
      <c r="D1519" s="81">
        <v>0</v>
      </c>
      <c r="E1519" s="98">
        <v>3</v>
      </c>
      <c r="F1519" s="98" t="s">
        <v>180</v>
      </c>
      <c r="G1519" s="130" t="s">
        <v>27</v>
      </c>
      <c r="H1519" s="130" t="s">
        <v>27</v>
      </c>
      <c r="I1519" s="130" t="s">
        <v>27</v>
      </c>
      <c r="J1519" s="130" t="s">
        <v>27</v>
      </c>
      <c r="K1519" s="130" t="s">
        <v>828</v>
      </c>
      <c r="L1519" s="130" t="s">
        <v>157</v>
      </c>
      <c r="M1519" s="130" t="s">
        <v>27</v>
      </c>
      <c r="N1519" s="130" t="s">
        <v>733</v>
      </c>
      <c r="O1519" s="130" t="s">
        <v>2078</v>
      </c>
      <c r="P1519" s="130" t="s">
        <v>1969</v>
      </c>
      <c r="S1519" s="131" t="s">
        <v>1971</v>
      </c>
    </row>
    <row r="1520" spans="1:19">
      <c r="A1520" s="59">
        <v>166</v>
      </c>
      <c r="B1520" t="s">
        <v>405</v>
      </c>
      <c r="D1520" s="81" t="s">
        <v>1589</v>
      </c>
      <c r="E1520" s="97">
        <v>3</v>
      </c>
      <c r="F1520" s="97" t="s">
        <v>180</v>
      </c>
      <c r="G1520" t="s">
        <v>27</v>
      </c>
      <c r="H1520" t="s">
        <v>27</v>
      </c>
      <c r="I1520" t="s">
        <v>27</v>
      </c>
      <c r="J1520" t="s">
        <v>28</v>
      </c>
      <c r="K1520" t="s">
        <v>828</v>
      </c>
      <c r="M1520" t="s">
        <v>27</v>
      </c>
      <c r="N1520" t="s">
        <v>62</v>
      </c>
      <c r="O1520" t="s">
        <v>2079</v>
      </c>
      <c r="P1520" t="s">
        <v>1969</v>
      </c>
      <c r="Q1520" t="s">
        <v>2080</v>
      </c>
      <c r="R1520" s="140" t="s">
        <v>4454</v>
      </c>
      <c r="S1520" s="129" t="s">
        <v>1971</v>
      </c>
    </row>
    <row r="1521" spans="1:19">
      <c r="A1521" s="59">
        <v>166</v>
      </c>
      <c r="B1521" t="s">
        <v>405</v>
      </c>
      <c r="D1521" s="81" t="s">
        <v>1589</v>
      </c>
      <c r="E1521" s="97">
        <v>3</v>
      </c>
      <c r="F1521" s="97" t="s">
        <v>180</v>
      </c>
      <c r="G1521" t="s">
        <v>27</v>
      </c>
      <c r="H1521" t="s">
        <v>27</v>
      </c>
      <c r="I1521" t="s">
        <v>27</v>
      </c>
      <c r="J1521" t="s">
        <v>28</v>
      </c>
      <c r="K1521" t="s">
        <v>828</v>
      </c>
      <c r="M1521" t="s">
        <v>27</v>
      </c>
      <c r="N1521" t="s">
        <v>62</v>
      </c>
      <c r="O1521" t="s">
        <v>2081</v>
      </c>
      <c r="P1521" t="s">
        <v>1969</v>
      </c>
      <c r="Q1521" t="s">
        <v>2080</v>
      </c>
      <c r="R1521" s="140" t="s">
        <v>4454</v>
      </c>
      <c r="S1521" s="129" t="s">
        <v>1971</v>
      </c>
    </row>
    <row r="1522" spans="1:19">
      <c r="A1522" s="59">
        <v>166</v>
      </c>
      <c r="B1522" t="s">
        <v>405</v>
      </c>
      <c r="D1522" s="81" t="s">
        <v>1589</v>
      </c>
      <c r="E1522" s="97">
        <v>3</v>
      </c>
      <c r="F1522" s="97" t="s">
        <v>180</v>
      </c>
      <c r="G1522" t="s">
        <v>27</v>
      </c>
      <c r="H1522" t="s">
        <v>27</v>
      </c>
      <c r="I1522" t="s">
        <v>27</v>
      </c>
      <c r="J1522" t="s">
        <v>28</v>
      </c>
      <c r="K1522" t="s">
        <v>828</v>
      </c>
      <c r="M1522" t="s">
        <v>27</v>
      </c>
      <c r="N1522" t="s">
        <v>62</v>
      </c>
      <c r="O1522" t="s">
        <v>2082</v>
      </c>
      <c r="P1522" t="s">
        <v>1969</v>
      </c>
      <c r="Q1522" t="s">
        <v>2080</v>
      </c>
      <c r="R1522" s="140" t="s">
        <v>4454</v>
      </c>
      <c r="S1522" s="129" t="s">
        <v>1971</v>
      </c>
    </row>
    <row r="1523" spans="1:19">
      <c r="A1523" s="59">
        <v>133</v>
      </c>
      <c r="B1523" t="s">
        <v>234</v>
      </c>
      <c r="D1523" s="81" t="s">
        <v>1589</v>
      </c>
      <c r="E1523" s="97">
        <v>1</v>
      </c>
      <c r="F1523" s="97" t="s">
        <v>26</v>
      </c>
      <c r="G1523" t="s">
        <v>27</v>
      </c>
      <c r="H1523" t="s">
        <v>27</v>
      </c>
      <c r="I1523" t="s">
        <v>27</v>
      </c>
      <c r="J1523" t="s">
        <v>28</v>
      </c>
      <c r="K1523" t="s">
        <v>828</v>
      </c>
      <c r="M1523" t="s">
        <v>27</v>
      </c>
      <c r="N1523" t="s">
        <v>62</v>
      </c>
      <c r="O1523" t="s">
        <v>2083</v>
      </c>
      <c r="P1523" t="s">
        <v>1969</v>
      </c>
      <c r="Q1523" t="s">
        <v>1976</v>
      </c>
      <c r="R1523" s="140" t="s">
        <v>4461</v>
      </c>
      <c r="S1523" s="129" t="s">
        <v>1971</v>
      </c>
    </row>
    <row r="1524" spans="1:19">
      <c r="A1524" s="59">
        <v>316</v>
      </c>
      <c r="B1524" t="s">
        <v>1084</v>
      </c>
      <c r="C1524" s="133" t="s">
        <v>1688</v>
      </c>
      <c r="D1524" s="81" t="s">
        <v>1589</v>
      </c>
      <c r="E1524" s="97" t="s">
        <v>2084</v>
      </c>
      <c r="F1524" s="97" t="s">
        <v>2085</v>
      </c>
      <c r="G1524" t="s">
        <v>27</v>
      </c>
      <c r="H1524" t="s">
        <v>27</v>
      </c>
      <c r="I1524" t="s">
        <v>27</v>
      </c>
      <c r="J1524" t="s">
        <v>28</v>
      </c>
      <c r="K1524" t="s">
        <v>828</v>
      </c>
      <c r="M1524" t="s">
        <v>27</v>
      </c>
      <c r="N1524" t="s">
        <v>62</v>
      </c>
      <c r="O1524" t="s">
        <v>2086</v>
      </c>
      <c r="P1524" t="s">
        <v>2087</v>
      </c>
      <c r="Q1524" t="s">
        <v>2088</v>
      </c>
      <c r="R1524" s="140" t="s">
        <v>4459</v>
      </c>
      <c r="S1524" s="129" t="s">
        <v>1971</v>
      </c>
    </row>
    <row r="1525" spans="1:19">
      <c r="A1525" s="59">
        <v>316</v>
      </c>
      <c r="B1525" t="s">
        <v>1084</v>
      </c>
      <c r="C1525" s="133" t="s">
        <v>1688</v>
      </c>
      <c r="D1525" s="81" t="s">
        <v>1589</v>
      </c>
      <c r="E1525" s="97" t="s">
        <v>2084</v>
      </c>
      <c r="F1525" s="97" t="s">
        <v>2085</v>
      </c>
      <c r="G1525" t="s">
        <v>27</v>
      </c>
      <c r="H1525" t="s">
        <v>27</v>
      </c>
      <c r="I1525" t="s">
        <v>27</v>
      </c>
      <c r="J1525" t="s">
        <v>28</v>
      </c>
      <c r="K1525" t="s">
        <v>828</v>
      </c>
      <c r="M1525" t="s">
        <v>27</v>
      </c>
      <c r="N1525" t="s">
        <v>62</v>
      </c>
      <c r="O1525" t="s">
        <v>2089</v>
      </c>
      <c r="P1525" t="s">
        <v>2087</v>
      </c>
      <c r="Q1525" t="s">
        <v>2088</v>
      </c>
      <c r="R1525" s="140" t="s">
        <v>4459</v>
      </c>
      <c r="S1525" s="129" t="s">
        <v>1971</v>
      </c>
    </row>
    <row r="1526" spans="1:19">
      <c r="A1526" s="59">
        <v>316</v>
      </c>
      <c r="B1526" t="s">
        <v>1084</v>
      </c>
      <c r="C1526" s="133" t="s">
        <v>1688</v>
      </c>
      <c r="D1526" s="81" t="s">
        <v>1589</v>
      </c>
      <c r="E1526" s="97" t="s">
        <v>2084</v>
      </c>
      <c r="F1526" s="97" t="s">
        <v>2085</v>
      </c>
      <c r="G1526" t="s">
        <v>27</v>
      </c>
      <c r="H1526" t="s">
        <v>27</v>
      </c>
      <c r="I1526" t="s">
        <v>27</v>
      </c>
      <c r="J1526" t="s">
        <v>28</v>
      </c>
      <c r="K1526" t="s">
        <v>828</v>
      </c>
      <c r="M1526" t="s">
        <v>27</v>
      </c>
      <c r="N1526" t="s">
        <v>62</v>
      </c>
      <c r="O1526" t="s">
        <v>2090</v>
      </c>
      <c r="P1526" t="s">
        <v>2087</v>
      </c>
      <c r="Q1526" t="s">
        <v>2088</v>
      </c>
      <c r="R1526" s="140" t="s">
        <v>4459</v>
      </c>
      <c r="S1526" s="129" t="s">
        <v>1971</v>
      </c>
    </row>
    <row r="1527" spans="1:19">
      <c r="A1527" s="59">
        <v>316</v>
      </c>
      <c r="B1527" t="s">
        <v>1084</v>
      </c>
      <c r="C1527" s="133" t="s">
        <v>1688</v>
      </c>
      <c r="D1527" s="81" t="s">
        <v>1589</v>
      </c>
      <c r="E1527" s="97" t="s">
        <v>2084</v>
      </c>
      <c r="F1527" s="97" t="s">
        <v>2085</v>
      </c>
      <c r="G1527" t="s">
        <v>27</v>
      </c>
      <c r="H1527" t="s">
        <v>27</v>
      </c>
      <c r="I1527" t="s">
        <v>27</v>
      </c>
      <c r="J1527" t="s">
        <v>28</v>
      </c>
      <c r="K1527" t="s">
        <v>828</v>
      </c>
      <c r="M1527" t="s">
        <v>27</v>
      </c>
      <c r="N1527" t="s">
        <v>62</v>
      </c>
      <c r="O1527" t="s">
        <v>2091</v>
      </c>
      <c r="P1527" t="s">
        <v>2087</v>
      </c>
      <c r="Q1527" t="s">
        <v>2088</v>
      </c>
      <c r="R1527" s="140" t="s">
        <v>4459</v>
      </c>
      <c r="S1527" s="129" t="s">
        <v>1971</v>
      </c>
    </row>
    <row r="1528" spans="1:19">
      <c r="A1528" s="59">
        <v>317</v>
      </c>
      <c r="B1528" t="s">
        <v>1084</v>
      </c>
      <c r="C1528" s="133" t="s">
        <v>1688</v>
      </c>
      <c r="D1528" s="81" t="s">
        <v>1589</v>
      </c>
      <c r="E1528" s="97" t="s">
        <v>2084</v>
      </c>
      <c r="F1528" s="97" t="s">
        <v>2092</v>
      </c>
      <c r="G1528" t="s">
        <v>27</v>
      </c>
      <c r="H1528" t="s">
        <v>27</v>
      </c>
      <c r="I1528" t="s">
        <v>27</v>
      </c>
      <c r="J1528" t="s">
        <v>28</v>
      </c>
      <c r="K1528" t="s">
        <v>828</v>
      </c>
      <c r="M1528" t="s">
        <v>27</v>
      </c>
      <c r="N1528" t="s">
        <v>62</v>
      </c>
      <c r="O1528" t="s">
        <v>2093</v>
      </c>
      <c r="P1528" t="s">
        <v>2087</v>
      </c>
      <c r="Q1528" t="s">
        <v>2094</v>
      </c>
      <c r="R1528" s="140" t="s">
        <v>4459</v>
      </c>
      <c r="S1528" s="129" t="s">
        <v>1971</v>
      </c>
    </row>
    <row r="1529" spans="1:19">
      <c r="A1529" s="59">
        <v>317</v>
      </c>
      <c r="B1529" t="s">
        <v>1084</v>
      </c>
      <c r="C1529" s="133" t="s">
        <v>1688</v>
      </c>
      <c r="D1529" s="81" t="s">
        <v>1589</v>
      </c>
      <c r="E1529" s="97" t="s">
        <v>2084</v>
      </c>
      <c r="F1529" s="97" t="s">
        <v>2092</v>
      </c>
      <c r="G1529" t="s">
        <v>27</v>
      </c>
      <c r="H1529" t="s">
        <v>27</v>
      </c>
      <c r="I1529" t="s">
        <v>27</v>
      </c>
      <c r="J1529" t="s">
        <v>28</v>
      </c>
      <c r="K1529" t="s">
        <v>828</v>
      </c>
      <c r="M1529" t="s">
        <v>27</v>
      </c>
      <c r="N1529" t="s">
        <v>62</v>
      </c>
      <c r="O1529" t="s">
        <v>2095</v>
      </c>
      <c r="P1529" t="s">
        <v>2087</v>
      </c>
      <c r="Q1529" t="s">
        <v>2094</v>
      </c>
      <c r="R1529" s="140" t="s">
        <v>4459</v>
      </c>
      <c r="S1529" s="129" t="s">
        <v>1971</v>
      </c>
    </row>
    <row r="1530" spans="1:19">
      <c r="A1530" s="59">
        <v>317</v>
      </c>
      <c r="B1530" t="s">
        <v>1084</v>
      </c>
      <c r="C1530" s="133" t="s">
        <v>1688</v>
      </c>
      <c r="D1530" s="81" t="s">
        <v>1589</v>
      </c>
      <c r="E1530" s="97" t="s">
        <v>2084</v>
      </c>
      <c r="F1530" s="97" t="s">
        <v>2092</v>
      </c>
      <c r="G1530" t="s">
        <v>27</v>
      </c>
      <c r="H1530" t="s">
        <v>27</v>
      </c>
      <c r="I1530" t="s">
        <v>27</v>
      </c>
      <c r="J1530" t="s">
        <v>28</v>
      </c>
      <c r="K1530" t="s">
        <v>828</v>
      </c>
      <c r="M1530" t="s">
        <v>27</v>
      </c>
      <c r="N1530" t="s">
        <v>62</v>
      </c>
      <c r="O1530" t="s">
        <v>2096</v>
      </c>
      <c r="P1530" t="s">
        <v>2087</v>
      </c>
      <c r="Q1530" t="s">
        <v>2094</v>
      </c>
      <c r="R1530" s="140" t="s">
        <v>4459</v>
      </c>
      <c r="S1530" s="129" t="s">
        <v>1971</v>
      </c>
    </row>
    <row r="1531" spans="1:19">
      <c r="A1531" s="59">
        <v>317</v>
      </c>
      <c r="B1531" t="s">
        <v>1084</v>
      </c>
      <c r="C1531" s="133" t="s">
        <v>1688</v>
      </c>
      <c r="D1531" s="81" t="s">
        <v>1589</v>
      </c>
      <c r="E1531" s="97" t="s">
        <v>2084</v>
      </c>
      <c r="F1531" s="97" t="s">
        <v>2092</v>
      </c>
      <c r="G1531" t="s">
        <v>27</v>
      </c>
      <c r="H1531" t="s">
        <v>27</v>
      </c>
      <c r="I1531" t="s">
        <v>27</v>
      </c>
      <c r="J1531" t="s">
        <v>28</v>
      </c>
      <c r="K1531" t="s">
        <v>828</v>
      </c>
      <c r="M1531" t="s">
        <v>27</v>
      </c>
      <c r="N1531" t="s">
        <v>62</v>
      </c>
      <c r="O1531" t="s">
        <v>2097</v>
      </c>
      <c r="P1531" t="s">
        <v>2087</v>
      </c>
      <c r="Q1531" t="s">
        <v>2094</v>
      </c>
      <c r="R1531" s="140" t="s">
        <v>4459</v>
      </c>
      <c r="S1531" s="129" t="s">
        <v>1971</v>
      </c>
    </row>
    <row r="1532" spans="1:19">
      <c r="A1532" s="59">
        <v>176</v>
      </c>
      <c r="B1532" t="s">
        <v>1084</v>
      </c>
      <c r="C1532" t="s">
        <v>1688</v>
      </c>
      <c r="D1532" s="81" t="s">
        <v>1589</v>
      </c>
      <c r="E1532" s="97">
        <v>2</v>
      </c>
      <c r="F1532" s="97" t="s">
        <v>54</v>
      </c>
      <c r="G1532" t="s">
        <v>27</v>
      </c>
      <c r="H1532" t="s">
        <v>28</v>
      </c>
      <c r="I1532" t="s">
        <v>28</v>
      </c>
      <c r="J1532" t="s">
        <v>28</v>
      </c>
      <c r="K1532" t="s">
        <v>828</v>
      </c>
      <c r="M1532" t="s">
        <v>27</v>
      </c>
      <c r="N1532" t="s">
        <v>62</v>
      </c>
      <c r="O1532" t="s">
        <v>2098</v>
      </c>
      <c r="P1532" t="s">
        <v>2087</v>
      </c>
      <c r="Q1532" t="s">
        <v>2099</v>
      </c>
      <c r="R1532" s="140" t="s">
        <v>4459</v>
      </c>
      <c r="S1532" s="129" t="s">
        <v>1971</v>
      </c>
    </row>
    <row r="1533" spans="1:19">
      <c r="A1533" s="59">
        <v>176</v>
      </c>
      <c r="B1533" t="s">
        <v>1084</v>
      </c>
      <c r="C1533" t="s">
        <v>1688</v>
      </c>
      <c r="D1533" s="81" t="s">
        <v>1589</v>
      </c>
      <c r="E1533" s="97">
        <v>2</v>
      </c>
      <c r="F1533" s="97" t="s">
        <v>54</v>
      </c>
      <c r="G1533" t="s">
        <v>27</v>
      </c>
      <c r="H1533" t="s">
        <v>28</v>
      </c>
      <c r="I1533" t="s">
        <v>28</v>
      </c>
      <c r="J1533" t="s">
        <v>28</v>
      </c>
      <c r="K1533" t="s">
        <v>828</v>
      </c>
      <c r="M1533" t="s">
        <v>27</v>
      </c>
      <c r="N1533" t="s">
        <v>62</v>
      </c>
      <c r="O1533" t="s">
        <v>2100</v>
      </c>
      <c r="P1533" t="s">
        <v>2087</v>
      </c>
      <c r="Q1533" t="s">
        <v>2099</v>
      </c>
      <c r="R1533" s="140" t="s">
        <v>4459</v>
      </c>
      <c r="S1533" s="129" t="s">
        <v>1971</v>
      </c>
    </row>
    <row r="1534" spans="1:19">
      <c r="A1534" s="59">
        <v>176</v>
      </c>
      <c r="B1534" t="s">
        <v>1084</v>
      </c>
      <c r="C1534" t="s">
        <v>1688</v>
      </c>
      <c r="D1534" s="81" t="s">
        <v>1589</v>
      </c>
      <c r="E1534" s="97">
        <v>2</v>
      </c>
      <c r="F1534" s="97" t="s">
        <v>54</v>
      </c>
      <c r="G1534" t="s">
        <v>27</v>
      </c>
      <c r="H1534" t="s">
        <v>28</v>
      </c>
      <c r="I1534" t="s">
        <v>28</v>
      </c>
      <c r="J1534" t="s">
        <v>28</v>
      </c>
      <c r="K1534" t="s">
        <v>828</v>
      </c>
      <c r="M1534" t="s">
        <v>27</v>
      </c>
      <c r="N1534" t="s">
        <v>62</v>
      </c>
      <c r="O1534" t="s">
        <v>2101</v>
      </c>
      <c r="P1534" t="s">
        <v>2087</v>
      </c>
      <c r="Q1534" t="s">
        <v>2099</v>
      </c>
      <c r="R1534" s="140" t="s">
        <v>4459</v>
      </c>
      <c r="S1534" s="129" t="s">
        <v>1971</v>
      </c>
    </row>
    <row r="1535" spans="1:19">
      <c r="A1535" s="59">
        <v>176</v>
      </c>
      <c r="B1535" t="s">
        <v>1084</v>
      </c>
      <c r="C1535" t="s">
        <v>1688</v>
      </c>
      <c r="D1535" s="81" t="s">
        <v>1589</v>
      </c>
      <c r="E1535" s="97">
        <v>2</v>
      </c>
      <c r="F1535" s="97" t="s">
        <v>54</v>
      </c>
      <c r="G1535" t="s">
        <v>27</v>
      </c>
      <c r="H1535" t="s">
        <v>28</v>
      </c>
      <c r="I1535" t="s">
        <v>28</v>
      </c>
      <c r="J1535" t="s">
        <v>28</v>
      </c>
      <c r="K1535" t="s">
        <v>828</v>
      </c>
      <c r="M1535" t="s">
        <v>27</v>
      </c>
      <c r="N1535" t="s">
        <v>62</v>
      </c>
      <c r="O1535" t="s">
        <v>2102</v>
      </c>
      <c r="P1535" t="s">
        <v>2087</v>
      </c>
      <c r="Q1535" t="s">
        <v>2099</v>
      </c>
      <c r="R1535" s="140" t="s">
        <v>4459</v>
      </c>
      <c r="S1535" s="129" t="s">
        <v>1971</v>
      </c>
    </row>
    <row r="1536" spans="1:19">
      <c r="A1536" s="59">
        <v>177</v>
      </c>
      <c r="B1536" t="s">
        <v>1084</v>
      </c>
      <c r="C1536" t="s">
        <v>1688</v>
      </c>
      <c r="D1536" s="81" t="s">
        <v>1589</v>
      </c>
      <c r="E1536" s="97">
        <v>2</v>
      </c>
      <c r="F1536" s="97" t="s">
        <v>49</v>
      </c>
      <c r="G1536" t="s">
        <v>27</v>
      </c>
      <c r="H1536" t="s">
        <v>27</v>
      </c>
      <c r="I1536" t="s">
        <v>27</v>
      </c>
      <c r="J1536" t="s">
        <v>28</v>
      </c>
      <c r="K1536" t="s">
        <v>828</v>
      </c>
      <c r="M1536" t="s">
        <v>27</v>
      </c>
      <c r="N1536" t="s">
        <v>62</v>
      </c>
      <c r="O1536" t="s">
        <v>2103</v>
      </c>
      <c r="P1536" t="s">
        <v>2087</v>
      </c>
      <c r="Q1536" t="s">
        <v>2104</v>
      </c>
      <c r="R1536" s="140" t="s">
        <v>4459</v>
      </c>
      <c r="S1536" s="129" t="s">
        <v>1971</v>
      </c>
    </row>
    <row r="1537" spans="1:19">
      <c r="A1537" s="59">
        <v>177</v>
      </c>
      <c r="B1537" t="s">
        <v>1084</v>
      </c>
      <c r="C1537" t="s">
        <v>1688</v>
      </c>
      <c r="D1537" s="81" t="s">
        <v>1589</v>
      </c>
      <c r="E1537" s="97">
        <v>2</v>
      </c>
      <c r="F1537" s="97" t="s">
        <v>49</v>
      </c>
      <c r="G1537" t="s">
        <v>27</v>
      </c>
      <c r="H1537" t="s">
        <v>27</v>
      </c>
      <c r="I1537" t="s">
        <v>27</v>
      </c>
      <c r="J1537" t="s">
        <v>28</v>
      </c>
      <c r="K1537" t="s">
        <v>828</v>
      </c>
      <c r="M1537" t="s">
        <v>27</v>
      </c>
      <c r="N1537" t="s">
        <v>62</v>
      </c>
      <c r="O1537" t="s">
        <v>2105</v>
      </c>
      <c r="P1537" t="s">
        <v>2087</v>
      </c>
      <c r="Q1537" t="s">
        <v>2104</v>
      </c>
      <c r="R1537" s="140" t="s">
        <v>4459</v>
      </c>
      <c r="S1537" s="129" t="s">
        <v>1971</v>
      </c>
    </row>
    <row r="1538" spans="1:19">
      <c r="A1538" s="59">
        <v>177</v>
      </c>
      <c r="B1538" t="s">
        <v>1084</v>
      </c>
      <c r="C1538" t="s">
        <v>1688</v>
      </c>
      <c r="D1538" s="81" t="s">
        <v>1589</v>
      </c>
      <c r="E1538" s="97">
        <v>2</v>
      </c>
      <c r="F1538" s="97" t="s">
        <v>49</v>
      </c>
      <c r="G1538" t="s">
        <v>27</v>
      </c>
      <c r="H1538" t="s">
        <v>27</v>
      </c>
      <c r="I1538" t="s">
        <v>27</v>
      </c>
      <c r="J1538" t="s">
        <v>28</v>
      </c>
      <c r="K1538" t="s">
        <v>828</v>
      </c>
      <c r="M1538" t="s">
        <v>27</v>
      </c>
      <c r="N1538" t="s">
        <v>62</v>
      </c>
      <c r="O1538" t="s">
        <v>2106</v>
      </c>
      <c r="P1538" t="s">
        <v>2087</v>
      </c>
      <c r="Q1538" t="s">
        <v>2104</v>
      </c>
      <c r="R1538" s="140" t="s">
        <v>4459</v>
      </c>
      <c r="S1538" s="129" t="s">
        <v>1971</v>
      </c>
    </row>
    <row r="1539" spans="1:19">
      <c r="A1539" s="59">
        <v>177</v>
      </c>
      <c r="B1539" t="s">
        <v>1084</v>
      </c>
      <c r="C1539" t="s">
        <v>1688</v>
      </c>
      <c r="D1539" s="81" t="s">
        <v>1589</v>
      </c>
      <c r="E1539" s="97">
        <v>2</v>
      </c>
      <c r="F1539" s="97" t="s">
        <v>49</v>
      </c>
      <c r="G1539" t="s">
        <v>27</v>
      </c>
      <c r="H1539" t="s">
        <v>27</v>
      </c>
      <c r="I1539" t="s">
        <v>27</v>
      </c>
      <c r="J1539" t="s">
        <v>28</v>
      </c>
      <c r="K1539" t="s">
        <v>828</v>
      </c>
      <c r="M1539" t="s">
        <v>27</v>
      </c>
      <c r="N1539" t="s">
        <v>62</v>
      </c>
      <c r="O1539" t="s">
        <v>2107</v>
      </c>
      <c r="P1539" t="s">
        <v>2087</v>
      </c>
      <c r="Q1539" t="s">
        <v>2104</v>
      </c>
      <c r="R1539" s="140" t="s">
        <v>4459</v>
      </c>
      <c r="S1539" s="129" t="s">
        <v>1971</v>
      </c>
    </row>
    <row r="1540" spans="1:19">
      <c r="A1540" s="59">
        <v>178</v>
      </c>
      <c r="B1540" t="s">
        <v>1084</v>
      </c>
      <c r="C1540" t="s">
        <v>1688</v>
      </c>
      <c r="D1540" s="81" t="s">
        <v>1589</v>
      </c>
      <c r="E1540" s="97" t="s">
        <v>350</v>
      </c>
      <c r="F1540" s="97" t="s">
        <v>351</v>
      </c>
      <c r="G1540" t="s">
        <v>27</v>
      </c>
      <c r="H1540" t="s">
        <v>27</v>
      </c>
      <c r="I1540" t="s">
        <v>27</v>
      </c>
      <c r="J1540" t="s">
        <v>28</v>
      </c>
      <c r="K1540" t="s">
        <v>828</v>
      </c>
      <c r="M1540" t="s">
        <v>27</v>
      </c>
      <c r="N1540" t="s">
        <v>62</v>
      </c>
      <c r="O1540" t="s">
        <v>2108</v>
      </c>
      <c r="P1540" t="s">
        <v>2087</v>
      </c>
      <c r="Q1540" t="s">
        <v>2109</v>
      </c>
      <c r="R1540" s="140" t="s">
        <v>4459</v>
      </c>
      <c r="S1540" s="129" t="s">
        <v>1971</v>
      </c>
    </row>
    <row r="1541" spans="1:19">
      <c r="A1541" s="59">
        <v>178</v>
      </c>
      <c r="B1541" t="s">
        <v>1084</v>
      </c>
      <c r="C1541" t="s">
        <v>1688</v>
      </c>
      <c r="D1541" s="81" t="s">
        <v>1589</v>
      </c>
      <c r="E1541" s="97" t="s">
        <v>350</v>
      </c>
      <c r="F1541" s="97" t="s">
        <v>351</v>
      </c>
      <c r="G1541" t="s">
        <v>27</v>
      </c>
      <c r="H1541" t="s">
        <v>27</v>
      </c>
      <c r="I1541" t="s">
        <v>27</v>
      </c>
      <c r="J1541" t="s">
        <v>28</v>
      </c>
      <c r="K1541" t="s">
        <v>828</v>
      </c>
      <c r="M1541" t="s">
        <v>27</v>
      </c>
      <c r="N1541" t="s">
        <v>62</v>
      </c>
      <c r="O1541" t="s">
        <v>2110</v>
      </c>
      <c r="P1541" t="s">
        <v>2087</v>
      </c>
      <c r="Q1541" t="s">
        <v>2109</v>
      </c>
      <c r="R1541" s="140" t="s">
        <v>4459</v>
      </c>
      <c r="S1541" s="129" t="s">
        <v>1971</v>
      </c>
    </row>
    <row r="1542" spans="1:19">
      <c r="A1542" s="59">
        <v>178</v>
      </c>
      <c r="B1542" t="s">
        <v>1084</v>
      </c>
      <c r="C1542" t="s">
        <v>1688</v>
      </c>
      <c r="D1542" s="81" t="s">
        <v>1589</v>
      </c>
      <c r="E1542" s="97" t="s">
        <v>350</v>
      </c>
      <c r="F1542" s="97" t="s">
        <v>351</v>
      </c>
      <c r="G1542" t="s">
        <v>27</v>
      </c>
      <c r="H1542" t="s">
        <v>27</v>
      </c>
      <c r="I1542" t="s">
        <v>27</v>
      </c>
      <c r="J1542" t="s">
        <v>28</v>
      </c>
      <c r="K1542" t="s">
        <v>828</v>
      </c>
      <c r="M1542" t="s">
        <v>27</v>
      </c>
      <c r="N1542" t="s">
        <v>62</v>
      </c>
      <c r="O1542" t="s">
        <v>2111</v>
      </c>
      <c r="P1542" t="s">
        <v>2087</v>
      </c>
      <c r="Q1542" t="s">
        <v>2109</v>
      </c>
      <c r="R1542" s="140" t="s">
        <v>4459</v>
      </c>
      <c r="S1542" s="129" t="s">
        <v>1971</v>
      </c>
    </row>
    <row r="1543" spans="1:19">
      <c r="A1543" s="59">
        <v>178</v>
      </c>
      <c r="B1543" t="s">
        <v>1084</v>
      </c>
      <c r="C1543" t="s">
        <v>1688</v>
      </c>
      <c r="D1543" s="81" t="s">
        <v>1589</v>
      </c>
      <c r="E1543" s="97" t="s">
        <v>350</v>
      </c>
      <c r="F1543" s="97" t="s">
        <v>351</v>
      </c>
      <c r="G1543" t="s">
        <v>27</v>
      </c>
      <c r="H1543" t="s">
        <v>27</v>
      </c>
      <c r="I1543" t="s">
        <v>27</v>
      </c>
      <c r="J1543" t="s">
        <v>28</v>
      </c>
      <c r="K1543" t="s">
        <v>828</v>
      </c>
      <c r="M1543" t="s">
        <v>27</v>
      </c>
      <c r="N1543" t="s">
        <v>62</v>
      </c>
      <c r="O1543" t="s">
        <v>2112</v>
      </c>
      <c r="P1543" t="s">
        <v>2087</v>
      </c>
      <c r="Q1543" t="s">
        <v>2109</v>
      </c>
      <c r="R1543" s="140" t="s">
        <v>4459</v>
      </c>
      <c r="S1543" s="129" t="s">
        <v>1971</v>
      </c>
    </row>
    <row r="1544" spans="1:19">
      <c r="A1544" s="59">
        <v>179</v>
      </c>
      <c r="B1544" t="s">
        <v>1084</v>
      </c>
      <c r="C1544" t="s">
        <v>1688</v>
      </c>
      <c r="D1544" s="81" t="s">
        <v>1589</v>
      </c>
      <c r="E1544" s="97" t="s">
        <v>350</v>
      </c>
      <c r="F1544" s="97" t="s">
        <v>1110</v>
      </c>
      <c r="G1544" t="s">
        <v>27</v>
      </c>
      <c r="H1544" t="s">
        <v>27</v>
      </c>
      <c r="I1544" t="s">
        <v>27</v>
      </c>
      <c r="J1544" t="s">
        <v>28</v>
      </c>
      <c r="K1544" t="s">
        <v>828</v>
      </c>
      <c r="M1544" t="s">
        <v>27</v>
      </c>
      <c r="N1544" t="s">
        <v>62</v>
      </c>
      <c r="O1544" t="s">
        <v>2113</v>
      </c>
      <c r="P1544" t="s">
        <v>2087</v>
      </c>
      <c r="Q1544" t="s">
        <v>2114</v>
      </c>
      <c r="R1544" s="140" t="s">
        <v>4459</v>
      </c>
      <c r="S1544" s="129" t="s">
        <v>1971</v>
      </c>
    </row>
    <row r="1545" spans="1:19">
      <c r="A1545" s="59">
        <v>179</v>
      </c>
      <c r="B1545" t="s">
        <v>1084</v>
      </c>
      <c r="C1545" t="s">
        <v>1688</v>
      </c>
      <c r="D1545" s="81" t="s">
        <v>1589</v>
      </c>
      <c r="E1545" s="97" t="s">
        <v>350</v>
      </c>
      <c r="F1545" s="97" t="s">
        <v>1110</v>
      </c>
      <c r="G1545" t="s">
        <v>27</v>
      </c>
      <c r="H1545" t="s">
        <v>27</v>
      </c>
      <c r="I1545" t="s">
        <v>27</v>
      </c>
      <c r="J1545" t="s">
        <v>28</v>
      </c>
      <c r="K1545" t="s">
        <v>828</v>
      </c>
      <c r="M1545" t="s">
        <v>27</v>
      </c>
      <c r="N1545" t="s">
        <v>62</v>
      </c>
      <c r="O1545" t="s">
        <v>2115</v>
      </c>
      <c r="P1545" t="s">
        <v>2087</v>
      </c>
      <c r="Q1545" t="s">
        <v>2114</v>
      </c>
      <c r="R1545" s="140" t="s">
        <v>4459</v>
      </c>
      <c r="S1545" s="129" t="s">
        <v>1971</v>
      </c>
    </row>
    <row r="1546" spans="1:19">
      <c r="A1546" s="59">
        <v>179</v>
      </c>
      <c r="B1546" t="s">
        <v>1084</v>
      </c>
      <c r="C1546" t="s">
        <v>1688</v>
      </c>
      <c r="D1546" s="81" t="s">
        <v>1589</v>
      </c>
      <c r="E1546" s="97" t="s">
        <v>350</v>
      </c>
      <c r="F1546" s="97" t="s">
        <v>1110</v>
      </c>
      <c r="G1546" t="s">
        <v>27</v>
      </c>
      <c r="H1546" t="s">
        <v>27</v>
      </c>
      <c r="I1546" t="s">
        <v>27</v>
      </c>
      <c r="J1546" t="s">
        <v>28</v>
      </c>
      <c r="K1546" t="s">
        <v>828</v>
      </c>
      <c r="M1546" t="s">
        <v>27</v>
      </c>
      <c r="N1546" t="s">
        <v>62</v>
      </c>
      <c r="O1546" t="s">
        <v>2116</v>
      </c>
      <c r="P1546" t="s">
        <v>2087</v>
      </c>
      <c r="Q1546" t="s">
        <v>2114</v>
      </c>
      <c r="R1546" s="140" t="s">
        <v>4459</v>
      </c>
      <c r="S1546" s="129" t="s">
        <v>1971</v>
      </c>
    </row>
    <row r="1547" spans="1:19">
      <c r="A1547" s="59">
        <v>179</v>
      </c>
      <c r="B1547" t="s">
        <v>1084</v>
      </c>
      <c r="C1547" t="s">
        <v>1688</v>
      </c>
      <c r="D1547" s="81" t="s">
        <v>1589</v>
      </c>
      <c r="E1547" s="97" t="s">
        <v>350</v>
      </c>
      <c r="F1547" s="97" t="s">
        <v>1110</v>
      </c>
      <c r="G1547" t="s">
        <v>27</v>
      </c>
      <c r="H1547" t="s">
        <v>27</v>
      </c>
      <c r="I1547" t="s">
        <v>27</v>
      </c>
      <c r="J1547" t="s">
        <v>28</v>
      </c>
      <c r="K1547" t="s">
        <v>828</v>
      </c>
      <c r="M1547" t="s">
        <v>27</v>
      </c>
      <c r="N1547" t="s">
        <v>62</v>
      </c>
      <c r="O1547" t="s">
        <v>2117</v>
      </c>
      <c r="P1547" t="s">
        <v>2087</v>
      </c>
      <c r="Q1547" t="s">
        <v>2114</v>
      </c>
      <c r="R1547" s="140" t="s">
        <v>4459</v>
      </c>
      <c r="S1547" s="129" t="s">
        <v>1971</v>
      </c>
    </row>
    <row r="1548" spans="1:19">
      <c r="A1548" s="59">
        <v>180</v>
      </c>
      <c r="B1548" t="s">
        <v>1084</v>
      </c>
      <c r="C1548" t="s">
        <v>1688</v>
      </c>
      <c r="D1548" s="81" t="s">
        <v>1589</v>
      </c>
      <c r="E1548" s="97">
        <v>3</v>
      </c>
      <c r="F1548" s="97" t="s">
        <v>74</v>
      </c>
      <c r="G1548" t="s">
        <v>27</v>
      </c>
      <c r="H1548" t="s">
        <v>28</v>
      </c>
      <c r="I1548" t="s">
        <v>28</v>
      </c>
      <c r="J1548" t="s">
        <v>28</v>
      </c>
      <c r="K1548" t="s">
        <v>828</v>
      </c>
      <c r="M1548" t="s">
        <v>27</v>
      </c>
      <c r="N1548" t="s">
        <v>62</v>
      </c>
      <c r="O1548" t="s">
        <v>2118</v>
      </c>
      <c r="P1548" t="s">
        <v>2087</v>
      </c>
      <c r="Q1548" t="s">
        <v>2119</v>
      </c>
      <c r="R1548" s="140" t="s">
        <v>4459</v>
      </c>
      <c r="S1548" s="129" t="s">
        <v>1971</v>
      </c>
    </row>
    <row r="1549" spans="1:19">
      <c r="A1549" s="59">
        <v>180</v>
      </c>
      <c r="B1549" t="s">
        <v>1084</v>
      </c>
      <c r="C1549" t="s">
        <v>1688</v>
      </c>
      <c r="D1549" s="81" t="s">
        <v>1589</v>
      </c>
      <c r="E1549" s="97">
        <v>3</v>
      </c>
      <c r="F1549" s="97" t="s">
        <v>74</v>
      </c>
      <c r="G1549" t="s">
        <v>27</v>
      </c>
      <c r="H1549" t="s">
        <v>28</v>
      </c>
      <c r="I1549" t="s">
        <v>28</v>
      </c>
      <c r="J1549" t="s">
        <v>28</v>
      </c>
      <c r="K1549" t="s">
        <v>828</v>
      </c>
      <c r="M1549" t="s">
        <v>27</v>
      </c>
      <c r="N1549" t="s">
        <v>62</v>
      </c>
      <c r="O1549" t="s">
        <v>2120</v>
      </c>
      <c r="P1549" t="s">
        <v>2087</v>
      </c>
      <c r="Q1549" t="s">
        <v>2119</v>
      </c>
      <c r="R1549" s="140" t="s">
        <v>4459</v>
      </c>
      <c r="S1549" s="129" t="s">
        <v>1971</v>
      </c>
    </row>
    <row r="1550" spans="1:19">
      <c r="A1550" s="59">
        <v>180</v>
      </c>
      <c r="B1550" t="s">
        <v>1084</v>
      </c>
      <c r="C1550" t="s">
        <v>1688</v>
      </c>
      <c r="D1550" s="81" t="s">
        <v>1589</v>
      </c>
      <c r="E1550" s="97">
        <v>3</v>
      </c>
      <c r="F1550" s="97" t="s">
        <v>74</v>
      </c>
      <c r="G1550" t="s">
        <v>27</v>
      </c>
      <c r="H1550" t="s">
        <v>28</v>
      </c>
      <c r="I1550" t="s">
        <v>28</v>
      </c>
      <c r="J1550" t="s">
        <v>28</v>
      </c>
      <c r="K1550" t="s">
        <v>828</v>
      </c>
      <c r="M1550" t="s">
        <v>27</v>
      </c>
      <c r="N1550" t="s">
        <v>62</v>
      </c>
      <c r="O1550" t="s">
        <v>2121</v>
      </c>
      <c r="P1550" t="s">
        <v>2087</v>
      </c>
      <c r="Q1550" t="s">
        <v>2119</v>
      </c>
      <c r="R1550" s="140" t="s">
        <v>4459</v>
      </c>
      <c r="S1550" s="129" t="s">
        <v>1971</v>
      </c>
    </row>
    <row r="1551" spans="1:19">
      <c r="A1551" s="59">
        <v>180</v>
      </c>
      <c r="B1551" t="s">
        <v>1084</v>
      </c>
      <c r="C1551" t="s">
        <v>1688</v>
      </c>
      <c r="D1551" s="81" t="s">
        <v>1589</v>
      </c>
      <c r="E1551" s="97">
        <v>3</v>
      </c>
      <c r="F1551" s="97" t="s">
        <v>74</v>
      </c>
      <c r="G1551" t="s">
        <v>27</v>
      </c>
      <c r="H1551" t="s">
        <v>28</v>
      </c>
      <c r="I1551" t="s">
        <v>28</v>
      </c>
      <c r="J1551" t="s">
        <v>28</v>
      </c>
      <c r="K1551" t="s">
        <v>828</v>
      </c>
      <c r="M1551" t="s">
        <v>27</v>
      </c>
      <c r="N1551" t="s">
        <v>62</v>
      </c>
      <c r="O1551" t="s">
        <v>2122</v>
      </c>
      <c r="P1551" t="s">
        <v>2087</v>
      </c>
      <c r="Q1551" t="s">
        <v>2119</v>
      </c>
      <c r="R1551" s="140" t="s">
        <v>4459</v>
      </c>
      <c r="S1551" s="129" t="s">
        <v>1971</v>
      </c>
    </row>
    <row r="1552" spans="1:19">
      <c r="A1552" s="59">
        <v>181</v>
      </c>
      <c r="B1552" t="s">
        <v>1084</v>
      </c>
      <c r="C1552" t="s">
        <v>1688</v>
      </c>
      <c r="D1552" s="81" t="s">
        <v>1589</v>
      </c>
      <c r="E1552" s="97">
        <v>3</v>
      </c>
      <c r="F1552" s="97" t="s">
        <v>180</v>
      </c>
      <c r="G1552" t="s">
        <v>27</v>
      </c>
      <c r="H1552" t="s">
        <v>27</v>
      </c>
      <c r="I1552" t="s">
        <v>27</v>
      </c>
      <c r="J1552" t="s">
        <v>28</v>
      </c>
      <c r="K1552" t="s">
        <v>828</v>
      </c>
      <c r="M1552" t="s">
        <v>27</v>
      </c>
      <c r="N1552" t="s">
        <v>62</v>
      </c>
      <c r="O1552" t="s">
        <v>2123</v>
      </c>
      <c r="P1552" t="s">
        <v>2087</v>
      </c>
      <c r="Q1552" t="s">
        <v>2124</v>
      </c>
      <c r="R1552" s="140" t="s">
        <v>4459</v>
      </c>
      <c r="S1552" s="129" t="s">
        <v>1971</v>
      </c>
    </row>
    <row r="1553" spans="1:19">
      <c r="A1553" s="59">
        <v>181</v>
      </c>
      <c r="B1553" t="s">
        <v>1084</v>
      </c>
      <c r="C1553" t="s">
        <v>1688</v>
      </c>
      <c r="D1553" s="81" t="s">
        <v>1589</v>
      </c>
      <c r="E1553" s="97">
        <v>3</v>
      </c>
      <c r="F1553" s="97" t="s">
        <v>180</v>
      </c>
      <c r="G1553" t="s">
        <v>27</v>
      </c>
      <c r="H1553" t="s">
        <v>27</v>
      </c>
      <c r="I1553" t="s">
        <v>27</v>
      </c>
      <c r="J1553" t="s">
        <v>28</v>
      </c>
      <c r="K1553" t="s">
        <v>828</v>
      </c>
      <c r="M1553" t="s">
        <v>27</v>
      </c>
      <c r="N1553" t="s">
        <v>62</v>
      </c>
      <c r="O1553" t="s">
        <v>2125</v>
      </c>
      <c r="P1553" t="s">
        <v>2087</v>
      </c>
      <c r="Q1553" t="s">
        <v>2124</v>
      </c>
      <c r="R1553" s="140" t="s">
        <v>4459</v>
      </c>
      <c r="S1553" s="129" t="s">
        <v>1971</v>
      </c>
    </row>
    <row r="1554" spans="1:19">
      <c r="A1554" s="59">
        <v>181</v>
      </c>
      <c r="B1554" t="s">
        <v>1084</v>
      </c>
      <c r="C1554" t="s">
        <v>1688</v>
      </c>
      <c r="D1554" s="81" t="s">
        <v>1589</v>
      </c>
      <c r="E1554" s="97">
        <v>3</v>
      </c>
      <c r="F1554" s="97" t="s">
        <v>180</v>
      </c>
      <c r="G1554" t="s">
        <v>27</v>
      </c>
      <c r="H1554" t="s">
        <v>27</v>
      </c>
      <c r="I1554" t="s">
        <v>27</v>
      </c>
      <c r="J1554" t="s">
        <v>28</v>
      </c>
      <c r="K1554" t="s">
        <v>828</v>
      </c>
      <c r="M1554" t="s">
        <v>27</v>
      </c>
      <c r="N1554" t="s">
        <v>62</v>
      </c>
      <c r="O1554" t="s">
        <v>2126</v>
      </c>
      <c r="P1554" t="s">
        <v>2087</v>
      </c>
      <c r="Q1554" t="s">
        <v>2124</v>
      </c>
      <c r="R1554" s="140" t="s">
        <v>4459</v>
      </c>
      <c r="S1554" s="129" t="s">
        <v>1971</v>
      </c>
    </row>
    <row r="1555" spans="1:19">
      <c r="A1555" s="59">
        <v>181</v>
      </c>
      <c r="B1555" t="s">
        <v>1084</v>
      </c>
      <c r="C1555" t="s">
        <v>1688</v>
      </c>
      <c r="D1555" s="81" t="s">
        <v>1589</v>
      </c>
      <c r="E1555" s="97">
        <v>3</v>
      </c>
      <c r="F1555" s="97" t="s">
        <v>180</v>
      </c>
      <c r="G1555" t="s">
        <v>27</v>
      </c>
      <c r="H1555" t="s">
        <v>27</v>
      </c>
      <c r="I1555" t="s">
        <v>27</v>
      </c>
      <c r="J1555" t="s">
        <v>28</v>
      </c>
      <c r="K1555" t="s">
        <v>828</v>
      </c>
      <c r="M1555" t="s">
        <v>27</v>
      </c>
      <c r="N1555" t="s">
        <v>62</v>
      </c>
      <c r="O1555" t="s">
        <v>2127</v>
      </c>
      <c r="P1555" t="s">
        <v>2087</v>
      </c>
      <c r="Q1555" t="s">
        <v>2124</v>
      </c>
      <c r="R1555" s="140" t="s">
        <v>4459</v>
      </c>
      <c r="S1555" s="129" t="s">
        <v>1971</v>
      </c>
    </row>
    <row r="1556" spans="1:19">
      <c r="A1556" s="59">
        <v>262</v>
      </c>
      <c r="B1556" t="s">
        <v>1939</v>
      </c>
      <c r="D1556" s="81" t="s">
        <v>1589</v>
      </c>
      <c r="E1556" s="97">
        <v>0</v>
      </c>
      <c r="F1556" s="97">
        <v>0</v>
      </c>
      <c r="G1556" t="s">
        <v>27</v>
      </c>
      <c r="H1556" t="s">
        <v>27</v>
      </c>
      <c r="I1556" t="s">
        <v>27</v>
      </c>
      <c r="J1556" t="s">
        <v>28</v>
      </c>
      <c r="K1556" t="s">
        <v>828</v>
      </c>
      <c r="M1556" s="128" t="s">
        <v>27</v>
      </c>
      <c r="N1556" s="128" t="s">
        <v>62</v>
      </c>
      <c r="O1556" t="s">
        <v>2128</v>
      </c>
      <c r="P1556" t="s">
        <v>41</v>
      </c>
      <c r="Q1556" s="138" t="s">
        <v>4442</v>
      </c>
      <c r="R1556" s="140" t="s">
        <v>4452</v>
      </c>
    </row>
  </sheetData>
  <autoFilter ref="A1:Y1556" xr:uid="{00000000-0009-0000-0000-000000000000}">
    <filterColumn colId="9">
      <filters>
        <filter val="Y"/>
      </filters>
    </filterColumn>
  </autoFilter>
  <conditionalFormatting sqref="O11">
    <cfRule type="duplicateValues" dxfId="183" priority="48"/>
  </conditionalFormatting>
  <conditionalFormatting sqref="O12">
    <cfRule type="duplicateValues" dxfId="182" priority="47"/>
  </conditionalFormatting>
  <conditionalFormatting sqref="O21">
    <cfRule type="duplicateValues" dxfId="181" priority="45"/>
  </conditionalFormatting>
  <conditionalFormatting sqref="O22">
    <cfRule type="duplicateValues" dxfId="180" priority="46"/>
  </conditionalFormatting>
  <conditionalFormatting sqref="O34">
    <cfRule type="duplicateValues" dxfId="179" priority="44"/>
  </conditionalFormatting>
  <conditionalFormatting sqref="O39">
    <cfRule type="duplicateValues" dxfId="178" priority="43"/>
  </conditionalFormatting>
  <conditionalFormatting sqref="O40">
    <cfRule type="duplicateValues" dxfId="177" priority="42"/>
  </conditionalFormatting>
  <conditionalFormatting sqref="O41">
    <cfRule type="duplicateValues" dxfId="176" priority="41"/>
  </conditionalFormatting>
  <conditionalFormatting sqref="O52">
    <cfRule type="duplicateValues" dxfId="175" priority="40"/>
  </conditionalFormatting>
  <conditionalFormatting sqref="O53">
    <cfRule type="duplicateValues" dxfId="174" priority="39"/>
  </conditionalFormatting>
  <conditionalFormatting sqref="O54:O55">
    <cfRule type="duplicateValues" dxfId="173" priority="38"/>
  </conditionalFormatting>
  <conditionalFormatting sqref="O79">
    <cfRule type="duplicateValues" dxfId="172" priority="37"/>
  </conditionalFormatting>
  <conditionalFormatting sqref="O80">
    <cfRule type="duplicateValues" dxfId="171" priority="3"/>
  </conditionalFormatting>
  <conditionalFormatting sqref="O116">
    <cfRule type="duplicateValues" dxfId="170" priority="36"/>
  </conditionalFormatting>
  <conditionalFormatting sqref="O117">
    <cfRule type="duplicateValues" dxfId="169" priority="35"/>
  </conditionalFormatting>
  <conditionalFormatting sqref="O134:O136">
    <cfRule type="duplicateValues" dxfId="168" priority="34"/>
  </conditionalFormatting>
  <conditionalFormatting sqref="O140">
    <cfRule type="duplicateValues" dxfId="167" priority="33"/>
  </conditionalFormatting>
  <conditionalFormatting sqref="O141:O145">
    <cfRule type="duplicateValues" dxfId="166" priority="32"/>
  </conditionalFormatting>
  <conditionalFormatting sqref="O146">
    <cfRule type="duplicateValues" dxfId="165" priority="31"/>
  </conditionalFormatting>
  <conditionalFormatting sqref="O152:O154">
    <cfRule type="duplicateValues" dxfId="164" priority="30"/>
  </conditionalFormatting>
  <conditionalFormatting sqref="O163:O165">
    <cfRule type="duplicateValues" dxfId="163" priority="29"/>
  </conditionalFormatting>
  <conditionalFormatting sqref="O177">
    <cfRule type="duplicateValues" dxfId="162" priority="28"/>
  </conditionalFormatting>
  <conditionalFormatting sqref="O178">
    <cfRule type="duplicateValues" dxfId="161" priority="27"/>
  </conditionalFormatting>
  <conditionalFormatting sqref="O182:O184">
    <cfRule type="duplicateValues" dxfId="160" priority="26"/>
  </conditionalFormatting>
  <conditionalFormatting sqref="O185:O189">
    <cfRule type="duplicateValues" dxfId="159" priority="25"/>
  </conditionalFormatting>
  <conditionalFormatting sqref="O193:O197">
    <cfRule type="duplicateValues" dxfId="158" priority="24"/>
  </conditionalFormatting>
  <conditionalFormatting sqref="O198:O202">
    <cfRule type="duplicateValues" dxfId="157" priority="23"/>
  </conditionalFormatting>
  <conditionalFormatting sqref="O206:O210">
    <cfRule type="duplicateValues" dxfId="156" priority="51"/>
  </conditionalFormatting>
  <conditionalFormatting sqref="O238">
    <cfRule type="duplicateValues" dxfId="155" priority="21"/>
  </conditionalFormatting>
  <conditionalFormatting sqref="O239:O248 O250:O260">
    <cfRule type="duplicateValues" dxfId="154" priority="49"/>
  </conditionalFormatting>
  <conditionalFormatting sqref="O296">
    <cfRule type="duplicateValues" dxfId="153" priority="20"/>
  </conditionalFormatting>
  <conditionalFormatting sqref="O297">
    <cfRule type="duplicateValues" dxfId="152" priority="19"/>
  </conditionalFormatting>
  <conditionalFormatting sqref="O302">
    <cfRule type="duplicateValues" dxfId="151" priority="18"/>
  </conditionalFormatting>
  <conditionalFormatting sqref="O303:O321">
    <cfRule type="duplicateValues" dxfId="150" priority="50"/>
  </conditionalFormatting>
  <conditionalFormatting sqref="O327:O331">
    <cfRule type="duplicateValues" dxfId="149" priority="15"/>
  </conditionalFormatting>
  <conditionalFormatting sqref="O354">
    <cfRule type="duplicateValues" dxfId="148" priority="14"/>
  </conditionalFormatting>
  <conditionalFormatting sqref="O375">
    <cfRule type="duplicateValues" dxfId="147" priority="13"/>
  </conditionalFormatting>
  <conditionalFormatting sqref="O397">
    <cfRule type="duplicateValues" dxfId="146" priority="12"/>
  </conditionalFormatting>
  <conditionalFormatting sqref="O408:O412">
    <cfRule type="duplicateValues" dxfId="145" priority="11"/>
  </conditionalFormatting>
  <conditionalFormatting sqref="O428:O432">
    <cfRule type="duplicateValues" dxfId="144" priority="10"/>
  </conditionalFormatting>
  <conditionalFormatting sqref="O436:O439">
    <cfRule type="duplicateValues" dxfId="143" priority="9"/>
  </conditionalFormatting>
  <conditionalFormatting sqref="O455:O462">
    <cfRule type="duplicateValues" dxfId="142" priority="8"/>
  </conditionalFormatting>
  <conditionalFormatting sqref="O513:O521">
    <cfRule type="duplicateValues" dxfId="141" priority="7"/>
  </conditionalFormatting>
  <conditionalFormatting sqref="O762">
    <cfRule type="duplicateValues" dxfId="140" priority="6"/>
  </conditionalFormatting>
  <conditionalFormatting sqref="O763">
    <cfRule type="duplicateValues" dxfId="139" priority="5"/>
  </conditionalFormatting>
  <conditionalFormatting sqref="O834:O836">
    <cfRule type="duplicateValues" dxfId="138" priority="4"/>
  </conditionalFormatting>
  <hyperlinks>
    <hyperlink ref="P3" r:id="rId1" display="\\abtvdfs2.de.bosch.com\ismdfs\ilm\abt\IMS\Platform\400_Cabin_Sensing_Radar\20_Measurements\07_CANape\Mitsubishi\5K45\MMC4.1.2\Validation\2025_11_29\child\part1\Sleep" xr:uid="{00000000-0004-0000-0000-000000000000}"/>
    <hyperlink ref="P10" r:id="rId2" display="\\abt-soc501-dfs.de.bosch.com\XC_IMS_Platform\400_Cabin_Sensing_Radar\20_Measurements\07_CANape\Mitsubishi\5K45\MMC5.1.1\5K457EG11\Smoke Tests" xr:uid="{00000000-0004-0000-0000-000001000000}"/>
    <hyperlink ref="P15" r:id="rId3" display="\\abt-soc501-dfs.de.bosch.com\XC_IMS_Platform\400_Cabin_Sensing_Radar\20_Measurements\07_CANape\Mitsubishi\5K45\5.2.0\5K457EG11\SmokeTest\CPD" xr:uid="{00000000-0004-0000-0000-000002000000}"/>
    <hyperlink ref="P16" r:id="rId4" display="\\abt-soc501-dfs.de.bosch.com\XC_IMS_Platform\400_Cabin_Sensing_Radar\20_Measurements\07_CANape\Mitsubishi\5K45\MMC5.0.2\5K457MG57\SmokeTest" xr:uid="{00000000-0004-0000-0000-000003000000}"/>
    <hyperlink ref="P26" r:id="rId5" display="\\abt-soc501-dfs.de.bosch.com\XC_IMS_Platform\400_Cabin_Sensing_Radar\20_Measurements\07_CANape\Mitsubishi\5K45\MMC5.0.2\5K457MG57\SmokeTest" xr:uid="{00000000-0004-0000-0000-000004000000}"/>
    <hyperlink ref="P27" r:id="rId6" display="\\abtvdfs2.de.bosch.com\ismdfs\ilm\abt\IMS\Platform\400_Cabin_Sensing_Radar\20_Measurements\07_CANape\Mitsubishi\5K45\MMC5.0.2\5K457EG11\RealChild" xr:uid="{00000000-0004-0000-0000-000005000000}"/>
    <hyperlink ref="P28" r:id="rId7" display="\\abtvdfs2.de.bosch.com\ismdfs\ilm\abt\IMS\Platform\400_Cabin_Sensing_Radar\20_Measurements\07_CANape\Mitsubishi\5K45\MMC5.0.2\5K457EG11\RealChild" xr:uid="{00000000-0004-0000-0000-000006000000}"/>
    <hyperlink ref="P29" r:id="rId8" display="\\abtvdfs2.de.bosch.com\ismdfs\ilm\abt\IMS\Platform\400_Cabin_Sensing_Radar\20_Measurements\07_CANape\Mitsubishi\5K45\MMC5.0.2\5K457EG11\RealChild" xr:uid="{00000000-0004-0000-0000-000007000000}"/>
    <hyperlink ref="P30" r:id="rId9" display="\\abtvdfs2.de.bosch.com\ismdfs\ilm\abt\IMS\Platform\400_Cabin_Sensing_Radar\20_Measurements\07_CANape\Mitsubishi\5K45\MMC5.0.2\5K457EG11\RealChild" xr:uid="{00000000-0004-0000-0000-000008000000}"/>
    <hyperlink ref="P31" r:id="rId10" display="\\abtvdfs2.de.bosch.com\ismdfs\ilm\abt\IMS\Platform\400_Cabin_Sensing_Radar\20_Measurements\07_CANape\Mitsubishi\5K45\MMC5.0.2\5K457EG11\RealChild" xr:uid="{00000000-0004-0000-0000-000009000000}"/>
    <hyperlink ref="P38" r:id="rId11" display="\\abtvdfs2.de.bosch.com\ismdfs\ilm\abt\IMS\Platform\400_Cabin_Sensing_Radar\20_Measurements\07_CANape\Mitsubishi\5K45\MMC5.0.1\5K457EG-11\Real_Child_Measurements" xr:uid="{00000000-0004-0000-0000-00000A000000}"/>
    <hyperlink ref="P39" r:id="rId12" display="\\abtvdfs2.de.bosch.com\ismdfs\ilm\abt\IMS\Platform\400_Cabin_Sensing_Radar\20_Measurements\07_CANape\Mitsubishi\5K45\MMC5.0.1\5K457EG-11\Real_Child_Measurements" xr:uid="{00000000-0004-0000-0000-00000B000000}"/>
    <hyperlink ref="P40" r:id="rId13" display="\\abtvdfs2.de.bosch.com\ismdfs\ilm\abt\IMS\Platform\400_Cabin_Sensing_Radar\20_Measurements\07_CANape\Mitsubishi\5K45\MMC5.0.1\5K457EG-11\Real_Child_Measurements" xr:uid="{00000000-0004-0000-0000-00000C000000}"/>
    <hyperlink ref="P41" r:id="rId14" display="\\abtvdfs2.de.bosch.com\ismdfs\ilm\abt\IMS\Platform\400_Cabin_Sensing_Radar\20_Measurements\07_CANape\Mitsubishi\5K45\MMC5.0.1\5K457EG-11\Real_Child_Measurements" xr:uid="{00000000-0004-0000-0000-00000D000000}"/>
    <hyperlink ref="P42" r:id="rId15" display="\\abtvdfs2.de.bosch.com\ismdfs\ilm\abt\IMS\Platform\400_Cabin_Sensing_Radar\20_Measurements\07_CANape\Mitsubishi\5K45\MMC5.0.1\5K457EG-11\Real_Child_Measurements" xr:uid="{00000000-0004-0000-0000-00000E000000}"/>
    <hyperlink ref="P50" r:id="rId16" display="\\abt-soc501-dfs.de.bosch.com\XC_IMS_Platform\400_Cabin_Sensing_Radar\20_Measurements\07_CANape\Mitsubishi\5K45\MMC5.0.2\5K457MG57\SmokeTest" xr:uid="{00000000-0004-0000-0000-00000F000000}"/>
    <hyperlink ref="P57" r:id="rId17" display="\\abtvdfs2.de.bosch.com\ismdfs\ilm\abt\IMS\Platform\400_Cabin_Sensing_Radar\20_Measurements\07_CANape\Mitsubishi\5K45\MMC5.0.1\5K457EG-11\Real_Child_Measurements" xr:uid="{00000000-0004-0000-0000-000010000000}"/>
    <hyperlink ref="P58" r:id="rId18" display="\\abtvdfs2.de.bosch.com\ismdfs\ilm\abt\IMS\Platform\400_Cabin_Sensing_Radar\20_Measurements\07_CANape\Mitsubishi\5K45\MMC5.0.1\5K457EG-11\Real_Child_Measurements" xr:uid="{00000000-0004-0000-0000-000011000000}"/>
    <hyperlink ref="P59" r:id="rId19" display="\\abtvdfs2.de.bosch.com\ismdfs\ilm\abt\IMS\Platform\400_Cabin_Sensing_Radar\20_Measurements\07_CANape\Mitsubishi\5K45\MMC5.0.1\5K457EG-11\Real_Child_Measurements" xr:uid="{00000000-0004-0000-0000-000012000000}"/>
    <hyperlink ref="P60" r:id="rId20" display="\\abtvdfs2.de.bosch.com\ismdfs\ilm\abt\IMS\Platform\400_Cabin_Sensing_Radar\20_Measurements\07_CANape\Mitsubishi\5K45\MMC5.0.1\5K457EG-11\Real_Child_Measurements" xr:uid="{00000000-0004-0000-0000-000013000000}"/>
    <hyperlink ref="P61" r:id="rId21" display="\\abtvdfs2.de.bosch.com\ismdfs\ilm\abt\IMS\Platform\400_Cabin_Sensing_Radar\20_Measurements\07_CANape\Mitsubishi\5K45\MMC5.0.1\5K457EG-11\Real_Child_Measurements" xr:uid="{00000000-0004-0000-0000-000014000000}"/>
    <hyperlink ref="P84" r:id="rId22" display="\\abt-soc501-dfs.de.bosch.com\XC_IMS_Platform\400_Cabin_Sensing_Radar\20_Measurements\07_CANape\Mitsubishi\5K45\MMC4.1.2\Validation\2025_11_29\child\part1\Awake" xr:uid="{00000000-0004-0000-0000-000015000000}"/>
    <hyperlink ref="P85" r:id="rId23" display="\\abt-soc501-dfs.de.bosch.com\XC_IMS_Platform\400_Cabin_Sensing_Radar\20_Measurements\07_CANape\Mitsubishi\5K45\MMC4.1.2\Validation\2025_11_29\child\part1\Awake" xr:uid="{00000000-0004-0000-0000-000016000000}"/>
    <hyperlink ref="P91" r:id="rId24" display="\\abtvdfs2.de.bosch.com\ismdfs\ilm\abt\IMS\Platform\400_Cabin_Sensing_Radar\20_Measurements\07_CANape\Mitsubishi\5K45\MMC4.1.2\Validation\child\Awake" xr:uid="{00000000-0004-0000-0000-000017000000}"/>
    <hyperlink ref="P92" r:id="rId25" display="\\abtvdfs2.de.bosch.com\ismdfs\ilm\abt\IMS\Platform\400_Cabin_Sensing_Radar\20_Measurements\07_CANape\Mitsubishi\5K45\MMC4.1.2\Validation\child\Awake" xr:uid="{00000000-0004-0000-0000-000018000000}"/>
    <hyperlink ref="P94" r:id="rId26" display="\\abt-soc501-dfs.de.bosch.com\XC_IMS_Platform\400_Cabin_Sensing_Radar\20_Measurements\07_CANape\Mitsubishi\5K45\MMC4.1.2\Validation\2025_11_29\child\part1\Awake" xr:uid="{00000000-0004-0000-0000-000019000000}"/>
    <hyperlink ref="P96" r:id="rId27" display="\\abtvdfs2.de.bosch.com\ismdfs\ilm\abt\IMS\Platform\400_Cabin_Sensing_Radar\20_Measurements\07_CANape\Mitsubishi\5K45\5.2.0\5K457EG11\Real_Childs" xr:uid="{00000000-0004-0000-0000-00001A000000}"/>
    <hyperlink ref="P97" r:id="rId28" display="\\abtvdfs2.de.bosch.com\ismdfs\ilm\abt\IMS\Platform\400_Cabin_Sensing_Radar\20_Measurements\07_CANape\Mitsubishi\5K45\5.2.0\5K457EG11\Real_Childs" xr:uid="{00000000-0004-0000-0000-00001B000000}"/>
    <hyperlink ref="P99" r:id="rId29" display="\\abtvdfs2.de.bosch.com\ismdfs\ilm\abt\IMS\Platform\400_Cabin_Sensing_Radar\20_Measurements\07_CANape\Mitsubishi\5K45\5.2.0\5K457EG11\Real_Childs" xr:uid="{00000000-0004-0000-0000-00001C000000}"/>
    <hyperlink ref="P118" r:id="rId30" display="\\abtvdfs2.de.bosch.com\ismdfs\ilm\abt\IMS\Platform\400_Cabin_Sensing_Radar\20_Measurements\07_CANape\Mitsubishi\5K45\MMC5.0.0_RC3\Real_Child_Tests" xr:uid="{00000000-0004-0000-0000-00001D000000}"/>
    <hyperlink ref="P119" r:id="rId31" display="\\abtvdfs2.de.bosch.com\ismdfs\ilm\abt\IMS\Platform\400_Cabin_Sensing_Radar\20_Measurements\07_CANape\Mitsubishi\5K45\MMC5.0.0_RC3\Real_Child_Tests" xr:uid="{00000000-0004-0000-0000-00001E000000}"/>
    <hyperlink ref="P120" r:id="rId32" display="\\abtvdfs2.de.bosch.com\ismdfs\ilm\abt\IMS\Platform\400_Cabin_Sensing_Radar\20_Measurements\07_CANape\Mitsubishi\5K45\MMC5.0.0_RC3\Real_Child_Tests" xr:uid="{00000000-0004-0000-0000-00001F000000}"/>
    <hyperlink ref="P121" r:id="rId33" display="\\abtvdfs2.de.bosch.com\ismdfs\ilm\abt\IMS\Platform\400_Cabin_Sensing_Radar\20_Measurements\07_CANape\Mitsubishi\5K45\MMC5.0.0_RC3\Real_Child_Tests" xr:uid="{00000000-0004-0000-0000-000020000000}"/>
    <hyperlink ref="P122" r:id="rId34" display="\\abtvdfs2.de.bosch.com\ismdfs\ilm\abt\IMS\Platform\400_Cabin_Sensing_Radar\20_Measurements\07_CANape\Mitsubishi\5K45\MMC5.0.0_RC3\Real_Child_Tests" xr:uid="{00000000-0004-0000-0000-000021000000}"/>
    <hyperlink ref="P126" r:id="rId35" display="\\abtvdfs2.de.bosch.com\ismdfs\ilm\abt\IMS\Platform\400_Cabin_Sensing_Radar\20_Measurements\07_CANape\Mitsubishi\5K45\MMC5.0.0_RC3\Real_Child_Tests" xr:uid="{00000000-0004-0000-0000-000022000000}"/>
    <hyperlink ref="P127" r:id="rId36" display="\\abtvdfs2.de.bosch.com\ismdfs\ilm\abt\IMS\Platform\400_Cabin_Sensing_Radar\20_Measurements\07_CANape\Mitsubishi\5K45\MMC5.0.0_RC3\Real_Child_Tests" xr:uid="{00000000-0004-0000-0000-000023000000}"/>
    <hyperlink ref="P128" r:id="rId37" display="\\abtvdfs2.de.bosch.com\ismdfs\ilm\abt\IMS\Platform\400_Cabin_Sensing_Radar\20_Measurements\07_CANape\Mitsubishi\5K45\MMC5.0.0_RC3\Real_Child_Tests" xr:uid="{00000000-0004-0000-0000-000024000000}"/>
    <hyperlink ref="P129" r:id="rId38" display="\\abtvdfs2.de.bosch.com\ismdfs\ilm\abt\IMS\Platform\400_Cabin_Sensing_Radar\20_Measurements\07_CANape\Mitsubishi\5K45\MMC5.0.0_RC3\Real_Child_Tests" xr:uid="{00000000-0004-0000-0000-000025000000}"/>
    <hyperlink ref="P130" r:id="rId39" display="\\abtvdfs2.de.bosch.com\ismdfs\ilm\abt\IMS\Platform\400_Cabin_Sensing_Radar\20_Measurements\07_CANape\Mitsubishi\5K45\MMC5.0.0_RC3\Real_Child_Tests" xr:uid="{00000000-0004-0000-0000-000026000000}"/>
    <hyperlink ref="P134" r:id="rId40" display="\\abtvdfs2.de.bosch.com\ismdfs\ilm\abt\IMS\Platform\400_Cabin_Sensing_Radar\20_Measurements\07_CANape\Mitsubishi\5K45\MMC4.1.2\Validation\2025_11_29\child\part2\Awake\" xr:uid="{00000000-0004-0000-0000-000027000000}"/>
    <hyperlink ref="P135" r:id="rId41" display="\\abtvdfs2.de.bosch.com\ismdfs\ilm\abt\IMS\Platform\400_Cabin_Sensing_Radar\20_Measurements\07_CANape\Mitsubishi\5K45\MMC4.1.2\Validation\2025_11_29\child\part2\Awake\" xr:uid="{00000000-0004-0000-0000-000028000000}"/>
    <hyperlink ref="P136" r:id="rId42" display="\\abtvdfs2.de.bosch.com\ismdfs\ilm\abt\IMS\Platform\400_Cabin_Sensing_Radar\20_Measurements\07_CANape\Mitsubishi\5K45\MMC4.1.2\Validation\2025_11_29\child\part2\Awake\" xr:uid="{00000000-0004-0000-0000-000029000000}"/>
    <hyperlink ref="P137" r:id="rId43" display="\\abtvdfs2.de.bosch.com\ismdfs\ilm\abt\IMS\Platform\400_Cabin_Sensing_Radar\20_Measurements\07_CANape\Mitsubishi\5K45\MMC5.0.0_RC3\Real_Child_Tests" xr:uid="{00000000-0004-0000-0000-00002A000000}"/>
    <hyperlink ref="P138" r:id="rId44" display="\\abtvdfs2.de.bosch.com\ismdfs\ilm\abt\IMS\Platform\400_Cabin_Sensing_Radar\20_Measurements\07_CANape\Mitsubishi\5K45\MMC5.0.0_RC3\Real_Child_Tests" xr:uid="{00000000-0004-0000-0000-00002B000000}"/>
    <hyperlink ref="P139" r:id="rId45" display="\\abtvdfs2.de.bosch.com\ismdfs\ilm\abt\IMS\Platform\400_Cabin_Sensing_Radar\20_Measurements\07_CANape\Mitsubishi\5K45\MMC5.0.0_RC3\Real_Child_Tests" xr:uid="{00000000-0004-0000-0000-00002C000000}"/>
    <hyperlink ref="P140" r:id="rId46" display="\\abtvdfs2.de.bosch.com\ismdfs\ilm\abt\IMS\Platform\400_Cabin_Sensing_Radar\20_Measurements\07_CANape\Mitsubishi\5K45\MMC5.0.0_RC3\Real_Child_Tests" xr:uid="{00000000-0004-0000-0000-00002D000000}"/>
    <hyperlink ref="P141" r:id="rId47" display="\\abtvdfs2.de.bosch.com\ismdfs\ilm\abt\IMS\Platform\400_Cabin_Sensing_Radar\20_Measurements\07_CANape\Mitsubishi\5K45\MMC5.0.0_RC3\Real_Child_Tests" xr:uid="{00000000-0004-0000-0000-00002E000000}"/>
    <hyperlink ref="P142" r:id="rId48" display="\\abtvdfs2.de.bosch.com\ismdfs\ilm\abt\IMS\Platform\400_Cabin_Sensing_Radar\20_Measurements\07_CANape\Mitsubishi\5K45\MMC5.0.0_RC3\Real_Child_Tests" xr:uid="{00000000-0004-0000-0000-00002F000000}"/>
    <hyperlink ref="P143" r:id="rId49" display="\\abtvdfs2.de.bosch.com\ismdfs\ilm\abt\IMS\Platform\400_Cabin_Sensing_Radar\20_Measurements\07_CANape\Mitsubishi\5K45\MMC5.0.0_RC3\Real_Child_Tests" xr:uid="{00000000-0004-0000-0000-000030000000}"/>
    <hyperlink ref="P144" r:id="rId50" display="\\abtvdfs2.de.bosch.com\ismdfs\ilm\abt\IMS\Platform\400_Cabin_Sensing_Radar\20_Measurements\07_CANape\Mitsubishi\5K45\MMC5.0.0_RC3\Real_Child_Tests" xr:uid="{00000000-0004-0000-0000-000031000000}"/>
    <hyperlink ref="P145" r:id="rId51" display="\\abtvdfs2.de.bosch.com\ismdfs\ilm\abt\IMS\Platform\400_Cabin_Sensing_Radar\20_Measurements\07_CANape\Mitsubishi\5K45\MMC5.0.0_RC3\Real_Child_Tests" xr:uid="{00000000-0004-0000-0000-000032000000}"/>
    <hyperlink ref="P146" r:id="rId52" display="\\abtvdfs2.de.bosch.com\ismdfs\ilm\abt\IMS\Platform\400_Cabin_Sensing_Radar\20_Measurements\07_CANape\Mitsubishi\5K45\MMC5.0.0_RC3\Real_Child_Tests" xr:uid="{00000000-0004-0000-0000-000033000000}"/>
    <hyperlink ref="P147" r:id="rId53" display="\\abtvdfs2.de.bosch.com\ismdfs\ilm\abt\IMS\Platform\400_Cabin_Sensing_Radar\20_Measurements\07_CANape\Mitsubishi\5K45\MMC5.0.0_RC3\Real_Child_Tests" xr:uid="{00000000-0004-0000-0000-000034000000}"/>
    <hyperlink ref="P148" r:id="rId54" display="\\abtvdfs2.de.bosch.com\ismdfs\ilm\abt\IMS\Platform\400_Cabin_Sensing_Radar\20_Measurements\07_CANape\Mitsubishi\5K45\MMC5.0.0_RC3\Real_Child_Tests" xr:uid="{00000000-0004-0000-0000-000035000000}"/>
    <hyperlink ref="P161" r:id="rId55" display="\\abtvdfs2.de.bosch.com\ismdfs\ilm\abt\IMS\Platform\400_Cabin_Sensing_Radar\20_Measurements\07_CANape\Mitsubishi\5K45\MMC4.1.2\Validation\2025_11_29\child\part2\Sleep\" xr:uid="{00000000-0004-0000-0000-000036000000}"/>
    <hyperlink ref="P162" r:id="rId56" display="\\abtvdfs2.de.bosch.com\ismdfs\ilm\abt\IMS\Platform\400_Cabin_Sensing_Radar\20_Measurements\07_CANape\Mitsubishi\5K45\MMC4.1.2\Validation\2025_11_29\child\part2\Sleep\" xr:uid="{00000000-0004-0000-0000-000037000000}"/>
    <hyperlink ref="P163" r:id="rId57" display="\\abtvdfs2.de.bosch.com\ismdfs\ilm\abt\IMS\Platform\400_Cabin_Sensing_Radar\20_Measurements\07_CANape\Mitsubishi\5K45\MMC4.1.2\Validation\2025_11_29\child\part2\Sleep\" xr:uid="{00000000-0004-0000-0000-000038000000}"/>
    <hyperlink ref="P174" r:id="rId58" display="\\abtvdfs2.de.bosch.com\ismdfs\ilm\abt\IMS\Platform\400_Cabin_Sensing_Radar\20_Measurements\07_CANape\Mitsubishi\5K45\MMC5.0.0_RC3\Real_Child_Tests" xr:uid="{00000000-0004-0000-0000-000039000000}"/>
    <hyperlink ref="P175" r:id="rId59" display="\\abtvdfs2.de.bosch.com\ismdfs\ilm\abt\IMS\Platform\400_Cabin_Sensing_Radar\20_Measurements\07_CANape\Mitsubishi\5K45\MMC5.0.0_RC3\Real_Child_Tests" xr:uid="{00000000-0004-0000-0000-00003A000000}"/>
    <hyperlink ref="P176" r:id="rId60" display="\\abtvdfs2.de.bosch.com\ismdfs\ilm\abt\IMS\Platform\400_Cabin_Sensing_Radar\20_Measurements\07_CANape\Mitsubishi\5K45\MMC5.0.0_RC3\Real_Child_Tests" xr:uid="{00000000-0004-0000-0000-00003B000000}"/>
    <hyperlink ref="P177" r:id="rId61" display="\\abtvdfs2.de.bosch.com\ismdfs\ilm\abt\IMS\Platform\400_Cabin_Sensing_Radar\20_Measurements\07_CANape\Mitsubishi\5K45\MMC5.0.0_RC3\Real_Child_Tests" xr:uid="{00000000-0004-0000-0000-00003C000000}"/>
    <hyperlink ref="P178" r:id="rId62" display="\\abtvdfs2.de.bosch.com\ismdfs\ilm\abt\IMS\Platform\400_Cabin_Sensing_Radar\20_Measurements\07_CANape\Mitsubishi\5K45\MMC5.0.0_RC3\Real_Child_Tests" xr:uid="{00000000-0004-0000-0000-00003D000000}"/>
    <hyperlink ref="P191" r:id="rId63" display="\\abtvdfs2.de.bosch.com\ismdfs\ilm\abt\IMS\Platform\400_Cabin_Sensing_Radar\20_Measurements\07_CANape\Mitsubishi\5K45\MMC4.1.2\Validation\2025_11_29\child\part2\Sleep\" xr:uid="{00000000-0004-0000-0000-00003E000000}"/>
    <hyperlink ref="P192" r:id="rId64" display="\\abtvdfs2.de.bosch.com\ismdfs\ilm\abt\IMS\Platform\400_Cabin_Sensing_Radar\20_Measurements\07_CANape\Mitsubishi\5K45\MMC4.1.2\Validation\2025_11_29\child\part2\Sleep\" xr:uid="{00000000-0004-0000-0000-00003F000000}"/>
    <hyperlink ref="P193" r:id="rId65" display="\\abtvdfs2.de.bosch.com\ismdfs\ilm\abt\IMS\Platform\400_Cabin_Sensing_Radar\20_Measurements\07_CANape\Mitsubishi\5K45\MMC4.1.2\Validation\2025_11_29\child\part2\Sleep\" xr:uid="{00000000-0004-0000-0000-000040000000}"/>
    <hyperlink ref="P199" r:id="rId66" display="\\abtvdfs2.de.bosch.com\ismdfs\ilm\abt\IMS\Platform\400_Cabin_Sensing_Radar\20_Measurements\07_CANape\Mitsubishi\5K45\MMC5.0.0_RC3\Real_Child_Tests" xr:uid="{00000000-0004-0000-0000-000041000000}"/>
    <hyperlink ref="P200" r:id="rId67" display="\\abtvdfs2.de.bosch.com\ismdfs\ilm\abt\IMS\Platform\400_Cabin_Sensing_Radar\20_Measurements\07_CANape\Mitsubishi\5K45\MMC5.0.0_RC3\Real_Child_Tests" xr:uid="{00000000-0004-0000-0000-000042000000}"/>
    <hyperlink ref="P201" r:id="rId68" display="\\abtvdfs2.de.bosch.com\ismdfs\ilm\abt\IMS\Platform\400_Cabin_Sensing_Radar\20_Measurements\07_CANape\Mitsubishi\5K45\MMC5.0.0_RC3\Real_Child_Tests" xr:uid="{00000000-0004-0000-0000-000043000000}"/>
    <hyperlink ref="P202" r:id="rId69" display="\\abtvdfs2.de.bosch.com\ismdfs\ilm\abt\IMS\Platform\400_Cabin_Sensing_Radar\20_Measurements\07_CANape\Mitsubishi\5K45\MMC5.0.0_RC3\Real_Child_Tests" xr:uid="{00000000-0004-0000-0000-000044000000}"/>
    <hyperlink ref="P203" r:id="rId70" display="\\abtvdfs2.de.bosch.com\ismdfs\ilm\abt\IMS\Platform\400_Cabin_Sensing_Radar\20_Measurements\07_CANape\Mitsubishi\5K45\MMC5.0.0_RC3\Real_Child_Tests" xr:uid="{00000000-0004-0000-0000-000045000000}"/>
    <hyperlink ref="P216" r:id="rId71" display="\\abtvdfs2.de.bosch.com\ismdfs\ilm\abt\IMS\Platform\400_Cabin_Sensing_Radar\20_Measurements\07_CANape\Mitsubishi\5K45\MMC4.1.2\Validation\2025_11_29\child\part2\Sleep\" xr:uid="{00000000-0004-0000-0000-000046000000}"/>
    <hyperlink ref="P217" r:id="rId72" display="\\abtvdfs2.de.bosch.com\ismdfs\ilm\abt\IMS\Platform\400_Cabin_Sensing_Radar\20_Measurements\07_CANape\Mitsubishi\5K45\MMC4.1.2\Validation\2025_11_29\child\part2\Sleep\" xr:uid="{00000000-0004-0000-0000-000047000000}"/>
    <hyperlink ref="P218" r:id="rId73" display="\\abtvdfs2.de.bosch.com\ismdfs\ilm\abt\IMS\Platform\400_Cabin_Sensing_Radar\20_Measurements\07_CANape\Mitsubishi\5K45\MMC4.1.2\Validation\2025_11_29\child\part2\Sleep\" xr:uid="{00000000-0004-0000-0000-000048000000}"/>
    <hyperlink ref="P287" r:id="rId74" display="\\abt-soc501-dfs.de.bosch.com\XC_IMS_Platform\400_Cabin_Sensing_Radar\20_Measurements\07_CANape\Mitsubishi\5K45\MMC4.1.2\Validation\2025_11_28\orderedByTargetType\child\Sleep" xr:uid="{00000000-0004-0000-0000-000049000000}"/>
    <hyperlink ref="P288" r:id="rId75" display="\\abt-soc501-dfs.de.bosch.com\XC_IMS_Platform\400_Cabin_Sensing_Radar\20_Measurements\07_CANape\Mitsubishi\5K45\MMC4.1.2\Validation\2025_11_28\orderedByTargetType\child\Sleep" xr:uid="{00000000-0004-0000-0000-00004A000000}"/>
    <hyperlink ref="P289" r:id="rId76" display="\\abtvdfs2.de.bosch.com\ismdfs\ilm\abt\IMS\Platform\400_Cabin_Sensing_Radar\20_Measurements\07_CANape\Mitsubishi\5K45\MMC5.0.0_RC3_with_resetfix\CPD\" xr:uid="{00000000-0004-0000-0000-00004B000000}"/>
    <hyperlink ref="P290" r:id="rId77" display="\\abtvdfs2.de.bosch.com\ismdfs\ilm\abt\IMS\Platform\400_Cabin_Sensing_Radar\20_Measurements\07_CANape\Mitsubishi\5K45\MMC5.0.0_RC3_with_resetfix\CPD\" xr:uid="{00000000-0004-0000-0000-00004C000000}"/>
    <hyperlink ref="P291" r:id="rId78" display="\\abtvdfs2.de.bosch.com\ismdfs\ilm\abt\IMS\Platform\400_Cabin_Sensing_Radar\20_Measurements\07_CANape\Mitsubishi\5K45\MMC5.0.0_RC3_with_resetfix\CPD\" xr:uid="{00000000-0004-0000-0000-00004D000000}"/>
    <hyperlink ref="P299" r:id="rId79" display="\\abtvdfs2.de.bosch.com\ismdfs\ilm\abt\IMS\Platform\400_Cabin_Sensing_Radar\20_Measurements\07_CANape\Mitsubishi\5K45\MMC5.0.0_RC3_with_resetfix\CPD\" xr:uid="{00000000-0004-0000-0000-00004E000000}"/>
    <hyperlink ref="P300" r:id="rId80" display="\\abtvdfs2.de.bosch.com\ismdfs\ilm\abt\IMS\Platform\400_Cabin_Sensing_Radar\20_Measurements\07_CANape\Mitsubishi\5K45\MMC5.0.0_RC3_with_resetfix\CPD\" xr:uid="{00000000-0004-0000-0000-00004F000000}"/>
    <hyperlink ref="P301" r:id="rId81" display="\\abtvdfs2.de.bosch.com\ismdfs\ilm\abt\IMS\Platform\400_Cabin_Sensing_Radar\20_Measurements\07_CANape\Mitsubishi\5K45\MMC5.0.0_RC3_with_resetfix\CPD\" xr:uid="{00000000-0004-0000-0000-000050000000}"/>
    <hyperlink ref="P318" r:id="rId82" display="\\abtvdfs2.de.bosch.com\ismdfs\ilm\abt\IMS\Platform\400_Cabin_Sensing_Radar\20_Measurements\07_CANape\Mitsubishi\5K45\MMC5.0.1\5K457EG-11\Real_Child_Measurements" xr:uid="{00000000-0004-0000-0000-000051000000}"/>
    <hyperlink ref="P319" r:id="rId83" display="\\abtvdfs2.de.bosch.com\ismdfs\ilm\abt\IMS\Platform\400_Cabin_Sensing_Radar\20_Measurements\07_CANape\Mitsubishi\5K45\MMC5.0.1\5K457EG-11\Real_Child_Measurements" xr:uid="{00000000-0004-0000-0000-000052000000}"/>
    <hyperlink ref="P320" r:id="rId84" display="\\abtvdfs2.de.bosch.com\ismdfs\ilm\abt\IMS\Platform\400_Cabin_Sensing_Radar\20_Measurements\07_CANape\Mitsubishi\5K45\MMC5.0.1\5K457EG-11\Real_Child_Measurements" xr:uid="{00000000-0004-0000-0000-000053000000}"/>
    <hyperlink ref="P321" r:id="rId85" display="\\abtvdfs2.de.bosch.com\ismdfs\ilm\abt\IMS\Platform\400_Cabin_Sensing_Radar\20_Measurements\07_CANape\Mitsubishi\5K45\MMC5.0.1\5K457EG-11\Real_Child_Measurements" xr:uid="{00000000-0004-0000-0000-000054000000}"/>
    <hyperlink ref="P333" r:id="rId86" display="\\abtvdfs2.de.bosch.com\ismdfs\ilm\abt\IMS\Platform\400_Cabin_Sensing_Radar\20_Measurements\07_CANape\Mitsubishi\5K45\MMC5.0.1\5K457EG-11\Real_Child_Measurements" xr:uid="{00000000-0004-0000-0000-000055000000}"/>
    <hyperlink ref="P338" r:id="rId87" display="\\abtvdfs2.de.bosch.com\ismdfs\ilm\abt\IMS\Platform\400_Cabin_Sensing_Radar\20_Measurements\07_CANape\Mitsubishi\5K45\MMC5.0.0_RC3_with_resetfix\CPD\" xr:uid="{00000000-0004-0000-0000-000056000000}"/>
    <hyperlink ref="P339" r:id="rId88" display="\\abtvdfs2.de.bosch.com\ismdfs\ilm\abt\IMS\Platform\400_Cabin_Sensing_Radar\20_Measurements\07_CANape\Mitsubishi\5K45\MMC5.0.0_RC3_with_resetfix\CPD\" xr:uid="{00000000-0004-0000-0000-000057000000}"/>
    <hyperlink ref="P340" r:id="rId89" display="\\abtvdfs2.de.bosch.com\ismdfs\ilm\abt\IMS\Platform\400_Cabin_Sensing_Radar\20_Measurements\07_CANape\Mitsubishi\5K45\MMC5.0.0_RC3_with_resetfix\CPD\" xr:uid="{00000000-0004-0000-0000-000058000000}"/>
    <hyperlink ref="P354" r:id="rId90" display="\\abtvdfs2.de.bosch.com\ismdfs\ilm\abt\IMS\Platform\400_Cabin_Sensing_Radar\20_Measurements\07_CANape\Mitsubishi\5K45\MMC5.0.0_RC3_with_resetfix\CPD\" xr:uid="{00000000-0004-0000-0000-000059000000}"/>
    <hyperlink ref="P355" r:id="rId91" display="\\abtvdfs2.de.bosch.com\ismdfs\ilm\abt\IMS\Platform\400_Cabin_Sensing_Radar\20_Measurements\07_CANape\Mitsubishi\5K45\MMC5.0.0_RC3_with_resetfix\CPD\" xr:uid="{00000000-0004-0000-0000-00005A000000}"/>
    <hyperlink ref="P356" r:id="rId92" display="\\abtvdfs2.de.bosch.com\ismdfs\ilm\abt\IMS\Platform\400_Cabin_Sensing_Radar\20_Measurements\07_CANape\Mitsubishi\5K45\MMC5.0.0_RC3_with_resetfix\CPD\" xr:uid="{00000000-0004-0000-0000-00005B000000}"/>
    <hyperlink ref="P370" r:id="rId93" display="\\abtvdfs2.de.bosch.com\ismdfs\ilm\abt\IMS\Platform\400_Cabin_Sensing_Radar\20_Measurements\07_CANape\Mitsubishi\5K45\MMC5.0.0_RC3_with_resetfix\CPD\" xr:uid="{00000000-0004-0000-0000-00005C000000}"/>
    <hyperlink ref="P371" r:id="rId94" display="\\abtvdfs2.de.bosch.com\ismdfs\ilm\abt\IMS\Platform\400_Cabin_Sensing_Radar\20_Measurements\07_CANape\Mitsubishi\5K45\MMC5.0.0_RC3_with_resetfix\CPD\" xr:uid="{00000000-0004-0000-0000-00005D000000}"/>
    <hyperlink ref="P372" r:id="rId95" display="\\abtvdfs2.de.bosch.com\ismdfs\ilm\abt\IMS\Platform\400_Cabin_Sensing_Radar\20_Measurements\07_CANape\Mitsubishi\5K45\MMC5.0.0_RC3_with_resetfix\CPD\" xr:uid="{00000000-0004-0000-0000-00005E000000}"/>
    <hyperlink ref="P420" r:id="rId96" display="\\abt-soc501-dfs.de.bosch.com\XC_IMS_Platform\400_Cabin_Sensing_Radar\20_Measurements\07_CANape\Mitsubishi\5K45\MMC4.1.2\Validation\2025_12_02\ChildAwake" xr:uid="{00000000-0004-0000-0000-00005F000000}"/>
    <hyperlink ref="P440" r:id="rId97" display="\\abtvdfs2.de.bosch.com\ismdfs\ilm\abt\IMS\Platform\400_Cabin_Sensing_Radar\20_Measurements\07_CANape\Mitsubishi\5K45\MMC5.0.1\5K457EG-11\Real_Child_Measurements" xr:uid="{00000000-0004-0000-0000-000060000000}"/>
    <hyperlink ref="P441" r:id="rId98" display="\\abtvdfs2.de.bosch.com\ismdfs\ilm\abt\IMS\Platform\400_Cabin_Sensing_Radar\20_Measurements\07_CANape\Mitsubishi\5K45\MMC5.0.1\5K457EG-11\Real_Child_Measurements" xr:uid="{00000000-0004-0000-0000-000061000000}"/>
    <hyperlink ref="P442" r:id="rId99" display="\\abtvdfs2.de.bosch.com\ismdfs\ilm\abt\IMS\Platform\400_Cabin_Sensing_Radar\20_Measurements\07_CANape\Mitsubishi\5K45\MMC5.0.1\5K457EG-11\Real_Child_Measurements" xr:uid="{00000000-0004-0000-0000-000062000000}"/>
    <hyperlink ref="P443" r:id="rId100" display="\\abtvdfs2.de.bosch.com\ismdfs\ilm\abt\IMS\Platform\400_Cabin_Sensing_Radar\20_Measurements\07_CANape\Mitsubishi\5K45\MMC5.0.1\5K457EG-11\Real_Child_Measurements" xr:uid="{00000000-0004-0000-0000-000063000000}"/>
    <hyperlink ref="P477" r:id="rId101" display="\\abtvdfs2.de.bosch.com\ismdfs\ilm\abt\IMS\Platform\400_Cabin_Sensing_Radar\20_Measurements\07_CANape\Mitsubishi\5K45\MMC5.0.0_RC3\Real_Child_Tests" xr:uid="{00000000-0004-0000-0000-000064000000}"/>
    <hyperlink ref="P487" r:id="rId102" display="\\abtvdfs2.de.bosch.com\ismdfs\ilm\abt\IMS\Platform\400_Cabin_Sensing_Radar\20_Measurements\07_CANape\Mitsubishi\5K45\MMC5.0.0_RC3\Real_Child_Tests" xr:uid="{00000000-0004-0000-0000-000065000000}"/>
    <hyperlink ref="P488" r:id="rId103" display="\\abtvdfs2.de.bosch.com\ismdfs\ilm\abt\IMS\Platform\400_Cabin_Sensing_Radar\20_Measurements\07_CANape\Mitsubishi\5K45\MMC5.0.0_RC3\Real_Child_Tests" xr:uid="{00000000-0004-0000-0000-000066000000}"/>
    <hyperlink ref="P489" r:id="rId104" display="\\abtvdfs2.de.bosch.com\ismdfs\ilm\abt\IMS\Platform\400_Cabin_Sensing_Radar\20_Measurements\07_CANape\Mitsubishi\5K45\MMC5.0.0_RC3\Real_Child_Tests" xr:uid="{00000000-0004-0000-0000-000067000000}"/>
    <hyperlink ref="P490" r:id="rId105" display="\\abtvdfs2.de.bosch.com\ismdfs\ilm\abt\IMS\Platform\400_Cabin_Sensing_Radar\20_Measurements\07_CANape\Mitsubishi\5K45\MMC5.0.0_RC3\Real_Child_Tests" xr:uid="{00000000-0004-0000-0000-000068000000}"/>
    <hyperlink ref="P491" r:id="rId106" display="\\abtvdfs2.de.bosch.com\ismdfs\ilm\abt\IMS\Platform\400_Cabin_Sensing_Radar\20_Measurements\07_CANape\Mitsubishi\5K45\MMC5.0.0_RC3\Real_Child_Tests" xr:uid="{00000000-0004-0000-0000-000069000000}"/>
    <hyperlink ref="P527" r:id="rId107" display="\\abtvdfs2.de.bosch.com\ismdfs\ilm\abt\IMS\Platform\400_Cabin_Sensing_Radar\20_Measurements\07_CANape\Mitsubishi\5K45\MMC4.1.2\Validation\2025_11_28\TC_103_Try1.MF4.xz" xr:uid="{00000000-0004-0000-0000-00006A000000}"/>
    <hyperlink ref="P528" r:id="rId108" display="\\abtvdfs2.de.bosch.com\ismdfs\ilm\abt\IMS\Platform\400_Cabin_Sensing_Radar\20_Measurements\07_CANape\Mitsubishi\5K45\MMC4.1.2\Validation\2025_11_28\TC_103_Try1.MF4.xz" xr:uid="{00000000-0004-0000-0000-00006B000000}"/>
    <hyperlink ref="P529" r:id="rId109" display="\\abtvdfs2.de.bosch.com\ismdfs\ilm\abt\IMS\Platform\400_Cabin_Sensing_Radar\20_Measurements\07_CANape\Mitsubishi\5K45\MMC4.1.2\Validation\2025_11_28\TC_103_Try1.MF4.xz" xr:uid="{00000000-0004-0000-0000-00006C000000}"/>
    <hyperlink ref="P530" r:id="rId110" display="\\abtvdfs2.de.bosch.com\ismdfs\ilm\abt\IMS\Platform\400_Cabin_Sensing_Radar\20_Measurements\07_CANape\Mitsubishi\5K45\MMC4.1.2\Validation\2025_11_28\TC_103_Try1.MF4.xz" xr:uid="{00000000-0004-0000-0000-00006D000000}"/>
    <hyperlink ref="P603" r:id="rId111" display="\\abt-soc501-dfs.de.bosch.com\XC_IMS_Platform\400_Cabin_Sensing_Radar\20_Measurements\07_CANape\Mitsubishi\5K45\MMC4.1.2\Validation\2025_11_28\orderedByTargetType\child\Sleep" xr:uid="{00000000-0004-0000-0000-00006E000000}"/>
    <hyperlink ref="O826" r:id="rId112" display="\\abtvdfs2.de.bosch.com\ismdfs\ilm\abt\IMS\Platform\400_Cabin_Sensing_Radar\20_Measurements\07_CANape\Mitsubishi\5K45\MMC5.0.2\5K457EG11\CPD\CSR_XCP_Signals_Recorder_2026-01-26_11-23-32_CPD_TC182_Try5.MF4.xz" xr:uid="{00000000-0004-0000-0000-00006F000000}"/>
    <hyperlink ref="P896" r:id="rId113" display="\\abtvdfs2.de.bosch.com\ismdfs\ilm\abt\IMS\Platform\400_Cabin_Sensing_Radar\20_Measurements\07_CANape\Mitsubishi\5K45\MMC5.0.0_RC3_with_resetfix\CPD" xr:uid="{00000000-0004-0000-0000-000070000000}"/>
    <hyperlink ref="P897" r:id="rId114" display="\\abtvdfs2.de.bosch.com\ismdfs\ilm\abt\IMS\Platform\400_Cabin_Sensing_Radar\20_Measurements\07_CANape\Mitsubishi\5K45\MMC5.0.0_RC3_with_resetfix\CPD" xr:uid="{00000000-0004-0000-0000-000071000000}"/>
    <hyperlink ref="P898" r:id="rId115" display="\\abtvdfs2.de.bosch.com\ismdfs\ilm\abt\IMS\Platform\400_Cabin_Sensing_Radar\20_Measurements\07_CANape\Mitsubishi\5K45\MMC5.0.0_RC3_with_resetfix\CPD" xr:uid="{00000000-0004-0000-0000-000072000000}"/>
    <hyperlink ref="P911" r:id="rId116" display="\\abtvdfs2.de.bosch.com\ismdfs\ilm\abt\IMS\Platform\400_Cabin_Sensing_Radar\20_Measurements\07_CANape\Mitsubishi\5K45\MMC4.1.2\Validation\child\Awake" xr:uid="{00000000-0004-0000-0000-000073000000}"/>
    <hyperlink ref="P946" r:id="rId117" display="\\abt-soc501-dfs.de.bosch.com\XC_IMS_Platform\400_Cabin_Sensing_Radar\20_Measurements\07_CANape\Mitsubishi\5K45\MMC5.0.2\5K457EG11\RealChild" xr:uid="{00000000-0004-0000-0000-000074000000}"/>
    <hyperlink ref="P950" r:id="rId118" display="\\abtvdfs2.de.bosch.com\ismdfs\ilm\abt\IMS\Platform\400_Cabin_Sensing_Radar\20_Measurements\07_CANape\Mitsubishi\5K45\MMC5.0.0_RC3_with_resetfix\CPD" xr:uid="{00000000-0004-0000-0000-000075000000}"/>
    <hyperlink ref="P951" r:id="rId119" display="\\abtvdfs2.de.bosch.com\ismdfs\ilm\abt\IMS\Platform\400_Cabin_Sensing_Radar\20_Measurements\07_CANape\Mitsubishi\5K45\MMC5.0.0_RC3_with_resetfix\CPD" xr:uid="{00000000-0004-0000-0000-000076000000}"/>
    <hyperlink ref="P952" r:id="rId120" display="\\abtvdfs2.de.bosch.com\ismdfs\ilm\abt\IMS\Platform\400_Cabin_Sensing_Radar\20_Measurements\07_CANape\Mitsubishi\5K45\MMC5.0.0_RC3_with_resetfix\CPD" xr:uid="{00000000-0004-0000-0000-000077000000}"/>
    <hyperlink ref="P958" r:id="rId121" display="\\abtvdfs2.de.bosch.com\ismdfs\ilm\abt\IMS\Platform\400_Cabin_Sensing_Radar\20_Measurements\07_CANape\Mitsubishi\5K45\MMC5.0.0_RC3_with_resetfix\CPD" xr:uid="{00000000-0004-0000-0000-000078000000}"/>
    <hyperlink ref="P959" r:id="rId122" display="\\abtvdfs2.de.bosch.com\ismdfs\ilm\abt\IMS\Platform\400_Cabin_Sensing_Radar\20_Measurements\07_CANape\Mitsubishi\5K45\MMC5.0.0_RC3_with_resetfix\CPD" xr:uid="{00000000-0004-0000-0000-000079000000}"/>
    <hyperlink ref="P960" r:id="rId123" display="\\abtvdfs2.de.bosch.com\ismdfs\ilm\abt\IMS\Platform\400_Cabin_Sensing_Radar\20_Measurements\07_CANape\Mitsubishi\5K45\MMC5.0.0_RC3_with_resetfix\CPD" xr:uid="{00000000-0004-0000-0000-00007A000000}"/>
    <hyperlink ref="P965" r:id="rId124" display="\\abtvdfs2.de.bosch.com\ismdfs\ilm\abt\IMS\Platform\400_Cabin_Sensing_Radar\20_Measurements\07_CANape\Mitsubishi\5K45\MMC5.0.0_RC3_with_resetfix\CPD" xr:uid="{00000000-0004-0000-0000-00007B000000}"/>
    <hyperlink ref="P966" r:id="rId125" display="\\abtvdfs2.de.bosch.com\ismdfs\ilm\abt\IMS\Platform\400_Cabin_Sensing_Radar\20_Measurements\07_CANape\Mitsubishi\5K45\MMC5.0.0_RC3_with_resetfix\CPD" xr:uid="{00000000-0004-0000-0000-00007C000000}"/>
    <hyperlink ref="P967" r:id="rId126" display="\\abtvdfs2.de.bosch.com\ismdfs\ilm\abt\IMS\Platform\400_Cabin_Sensing_Radar\20_Measurements\07_CANape\Mitsubishi\5K45\MMC5.0.0_RC3_with_resetfix\CPD" xr:uid="{00000000-0004-0000-0000-00007D000000}"/>
    <hyperlink ref="P978" r:id="rId127" display="\\abtvdfs2.de.bosch.com\ismdfs\ilm\abt\IMS\Platform\400_Cabin_Sensing_Radar\20_Measurements\07_CANape\Mitsubishi\5K45\MMC5.0.0_RC3_with_resetfix\CPD" xr:uid="{00000000-0004-0000-0000-00007E000000}"/>
    <hyperlink ref="P979" r:id="rId128" display="\\abtvdfs2.de.bosch.com\ismdfs\ilm\abt\IMS\Platform\400_Cabin_Sensing_Radar\20_Measurements\07_CANape\Mitsubishi\5K45\MMC5.0.0_RC3_with_resetfix\CPD" xr:uid="{00000000-0004-0000-0000-00007F000000}"/>
    <hyperlink ref="P980" r:id="rId129" display="\\abtvdfs2.de.bosch.com\ismdfs\ilm\abt\IMS\Platform\400_Cabin_Sensing_Radar\20_Measurements\07_CANape\Mitsubishi\5K45\MMC5.0.0_RC3_with_resetfix\CPD" xr:uid="{00000000-0004-0000-0000-000080000000}"/>
    <hyperlink ref="P981" r:id="rId130" display="\\abtvdfs2.de.bosch.com\ismdfs\ilm\abt\IMS\Platform\400_Cabin_Sensing_Radar\20_Measurements\07_CANape\Mitsubishi\5K45\MMC5.0.0_RC3_with_resetfix\CPD" xr:uid="{00000000-0004-0000-0000-000081000000}"/>
    <hyperlink ref="P982" r:id="rId131" display="\\abtvdfs2.de.bosch.com\ismdfs\ilm\abt\IMS\Platform\400_Cabin_Sensing_Radar\20_Measurements\07_CANape\Mitsubishi\5K45\MMC5.0.0_RC3_with_resetfix\CPD" xr:uid="{00000000-0004-0000-0000-000082000000}"/>
    <hyperlink ref="P983" r:id="rId132" display="\\abtvdfs2.de.bosch.com\ismdfs\ilm\abt\IMS\Platform\400_Cabin_Sensing_Radar\20_Measurements\07_CANape\Mitsubishi\5K45\MMC5.0.0_RC3_with_resetfix\CPD" xr:uid="{00000000-0004-0000-0000-000083000000}"/>
    <hyperlink ref="P987" r:id="rId133" display="\\abtvdfs2.de.bosch.com\ismdfs\ilm\abt\IMS\Platform\400_Cabin_Sensing_Radar\20_Measurements\07_CANape\Mitsubishi\5K45\MMC5.0.0_RC3_with_resetfix\CPD" xr:uid="{00000000-0004-0000-0000-000084000000}"/>
    <hyperlink ref="P988" r:id="rId134" display="\\abtvdfs2.de.bosch.com\ismdfs\ilm\abt\IMS\Platform\400_Cabin_Sensing_Radar\20_Measurements\07_CANape\Mitsubishi\5K45\MMC5.0.0_RC3_with_resetfix\CPD" xr:uid="{00000000-0004-0000-0000-000085000000}"/>
    <hyperlink ref="P989" r:id="rId135" display="\\abtvdfs2.de.bosch.com\ismdfs\ilm\abt\IMS\Platform\400_Cabin_Sensing_Radar\20_Measurements\07_CANape\Mitsubishi\5K45\MMC5.0.0_RC3_with_resetfix\CPD" xr:uid="{00000000-0004-0000-0000-000086000000}"/>
    <hyperlink ref="P1022" r:id="rId136" display="\\abtvdfs2.de.bosch.com\ismdfs\ilm\abt\IMS\Platform\400_Cabin_Sensing_Radar\20_Measurements\07_CANape\Mitsubishi\5K45\MMC5.0.0_RC3_with_resetfix\CPD" xr:uid="{00000000-0004-0000-0000-000087000000}"/>
    <hyperlink ref="P1023" r:id="rId137" display="\\abtvdfs2.de.bosch.com\ismdfs\ilm\abt\IMS\Platform\400_Cabin_Sensing_Radar\20_Measurements\07_CANape\Mitsubishi\5K45\MMC5.0.0_RC3_with_resetfix\CPD" xr:uid="{00000000-0004-0000-0000-000088000000}"/>
    <hyperlink ref="P1024" r:id="rId138" display="\\abtvdfs2.de.bosch.com\ismdfs\ilm\abt\IMS\Platform\400_Cabin_Sensing_Radar\20_Measurements\07_CANape\Mitsubishi\5K45\MMC5.0.0_RC3_with_resetfix\CPD" xr:uid="{00000000-0004-0000-0000-000089000000}"/>
    <hyperlink ref="P1041" r:id="rId139" display="\\abtvdfs2.de.bosch.com\ismdfs\ilm\abt\IMS\Platform\400_Cabin_Sensing_Radar\20_Measurements\07_CANape\Mitsubishi\5K45\MMC5.0.1\5K457EG-11\Real_Child_Measurements" xr:uid="{00000000-0004-0000-0000-00008A000000}"/>
    <hyperlink ref="P1042" r:id="rId140" display="\\abtvdfs2.de.bosch.com\ismdfs\ilm\abt\IMS\Platform\400_Cabin_Sensing_Radar\20_Measurements\07_CANape\Mitsubishi\5K45\MMC5.0.1\5K457EG-11\Real_Child_Measurements" xr:uid="{00000000-0004-0000-0000-00008B000000}"/>
    <hyperlink ref="P1043" r:id="rId141" display="\\abtvdfs2.de.bosch.com\ismdfs\ilm\abt\IMS\Platform\400_Cabin_Sensing_Radar\20_Measurements\07_CANape\Mitsubishi\5K45\MMC5.0.1\5K457EG-11\Real_Child_Measurements" xr:uid="{00000000-0004-0000-0000-00008C000000}"/>
    <hyperlink ref="P1044" r:id="rId142" display="\\abtvdfs2.de.bosch.com\ismdfs\ilm\abt\IMS\Platform\400_Cabin_Sensing_Radar\20_Measurements\07_CANape\Mitsubishi\5K45\MMC5.0.1\5K457EG-11\Real_Child_Measurements" xr:uid="{00000000-0004-0000-0000-00008D000000}"/>
    <hyperlink ref="P1045" r:id="rId143" display="\\abtvdfs2.de.bosch.com\ismdfs\ilm\abt\IMS\Platform\400_Cabin_Sensing_Radar\20_Measurements\07_CANape\Mitsubishi\5K45\MMC5.0.1\5K457EG-11\Real_Child_Measurements" xr:uid="{00000000-0004-0000-0000-00008E000000}"/>
    <hyperlink ref="P1046" r:id="rId144" display="\\abtvdfs2.de.bosch.com\ismdfs\ilm\abt\IMS\Platform\400_Cabin_Sensing_Radar\20_Measurements\07_CANape\Mitsubishi\5K45\MMC5.0.1\5K457EG-11\Real_Child_Measurements" xr:uid="{00000000-0004-0000-0000-00008F000000}"/>
    <hyperlink ref="P1056" r:id="rId145" display="\\abtvdfs2.de.bosch.com\ismdfs\ilm\abt\IMS\Platform\400_Cabin_Sensing_Radar\20_Measurements\07_CANape\Mitsubishi\5K45\MMC5.0.1\5K457EG-11\Real_Child_Measurements" xr:uid="{00000000-0004-0000-0000-000090000000}"/>
    <hyperlink ref="P1057" r:id="rId146" display="\\abtvdfs2.de.bosch.com\ismdfs\ilm\abt\IMS\Platform\400_Cabin_Sensing_Radar\20_Measurements\07_CANape\Mitsubishi\5K45\MMC5.0.1\5K457EG-11\Real_Child_Measurements" xr:uid="{00000000-0004-0000-0000-000091000000}"/>
    <hyperlink ref="P1058" r:id="rId147" display="\\abtvdfs2.de.bosch.com\ismdfs\ilm\abt\IMS\Platform\400_Cabin_Sensing_Radar\20_Measurements\07_CANape\Mitsubishi\5K45\MMC5.0.1\5K457EG-11\Real_Child_Measurements" xr:uid="{00000000-0004-0000-0000-000092000000}"/>
    <hyperlink ref="P1059" r:id="rId148" display="\\abtvdfs2.de.bosch.com\ismdfs\ilm\abt\IMS\Platform\400_Cabin_Sensing_Radar\20_Measurements\07_CANape\Mitsubishi\5K45\MMC5.0.1\5K457EG-11\Real_Child_Measurements" xr:uid="{00000000-0004-0000-0000-000093000000}"/>
    <hyperlink ref="P1060" r:id="rId149" display="\\abtvdfs2.de.bosch.com\ismdfs\ilm\abt\IMS\Platform\400_Cabin_Sensing_Radar\20_Measurements\07_CANape\Mitsubishi\5K45\MMC5.0.1\5K457EG-11\Real_Child_Measurements" xr:uid="{00000000-0004-0000-0000-000094000000}"/>
    <hyperlink ref="P1061" r:id="rId150" display="\\abtvdfs2.de.bosch.com\ismdfs\ilm\abt\IMS\Platform\400_Cabin_Sensing_Radar\20_Measurements\07_CANape\Mitsubishi\5K45\MMC5.0.1\5K457EG-11\Real_Child_Measurements" xr:uid="{00000000-0004-0000-0000-000095000000}"/>
    <hyperlink ref="P1062" r:id="rId151" display="\\abtvdfs2.de.bosch.com\ismdfs\ilm\abt\IMS\Platform\400_Cabin_Sensing_Radar\20_Measurements\07_CANape\Mitsubishi\5K45\MMC5.0.1\5K457EG-11\Real_Child_Measurements" xr:uid="{00000000-0004-0000-0000-000096000000}"/>
    <hyperlink ref="P1063" r:id="rId152" display="\\abtvdfs2.de.bosch.com\ismdfs\ilm\abt\IMS\Platform\400_Cabin_Sensing_Radar\20_Measurements\07_CANape\Mitsubishi\5K45\MMC5.0.1\5K457EG-11\Real_Child_Measurements" xr:uid="{00000000-0004-0000-0000-000097000000}"/>
    <hyperlink ref="P1064" r:id="rId153" display="\\abtvdfs2.de.bosch.com\ismdfs\ilm\abt\IMS\Platform\400_Cabin_Sensing_Radar\20_Measurements\07_CANape\Mitsubishi\5K45\MMC5.0.1\5K457EG-11\Real_Child_Measurements" xr:uid="{00000000-0004-0000-0000-000098000000}"/>
    <hyperlink ref="P1065" r:id="rId154" display="\\abtvdfs2.de.bosch.com\ismdfs\ilm\abt\IMS\Platform\400_Cabin_Sensing_Radar\20_Measurements\07_CANape\Mitsubishi\5K45\MMC5.0.1\5K457EG-11\Real_Child_Measurements" xr:uid="{00000000-0004-0000-0000-000099000000}"/>
    <hyperlink ref="P1071" r:id="rId155" display="\\abtvdfs2.de.bosch.com\ismdfs\ilm\abt\IMS\Platform\400_Cabin_Sensing_Radar\20_Measurements\07_CANape\Mitsubishi\5K45\MMC5.0.1\5K457EG-11\Real_Child_Measurements" xr:uid="{00000000-0004-0000-0000-00009A000000}"/>
    <hyperlink ref="P1072" r:id="rId156" display="\\abtvdfs2.de.bosch.com\ismdfs\ilm\abt\IMS\Platform\400_Cabin_Sensing_Radar\20_Measurements\07_CANape\Mitsubishi\5K45\MMC5.0.1\5K457EG-11\Real_Child_Measurements" xr:uid="{00000000-0004-0000-0000-00009B000000}"/>
    <hyperlink ref="P1073" r:id="rId157" display="\\abtvdfs2.de.bosch.com\ismdfs\ilm\abt\IMS\Platform\400_Cabin_Sensing_Radar\20_Measurements\07_CANape\Mitsubishi\5K45\MMC5.0.1\5K457EG-11\Real_Child_Measurements" xr:uid="{00000000-0004-0000-0000-00009C000000}"/>
    <hyperlink ref="P1074" r:id="rId158" display="\\abtvdfs2.de.bosch.com\ismdfs\ilm\abt\IMS\Platform\400_Cabin_Sensing_Radar\20_Measurements\07_CANape\Mitsubishi\5K45\MMC5.0.1\5K457EG-11\Real_Child_Measurements" xr:uid="{00000000-0004-0000-0000-00009D000000}"/>
    <hyperlink ref="P1075" r:id="rId159" display="\\abtvdfs2.de.bosch.com\ismdfs\ilm\abt\IMS\Platform\400_Cabin_Sensing_Radar\20_Measurements\07_CANape\Mitsubishi\5K45\MMC5.0.1\5K457EG-11\Real_Child_Measurements" xr:uid="{00000000-0004-0000-0000-00009E000000}"/>
    <hyperlink ref="P1079" r:id="rId160" display="\\abtvdfs2.de.bosch.com\ismdfs\ilm\abt\IMS\Platform\400_Cabin_Sensing_Radar\20_Measurements\07_CANape\Mitsubishi\5K45\MMC5.0.0_RC3\Real_Child_Tests" xr:uid="{00000000-0004-0000-0000-00009F000000}"/>
    <hyperlink ref="P1080" r:id="rId161" display="\\abtvdfs2.de.bosch.com\ismdfs\ilm\abt\IMS\Platform\400_Cabin_Sensing_Radar\20_Measurements\07_CANape\Mitsubishi\5K45\MMC5.0.0_RC3\Real_Child_Tests" xr:uid="{00000000-0004-0000-0000-0000A0000000}"/>
    <hyperlink ref="P1081" r:id="rId162" display="\\abtvdfs2.de.bosch.com\ismdfs\ilm\abt\IMS\Platform\400_Cabin_Sensing_Radar\20_Measurements\07_CANape\Mitsubishi\5K45\MMC5.0.0_RC3\Real_Child_Tests" xr:uid="{00000000-0004-0000-0000-0000A1000000}"/>
    <hyperlink ref="P1082" r:id="rId163" display="\\abtvdfs2.de.bosch.com\ismdfs\ilm\abt\IMS\Platform\400_Cabin_Sensing_Radar\20_Measurements\07_CANape\Mitsubishi\5K45\MMC5.0.0_RC3\Real_Child_Tests" xr:uid="{00000000-0004-0000-0000-0000A2000000}"/>
    <hyperlink ref="P1083" r:id="rId164" display="\\abtvdfs2.de.bosch.com\ismdfs\ilm\abt\IMS\Platform\400_Cabin_Sensing_Radar\20_Measurements\07_CANape\Mitsubishi\5K45\MMC5.0.0_RC3\Real_Child_Tests" xr:uid="{00000000-0004-0000-0000-0000A3000000}"/>
    <hyperlink ref="P1085" r:id="rId165" display="\\abtvdfs2.de.bosch.com\ismdfs\ilm\abt\IMS\Platform\400_Cabin_Sensing_Radar\20_Measurements\07_CANape\Mitsubishi\5K45\MMC5.0.1\5K457EG-11\Real_Child_Measurements" xr:uid="{00000000-0004-0000-0000-0000A4000000}"/>
    <hyperlink ref="P1094" r:id="rId166" display="\\abtvdfs2.de.bosch.com\ismdfs\ilm\abt\IMS\Platform\400_Cabin_Sensing_Radar\20_Measurements\07_CANape\Mitsubishi\5K45\MMC5.0.1\5K457EG-11\Real_Child_Measurements" xr:uid="{00000000-0004-0000-0000-0000A5000000}"/>
    <hyperlink ref="P1095" r:id="rId167" display="\\abtvdfs2.de.bosch.com\ismdfs\ilm\abt\IMS\Platform\400_Cabin_Sensing_Radar\20_Measurements\07_CANape\Mitsubishi\5K45\MMC5.0.1\5K457EG-11\Real_Child_Measurements" xr:uid="{00000000-0004-0000-0000-0000A6000000}"/>
    <hyperlink ref="P1096" r:id="rId168" display="\\abtvdfs2.de.bosch.com\ismdfs\ilm\abt\IMS\Platform\400_Cabin_Sensing_Radar\20_Measurements\07_CANape\Mitsubishi\5K45\MMC5.0.1\5K457EG-11\Real_Child_Measurements" xr:uid="{00000000-0004-0000-0000-0000A7000000}"/>
    <hyperlink ref="P1097" r:id="rId169" display="\\abtvdfs2.de.bosch.com\ismdfs\ilm\abt\IMS\Platform\400_Cabin_Sensing_Radar\20_Measurements\07_CANape\Mitsubishi\5K45\MMC5.0.1\5K457EG-11\Real_Child_Measurements" xr:uid="{00000000-0004-0000-0000-0000A8000000}"/>
    <hyperlink ref="P1098" r:id="rId170" display="\\abtvdfs2.de.bosch.com\ismdfs\ilm\abt\IMS\Platform\400_Cabin_Sensing_Radar\20_Measurements\07_CANape\Mitsubishi\5K45\MMC5.0.1\5K457EG-11\Real_Child_Measurements" xr:uid="{00000000-0004-0000-0000-0000A9000000}"/>
    <hyperlink ref="P1106" r:id="rId171" display="\\abtvdfs2.de.bosch.com\ismdfs\ilm\abt\IMS\Platform\400_Cabin_Sensing_Radar\20_Measurements\07_CANape\Mitsubishi\5K45\MMC5.0.1\5K457EG-11\Real_Child_Measurements" xr:uid="{00000000-0004-0000-0000-0000AA000000}"/>
    <hyperlink ref="P1107" r:id="rId172" display="\\abtvdfs2.de.bosch.com\ismdfs\ilm\abt\IMS\Platform\400_Cabin_Sensing_Radar\20_Measurements\07_CANape\Mitsubishi\5K45\MMC5.0.1\5K457EG-11\Real_Child_Measurements" xr:uid="{00000000-0004-0000-0000-0000AB000000}"/>
    <hyperlink ref="P1108" r:id="rId173" display="\\abtvdfs2.de.bosch.com\ismdfs\ilm\abt\IMS\Platform\400_Cabin_Sensing_Radar\20_Measurements\07_CANape\Mitsubishi\5K45\MMC5.0.1\5K457EG-11\Real_Child_Measurements" xr:uid="{00000000-0004-0000-0000-0000AC000000}"/>
    <hyperlink ref="P1109" r:id="rId174" display="\\abtvdfs2.de.bosch.com\ismdfs\ilm\abt\IMS\Platform\400_Cabin_Sensing_Radar\20_Measurements\07_CANape\Mitsubishi\5K45\MMC5.0.1\5K457EG-11\Real_Child_Measurements" xr:uid="{00000000-0004-0000-0000-0000AD000000}"/>
    <hyperlink ref="P1110" r:id="rId175" display="\\abtvdfs2.de.bosch.com\ismdfs\ilm\abt\IMS\Platform\400_Cabin_Sensing_Radar\20_Measurements\07_CANape\Mitsubishi\5K45\MMC5.0.1\5K457EG-11\Real_Child_Measurements" xr:uid="{00000000-0004-0000-0000-0000AE000000}"/>
    <hyperlink ref="P1125" r:id="rId176" display="\\abtvdfs2.de.bosch.com\ismdfs\ilm\abt\IMS\Platform\400_Cabin_Sensing_Radar\20_Measurements\07_CANape\Mitsubishi\5K45\5.2.0\5K457EG11\Real_Childs" xr:uid="{00000000-0004-0000-0000-0000AF000000}"/>
    <hyperlink ref="P1129" r:id="rId177" display="\\abtvdfs2.de.bosch.com\ismdfs\ilm\abt\IMS\Platform\400_Cabin_Sensing_Radar\20_Measurements\07_CANape\Mitsubishi\5K45\MMC5.0.2\5K457EG11\RealChild" xr:uid="{00000000-0004-0000-0000-0000B0000000}"/>
    <hyperlink ref="P1134" r:id="rId178" display="\\abtvdfs2.de.bosch.com\ismdfs\ilm\abt\IMS\Platform\400_Cabin_Sensing_Radar\20_Measurements\07_CANape\Mitsubishi\5K45\5.2.0\5K457EG11\Real_Childs" xr:uid="{00000000-0004-0000-0000-0000B1000000}"/>
    <hyperlink ref="P1156" r:id="rId179" display="\\abt-soc501-dfs.de.bosch.com\XC_IMS_Platform\400_Cabin_Sensing_Radar\20_Measurements\07_CANape\Mitsubishi\5K45\MMC5.0.0_RC3_with_resetfix\CPD" xr:uid="{00000000-0004-0000-0000-0000B2000000}"/>
    <hyperlink ref="S1440" r:id="rId180" display="https://rb-tracker.bosch.com/tracker08/browse/CSRGIMMC-2373" xr:uid="{00000000-0004-0000-0000-0000B3000000}"/>
    <hyperlink ref="S1441" r:id="rId181" display="https://rb-tracker.bosch.com/tracker08/browse/CSRGIMMC-2373" xr:uid="{00000000-0004-0000-0000-0000B4000000}"/>
    <hyperlink ref="S1442" r:id="rId182" display="https://rb-tracker.bosch.com/tracker08/browse/CSRGIMMC-2373" xr:uid="{00000000-0004-0000-0000-0000B5000000}"/>
    <hyperlink ref="S1443" r:id="rId183" display="https://rb-tracker.bosch.com/tracker08/browse/CSRGIMMC-2373" xr:uid="{00000000-0004-0000-0000-0000B6000000}"/>
    <hyperlink ref="S1444" r:id="rId184" display="https://rb-tracker.bosch.com/tracker08/browse/CSRGIMMC-2373" xr:uid="{00000000-0004-0000-0000-0000B7000000}"/>
    <hyperlink ref="S1445" r:id="rId185" display="https://rb-tracker.bosch.com/tracker08/browse/CSRGIMMC-2373" xr:uid="{00000000-0004-0000-0000-0000B8000000}"/>
    <hyperlink ref="S1446" r:id="rId186" display="https://rb-tracker.bosch.com/tracker08/browse/CSRGIMMC-2373" xr:uid="{00000000-0004-0000-0000-0000B9000000}"/>
    <hyperlink ref="S1447" r:id="rId187" display="https://rb-tracker.bosch.com/tracker08/browse/CSRGIMMC-2373" xr:uid="{00000000-0004-0000-0000-0000BA000000}"/>
    <hyperlink ref="S1448" r:id="rId188" display="https://rb-tracker.bosch.com/tracker08/browse/CSRGIMMC-2373" xr:uid="{00000000-0004-0000-0000-0000BB000000}"/>
    <hyperlink ref="S1449" r:id="rId189" display="https://rb-tracker.bosch.com/tracker08/browse/CSRGIMMC-2373" xr:uid="{00000000-0004-0000-0000-0000BC000000}"/>
    <hyperlink ref="S1450" r:id="rId190" display="https://rb-tracker.bosch.com/tracker08/browse/CSRGIMMC-2373" xr:uid="{00000000-0004-0000-0000-0000BD000000}"/>
    <hyperlink ref="S1451" r:id="rId191" display="https://rb-tracker.bosch.com/tracker08/browse/CSRGIMMC-2373" xr:uid="{00000000-0004-0000-0000-0000BE000000}"/>
    <hyperlink ref="S1452" r:id="rId192" display="https://rb-tracker.bosch.com/tracker08/browse/CSRGIMMC-2373" xr:uid="{00000000-0004-0000-0000-0000BF000000}"/>
    <hyperlink ref="S1453" r:id="rId193" display="https://rb-tracker.bosch.com/tracker08/browse/CSRGIMMC-2373" xr:uid="{00000000-0004-0000-0000-0000C0000000}"/>
    <hyperlink ref="S1454" r:id="rId194" display="https://rb-tracker.bosch.com/tracker08/browse/CSRGIMMC-2373" xr:uid="{00000000-0004-0000-0000-0000C1000000}"/>
    <hyperlink ref="S1455" r:id="rId195" display="https://rb-tracker.bosch.com/tracker08/browse/CSRGIMMC-2373" xr:uid="{00000000-0004-0000-0000-0000C2000000}"/>
    <hyperlink ref="S1456" r:id="rId196" display="https://rb-tracker.bosch.com/tracker08/browse/CSRGIMMC-2373" xr:uid="{00000000-0004-0000-0000-0000C3000000}"/>
    <hyperlink ref="S1457" r:id="rId197" display="https://rb-tracker.bosch.com/tracker08/browse/CSRGIMMC-2373" xr:uid="{00000000-0004-0000-0000-0000C4000000}"/>
    <hyperlink ref="S1458" r:id="rId198" display="https://rb-tracker.bosch.com/tracker08/browse/CSRGIMMC-2373" xr:uid="{00000000-0004-0000-0000-0000C5000000}"/>
    <hyperlink ref="S1459" r:id="rId199" display="https://rb-tracker.bosch.com/tracker08/browse/CSRGIMMC-2373" xr:uid="{00000000-0004-0000-0000-0000C6000000}"/>
    <hyperlink ref="S1460" r:id="rId200" display="https://rb-tracker.bosch.com/tracker08/browse/CSRGIMMC-2373" xr:uid="{00000000-0004-0000-0000-0000C7000000}"/>
    <hyperlink ref="S1461" r:id="rId201" display="https://rb-tracker.bosch.com/tracker08/browse/CSRGIMMC-2373" xr:uid="{00000000-0004-0000-0000-0000C8000000}"/>
    <hyperlink ref="S1462" r:id="rId202" display="https://rb-tracker.bosch.com/tracker08/browse/CSRGIMMC-2373" xr:uid="{00000000-0004-0000-0000-0000C9000000}"/>
    <hyperlink ref="S1463" r:id="rId203" display="https://rb-tracker.bosch.com/tracker08/browse/CSRGIMMC-2373" xr:uid="{00000000-0004-0000-0000-0000CA000000}"/>
    <hyperlink ref="S1464" r:id="rId204" display="https://rb-tracker.bosch.com/tracker08/browse/CSRGIMMC-2373" xr:uid="{00000000-0004-0000-0000-0000CB000000}"/>
    <hyperlink ref="S1465" r:id="rId205" display="https://rb-tracker.bosch.com/tracker08/browse/CSRGIMMC-2373" xr:uid="{00000000-0004-0000-0000-0000CC000000}"/>
    <hyperlink ref="S1466" r:id="rId206" display="https://rb-tracker.bosch.com/tracker08/browse/CSRGIMMC-2373" xr:uid="{00000000-0004-0000-0000-0000CD000000}"/>
    <hyperlink ref="S1467" r:id="rId207" display="https://rb-tracker.bosch.com/tracker08/browse/CSRGIMMC-2373" xr:uid="{00000000-0004-0000-0000-0000CE000000}"/>
    <hyperlink ref="S1468" r:id="rId208" display="https://rb-tracker.bosch.com/tracker08/browse/CSRGIMMC-2373" xr:uid="{00000000-0004-0000-0000-0000CF000000}"/>
    <hyperlink ref="S1469" r:id="rId209" display="https://rb-tracker.bosch.com/tracker08/browse/CSRGIMMC-2373" xr:uid="{00000000-0004-0000-0000-0000D0000000}"/>
    <hyperlink ref="S1470" r:id="rId210" display="https://rb-tracker.bosch.com/tracker08/browse/CSRGIMMC-2373" xr:uid="{00000000-0004-0000-0000-0000D1000000}"/>
    <hyperlink ref="S1471" r:id="rId211" display="https://rb-tracker.bosch.com/tracker08/browse/CSRGIMMC-2373" xr:uid="{00000000-0004-0000-0000-0000D2000000}"/>
    <hyperlink ref="S1472" r:id="rId212" display="https://rb-tracker.bosch.com/tracker08/browse/CSRGIMMC-2373" xr:uid="{00000000-0004-0000-0000-0000D3000000}"/>
    <hyperlink ref="S1473" r:id="rId213" display="https://rb-tracker.bosch.com/tracker08/browse/CSRGIMMC-2373" xr:uid="{00000000-0004-0000-0000-0000D4000000}"/>
    <hyperlink ref="S1474" r:id="rId214" display="https://rb-tracker.bosch.com/tracker08/browse/CSRGIMMC-2373" xr:uid="{00000000-0004-0000-0000-0000D5000000}"/>
    <hyperlink ref="S1475" r:id="rId215" display="https://rb-tracker.bosch.com/tracker08/browse/CSRGIMMC-2373" xr:uid="{00000000-0004-0000-0000-0000D6000000}"/>
    <hyperlink ref="S1476" r:id="rId216" display="https://rb-tracker.bosch.com/tracker08/browse/CSRGIMMC-2373" xr:uid="{00000000-0004-0000-0000-0000D7000000}"/>
    <hyperlink ref="S1477" r:id="rId217" display="https://rb-tracker.bosch.com/tracker08/browse/CSRGIMMC-2373" xr:uid="{00000000-0004-0000-0000-0000D8000000}"/>
    <hyperlink ref="S1478" r:id="rId218" display="https://rb-tracker.bosch.com/tracker08/browse/CSRGIMMC-2373" xr:uid="{00000000-0004-0000-0000-0000D9000000}"/>
    <hyperlink ref="S1479" r:id="rId219" display="https://rb-tracker.bosch.com/tracker08/browse/CSRGIMMC-2373" xr:uid="{00000000-0004-0000-0000-0000DA000000}"/>
    <hyperlink ref="S1480" r:id="rId220" display="https://rb-tracker.bosch.com/tracker08/browse/CSRGIMMC-2373" xr:uid="{00000000-0004-0000-0000-0000DB000000}"/>
    <hyperlink ref="S1481" r:id="rId221" display="https://rb-tracker.bosch.com/tracker08/browse/CSRGIMMC-2373" xr:uid="{00000000-0004-0000-0000-0000DC000000}"/>
    <hyperlink ref="S1482" r:id="rId222" display="https://rb-tracker.bosch.com/tracker08/browse/CSRGIMMC-2373" xr:uid="{00000000-0004-0000-0000-0000DD000000}"/>
    <hyperlink ref="S1483" r:id="rId223" display="https://rb-tracker.bosch.com/tracker08/browse/CSRGIMMC-2373" xr:uid="{00000000-0004-0000-0000-0000DE000000}"/>
    <hyperlink ref="S1484" r:id="rId224" display="https://rb-tracker.bosch.com/tracker08/browse/CSRGIMMC-2373" xr:uid="{00000000-0004-0000-0000-0000DF000000}"/>
    <hyperlink ref="S1485" r:id="rId225" display="https://rb-tracker.bosch.com/tracker08/browse/CSRGIMMC-2373" xr:uid="{00000000-0004-0000-0000-0000E0000000}"/>
    <hyperlink ref="S1486" r:id="rId226" display="https://rb-tracker.bosch.com/tracker08/browse/CSRGIMMC-2373" xr:uid="{00000000-0004-0000-0000-0000E1000000}"/>
    <hyperlink ref="S1487" r:id="rId227" display="https://rb-tracker.bosch.com/tracker08/browse/CSRGIMMC-2373" xr:uid="{00000000-0004-0000-0000-0000E2000000}"/>
    <hyperlink ref="S1488" r:id="rId228" display="https://rb-tracker.bosch.com/tracker08/browse/CSRGIMMC-2373" xr:uid="{00000000-0004-0000-0000-0000E3000000}"/>
    <hyperlink ref="S1489" r:id="rId229" display="https://rb-tracker.bosch.com/tracker08/browse/CSRGIMMC-2373" xr:uid="{00000000-0004-0000-0000-0000E4000000}"/>
    <hyperlink ref="S1490" r:id="rId230" display="https://rb-tracker.bosch.com/tracker08/browse/CSRGIMMC-2373" xr:uid="{00000000-0004-0000-0000-0000E5000000}"/>
    <hyperlink ref="S1491" r:id="rId231" display="https://rb-tracker.bosch.com/tracker08/browse/CSRGIMMC-2373" xr:uid="{00000000-0004-0000-0000-0000E6000000}"/>
    <hyperlink ref="S1492" r:id="rId232" display="https://rb-tracker.bosch.com/tracker08/browse/CSRGIMMC-2373" xr:uid="{00000000-0004-0000-0000-0000E7000000}"/>
    <hyperlink ref="S1493" r:id="rId233" display="https://rb-tracker.bosch.com/tracker08/browse/CSRGIMMC-2373" xr:uid="{00000000-0004-0000-0000-0000E8000000}"/>
    <hyperlink ref="S1494" r:id="rId234" display="https://rb-tracker.bosch.com/tracker08/browse/CSRGIMMC-2373" xr:uid="{00000000-0004-0000-0000-0000E9000000}"/>
    <hyperlink ref="S1495" r:id="rId235" display="https://rb-tracker.bosch.com/tracker08/browse/CSRGIMMC-2373" xr:uid="{00000000-0004-0000-0000-0000EA000000}"/>
    <hyperlink ref="S1496" r:id="rId236" display="https://rb-tracker.bosch.com/tracker08/browse/CSRGIMMC-2373" xr:uid="{00000000-0004-0000-0000-0000EB000000}"/>
    <hyperlink ref="S1497" r:id="rId237" display="https://rb-tracker.bosch.com/tracker08/browse/CSRGIMMC-2373" xr:uid="{00000000-0004-0000-0000-0000EC000000}"/>
    <hyperlink ref="S1498" r:id="rId238" display="https://rb-tracker.bosch.com/tracker08/browse/CSRGIMMC-2373" xr:uid="{00000000-0004-0000-0000-0000ED000000}"/>
    <hyperlink ref="S1499" r:id="rId239" display="https://rb-tracker.bosch.com/tracker08/browse/CSRGIMMC-2373" xr:uid="{00000000-0004-0000-0000-0000EE000000}"/>
    <hyperlink ref="S1500" r:id="rId240" display="https://rb-tracker.bosch.com/tracker08/browse/CSRGIMMC-2373" xr:uid="{00000000-0004-0000-0000-0000EF000000}"/>
    <hyperlink ref="S1501" r:id="rId241" display="https://rb-tracker.bosch.com/tracker08/browse/CSRGIMMC-2373" xr:uid="{00000000-0004-0000-0000-0000F0000000}"/>
    <hyperlink ref="S1502" r:id="rId242" display="https://rb-tracker.bosch.com/tracker08/browse/CSRGIMMC-2373" xr:uid="{00000000-0004-0000-0000-0000F1000000}"/>
    <hyperlink ref="S1503" r:id="rId243" display="https://rb-tracker.bosch.com/tracker08/browse/CSRGIMMC-2373" xr:uid="{00000000-0004-0000-0000-0000F2000000}"/>
    <hyperlink ref="S1504" r:id="rId244" display="https://rb-tracker.bosch.com/tracker08/browse/CSRGIMMC-2373" xr:uid="{00000000-0004-0000-0000-0000F3000000}"/>
    <hyperlink ref="S1505" r:id="rId245" display="https://rb-tracker.bosch.com/tracker08/browse/CSRGIMMC-2373" xr:uid="{00000000-0004-0000-0000-0000F4000000}"/>
    <hyperlink ref="S1506" r:id="rId246" display="https://rb-tracker.bosch.com/tracker08/browse/CSRGIMMC-2373" xr:uid="{00000000-0004-0000-0000-0000F5000000}"/>
    <hyperlink ref="S1507" r:id="rId247" display="https://rb-tracker.bosch.com/tracker08/browse/CSRGIMMC-2373" xr:uid="{00000000-0004-0000-0000-0000F6000000}"/>
    <hyperlink ref="S1508" r:id="rId248" display="https://rb-tracker.bosch.com/tracker08/browse/CSRGIMMC-2373" xr:uid="{00000000-0004-0000-0000-0000F7000000}"/>
    <hyperlink ref="S1509" r:id="rId249" display="https://rb-tracker.bosch.com/tracker08/browse/CSRGIMMC-2373" xr:uid="{00000000-0004-0000-0000-0000F8000000}"/>
    <hyperlink ref="S1510" r:id="rId250" display="https://rb-tracker.bosch.com/tracker08/browse/CSRGIMMC-2373" xr:uid="{00000000-0004-0000-0000-0000F9000000}"/>
    <hyperlink ref="S1511" r:id="rId251" display="https://rb-tracker.bosch.com/tracker08/browse/CSRGIMMC-2373" xr:uid="{00000000-0004-0000-0000-0000FA000000}"/>
    <hyperlink ref="S1512" r:id="rId252" display="https://rb-tracker.bosch.com/tracker08/browse/CSRGIMMC-2373" xr:uid="{00000000-0004-0000-0000-0000FB000000}"/>
    <hyperlink ref="S1513" r:id="rId253" display="https://rb-tracker.bosch.com/tracker08/browse/CSRGIMMC-2373" xr:uid="{00000000-0004-0000-0000-0000FC000000}"/>
    <hyperlink ref="S1514" r:id="rId254" display="https://rb-tracker.bosch.com/tracker08/browse/CSRGIMMC-2373" xr:uid="{00000000-0004-0000-0000-0000FD000000}"/>
    <hyperlink ref="S1515" r:id="rId255" display="https://rb-tracker.bosch.com/tracker08/browse/CSRGIMMC-2373" xr:uid="{00000000-0004-0000-0000-0000FE000000}"/>
    <hyperlink ref="S1516" r:id="rId256" display="https://rb-tracker.bosch.com/tracker08/browse/CSRGIMMC-2373" xr:uid="{00000000-0004-0000-0000-0000FF000000}"/>
    <hyperlink ref="S1517" r:id="rId257" display="https://rb-tracker.bosch.com/tracker08/browse/CSRGIMMC-2373" xr:uid="{00000000-0004-0000-0000-000000010000}"/>
    <hyperlink ref="S1518" r:id="rId258" display="https://rb-tracker.bosch.com/tracker08/browse/CSRGIMMC-2373" xr:uid="{00000000-0004-0000-0000-000001010000}"/>
    <hyperlink ref="S1519" r:id="rId259" display="https://rb-tracker.bosch.com/tracker08/browse/CSRGIMMC-2373" xr:uid="{00000000-0004-0000-0000-000002010000}"/>
    <hyperlink ref="S1520" r:id="rId260" display="https://rb-tracker.bosch.com/tracker08/browse/CSRGIMMC-2373" xr:uid="{00000000-0004-0000-0000-000003010000}"/>
    <hyperlink ref="S1521" r:id="rId261" display="https://rb-tracker.bosch.com/tracker08/browse/CSRGIMMC-2373" xr:uid="{00000000-0004-0000-0000-000004010000}"/>
    <hyperlink ref="S1522" r:id="rId262" display="https://rb-tracker.bosch.com/tracker08/browse/CSRGIMMC-2373" xr:uid="{00000000-0004-0000-0000-000005010000}"/>
    <hyperlink ref="S1523" r:id="rId263" display="https://rb-tracker.bosch.com/tracker08/browse/CSRGIMMC-2373" xr:uid="{00000000-0004-0000-0000-000006010000}"/>
    <hyperlink ref="S1524" r:id="rId264" display="https://rb-tracker.bosch.com/tracker08/browse/CSRGIMMC-2373" xr:uid="{00000000-0004-0000-0000-000007010000}"/>
    <hyperlink ref="S1525" r:id="rId265" display="https://rb-tracker.bosch.com/tracker08/browse/CSRGIMMC-2373" xr:uid="{00000000-0004-0000-0000-000008010000}"/>
    <hyperlink ref="S1526" r:id="rId266" display="https://rb-tracker.bosch.com/tracker08/browse/CSRGIMMC-2373" xr:uid="{00000000-0004-0000-0000-000009010000}"/>
    <hyperlink ref="S1527" r:id="rId267" display="https://rb-tracker.bosch.com/tracker08/browse/CSRGIMMC-2373" xr:uid="{00000000-0004-0000-0000-00000A010000}"/>
    <hyperlink ref="S1528" r:id="rId268" display="https://rb-tracker.bosch.com/tracker08/browse/CSRGIMMC-2373" xr:uid="{00000000-0004-0000-0000-00000B010000}"/>
    <hyperlink ref="S1529" r:id="rId269" display="https://rb-tracker.bosch.com/tracker08/browse/CSRGIMMC-2373" xr:uid="{00000000-0004-0000-0000-00000C010000}"/>
    <hyperlink ref="S1530" r:id="rId270" display="https://rb-tracker.bosch.com/tracker08/browse/CSRGIMMC-2373" xr:uid="{00000000-0004-0000-0000-00000D010000}"/>
    <hyperlink ref="S1531" r:id="rId271" display="https://rb-tracker.bosch.com/tracker08/browse/CSRGIMMC-2373" xr:uid="{00000000-0004-0000-0000-00000E010000}"/>
    <hyperlink ref="S1532" r:id="rId272" display="https://rb-tracker.bosch.com/tracker08/browse/CSRGIMMC-2373" xr:uid="{00000000-0004-0000-0000-00000F010000}"/>
    <hyperlink ref="S1533" r:id="rId273" display="https://rb-tracker.bosch.com/tracker08/browse/CSRGIMMC-2373" xr:uid="{00000000-0004-0000-0000-000010010000}"/>
    <hyperlink ref="S1534" r:id="rId274" display="https://rb-tracker.bosch.com/tracker08/browse/CSRGIMMC-2373" xr:uid="{00000000-0004-0000-0000-000011010000}"/>
    <hyperlink ref="S1535" r:id="rId275" display="https://rb-tracker.bosch.com/tracker08/browse/CSRGIMMC-2373" xr:uid="{00000000-0004-0000-0000-000012010000}"/>
    <hyperlink ref="S1536" r:id="rId276" display="https://rb-tracker.bosch.com/tracker08/browse/CSRGIMMC-2373" xr:uid="{00000000-0004-0000-0000-000013010000}"/>
    <hyperlink ref="S1537" r:id="rId277" display="https://rb-tracker.bosch.com/tracker08/browse/CSRGIMMC-2373" xr:uid="{00000000-0004-0000-0000-000014010000}"/>
    <hyperlink ref="S1538" r:id="rId278" display="https://rb-tracker.bosch.com/tracker08/browse/CSRGIMMC-2373" xr:uid="{00000000-0004-0000-0000-000015010000}"/>
    <hyperlink ref="S1539" r:id="rId279" display="https://rb-tracker.bosch.com/tracker08/browse/CSRGIMMC-2373" xr:uid="{00000000-0004-0000-0000-000016010000}"/>
    <hyperlink ref="S1540" r:id="rId280" display="https://rb-tracker.bosch.com/tracker08/browse/CSRGIMMC-2373" xr:uid="{00000000-0004-0000-0000-000017010000}"/>
    <hyperlink ref="S1541" r:id="rId281" display="https://rb-tracker.bosch.com/tracker08/browse/CSRGIMMC-2373" xr:uid="{00000000-0004-0000-0000-000018010000}"/>
    <hyperlink ref="S1542" r:id="rId282" display="https://rb-tracker.bosch.com/tracker08/browse/CSRGIMMC-2373" xr:uid="{00000000-0004-0000-0000-000019010000}"/>
    <hyperlink ref="S1543" r:id="rId283" display="https://rb-tracker.bosch.com/tracker08/browse/CSRGIMMC-2373" xr:uid="{00000000-0004-0000-0000-00001A010000}"/>
    <hyperlink ref="S1544" r:id="rId284" display="https://rb-tracker.bosch.com/tracker08/browse/CSRGIMMC-2373" xr:uid="{00000000-0004-0000-0000-00001B010000}"/>
    <hyperlink ref="S1545" r:id="rId285" display="https://rb-tracker.bosch.com/tracker08/browse/CSRGIMMC-2373" xr:uid="{00000000-0004-0000-0000-00001C010000}"/>
    <hyperlink ref="S1546" r:id="rId286" display="https://rb-tracker.bosch.com/tracker08/browse/CSRGIMMC-2373" xr:uid="{00000000-0004-0000-0000-00001D010000}"/>
    <hyperlink ref="S1547" r:id="rId287" display="https://rb-tracker.bosch.com/tracker08/browse/CSRGIMMC-2373" xr:uid="{00000000-0004-0000-0000-00001E010000}"/>
    <hyperlink ref="S1548" r:id="rId288" display="https://rb-tracker.bosch.com/tracker08/browse/CSRGIMMC-2373" xr:uid="{00000000-0004-0000-0000-00001F010000}"/>
    <hyperlink ref="S1549" r:id="rId289" display="https://rb-tracker.bosch.com/tracker08/browse/CSRGIMMC-2373" xr:uid="{00000000-0004-0000-0000-000020010000}"/>
    <hyperlink ref="S1550" r:id="rId290" display="https://rb-tracker.bosch.com/tracker08/browse/CSRGIMMC-2373" xr:uid="{00000000-0004-0000-0000-000021010000}"/>
    <hyperlink ref="S1551" r:id="rId291" display="https://rb-tracker.bosch.com/tracker08/browse/CSRGIMMC-2373" xr:uid="{00000000-0004-0000-0000-000022010000}"/>
    <hyperlink ref="S1552" r:id="rId292" display="https://rb-tracker.bosch.com/tracker08/browse/CSRGIMMC-2373" xr:uid="{00000000-0004-0000-0000-000023010000}"/>
    <hyperlink ref="S1553" r:id="rId293" display="https://rb-tracker.bosch.com/tracker08/browse/CSRGIMMC-2373" xr:uid="{00000000-0004-0000-0000-000024010000}"/>
    <hyperlink ref="S1554" r:id="rId294" display="https://rb-tracker.bosch.com/tracker08/browse/CSRGIMMC-2373" xr:uid="{00000000-0004-0000-0000-000025010000}"/>
    <hyperlink ref="S1555" r:id="rId295" display="https://rb-tracker.bosch.com/tracker08/browse/CSRGIMMC-2373" xr:uid="{00000000-0004-0000-0000-00002601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23"/>
  <sheetViews>
    <sheetView zoomScale="115" zoomScaleNormal="115" workbookViewId="0">
      <pane xSplit="1" ySplit="1" topLeftCell="G623" activePane="bottomRight" state="frozen"/>
      <selection pane="topRight" activeCell="B1" sqref="B1"/>
      <selection pane="bottomLeft" activeCell="A2" sqref="A2"/>
      <selection pane="bottomRight" activeCell="K630" sqref="K630"/>
    </sheetView>
  </sheetViews>
  <sheetFormatPr defaultColWidth="9.140625" defaultRowHeight="15"/>
  <cols>
    <col min="1" max="1" width="8.85546875" style="59" customWidth="1"/>
    <col min="2" max="2" width="15.7109375" style="133" customWidth="1"/>
    <col min="3" max="3" width="8.85546875" style="133" customWidth="1"/>
    <col min="4" max="4" width="6.28515625" style="97" customWidth="1"/>
    <col min="5" max="5" width="9.42578125" style="97" bestFit="1" customWidth="1"/>
    <col min="6" max="6" width="11.85546875" style="133" customWidth="1"/>
    <col min="7" max="7" width="9.28515625" style="133" customWidth="1"/>
    <col min="8" max="8" width="10.42578125" style="133" customWidth="1"/>
    <col min="9" max="9" width="9.7109375" style="133" customWidth="1"/>
    <col min="10" max="10" width="10.5703125" style="133" customWidth="1"/>
    <col min="11" max="11" width="101.42578125" style="133" bestFit="1" customWidth="1"/>
    <col min="12" max="12" width="121.42578125" style="133" bestFit="1" customWidth="1"/>
    <col min="13" max="13" width="84.85546875" style="133" hidden="1" customWidth="1"/>
    <col min="14" max="14" width="25.42578125" style="133" hidden="1" customWidth="1"/>
    <col min="15" max="16" width="98.42578125" style="133" customWidth="1"/>
    <col min="17" max="17" width="10.5703125" style="133" customWidth="1"/>
    <col min="18" max="19" width="10.7109375" style="133" customWidth="1"/>
    <col min="20" max="20" width="13" style="133" customWidth="1"/>
    <col min="21" max="21" width="14.7109375" style="133" customWidth="1"/>
  </cols>
  <sheetData>
    <row r="1" spans="1:21" s="64" customFormat="1" ht="45" customHeight="1">
      <c r="A1" s="64" t="s">
        <v>0</v>
      </c>
      <c r="B1" s="64" t="s">
        <v>1</v>
      </c>
      <c r="C1" s="64" t="s">
        <v>2</v>
      </c>
      <c r="D1" s="96" t="s">
        <v>4</v>
      </c>
      <c r="E1" s="96" t="s">
        <v>5</v>
      </c>
      <c r="F1" s="64" t="s">
        <v>6</v>
      </c>
      <c r="G1" s="64" t="s">
        <v>7</v>
      </c>
      <c r="H1" s="64" t="s">
        <v>8</v>
      </c>
      <c r="I1" s="64" t="s">
        <v>9</v>
      </c>
      <c r="J1" s="64" t="s">
        <v>10</v>
      </c>
      <c r="K1" s="64" t="s">
        <v>14</v>
      </c>
      <c r="L1" s="64" t="s">
        <v>2129</v>
      </c>
      <c r="M1" s="64" t="s">
        <v>2129</v>
      </c>
      <c r="N1" s="64" t="s">
        <v>2130</v>
      </c>
      <c r="O1" s="64" t="s">
        <v>15</v>
      </c>
      <c r="P1" s="64" t="s">
        <v>2131</v>
      </c>
      <c r="Q1" s="64" t="s">
        <v>10</v>
      </c>
      <c r="R1" s="64" t="s">
        <v>18</v>
      </c>
      <c r="S1" s="64" t="s">
        <v>19</v>
      </c>
      <c r="T1" s="64" t="s">
        <v>22</v>
      </c>
      <c r="U1" s="64" t="s">
        <v>23</v>
      </c>
    </row>
    <row r="2" spans="1:21" s="130" customFormat="1">
      <c r="A2" s="78">
        <v>2</v>
      </c>
      <c r="B2" s="130" t="s">
        <v>2132</v>
      </c>
      <c r="C2" s="130" t="s">
        <v>25</v>
      </c>
      <c r="D2" s="97" t="e">
        <f>_xlfn.XLOOKUP(A2,[1]CPD_SOP_new!$A:$A,[1]CPD_SOP_new!#REF!,"not found",0 )</f>
        <v>#REF!</v>
      </c>
      <c r="E2" s="97" t="s">
        <v>26</v>
      </c>
      <c r="F2" s="130" t="s">
        <v>27</v>
      </c>
      <c r="G2" s="130" t="s">
        <v>28</v>
      </c>
      <c r="H2" s="130" t="s">
        <v>28</v>
      </c>
      <c r="I2" s="130" t="s">
        <v>27</v>
      </c>
      <c r="J2" s="137" t="s">
        <v>29</v>
      </c>
      <c r="K2" s="130" t="s">
        <v>32</v>
      </c>
      <c r="L2" s="130" t="s">
        <v>723</v>
      </c>
      <c r="M2" s="100" t="str">
        <f t="shared" ref="M2:M65" si="0">IF(NOT(N2="Wrong measurement"),SUBSTITUTE(K2,".MF4.xz",N2),"Wrong measurement")</f>
        <v>Wrong measurement</v>
      </c>
      <c r="N2" s="59" t="str">
        <f t="shared" ref="N2:N65" si="1">IF(I2="Y",("_"&amp;B2 &amp;"_"&amp; IF(C2="","",C2)&amp;"_"&amp;E2&amp;"_CPD.MF4.xz"),"Wrong measurement")</f>
        <v>Wrong measurement</v>
      </c>
      <c r="O2" s="130" t="s">
        <v>33</v>
      </c>
    </row>
    <row r="3" spans="1:21" s="130" customFormat="1">
      <c r="A3" s="78">
        <v>2</v>
      </c>
      <c r="B3" s="130" t="s">
        <v>2132</v>
      </c>
      <c r="C3" s="130" t="s">
        <v>25</v>
      </c>
      <c r="D3" s="97" t="e">
        <f>_xlfn.XLOOKUP(A3,[1]CPD_SOP_new!$A:$A,[1]CPD_SOP_new!#REF!,"not found",0 )</f>
        <v>#REF!</v>
      </c>
      <c r="E3" s="97" t="s">
        <v>26</v>
      </c>
      <c r="F3" s="130" t="s">
        <v>27</v>
      </c>
      <c r="G3" s="130" t="s">
        <v>28</v>
      </c>
      <c r="H3" s="130" t="s">
        <v>28</v>
      </c>
      <c r="I3" s="130" t="s">
        <v>27</v>
      </c>
      <c r="J3" s="137" t="s">
        <v>29</v>
      </c>
      <c r="K3" s="130" t="s">
        <v>34</v>
      </c>
      <c r="L3" s="130" t="s">
        <v>723</v>
      </c>
      <c r="M3" s="100" t="str">
        <f t="shared" si="0"/>
        <v>Wrong measurement</v>
      </c>
      <c r="N3" s="59" t="str">
        <f t="shared" si="1"/>
        <v>Wrong measurement</v>
      </c>
      <c r="O3" s="131" t="s">
        <v>35</v>
      </c>
      <c r="P3" s="131"/>
    </row>
    <row r="4" spans="1:21" s="130" customFormat="1">
      <c r="A4" s="78">
        <v>2</v>
      </c>
      <c r="B4" s="130" t="s">
        <v>2132</v>
      </c>
      <c r="C4" s="130" t="s">
        <v>25</v>
      </c>
      <c r="D4" s="97" t="e">
        <f>_xlfn.XLOOKUP(A4,[1]CPD_SOP_new!$A:$A,[1]CPD_SOP_new!#REF!,"not found",0 )</f>
        <v>#REF!</v>
      </c>
      <c r="E4" s="97" t="s">
        <v>26</v>
      </c>
      <c r="F4" s="130" t="s">
        <v>27</v>
      </c>
      <c r="G4" s="130" t="s">
        <v>28</v>
      </c>
      <c r="H4" s="130" t="s">
        <v>28</v>
      </c>
      <c r="I4" s="130" t="s">
        <v>27</v>
      </c>
      <c r="J4" s="137" t="s">
        <v>29</v>
      </c>
      <c r="K4" s="130" t="s">
        <v>36</v>
      </c>
      <c r="L4" s="130" t="s">
        <v>723</v>
      </c>
      <c r="M4" s="100" t="str">
        <f t="shared" si="0"/>
        <v>Wrong measurement</v>
      </c>
      <c r="N4" s="59" t="str">
        <f t="shared" si="1"/>
        <v>Wrong measurement</v>
      </c>
      <c r="O4" s="131" t="s">
        <v>35</v>
      </c>
      <c r="P4" s="131"/>
    </row>
    <row r="5" spans="1:21" s="130" customFormat="1">
      <c r="A5" s="78">
        <v>2</v>
      </c>
      <c r="B5" s="130" t="s">
        <v>2132</v>
      </c>
      <c r="C5" s="130" t="s">
        <v>25</v>
      </c>
      <c r="D5" s="97" t="e">
        <f>_xlfn.XLOOKUP(A5,[1]CPD_SOP_new!$A:$A,[1]CPD_SOP_new!#REF!,"not found",0 )</f>
        <v>#REF!</v>
      </c>
      <c r="E5" s="97" t="s">
        <v>26</v>
      </c>
      <c r="F5" s="130" t="s">
        <v>27</v>
      </c>
      <c r="G5" s="130" t="s">
        <v>28</v>
      </c>
      <c r="H5" s="130" t="s">
        <v>28</v>
      </c>
      <c r="I5" s="130" t="s">
        <v>27</v>
      </c>
      <c r="J5" s="137" t="s">
        <v>29</v>
      </c>
      <c r="K5" s="130" t="s">
        <v>37</v>
      </c>
      <c r="L5" s="130" t="s">
        <v>723</v>
      </c>
      <c r="M5" s="100" t="str">
        <f t="shared" si="0"/>
        <v>Wrong measurement</v>
      </c>
      <c r="N5" s="59" t="str">
        <f t="shared" si="1"/>
        <v>Wrong measurement</v>
      </c>
      <c r="O5" s="131" t="s">
        <v>35</v>
      </c>
      <c r="P5" s="131"/>
    </row>
    <row r="6" spans="1:21" s="59" customFormat="1">
      <c r="A6" s="77">
        <v>2</v>
      </c>
      <c r="B6" s="59" t="s">
        <v>2133</v>
      </c>
      <c r="C6" s="59" t="s">
        <v>25</v>
      </c>
      <c r="D6" s="97" t="e">
        <f>_xlfn.XLOOKUP(A6,[1]CPD_SOP_new!$A:$A,[1]CPD_SOP_new!#REF!,"not found",0 )</f>
        <v>#REF!</v>
      </c>
      <c r="E6" s="97" t="s">
        <v>26</v>
      </c>
      <c r="F6" s="59" t="s">
        <v>27</v>
      </c>
      <c r="G6" s="59" t="s">
        <v>28</v>
      </c>
      <c r="H6" s="59" t="s">
        <v>28</v>
      </c>
      <c r="I6" s="59" t="s">
        <v>28</v>
      </c>
      <c r="J6" t="s">
        <v>29</v>
      </c>
      <c r="K6" s="59" t="s">
        <v>40</v>
      </c>
      <c r="L6" s="59" t="s">
        <v>2134</v>
      </c>
      <c r="M6" s="100" t="str">
        <f t="shared" si="0"/>
        <v>CSR_XCP_Signals_Recorder_2026-01-12_13-41-04_TC2_NCAP12_ NB_1R_CPD.MF4.xz</v>
      </c>
      <c r="N6" s="59" t="str">
        <f t="shared" si="1"/>
        <v>_NCAP12_ NB_1R_CPD.MF4.xz</v>
      </c>
      <c r="O6" s="65" t="s">
        <v>41</v>
      </c>
      <c r="P6" s="65"/>
    </row>
    <row r="7" spans="1:21">
      <c r="A7" s="77">
        <v>2</v>
      </c>
      <c r="B7" t="s">
        <v>2133</v>
      </c>
      <c r="C7" t="s">
        <v>43</v>
      </c>
      <c r="D7" s="97" t="e">
        <f>_xlfn.XLOOKUP(A7,[1]CPD_SOP_new!$A:$A,[1]CPD_SOP_new!#REF!,"not found",0 )</f>
        <v>#REF!</v>
      </c>
      <c r="E7" s="97" t="s">
        <v>26</v>
      </c>
      <c r="F7" t="s">
        <v>27</v>
      </c>
      <c r="G7" t="s">
        <v>28</v>
      </c>
      <c r="H7" t="s">
        <v>28</v>
      </c>
      <c r="I7" s="59" t="s">
        <v>28</v>
      </c>
      <c r="J7" t="s">
        <v>29</v>
      </c>
      <c r="K7" t="s">
        <v>44</v>
      </c>
      <c r="L7" t="s">
        <v>2135</v>
      </c>
      <c r="M7" s="100" t="str">
        <f t="shared" si="0"/>
        <v>CSR_XCP_Signals_Recorder_2026-01-20_19-04-17_CPD_TC2_Try3_NCAP12_NB_1R_CPD.MF4.xz</v>
      </c>
      <c r="N7" s="59" t="str">
        <f t="shared" si="1"/>
        <v>_NCAP12_NB_1R_CPD.MF4.xz</v>
      </c>
      <c r="O7" t="s">
        <v>45</v>
      </c>
    </row>
    <row r="8" spans="1:21">
      <c r="A8" s="77">
        <v>2</v>
      </c>
      <c r="B8" t="s">
        <v>2133</v>
      </c>
      <c r="C8" t="s">
        <v>43</v>
      </c>
      <c r="D8" s="97" t="e">
        <f>_xlfn.XLOOKUP(A8,[1]CPD_SOP_new!$A:$A,[1]CPD_SOP_new!#REF!,"not found",0 )</f>
        <v>#REF!</v>
      </c>
      <c r="E8" s="97" t="s">
        <v>26</v>
      </c>
      <c r="F8" t="s">
        <v>27</v>
      </c>
      <c r="G8" t="s">
        <v>28</v>
      </c>
      <c r="H8" t="s">
        <v>28</v>
      </c>
      <c r="I8" s="59" t="s">
        <v>28</v>
      </c>
      <c r="J8" t="s">
        <v>29</v>
      </c>
      <c r="K8" t="s">
        <v>46</v>
      </c>
      <c r="L8" t="s">
        <v>2136</v>
      </c>
      <c r="M8" s="100" t="str">
        <f t="shared" si="0"/>
        <v>CSR_XCP_Signals_Recorder_2026-01-20_18-59-47_CPD_TC2_Try1_NCAP12_NB_1R_CPD.MF4.xz</v>
      </c>
      <c r="N8" s="59" t="str">
        <f t="shared" si="1"/>
        <v>_NCAP12_NB_1R_CPD.MF4.xz</v>
      </c>
      <c r="O8" t="s">
        <v>45</v>
      </c>
    </row>
    <row r="9" spans="1:21">
      <c r="A9" s="77">
        <v>2</v>
      </c>
      <c r="B9" t="s">
        <v>2133</v>
      </c>
      <c r="C9" t="s">
        <v>43</v>
      </c>
      <c r="D9" s="97" t="e">
        <f>_xlfn.XLOOKUP(A9,[1]CPD_SOP_new!$A:$A,[1]CPD_SOP_new!#REF!,"not found",0 )</f>
        <v>#REF!</v>
      </c>
      <c r="E9" s="97" t="s">
        <v>26</v>
      </c>
      <c r="F9" t="s">
        <v>27</v>
      </c>
      <c r="G9" t="s">
        <v>28</v>
      </c>
      <c r="H9" t="s">
        <v>28</v>
      </c>
      <c r="I9" s="59" t="s">
        <v>28</v>
      </c>
      <c r="J9" t="s">
        <v>29</v>
      </c>
      <c r="K9" t="s">
        <v>47</v>
      </c>
      <c r="L9" t="s">
        <v>2137</v>
      </c>
      <c r="M9" s="100" t="str">
        <f t="shared" si="0"/>
        <v>CSR_XCP_Signals_Recorder_2026-01-20_19-02-11_CPD_TC2_Try2_NCAP12_NB_1R_CPD.MF4.xz</v>
      </c>
      <c r="N9" s="59" t="str">
        <f t="shared" si="1"/>
        <v>_NCAP12_NB_1R_CPD.MF4.xz</v>
      </c>
      <c r="O9" t="s">
        <v>45</v>
      </c>
    </row>
    <row r="10" spans="1:21">
      <c r="A10" s="77">
        <v>3</v>
      </c>
      <c r="B10" t="s">
        <v>2133</v>
      </c>
      <c r="C10" t="s">
        <v>25</v>
      </c>
      <c r="D10" s="97" t="e">
        <f>_xlfn.XLOOKUP(A10,[1]CPD_SOP_new!$A:$A,[1]CPD_SOP_new!#REF!,"not found",0 )</f>
        <v>#REF!</v>
      </c>
      <c r="E10" s="97" t="str">
        <f>_xlfn.XLOOKUP(A10,[1]CPD_SOP_new!$A:$A,[1]CPD_SOP_new!$K:$K,"not found",0 )</f>
        <v>2R</v>
      </c>
      <c r="F10" t="s">
        <v>27</v>
      </c>
      <c r="G10" t="s">
        <v>28</v>
      </c>
      <c r="H10" t="s">
        <v>28</v>
      </c>
      <c r="I10" s="59" t="s">
        <v>28</v>
      </c>
      <c r="J10" t="s">
        <v>29</v>
      </c>
      <c r="K10" t="s">
        <v>55</v>
      </c>
      <c r="L10" t="s">
        <v>2138</v>
      </c>
      <c r="M10" s="100" t="str">
        <f t="shared" si="0"/>
        <v>TC_3_NCAP12_ NB_2R_CPD.MF4.xz</v>
      </c>
      <c r="N10" s="59" t="str">
        <f t="shared" si="1"/>
        <v>_NCAP12_ NB_2R_CPD.MF4.xz</v>
      </c>
      <c r="O10" t="s">
        <v>33</v>
      </c>
    </row>
    <row r="11" spans="1:21">
      <c r="A11" s="77">
        <v>3</v>
      </c>
      <c r="B11" t="s">
        <v>2133</v>
      </c>
      <c r="C11" t="s">
        <v>25</v>
      </c>
      <c r="D11" s="97" t="e">
        <f>_xlfn.XLOOKUP(A11,[1]CPD_SOP_new!$A:$A,[1]CPD_SOP_new!#REF!,"not found",0 )</f>
        <v>#REF!</v>
      </c>
      <c r="E11" s="97" t="str">
        <f>_xlfn.XLOOKUP(A11,[1]CPD_SOP_new!$A:$A,[1]CPD_SOP_new!$K:$K,"not found",0 )</f>
        <v>2R</v>
      </c>
      <c r="F11" t="s">
        <v>27</v>
      </c>
      <c r="G11" t="s">
        <v>28</v>
      </c>
      <c r="H11" t="s">
        <v>28</v>
      </c>
      <c r="I11" s="59" t="s">
        <v>28</v>
      </c>
      <c r="J11" t="s">
        <v>29</v>
      </c>
      <c r="K11" s="60" t="s">
        <v>57</v>
      </c>
      <c r="L11" s="60" t="s">
        <v>2139</v>
      </c>
      <c r="M11" s="100" t="str">
        <f t="shared" si="0"/>
        <v>TC_3_Try1_NCAP12_ NB_2R_CPD.MF4.xz</v>
      </c>
      <c r="N11" s="59" t="str">
        <f t="shared" si="1"/>
        <v>_NCAP12_ NB_2R_CPD.MF4.xz</v>
      </c>
      <c r="O11" s="129" t="s">
        <v>35</v>
      </c>
      <c r="P11" s="129"/>
    </row>
    <row r="12" spans="1:21">
      <c r="A12" s="77">
        <v>3</v>
      </c>
      <c r="B12" t="s">
        <v>2133</v>
      </c>
      <c r="C12" t="s">
        <v>25</v>
      </c>
      <c r="D12" s="97" t="e">
        <f>_xlfn.XLOOKUP(A12,[1]CPD_SOP_new!$A:$A,[1]CPD_SOP_new!#REF!,"not found",0 )</f>
        <v>#REF!</v>
      </c>
      <c r="E12" s="97" t="str">
        <f>_xlfn.XLOOKUP(A12,[1]CPD_SOP_new!$A:$A,[1]CPD_SOP_new!$K:$K,"not found",0 )</f>
        <v>2R</v>
      </c>
      <c r="F12" t="s">
        <v>27</v>
      </c>
      <c r="G12" t="s">
        <v>28</v>
      </c>
      <c r="H12" t="s">
        <v>28</v>
      </c>
      <c r="I12" s="59" t="s">
        <v>28</v>
      </c>
      <c r="J12" t="s">
        <v>29</v>
      </c>
      <c r="K12" s="60" t="s">
        <v>58</v>
      </c>
      <c r="L12" s="60" t="s">
        <v>2140</v>
      </c>
      <c r="M12" s="100" t="str">
        <f t="shared" si="0"/>
        <v>TC_3_Try2_NCAP12_ NB_2R_CPD.MF4.xz</v>
      </c>
      <c r="N12" s="59" t="str">
        <f t="shared" si="1"/>
        <v>_NCAP12_ NB_2R_CPD.MF4.xz</v>
      </c>
      <c r="O12" s="129" t="s">
        <v>35</v>
      </c>
      <c r="P12" s="129"/>
    </row>
    <row r="13" spans="1:21">
      <c r="A13" s="77">
        <v>3</v>
      </c>
      <c r="B13" t="s">
        <v>2133</v>
      </c>
      <c r="C13" t="s">
        <v>25</v>
      </c>
      <c r="D13" s="97" t="e">
        <f>_xlfn.XLOOKUP(A13,[1]CPD_SOP_new!$A:$A,[1]CPD_SOP_new!#REF!,"not found",0 )</f>
        <v>#REF!</v>
      </c>
      <c r="E13" s="97" t="str">
        <f>_xlfn.XLOOKUP(A13,[1]CPD_SOP_new!$A:$A,[1]CPD_SOP_new!$K:$K,"not found",0 )</f>
        <v>2R</v>
      </c>
      <c r="F13" t="s">
        <v>27</v>
      </c>
      <c r="G13" t="s">
        <v>28</v>
      </c>
      <c r="H13" t="s">
        <v>28</v>
      </c>
      <c r="I13" s="59" t="s">
        <v>28</v>
      </c>
      <c r="J13" t="s">
        <v>29</v>
      </c>
      <c r="K13" t="s">
        <v>59</v>
      </c>
      <c r="L13" t="s">
        <v>2141</v>
      </c>
      <c r="M13" s="100" t="str">
        <f t="shared" si="0"/>
        <v>TC_3_Try3_NCAP12_ NB_2R_CPD.MF4.xz</v>
      </c>
      <c r="N13" s="59" t="str">
        <f t="shared" si="1"/>
        <v>_NCAP12_ NB_2R_CPD.MF4.xz</v>
      </c>
      <c r="O13" s="129" t="s">
        <v>35</v>
      </c>
      <c r="P13" s="129"/>
    </row>
    <row r="14" spans="1:21">
      <c r="A14" s="77">
        <v>3</v>
      </c>
      <c r="B14" t="s">
        <v>2133</v>
      </c>
      <c r="C14" t="s">
        <v>25</v>
      </c>
      <c r="D14" s="97" t="e">
        <f>_xlfn.XLOOKUP(A14,[1]CPD_SOP_new!$A:$A,[1]CPD_SOP_new!#REF!,"not found",0 )</f>
        <v>#REF!</v>
      </c>
      <c r="E14" s="97" t="str">
        <f>_xlfn.XLOOKUP(A14,[1]CPD_SOP_new!$A:$A,[1]CPD_SOP_new!$K:$K,"not found",0 )</f>
        <v>2R</v>
      </c>
      <c r="F14" t="s">
        <v>27</v>
      </c>
      <c r="G14" t="s">
        <v>28</v>
      </c>
      <c r="H14" t="s">
        <v>28</v>
      </c>
      <c r="I14" s="59" t="s">
        <v>28</v>
      </c>
      <c r="J14" t="s">
        <v>29</v>
      </c>
      <c r="K14" s="132" t="s">
        <v>60</v>
      </c>
      <c r="L14" s="132" t="s">
        <v>2142</v>
      </c>
      <c r="M14" s="100" t="str">
        <f t="shared" si="0"/>
        <v>CSR_XCP_Signals_Recorder_2026-01-12_13-44-04_TC3_NCAP12_ NB_2R_CPD.MF4.xz</v>
      </c>
      <c r="N14" s="59" t="str">
        <f t="shared" si="1"/>
        <v>_NCAP12_ NB_2R_CPD.MF4.xz</v>
      </c>
      <c r="O14" s="129" t="s">
        <v>41</v>
      </c>
      <c r="P14" s="129"/>
    </row>
    <row r="15" spans="1:21">
      <c r="A15" s="77">
        <v>3</v>
      </c>
      <c r="B15" t="s">
        <v>2133</v>
      </c>
      <c r="C15" t="s">
        <v>25</v>
      </c>
      <c r="D15" s="97" t="e">
        <f>_xlfn.XLOOKUP(A15,[1]CPD_SOP_new!$A:$A,[1]CPD_SOP_new!#REF!,"not found",0 )</f>
        <v>#REF!</v>
      </c>
      <c r="E15" s="97" t="str">
        <f>_xlfn.XLOOKUP(A15,[1]CPD_SOP_new!$A:$A,[1]CPD_SOP_new!$K:$K,"not found",0 )</f>
        <v>2R</v>
      </c>
      <c r="F15" t="s">
        <v>27</v>
      </c>
      <c r="G15" t="s">
        <v>28</v>
      </c>
      <c r="H15" t="s">
        <v>28</v>
      </c>
      <c r="I15" s="59" t="s">
        <v>28</v>
      </c>
      <c r="J15" t="s">
        <v>29</v>
      </c>
      <c r="K15" s="132" t="s">
        <v>63</v>
      </c>
      <c r="L15" s="132" t="s">
        <v>2143</v>
      </c>
      <c r="M15" s="100" t="str">
        <f t="shared" si="0"/>
        <v>SmokeTest_CPD_TC3_NCAP12_ NB_2R_CPD.MF4.xz</v>
      </c>
      <c r="N15" s="59" t="str">
        <f t="shared" si="1"/>
        <v>_NCAP12_ NB_2R_CPD.MF4.xz</v>
      </c>
      <c r="O15" s="129" t="s">
        <v>41</v>
      </c>
      <c r="P15" s="129"/>
    </row>
    <row r="16" spans="1:21" s="130" customFormat="1">
      <c r="A16" s="78">
        <v>5</v>
      </c>
      <c r="B16" s="130" t="s">
        <v>2133</v>
      </c>
      <c r="C16" s="130" t="s">
        <v>25</v>
      </c>
      <c r="D16" s="97" t="e">
        <f>_xlfn.XLOOKUP(A16,[1]CPD_SOP_new!$A:$A,[1]CPD_SOP_new!#REF!,"not found",0 )</f>
        <v>#REF!</v>
      </c>
      <c r="E16" s="97" t="str">
        <f>_xlfn.XLOOKUP(A16,[1]CPD_SOP_new!$A:$A,[1]CPD_SOP_new!$K:$K,"not found",0 )</f>
        <v>2L</v>
      </c>
      <c r="F16" s="130" t="s">
        <v>27</v>
      </c>
      <c r="G16" s="130" t="s">
        <v>28</v>
      </c>
      <c r="H16" s="130" t="s">
        <v>28</v>
      </c>
      <c r="I16" s="130" t="s">
        <v>27</v>
      </c>
      <c r="J16" s="130" t="s">
        <v>29</v>
      </c>
      <c r="K16" s="130" t="s">
        <v>720</v>
      </c>
      <c r="L16" s="130" t="s">
        <v>723</v>
      </c>
      <c r="M16" s="100" t="str">
        <f t="shared" si="0"/>
        <v>Wrong measurement</v>
      </c>
      <c r="N16" s="59" t="str">
        <f t="shared" si="1"/>
        <v>Wrong measurement</v>
      </c>
      <c r="O16" s="130" t="s">
        <v>33</v>
      </c>
    </row>
    <row r="17" spans="1:16">
      <c r="A17" s="77">
        <v>5</v>
      </c>
      <c r="B17" t="s">
        <v>2133</v>
      </c>
      <c r="C17" t="s">
        <v>25</v>
      </c>
      <c r="D17" s="97" t="e">
        <f>_xlfn.XLOOKUP(A17,[1]CPD_SOP_new!$A:$A,[1]CPD_SOP_new!#REF!,"not found",0 )</f>
        <v>#REF!</v>
      </c>
      <c r="E17" s="97" t="str">
        <f>_xlfn.XLOOKUP(A17,[1]CPD_SOP_new!$A:$A,[1]CPD_SOP_new!$K:$K,"not found",0 )</f>
        <v>2L</v>
      </c>
      <c r="F17" t="s">
        <v>27</v>
      </c>
      <c r="G17" t="s">
        <v>28</v>
      </c>
      <c r="H17" t="s">
        <v>28</v>
      </c>
      <c r="I17" s="59" t="s">
        <v>28</v>
      </c>
      <c r="J17" t="s">
        <v>29</v>
      </c>
      <c r="K17" t="s">
        <v>70</v>
      </c>
      <c r="L17" t="s">
        <v>2144</v>
      </c>
      <c r="M17" s="100" t="str">
        <f t="shared" si="0"/>
        <v>TC_5_Try1_NCAP12_ NB_2L_CPD.MF4.xz</v>
      </c>
      <c r="N17" s="59" t="str">
        <f t="shared" si="1"/>
        <v>_NCAP12_ NB_2L_CPD.MF4.xz</v>
      </c>
      <c r="O17" s="129" t="s">
        <v>35</v>
      </c>
      <c r="P17" s="129"/>
    </row>
    <row r="18" spans="1:16">
      <c r="A18" s="77">
        <v>5</v>
      </c>
      <c r="B18" t="s">
        <v>2133</v>
      </c>
      <c r="C18" t="s">
        <v>25</v>
      </c>
      <c r="D18" s="97" t="e">
        <f>_xlfn.XLOOKUP(A18,[1]CPD_SOP_new!$A:$A,[1]CPD_SOP_new!#REF!,"not found",0 )</f>
        <v>#REF!</v>
      </c>
      <c r="E18" s="97" t="str">
        <f>_xlfn.XLOOKUP(A18,[1]CPD_SOP_new!$A:$A,[1]CPD_SOP_new!$K:$K,"not found",0 )</f>
        <v>2L</v>
      </c>
      <c r="F18" t="s">
        <v>27</v>
      </c>
      <c r="G18" t="s">
        <v>28</v>
      </c>
      <c r="H18" t="s">
        <v>28</v>
      </c>
      <c r="I18" s="59" t="s">
        <v>28</v>
      </c>
      <c r="J18" t="s">
        <v>29</v>
      </c>
      <c r="K18" t="s">
        <v>72</v>
      </c>
      <c r="L18" t="s">
        <v>2145</v>
      </c>
      <c r="M18" s="100" t="str">
        <f t="shared" si="0"/>
        <v>TC_5_Try2_NCAP12_ NB_2L_CPD.MF4.xz</v>
      </c>
      <c r="N18" s="59" t="str">
        <f t="shared" si="1"/>
        <v>_NCAP12_ NB_2L_CPD.MF4.xz</v>
      </c>
      <c r="O18" s="129" t="s">
        <v>35</v>
      </c>
      <c r="P18" s="129"/>
    </row>
    <row r="19" spans="1:16">
      <c r="A19" s="77">
        <v>5</v>
      </c>
      <c r="B19" t="s">
        <v>2133</v>
      </c>
      <c r="C19" t="s">
        <v>25</v>
      </c>
      <c r="D19" s="97" t="e">
        <f>_xlfn.XLOOKUP(A19,[1]CPD_SOP_new!$A:$A,[1]CPD_SOP_new!#REF!,"not found",0 )</f>
        <v>#REF!</v>
      </c>
      <c r="E19" s="97" t="str">
        <f>_xlfn.XLOOKUP(A19,[1]CPD_SOP_new!$A:$A,[1]CPD_SOP_new!$K:$K,"not found",0 )</f>
        <v>2L</v>
      </c>
      <c r="F19" t="s">
        <v>27</v>
      </c>
      <c r="G19" t="s">
        <v>28</v>
      </c>
      <c r="H19" t="s">
        <v>28</v>
      </c>
      <c r="I19" s="59" t="s">
        <v>28</v>
      </c>
      <c r="J19" t="s">
        <v>29</v>
      </c>
      <c r="K19" t="s">
        <v>73</v>
      </c>
      <c r="L19" t="s">
        <v>2146</v>
      </c>
      <c r="M19" s="100" t="str">
        <f t="shared" si="0"/>
        <v>TC_5_Try3_NCAP12_ NB_2L_CPD.MF4.xz</v>
      </c>
      <c r="N19" s="59" t="str">
        <f t="shared" si="1"/>
        <v>_NCAP12_ NB_2L_CPD.MF4.xz</v>
      </c>
      <c r="O19" s="129" t="s">
        <v>35</v>
      </c>
      <c r="P19" s="129"/>
    </row>
    <row r="20" spans="1:16">
      <c r="A20" s="77">
        <v>7</v>
      </c>
      <c r="B20" t="s">
        <v>2133</v>
      </c>
      <c r="C20" t="s">
        <v>25</v>
      </c>
      <c r="D20" s="97" t="e">
        <f>_xlfn.XLOOKUP(A20,[1]CPD_SOP_new!$A:$A,[1]CPD_SOP_new!#REF!,"not found",0 )</f>
        <v>#REF!</v>
      </c>
      <c r="E20" s="97" t="str">
        <f>_xlfn.XLOOKUP(A20,[1]CPD_SOP_new!$A:$A,[1]CPD_SOP_new!$K:$K,"not found",0 )</f>
        <v>3R</v>
      </c>
      <c r="F20" t="s">
        <v>27</v>
      </c>
      <c r="G20" t="s">
        <v>28</v>
      </c>
      <c r="H20" t="s">
        <v>28</v>
      </c>
      <c r="I20" s="59" t="s">
        <v>28</v>
      </c>
      <c r="J20" t="s">
        <v>29</v>
      </c>
      <c r="K20" t="s">
        <v>75</v>
      </c>
      <c r="L20" t="s">
        <v>2147</v>
      </c>
      <c r="M20" s="100" t="str">
        <f t="shared" si="0"/>
        <v>TC_7_NCAP12_ NB_3R_CPD.MF4.xz</v>
      </c>
      <c r="N20" s="59" t="str">
        <f t="shared" si="1"/>
        <v>_NCAP12_ NB_3R_CPD.MF4.xz</v>
      </c>
      <c r="O20" t="s">
        <v>33</v>
      </c>
    </row>
    <row r="21" spans="1:16">
      <c r="A21" s="77">
        <v>7</v>
      </c>
      <c r="B21" t="s">
        <v>2133</v>
      </c>
      <c r="C21" t="s">
        <v>25</v>
      </c>
      <c r="D21" s="97" t="e">
        <f>_xlfn.XLOOKUP(A21,[1]CPD_SOP_new!$A:$A,[1]CPD_SOP_new!#REF!,"not found",0 )</f>
        <v>#REF!</v>
      </c>
      <c r="E21" s="97" t="str">
        <f>_xlfn.XLOOKUP(A21,[1]CPD_SOP_new!$A:$A,[1]CPD_SOP_new!$K:$K,"not found",0 )</f>
        <v>3R</v>
      </c>
      <c r="F21" t="s">
        <v>27</v>
      </c>
      <c r="G21" t="s">
        <v>28</v>
      </c>
      <c r="H21" t="s">
        <v>28</v>
      </c>
      <c r="I21" s="59" t="s">
        <v>28</v>
      </c>
      <c r="J21" t="s">
        <v>29</v>
      </c>
      <c r="K21" s="60" t="s">
        <v>77</v>
      </c>
      <c r="L21" t="s">
        <v>2148</v>
      </c>
      <c r="M21" s="100" t="str">
        <f t="shared" si="0"/>
        <v>TC_7_Try1_NCAP12_ NB_3R_CPD.MF4.xz</v>
      </c>
      <c r="N21" s="59" t="str">
        <f t="shared" si="1"/>
        <v>_NCAP12_ NB_3R_CPD.MF4.xz</v>
      </c>
      <c r="O21" s="129" t="s">
        <v>35</v>
      </c>
      <c r="P21" s="129"/>
    </row>
    <row r="22" spans="1:16">
      <c r="A22" s="77">
        <v>7</v>
      </c>
      <c r="B22" t="s">
        <v>2133</v>
      </c>
      <c r="C22" t="s">
        <v>25</v>
      </c>
      <c r="D22" s="97" t="e">
        <f>_xlfn.XLOOKUP(A22,[1]CPD_SOP_new!$A:$A,[1]CPD_SOP_new!#REF!,"not found",0 )</f>
        <v>#REF!</v>
      </c>
      <c r="E22" s="97" t="str">
        <f>_xlfn.XLOOKUP(A22,[1]CPD_SOP_new!$A:$A,[1]CPD_SOP_new!$K:$K,"not found",0 )</f>
        <v>3R</v>
      </c>
      <c r="F22" t="s">
        <v>27</v>
      </c>
      <c r="G22" t="s">
        <v>28</v>
      </c>
      <c r="H22" t="s">
        <v>28</v>
      </c>
      <c r="I22" s="59" t="s">
        <v>28</v>
      </c>
      <c r="J22" t="s">
        <v>29</v>
      </c>
      <c r="K22" s="60" t="s">
        <v>79</v>
      </c>
      <c r="L22" t="s">
        <v>2149</v>
      </c>
      <c r="M22" s="100" t="str">
        <f t="shared" si="0"/>
        <v>TC_7_Try2_NCAP12_ NB_3R_CPD.MF4.xz</v>
      </c>
      <c r="N22" s="59" t="str">
        <f t="shared" si="1"/>
        <v>_NCAP12_ NB_3R_CPD.MF4.xz</v>
      </c>
      <c r="O22" s="129" t="s">
        <v>35</v>
      </c>
      <c r="P22" s="129"/>
    </row>
    <row r="23" spans="1:16">
      <c r="A23" s="77">
        <v>7</v>
      </c>
      <c r="B23" t="s">
        <v>2133</v>
      </c>
      <c r="C23" t="s">
        <v>25</v>
      </c>
      <c r="D23" s="97" t="e">
        <f>_xlfn.XLOOKUP(A23,[1]CPD_SOP_new!$A:$A,[1]CPD_SOP_new!#REF!,"not found",0 )</f>
        <v>#REF!</v>
      </c>
      <c r="E23" s="97" t="str">
        <f>_xlfn.XLOOKUP(A23,[1]CPD_SOP_new!$A:$A,[1]CPD_SOP_new!$K:$K,"not found",0 )</f>
        <v>3R</v>
      </c>
      <c r="F23" t="s">
        <v>27</v>
      </c>
      <c r="G23" t="s">
        <v>28</v>
      </c>
      <c r="H23" t="s">
        <v>28</v>
      </c>
      <c r="I23" s="59" t="s">
        <v>28</v>
      </c>
      <c r="J23" t="s">
        <v>29</v>
      </c>
      <c r="K23" t="s">
        <v>80</v>
      </c>
      <c r="L23" t="s">
        <v>2150</v>
      </c>
      <c r="M23" s="100" t="str">
        <f t="shared" si="0"/>
        <v>TC_7_Try3_NCAP12_ NB_3R_CPD.MF4.xz</v>
      </c>
      <c r="N23" s="59" t="str">
        <f t="shared" si="1"/>
        <v>_NCAP12_ NB_3R_CPD.MF4.xz</v>
      </c>
      <c r="O23" s="129" t="s">
        <v>35</v>
      </c>
      <c r="P23" s="129"/>
    </row>
    <row r="24" spans="1:16">
      <c r="A24" s="77">
        <v>7</v>
      </c>
      <c r="B24" t="s">
        <v>2133</v>
      </c>
      <c r="C24" t="s">
        <v>25</v>
      </c>
      <c r="D24" s="97" t="e">
        <f>_xlfn.XLOOKUP(A24,[1]CPD_SOP_new!$A:$A,[1]CPD_SOP_new!#REF!,"not found",0 )</f>
        <v>#REF!</v>
      </c>
      <c r="E24" s="97" t="str">
        <f>_xlfn.XLOOKUP(A24,[1]CPD_SOP_new!$A:$A,[1]CPD_SOP_new!$K:$K,"not found",0 )</f>
        <v>3R</v>
      </c>
      <c r="F24" t="s">
        <v>27</v>
      </c>
      <c r="G24" t="s">
        <v>28</v>
      </c>
      <c r="H24" t="s">
        <v>28</v>
      </c>
      <c r="I24" s="59" t="s">
        <v>28</v>
      </c>
      <c r="J24" t="s">
        <v>29</v>
      </c>
      <c r="K24" s="132" t="s">
        <v>81</v>
      </c>
      <c r="L24" s="132" t="s">
        <v>2151</v>
      </c>
      <c r="M24" s="100" t="str">
        <f t="shared" si="0"/>
        <v>CSR_XCP_Signals_Recorder_2026-01-12_14-03-32_TC7_NCAP12_ NB_3R_CPD.MF4.xz</v>
      </c>
      <c r="N24" s="59" t="str">
        <f t="shared" si="1"/>
        <v>_NCAP12_ NB_3R_CPD.MF4.xz</v>
      </c>
      <c r="O24" s="129" t="s">
        <v>41</v>
      </c>
      <c r="P24" s="129"/>
    </row>
    <row r="25" spans="1:16">
      <c r="A25" s="77">
        <v>7</v>
      </c>
      <c r="B25" t="s">
        <v>2133</v>
      </c>
      <c r="C25" t="s">
        <v>25</v>
      </c>
      <c r="D25" s="97" t="e">
        <f>_xlfn.XLOOKUP(A25,[1]CPD_SOP_new!$A:$A,[1]CPD_SOP_new!#REF!,"not found",0 )</f>
        <v>#REF!</v>
      </c>
      <c r="E25" s="97" t="str">
        <f>_xlfn.XLOOKUP(A25,[1]CPD_SOP_new!$A:$A,[1]CPD_SOP_new!$K:$K,"not found",0 )</f>
        <v>3R</v>
      </c>
      <c r="F25" t="s">
        <v>27</v>
      </c>
      <c r="G25" t="s">
        <v>28</v>
      </c>
      <c r="H25" t="s">
        <v>28</v>
      </c>
      <c r="I25" s="59" t="s">
        <v>28</v>
      </c>
      <c r="J25" t="s">
        <v>29</v>
      </c>
      <c r="K25" s="132" t="s">
        <v>83</v>
      </c>
      <c r="L25" s="132" t="s">
        <v>2152</v>
      </c>
      <c r="M25" s="100" t="str">
        <f t="shared" si="0"/>
        <v>SmokeTest_CPD_TC7_NCAP12_ NB_3R_CPD.MF4.xz</v>
      </c>
      <c r="N25" s="59" t="str">
        <f t="shared" si="1"/>
        <v>_NCAP12_ NB_3R_CPD.MF4.xz</v>
      </c>
      <c r="O25" s="129" t="s">
        <v>41</v>
      </c>
      <c r="P25" s="129"/>
    </row>
    <row r="26" spans="1:16">
      <c r="A26" s="77">
        <v>9</v>
      </c>
      <c r="B26" t="s">
        <v>2133</v>
      </c>
      <c r="C26" t="s">
        <v>48</v>
      </c>
      <c r="D26" s="97" t="e">
        <f>_xlfn.XLOOKUP(A26,[1]CPD_SOP_new!$A:$A,[1]CPD_SOP_new!#REF!,"not found",0 )</f>
        <v>#REF!</v>
      </c>
      <c r="E26" s="97" t="s">
        <v>26</v>
      </c>
      <c r="F26" t="s">
        <v>28</v>
      </c>
      <c r="G26" t="s">
        <v>28</v>
      </c>
      <c r="H26" t="s">
        <v>28</v>
      </c>
      <c r="I26" s="59" t="s">
        <v>28</v>
      </c>
      <c r="J26" t="s">
        <v>29</v>
      </c>
      <c r="K26" t="s">
        <v>85</v>
      </c>
      <c r="L26" t="s">
        <v>2153</v>
      </c>
      <c r="M26" s="100" t="str">
        <f t="shared" si="0"/>
        <v>CPD_TC9_Try1_NCAP12_1YO_1R_CPD.MF4.xz</v>
      </c>
      <c r="N26" s="59" t="str">
        <f t="shared" si="1"/>
        <v>_NCAP12_1YO_1R_CPD.MF4.xz</v>
      </c>
      <c r="O26" s="129" t="s">
        <v>86</v>
      </c>
      <c r="P26" s="129"/>
    </row>
    <row r="27" spans="1:16">
      <c r="A27" s="77">
        <v>9</v>
      </c>
      <c r="B27" t="s">
        <v>2133</v>
      </c>
      <c r="C27" t="s">
        <v>48</v>
      </c>
      <c r="D27" s="97" t="e">
        <f>_xlfn.XLOOKUP(A27,[1]CPD_SOP_new!$A:$A,[1]CPD_SOP_new!#REF!,"not found",0 )</f>
        <v>#REF!</v>
      </c>
      <c r="E27" s="97" t="s">
        <v>26</v>
      </c>
      <c r="F27" t="s">
        <v>28</v>
      </c>
      <c r="G27" t="s">
        <v>28</v>
      </c>
      <c r="H27" t="s">
        <v>28</v>
      </c>
      <c r="I27" s="59" t="s">
        <v>28</v>
      </c>
      <c r="J27" t="s">
        <v>29</v>
      </c>
      <c r="K27" t="s">
        <v>88</v>
      </c>
      <c r="L27" t="s">
        <v>2154</v>
      </c>
      <c r="M27" s="100" t="str">
        <f t="shared" si="0"/>
        <v>CPD_TC9_Try2_NCAP12_1YO_1R_CPD.MF4.xz</v>
      </c>
      <c r="N27" s="59" t="str">
        <f t="shared" si="1"/>
        <v>_NCAP12_1YO_1R_CPD.MF4.xz</v>
      </c>
      <c r="O27" s="129" t="s">
        <v>86</v>
      </c>
      <c r="P27" s="129"/>
    </row>
    <row r="28" spans="1:16">
      <c r="A28" s="77">
        <v>9</v>
      </c>
      <c r="B28" t="s">
        <v>2133</v>
      </c>
      <c r="C28" t="s">
        <v>48</v>
      </c>
      <c r="D28" s="97" t="e">
        <f>_xlfn.XLOOKUP(A28,[1]CPD_SOP_new!$A:$A,[1]CPD_SOP_new!#REF!,"not found",0 )</f>
        <v>#REF!</v>
      </c>
      <c r="E28" s="97" t="s">
        <v>26</v>
      </c>
      <c r="F28" t="s">
        <v>28</v>
      </c>
      <c r="G28" t="s">
        <v>28</v>
      </c>
      <c r="H28" t="s">
        <v>28</v>
      </c>
      <c r="I28" s="59" t="s">
        <v>28</v>
      </c>
      <c r="J28" t="s">
        <v>29</v>
      </c>
      <c r="K28" t="s">
        <v>89</v>
      </c>
      <c r="L28" t="s">
        <v>2155</v>
      </c>
      <c r="M28" s="100" t="str">
        <f t="shared" si="0"/>
        <v>CPD_TC9_Try3_NCAP12_1YO_1R_CPD.MF4.xz</v>
      </c>
      <c r="N28" s="59" t="str">
        <f t="shared" si="1"/>
        <v>_NCAP12_1YO_1R_CPD.MF4.xz</v>
      </c>
      <c r="O28" s="129" t="s">
        <v>86</v>
      </c>
      <c r="P28" s="129"/>
    </row>
    <row r="29" spans="1:16">
      <c r="A29" s="77">
        <v>9</v>
      </c>
      <c r="B29" t="s">
        <v>2133</v>
      </c>
      <c r="C29" t="s">
        <v>48</v>
      </c>
      <c r="D29" s="97" t="e">
        <f>_xlfn.XLOOKUP(A29,[1]CPD_SOP_new!$A:$A,[1]CPD_SOP_new!#REF!,"not found",0 )</f>
        <v>#REF!</v>
      </c>
      <c r="E29" s="97" t="s">
        <v>26</v>
      </c>
      <c r="F29" t="s">
        <v>28</v>
      </c>
      <c r="G29" t="s">
        <v>28</v>
      </c>
      <c r="H29" t="s">
        <v>28</v>
      </c>
      <c r="I29" s="59" t="s">
        <v>28</v>
      </c>
      <c r="J29" t="s">
        <v>29</v>
      </c>
      <c r="K29" t="s">
        <v>90</v>
      </c>
      <c r="L29" t="s">
        <v>2156</v>
      </c>
      <c r="M29" s="100" t="str">
        <f t="shared" si="0"/>
        <v>CPD_TC9_Try4_NCAP12_1YO_1R_CPD.MF4.xz</v>
      </c>
      <c r="N29" s="59" t="str">
        <f t="shared" si="1"/>
        <v>_NCAP12_1YO_1R_CPD.MF4.xz</v>
      </c>
      <c r="O29" s="129" t="s">
        <v>86</v>
      </c>
      <c r="P29" s="129"/>
    </row>
    <row r="30" spans="1:16">
      <c r="A30" s="77">
        <v>9</v>
      </c>
      <c r="B30" t="s">
        <v>2133</v>
      </c>
      <c r="C30" t="s">
        <v>48</v>
      </c>
      <c r="D30" s="97" t="e">
        <f>_xlfn.XLOOKUP(A30,[1]CPD_SOP_new!$A:$A,[1]CPD_SOP_new!#REF!,"not found",0 )</f>
        <v>#REF!</v>
      </c>
      <c r="E30" s="97" t="s">
        <v>26</v>
      </c>
      <c r="F30" t="s">
        <v>28</v>
      </c>
      <c r="G30" t="s">
        <v>28</v>
      </c>
      <c r="H30" t="s">
        <v>28</v>
      </c>
      <c r="I30" s="59" t="s">
        <v>28</v>
      </c>
      <c r="J30" t="s">
        <v>29</v>
      </c>
      <c r="K30" t="s">
        <v>91</v>
      </c>
      <c r="L30" t="s">
        <v>2157</v>
      </c>
      <c r="M30" s="100" t="str">
        <f t="shared" si="0"/>
        <v>CPD_TC9_Try5_NCAP12_1YO_1R_CPD.MF4.xz</v>
      </c>
      <c r="N30" s="59" t="str">
        <f t="shared" si="1"/>
        <v>_NCAP12_1YO_1R_CPD.MF4.xz</v>
      </c>
      <c r="O30" s="129" t="s">
        <v>86</v>
      </c>
      <c r="P30" s="129"/>
    </row>
    <row r="31" spans="1:16">
      <c r="A31" s="77">
        <v>10</v>
      </c>
      <c r="B31" t="s">
        <v>2133</v>
      </c>
      <c r="C31" t="s">
        <v>48</v>
      </c>
      <c r="D31" s="97" t="e">
        <f>_xlfn.XLOOKUP(A31,[1]CPD_SOP_new!$A:$A,[1]CPD_SOP_new!#REF!,"not found",0 )</f>
        <v>#REF!</v>
      </c>
      <c r="E31" s="97" t="str">
        <f>_xlfn.XLOOKUP(A31,[1]CPD_SOP_new!$A:$A,[1]CPD_SOP_new!$K:$K,"not found",0 )</f>
        <v>2R</v>
      </c>
      <c r="F31" t="s">
        <v>27</v>
      </c>
      <c r="G31" t="s">
        <v>28</v>
      </c>
      <c r="H31" t="s">
        <v>28</v>
      </c>
      <c r="I31" s="59" t="s">
        <v>28</v>
      </c>
      <c r="J31" t="s">
        <v>29</v>
      </c>
      <c r="K31" t="s">
        <v>92</v>
      </c>
      <c r="L31" t="s">
        <v>2158</v>
      </c>
      <c r="M31" s="100" t="str">
        <f t="shared" si="0"/>
        <v>TC_10_NCAP12_1YO_2R_CPD.MF4.xz</v>
      </c>
      <c r="N31" s="59" t="str">
        <f t="shared" si="1"/>
        <v>_NCAP12_1YO_2R_CPD.MF4.xz</v>
      </c>
      <c r="O31" s="129" t="s">
        <v>93</v>
      </c>
      <c r="P31" s="129"/>
    </row>
    <row r="32" spans="1:16">
      <c r="A32" s="77">
        <v>10</v>
      </c>
      <c r="B32" t="s">
        <v>2133</v>
      </c>
      <c r="C32" t="s">
        <v>48</v>
      </c>
      <c r="D32" s="97" t="e">
        <f>_xlfn.XLOOKUP(A32,[1]CPD_SOP_new!$A:$A,[1]CPD_SOP_new!#REF!,"not found",0 )</f>
        <v>#REF!</v>
      </c>
      <c r="E32" s="97" t="str">
        <f>_xlfn.XLOOKUP(A32,[1]CPD_SOP_new!$A:$A,[1]CPD_SOP_new!$K:$K,"not found",0 )</f>
        <v>2R</v>
      </c>
      <c r="F32" t="s">
        <v>27</v>
      </c>
      <c r="G32" t="s">
        <v>28</v>
      </c>
      <c r="H32" t="s">
        <v>28</v>
      </c>
      <c r="I32" s="59" t="s">
        <v>28</v>
      </c>
      <c r="J32" t="s">
        <v>29</v>
      </c>
      <c r="K32" t="s">
        <v>95</v>
      </c>
      <c r="L32" t="s">
        <v>2159</v>
      </c>
      <c r="M32" s="100" t="str">
        <f t="shared" si="0"/>
        <v>TC_10_Try_2_NCAP12_1YO_2R_CPD.MF4.xz</v>
      </c>
      <c r="N32" s="59" t="str">
        <f t="shared" si="1"/>
        <v>_NCAP12_1YO_2R_CPD.MF4.xz</v>
      </c>
      <c r="O32" s="129" t="s">
        <v>93</v>
      </c>
      <c r="P32" s="129"/>
    </row>
    <row r="33" spans="1:16">
      <c r="A33" s="77">
        <v>10</v>
      </c>
      <c r="B33" t="s">
        <v>2133</v>
      </c>
      <c r="C33" t="s">
        <v>48</v>
      </c>
      <c r="D33" s="97" t="e">
        <f>_xlfn.XLOOKUP(A33,[1]CPD_SOP_new!$A:$A,[1]CPD_SOP_new!#REF!,"not found",0 )</f>
        <v>#REF!</v>
      </c>
      <c r="E33" s="97" t="str">
        <f>_xlfn.XLOOKUP(A33,[1]CPD_SOP_new!$A:$A,[1]CPD_SOP_new!$K:$K,"not found",0 )</f>
        <v>2R</v>
      </c>
      <c r="F33" t="s">
        <v>27</v>
      </c>
      <c r="G33" t="s">
        <v>28</v>
      </c>
      <c r="H33" t="s">
        <v>28</v>
      </c>
      <c r="I33" s="59" t="s">
        <v>28</v>
      </c>
      <c r="J33" t="s">
        <v>29</v>
      </c>
      <c r="K33" t="s">
        <v>96</v>
      </c>
      <c r="L33" t="s">
        <v>2160</v>
      </c>
      <c r="M33" s="100" t="str">
        <f t="shared" si="0"/>
        <v>TC_10_Try_3_NCAP12_1YO_2R_CPD.MF4.xz</v>
      </c>
      <c r="N33" s="59" t="str">
        <f t="shared" si="1"/>
        <v>_NCAP12_1YO_2R_CPD.MF4.xz</v>
      </c>
      <c r="O33" s="129" t="s">
        <v>93</v>
      </c>
      <c r="P33" s="129"/>
    </row>
    <row r="34" spans="1:16">
      <c r="A34" s="77">
        <v>10</v>
      </c>
      <c r="B34" t="s">
        <v>2133</v>
      </c>
      <c r="C34" t="s">
        <v>48</v>
      </c>
      <c r="D34" s="97" t="e">
        <f>_xlfn.XLOOKUP(A34,[1]CPD_SOP_new!$A:$A,[1]CPD_SOP_new!#REF!,"not found",0 )</f>
        <v>#REF!</v>
      </c>
      <c r="E34" s="97" t="str">
        <f>_xlfn.XLOOKUP(A34,[1]CPD_SOP_new!$A:$A,[1]CPD_SOP_new!$K:$K,"not found",0 )</f>
        <v>2R</v>
      </c>
      <c r="F34" t="s">
        <v>27</v>
      </c>
      <c r="G34" t="s">
        <v>28</v>
      </c>
      <c r="H34" t="s">
        <v>28</v>
      </c>
      <c r="I34" s="59" t="s">
        <v>28</v>
      </c>
      <c r="J34" t="s">
        <v>29</v>
      </c>
      <c r="K34" s="60" t="s">
        <v>97</v>
      </c>
      <c r="L34" t="s">
        <v>2161</v>
      </c>
      <c r="M34" s="100" t="str">
        <f t="shared" si="0"/>
        <v>TC_10_Try1_NCAP12_1YO_2R_CPD.MF4.xz</v>
      </c>
      <c r="N34" s="59" t="str">
        <f t="shared" si="1"/>
        <v>_NCAP12_1YO_2R_CPD.MF4.xz</v>
      </c>
      <c r="O34" s="129" t="s">
        <v>98</v>
      </c>
      <c r="P34" s="129"/>
    </row>
    <row r="35" spans="1:16">
      <c r="A35" s="77">
        <v>10</v>
      </c>
      <c r="B35" t="s">
        <v>2133</v>
      </c>
      <c r="C35" t="s">
        <v>48</v>
      </c>
      <c r="D35" s="97" t="e">
        <f>_xlfn.XLOOKUP(A35,[1]CPD_SOP_new!$A:$A,[1]CPD_SOP_new!#REF!,"not found",0 )</f>
        <v>#REF!</v>
      </c>
      <c r="E35" s="97" t="str">
        <f>_xlfn.XLOOKUP(A35,[1]CPD_SOP_new!$A:$A,[1]CPD_SOP_new!$K:$K,"not found",0 )</f>
        <v>2R</v>
      </c>
      <c r="F35" t="s">
        <v>27</v>
      </c>
      <c r="G35" t="s">
        <v>28</v>
      </c>
      <c r="H35" t="s">
        <v>28</v>
      </c>
      <c r="I35" s="59" t="s">
        <v>28</v>
      </c>
      <c r="J35" t="s">
        <v>29</v>
      </c>
      <c r="K35" t="s">
        <v>99</v>
      </c>
      <c r="L35" t="s">
        <v>2162</v>
      </c>
      <c r="M35" s="100" t="str">
        <f t="shared" si="0"/>
        <v>TC_10_Try2_NCAP12_1YO_2R_CPD.MF4.xz</v>
      </c>
      <c r="N35" s="59" t="str">
        <f t="shared" si="1"/>
        <v>_NCAP12_1YO_2R_CPD.MF4.xz</v>
      </c>
      <c r="O35" s="129" t="s">
        <v>98</v>
      </c>
      <c r="P35" s="129"/>
    </row>
    <row r="36" spans="1:16">
      <c r="A36" s="77">
        <v>10</v>
      </c>
      <c r="B36" t="s">
        <v>2133</v>
      </c>
      <c r="C36" t="s">
        <v>48</v>
      </c>
      <c r="D36" s="97" t="e">
        <f>_xlfn.XLOOKUP(A36,[1]CPD_SOP_new!$A:$A,[1]CPD_SOP_new!#REF!,"not found",0 )</f>
        <v>#REF!</v>
      </c>
      <c r="E36" s="97" t="str">
        <f>_xlfn.XLOOKUP(A36,[1]CPD_SOP_new!$A:$A,[1]CPD_SOP_new!$K:$K,"not found",0 )</f>
        <v>2R</v>
      </c>
      <c r="F36" t="s">
        <v>27</v>
      </c>
      <c r="G36" t="s">
        <v>28</v>
      </c>
      <c r="H36" t="s">
        <v>28</v>
      </c>
      <c r="I36" s="59" t="s">
        <v>28</v>
      </c>
      <c r="J36" t="s">
        <v>29</v>
      </c>
      <c r="K36" t="s">
        <v>100</v>
      </c>
      <c r="L36" t="s">
        <v>2163</v>
      </c>
      <c r="M36" s="100" t="str">
        <f t="shared" si="0"/>
        <v>TC_10_Try3_NCAP12_1YO_2R_CPD.MF4.xz</v>
      </c>
      <c r="N36" s="59" t="str">
        <f t="shared" si="1"/>
        <v>_NCAP12_1YO_2R_CPD.MF4.xz</v>
      </c>
      <c r="O36" s="129" t="s">
        <v>98</v>
      </c>
      <c r="P36" s="129"/>
    </row>
    <row r="37" spans="1:16">
      <c r="A37" s="77">
        <v>10</v>
      </c>
      <c r="B37" t="s">
        <v>2133</v>
      </c>
      <c r="C37" t="s">
        <v>48</v>
      </c>
      <c r="D37" s="97" t="e">
        <f>_xlfn.XLOOKUP(A37,[1]CPD_SOP_new!$A:$A,[1]CPD_SOP_new!#REF!,"not found",0 )</f>
        <v>#REF!</v>
      </c>
      <c r="E37" s="97" t="str">
        <f>_xlfn.XLOOKUP(A37,[1]CPD_SOP_new!$A:$A,[1]CPD_SOP_new!$K:$K,"not found",0 )</f>
        <v>2R</v>
      </c>
      <c r="F37" t="s">
        <v>28</v>
      </c>
      <c r="G37" t="s">
        <v>28</v>
      </c>
      <c r="H37" t="s">
        <v>28</v>
      </c>
      <c r="I37" s="59" t="s">
        <v>28</v>
      </c>
      <c r="J37" t="s">
        <v>29</v>
      </c>
      <c r="K37" t="s">
        <v>101</v>
      </c>
      <c r="L37" t="s">
        <v>2164</v>
      </c>
      <c r="M37" s="100" t="str">
        <f t="shared" si="0"/>
        <v>CSR_XCP_Signals_Recorder_2025-12-15_10-07-29_TC10_2R_CPD_NCAP12_1YO_2R_CPD.MF4.xz</v>
      </c>
      <c r="N37" s="59" t="str">
        <f t="shared" si="1"/>
        <v>_NCAP12_1YO_2R_CPD.MF4.xz</v>
      </c>
      <c r="O37" s="129" t="s">
        <v>102</v>
      </c>
      <c r="P37" s="129"/>
    </row>
    <row r="38" spans="1:16">
      <c r="A38" s="77">
        <v>10</v>
      </c>
      <c r="B38" t="s">
        <v>2133</v>
      </c>
      <c r="C38" t="s">
        <v>48</v>
      </c>
      <c r="D38" s="97" t="e">
        <f>_xlfn.XLOOKUP(A38,[1]CPD_SOP_new!$A:$A,[1]CPD_SOP_new!#REF!,"not found",0 )</f>
        <v>#REF!</v>
      </c>
      <c r="E38" s="97" t="str">
        <f>_xlfn.XLOOKUP(A38,[1]CPD_SOP_new!$A:$A,[1]CPD_SOP_new!$K:$K,"not found",0 )</f>
        <v>2R</v>
      </c>
      <c r="F38" t="s">
        <v>28</v>
      </c>
      <c r="G38" t="s">
        <v>28</v>
      </c>
      <c r="H38" t="s">
        <v>28</v>
      </c>
      <c r="I38" s="59" t="s">
        <v>28</v>
      </c>
      <c r="J38" t="s">
        <v>29</v>
      </c>
      <c r="K38" t="s">
        <v>104</v>
      </c>
      <c r="L38" t="s">
        <v>2165</v>
      </c>
      <c r="M38" s="100" t="str">
        <f t="shared" si="0"/>
        <v>CSR_XCP_Signals_Recorder_2025-12-15_10-09-13_TC10_2R_CPD_NCAP12_1YO_2R_CPD.MF4.xz</v>
      </c>
      <c r="N38" s="59" t="str">
        <f t="shared" si="1"/>
        <v>_NCAP12_1YO_2R_CPD.MF4.xz</v>
      </c>
      <c r="O38" s="129" t="s">
        <v>102</v>
      </c>
      <c r="P38" s="129"/>
    </row>
    <row r="39" spans="1:16" s="130" customFormat="1">
      <c r="A39" s="78">
        <v>10</v>
      </c>
      <c r="B39" s="130" t="s">
        <v>2133</v>
      </c>
      <c r="C39" s="130" t="s">
        <v>48</v>
      </c>
      <c r="D39" s="97" t="e">
        <f>_xlfn.XLOOKUP(A39,[1]CPD_SOP_new!$A:$A,[1]CPD_SOP_new!#REF!,"not found",0 )</f>
        <v>#REF!</v>
      </c>
      <c r="E39" s="97" t="str">
        <f>_xlfn.XLOOKUP(A39,[1]CPD_SOP_new!$A:$A,[1]CPD_SOP_new!$K:$K,"not found",0 )</f>
        <v>2R</v>
      </c>
      <c r="F39" s="130" t="s">
        <v>28</v>
      </c>
      <c r="G39" s="130" t="s">
        <v>28</v>
      </c>
      <c r="H39" t="s">
        <v>28</v>
      </c>
      <c r="I39" s="130" t="s">
        <v>27</v>
      </c>
      <c r="J39" s="130" t="s">
        <v>29</v>
      </c>
      <c r="K39" s="61" t="s">
        <v>106</v>
      </c>
      <c r="L39" s="130" t="s">
        <v>723</v>
      </c>
      <c r="M39" s="100" t="str">
        <f t="shared" si="0"/>
        <v>Wrong measurement</v>
      </c>
      <c r="N39" s="59" t="str">
        <f t="shared" si="1"/>
        <v>Wrong measurement</v>
      </c>
      <c r="O39" s="131" t="s">
        <v>102</v>
      </c>
      <c r="P39" s="131"/>
    </row>
    <row r="40" spans="1:16">
      <c r="A40" s="77">
        <v>10</v>
      </c>
      <c r="B40" t="s">
        <v>2133</v>
      </c>
      <c r="C40" t="s">
        <v>48</v>
      </c>
      <c r="D40" s="97" t="e">
        <f>_xlfn.XLOOKUP(A40,[1]CPD_SOP_new!$A:$A,[1]CPD_SOP_new!#REF!,"not found",0 )</f>
        <v>#REF!</v>
      </c>
      <c r="E40" s="97" t="str">
        <f>_xlfn.XLOOKUP(A40,[1]CPD_SOP_new!$A:$A,[1]CPD_SOP_new!$K:$K,"not found",0 )</f>
        <v>2R</v>
      </c>
      <c r="F40" t="s">
        <v>28</v>
      </c>
      <c r="G40" t="s">
        <v>28</v>
      </c>
      <c r="H40" t="s">
        <v>28</v>
      </c>
      <c r="I40" s="59" t="s">
        <v>28</v>
      </c>
      <c r="J40" t="s">
        <v>29</v>
      </c>
      <c r="K40" s="60" t="s">
        <v>107</v>
      </c>
      <c r="L40" t="s">
        <v>2166</v>
      </c>
      <c r="M40" s="100" t="str">
        <f t="shared" si="0"/>
        <v>CSR_XCP_Signals_Recorder_2025-12-15_10-15-09_TC10_2R_CPD_NCAP12_1YO_2R_CPD.MF4.xz</v>
      </c>
      <c r="N40" s="59" t="str">
        <f t="shared" si="1"/>
        <v>_NCAP12_1YO_2R_CPD.MF4.xz</v>
      </c>
      <c r="O40" s="129" t="s">
        <v>102</v>
      </c>
      <c r="P40" s="129"/>
    </row>
    <row r="41" spans="1:16">
      <c r="A41" s="77">
        <v>10</v>
      </c>
      <c r="B41" t="s">
        <v>2133</v>
      </c>
      <c r="C41" t="s">
        <v>48</v>
      </c>
      <c r="D41" s="97" t="e">
        <f>_xlfn.XLOOKUP(A41,[1]CPD_SOP_new!$A:$A,[1]CPD_SOP_new!#REF!,"not found",0 )</f>
        <v>#REF!</v>
      </c>
      <c r="E41" s="97" t="str">
        <f>_xlfn.XLOOKUP(A41,[1]CPD_SOP_new!$A:$A,[1]CPD_SOP_new!$K:$K,"not found",0 )</f>
        <v>2R</v>
      </c>
      <c r="F41" t="s">
        <v>28</v>
      </c>
      <c r="G41" t="s">
        <v>28</v>
      </c>
      <c r="H41" t="s">
        <v>28</v>
      </c>
      <c r="I41" s="59" t="s">
        <v>28</v>
      </c>
      <c r="J41" t="s">
        <v>29</v>
      </c>
      <c r="K41" s="60" t="s">
        <v>108</v>
      </c>
      <c r="L41" t="s">
        <v>2167</v>
      </c>
      <c r="M41" s="100" t="str">
        <f t="shared" si="0"/>
        <v>CSR_XCP_Signals_Recorder_2025-12-15_10-18-01_TC10_2R_CPD_NCAP12_1YO_2R_CPD.MF4.xz</v>
      </c>
      <c r="N41" s="59" t="str">
        <f t="shared" si="1"/>
        <v>_NCAP12_1YO_2R_CPD.MF4.xz</v>
      </c>
      <c r="O41" s="129" t="s">
        <v>102</v>
      </c>
      <c r="P41" s="129"/>
    </row>
    <row r="42" spans="1:16">
      <c r="A42" s="77">
        <v>10</v>
      </c>
      <c r="B42" t="s">
        <v>2133</v>
      </c>
      <c r="C42" t="s">
        <v>48</v>
      </c>
      <c r="D42" s="97" t="e">
        <f>_xlfn.XLOOKUP(A42,[1]CPD_SOP_new!$A:$A,[1]CPD_SOP_new!#REF!,"not found",0 )</f>
        <v>#REF!</v>
      </c>
      <c r="E42" s="97" t="str">
        <f>_xlfn.XLOOKUP(A42,[1]CPD_SOP_new!$A:$A,[1]CPD_SOP_new!$K:$K,"not found",0 )</f>
        <v>2R</v>
      </c>
      <c r="F42" t="s">
        <v>27</v>
      </c>
      <c r="G42" t="s">
        <v>28</v>
      </c>
      <c r="H42" t="s">
        <v>28</v>
      </c>
      <c r="I42" s="59" t="s">
        <v>28</v>
      </c>
      <c r="J42" t="s">
        <v>29</v>
      </c>
      <c r="K42" s="132" t="s">
        <v>109</v>
      </c>
      <c r="L42" s="132" t="s">
        <v>2168</v>
      </c>
      <c r="M42" s="100" t="str">
        <f t="shared" si="0"/>
        <v>CSR_XCP_Signals_Recorder_2026-01-12_13-45-43_TC10_NCAP12_1YO_2R_CPD.MF4.xz</v>
      </c>
      <c r="N42" s="59" t="str">
        <f t="shared" si="1"/>
        <v>_NCAP12_1YO_2R_CPD.MF4.xz</v>
      </c>
      <c r="O42" s="129" t="s">
        <v>41</v>
      </c>
      <c r="P42" s="129"/>
    </row>
    <row r="43" spans="1:16">
      <c r="A43" s="77">
        <v>11</v>
      </c>
      <c r="B43" t="s">
        <v>2133</v>
      </c>
      <c r="C43" t="s">
        <v>48</v>
      </c>
      <c r="D43" s="97" t="e">
        <f>_xlfn.XLOOKUP(A43,[1]CPD_SOP_new!$A:$A,[1]CPD_SOP_new!#REF!,"not found",0 )</f>
        <v>#REF!</v>
      </c>
      <c r="E43" s="97" t="str">
        <f>_xlfn.XLOOKUP(A43,[1]CPD_SOP_new!$A:$A,[1]CPD_SOP_new!$K:$K,"not found",0 )</f>
        <v>2L</v>
      </c>
      <c r="F43" t="s">
        <v>28</v>
      </c>
      <c r="G43" t="s">
        <v>28</v>
      </c>
      <c r="H43" t="s">
        <v>28</v>
      </c>
      <c r="I43" s="59" t="s">
        <v>28</v>
      </c>
      <c r="J43" t="s">
        <v>29</v>
      </c>
      <c r="K43" t="s">
        <v>115</v>
      </c>
      <c r="L43" t="s">
        <v>2169</v>
      </c>
      <c r="M43" s="100" t="str">
        <f t="shared" si="0"/>
        <v>CSR_XCP_Signals_Recorder_2025-12-16_13-50-57_TC11_1YO2L_CPD_NCAP12_1YO_2L_CPD.MF4.xz</v>
      </c>
      <c r="N43" s="59" t="str">
        <f t="shared" si="1"/>
        <v>_NCAP12_1YO_2L_CPD.MF4.xz</v>
      </c>
      <c r="O43" s="129" t="s">
        <v>116</v>
      </c>
      <c r="P43" s="129"/>
    </row>
    <row r="44" spans="1:16" s="130" customFormat="1">
      <c r="A44" s="78">
        <v>11</v>
      </c>
      <c r="B44" s="130" t="s">
        <v>2133</v>
      </c>
      <c r="C44" s="130" t="s">
        <v>48</v>
      </c>
      <c r="D44" s="97" t="e">
        <f>_xlfn.XLOOKUP(A44,[1]CPD_SOP_new!$A:$A,[1]CPD_SOP_new!#REF!,"not found",0 )</f>
        <v>#REF!</v>
      </c>
      <c r="E44" s="97" t="str">
        <f>_xlfn.XLOOKUP(A44,[1]CPD_SOP_new!$A:$A,[1]CPD_SOP_new!$K:$K,"not found",0 )</f>
        <v>2L</v>
      </c>
      <c r="F44" s="130" t="s">
        <v>28</v>
      </c>
      <c r="G44" s="130" t="s">
        <v>28</v>
      </c>
      <c r="H44" t="s">
        <v>28</v>
      </c>
      <c r="I44" s="130" t="s">
        <v>27</v>
      </c>
      <c r="J44" s="130" t="s">
        <v>29</v>
      </c>
      <c r="K44" s="130" t="s">
        <v>118</v>
      </c>
      <c r="L44" s="130" t="s">
        <v>723</v>
      </c>
      <c r="M44" s="100" t="str">
        <f t="shared" si="0"/>
        <v>Wrong measurement</v>
      </c>
      <c r="N44" s="59" t="str">
        <f t="shared" si="1"/>
        <v>Wrong measurement</v>
      </c>
      <c r="O44" s="131" t="s">
        <v>116</v>
      </c>
      <c r="P44" s="131"/>
    </row>
    <row r="45" spans="1:16" s="130" customFormat="1">
      <c r="A45" s="78">
        <v>11</v>
      </c>
      <c r="B45" s="130" t="s">
        <v>2133</v>
      </c>
      <c r="C45" s="130" t="s">
        <v>48</v>
      </c>
      <c r="D45" s="97" t="e">
        <f>_xlfn.XLOOKUP(A45,[1]CPD_SOP_new!$A:$A,[1]CPD_SOP_new!#REF!,"not found",0 )</f>
        <v>#REF!</v>
      </c>
      <c r="E45" s="97" t="str">
        <f>_xlfn.XLOOKUP(A45,[1]CPD_SOP_new!$A:$A,[1]CPD_SOP_new!$K:$K,"not found",0 )</f>
        <v>2L</v>
      </c>
      <c r="F45" s="130" t="s">
        <v>28</v>
      </c>
      <c r="G45" s="130" t="s">
        <v>28</v>
      </c>
      <c r="H45" t="s">
        <v>28</v>
      </c>
      <c r="I45" s="130" t="s">
        <v>27</v>
      </c>
      <c r="J45" s="130" t="s">
        <v>29</v>
      </c>
      <c r="K45" s="130" t="s">
        <v>119</v>
      </c>
      <c r="L45" s="130" t="s">
        <v>723</v>
      </c>
      <c r="M45" s="100" t="str">
        <f t="shared" si="0"/>
        <v>Wrong measurement</v>
      </c>
      <c r="N45" s="59" t="str">
        <f t="shared" si="1"/>
        <v>Wrong measurement</v>
      </c>
      <c r="O45" s="131" t="s">
        <v>116</v>
      </c>
      <c r="P45" s="131"/>
    </row>
    <row r="46" spans="1:16">
      <c r="A46" s="77">
        <v>11</v>
      </c>
      <c r="B46" t="s">
        <v>2133</v>
      </c>
      <c r="C46" t="s">
        <v>48</v>
      </c>
      <c r="D46" s="97" t="e">
        <f>_xlfn.XLOOKUP(A46,[1]CPD_SOP_new!$A:$A,[1]CPD_SOP_new!#REF!,"not found",0 )</f>
        <v>#REF!</v>
      </c>
      <c r="E46" s="97" t="str">
        <f>_xlfn.XLOOKUP(A46,[1]CPD_SOP_new!$A:$A,[1]CPD_SOP_new!$K:$K,"not found",0 )</f>
        <v>2L</v>
      </c>
      <c r="F46" t="s">
        <v>28</v>
      </c>
      <c r="G46" t="s">
        <v>28</v>
      </c>
      <c r="H46" t="s">
        <v>28</v>
      </c>
      <c r="I46" s="59" t="s">
        <v>28</v>
      </c>
      <c r="J46" t="s">
        <v>29</v>
      </c>
      <c r="K46" t="s">
        <v>120</v>
      </c>
      <c r="L46" t="s">
        <v>2170</v>
      </c>
      <c r="M46" s="100" t="str">
        <f t="shared" si="0"/>
        <v>CSR_XCP_Signals_Recorder_2025-12-16_13-58-47_TC11_1YO2L_CPD_NCAP12_1YO_2L_CPD.MF4.xz</v>
      </c>
      <c r="N46" s="59" t="str">
        <f t="shared" si="1"/>
        <v>_NCAP12_1YO_2L_CPD.MF4.xz</v>
      </c>
      <c r="O46" s="129" t="s">
        <v>116</v>
      </c>
      <c r="P46" s="129"/>
    </row>
    <row r="47" spans="1:16">
      <c r="A47" s="77">
        <v>11</v>
      </c>
      <c r="B47" t="s">
        <v>2133</v>
      </c>
      <c r="C47" t="s">
        <v>48</v>
      </c>
      <c r="D47" s="97" t="e">
        <f>_xlfn.XLOOKUP(A47,[1]CPD_SOP_new!$A:$A,[1]CPD_SOP_new!#REF!,"not found",0 )</f>
        <v>#REF!</v>
      </c>
      <c r="E47" s="97" t="str">
        <f>_xlfn.XLOOKUP(A47,[1]CPD_SOP_new!$A:$A,[1]CPD_SOP_new!$K:$K,"not found",0 )</f>
        <v>2L</v>
      </c>
      <c r="F47" t="s">
        <v>27</v>
      </c>
      <c r="G47" t="s">
        <v>28</v>
      </c>
      <c r="H47" t="s">
        <v>28</v>
      </c>
      <c r="I47" s="59" t="s">
        <v>28</v>
      </c>
      <c r="J47" t="s">
        <v>29</v>
      </c>
      <c r="K47" s="132" t="s">
        <v>121</v>
      </c>
      <c r="L47" s="132" t="s">
        <v>2171</v>
      </c>
      <c r="M47" s="100" t="str">
        <f t="shared" si="0"/>
        <v>CSR_XCP_Signals_Recorder_2026-01-12_13-56-22_TC11_NCAP12_1YO_2L_CPD.MF4.xz</v>
      </c>
      <c r="N47" s="59" t="str">
        <f t="shared" si="1"/>
        <v>_NCAP12_1YO_2L_CPD.MF4.xz</v>
      </c>
      <c r="O47" s="129" t="s">
        <v>41</v>
      </c>
      <c r="P47" s="129"/>
    </row>
    <row r="48" spans="1:16">
      <c r="A48" s="77">
        <v>11</v>
      </c>
      <c r="B48" t="s">
        <v>2133</v>
      </c>
      <c r="C48" t="s">
        <v>48</v>
      </c>
      <c r="D48" s="97" t="e">
        <f>_xlfn.XLOOKUP(A48,[1]CPD_SOP_new!$A:$A,[1]CPD_SOP_new!#REF!,"not found",0 )</f>
        <v>#REF!</v>
      </c>
      <c r="E48" s="97" t="str">
        <f>_xlfn.XLOOKUP(A48,[1]CPD_SOP_new!$A:$A,[1]CPD_SOP_new!$K:$K,"not found",0 )</f>
        <v>2L</v>
      </c>
      <c r="F48" t="s">
        <v>27</v>
      </c>
      <c r="G48" t="s">
        <v>28</v>
      </c>
      <c r="H48" t="s">
        <v>28</v>
      </c>
      <c r="I48" s="59" t="s">
        <v>28</v>
      </c>
      <c r="J48" t="s">
        <v>29</v>
      </c>
      <c r="K48" s="132" t="s">
        <v>123</v>
      </c>
      <c r="L48" s="132" t="s">
        <v>2172</v>
      </c>
      <c r="M48" s="100" t="str">
        <f t="shared" si="0"/>
        <v>SmokeTest_CPD_TC11_NCAP12_1YO_2L_CPD.MF4.xz</v>
      </c>
      <c r="N48" s="59" t="str">
        <f t="shared" si="1"/>
        <v>_NCAP12_1YO_2L_CPD.MF4.xz</v>
      </c>
      <c r="O48" s="129" t="s">
        <v>64</v>
      </c>
      <c r="P48" s="129"/>
    </row>
    <row r="49" spans="1:16">
      <c r="A49" s="77">
        <v>11</v>
      </c>
      <c r="B49" t="s">
        <v>2133</v>
      </c>
      <c r="C49" t="s">
        <v>48</v>
      </c>
      <c r="D49" s="97" t="e">
        <f>_xlfn.XLOOKUP(A49,[1]CPD_SOP_new!$A:$A,[1]CPD_SOP_new!#REF!,"not found",0 )</f>
        <v>#REF!</v>
      </c>
      <c r="E49" s="97" t="str">
        <f>_xlfn.XLOOKUP(A49,[1]CPD_SOP_new!$A:$A,[1]CPD_SOP_new!$K:$K,"not found",0 )</f>
        <v>2L</v>
      </c>
      <c r="F49" t="s">
        <v>27</v>
      </c>
      <c r="G49" t="s">
        <v>28</v>
      </c>
      <c r="H49" t="s">
        <v>28</v>
      </c>
      <c r="I49" s="59" t="s">
        <v>28</v>
      </c>
      <c r="J49" t="s">
        <v>29</v>
      </c>
      <c r="K49" s="132" t="s">
        <v>52</v>
      </c>
      <c r="L49" s="132" t="s">
        <v>2173</v>
      </c>
      <c r="M49" s="100" t="str">
        <f t="shared" si="0"/>
        <v>CSR_XCP_Signals_Recorder_2025-12-22_14-54-54_TC11_CPD_NCAP12_1YO_2L_CPD.MF4.xz</v>
      </c>
      <c r="N49" s="59" t="str">
        <f t="shared" si="1"/>
        <v>_NCAP12_1YO_2L_CPD.MF4.xz</v>
      </c>
      <c r="O49" s="129" t="s">
        <v>53</v>
      </c>
      <c r="P49" s="129"/>
    </row>
    <row r="50" spans="1:16">
      <c r="A50" s="77">
        <v>11</v>
      </c>
      <c r="B50" t="s">
        <v>2133</v>
      </c>
      <c r="C50" t="s">
        <v>48</v>
      </c>
      <c r="D50" s="97" t="e">
        <f>_xlfn.XLOOKUP(A50,[1]CPD_SOP_new!$A:$A,[1]CPD_SOP_new!#REF!,"not found",0 )</f>
        <v>#REF!</v>
      </c>
      <c r="E50" s="97" t="str">
        <f>_xlfn.XLOOKUP(A50,[1]CPD_SOP_new!$A:$A,[1]CPD_SOP_new!$K:$K,"not found",0 )</f>
        <v>2L</v>
      </c>
      <c r="F50" t="s">
        <v>28</v>
      </c>
      <c r="G50" t="s">
        <v>28</v>
      </c>
      <c r="H50" t="s">
        <v>28</v>
      </c>
      <c r="I50" s="59" t="s">
        <v>28</v>
      </c>
      <c r="J50" t="s">
        <v>29</v>
      </c>
      <c r="K50" t="s">
        <v>129</v>
      </c>
      <c r="L50" t="s">
        <v>2174</v>
      </c>
      <c r="M50" s="100" t="str">
        <f t="shared" si="0"/>
        <v>CPD_SmokeTest_TS11_NCAP12_1YO_2L_CPD.MF4.xz</v>
      </c>
      <c r="N50" s="59" t="str">
        <f t="shared" si="1"/>
        <v>_NCAP12_1YO_2L_CPD.MF4.xz</v>
      </c>
      <c r="O50" s="129" t="s">
        <v>130</v>
      </c>
      <c r="P50" s="129"/>
    </row>
    <row r="51" spans="1:16">
      <c r="A51" s="77">
        <v>12</v>
      </c>
      <c r="B51" t="s">
        <v>2133</v>
      </c>
      <c r="C51" t="s">
        <v>48</v>
      </c>
      <c r="D51" s="97" t="e">
        <f>_xlfn.XLOOKUP(A51,[1]CPD_SOP_new!$A:$A,[1]CPD_SOP_new!#REF!,"not found",0 )</f>
        <v>#REF!</v>
      </c>
      <c r="E51" s="97" t="str">
        <f>_xlfn.XLOOKUP(A51,[1]CPD_SOP_new!$A:$A,[1]CPD_SOP_new!$K:$K,"not found",0 )</f>
        <v>2L</v>
      </c>
      <c r="F51" t="s">
        <v>27</v>
      </c>
      <c r="G51" t="s">
        <v>28</v>
      </c>
      <c r="H51" t="s">
        <v>28</v>
      </c>
      <c r="I51" s="59" t="s">
        <v>28</v>
      </c>
      <c r="J51" t="s">
        <v>29</v>
      </c>
      <c r="K51" t="s">
        <v>132</v>
      </c>
      <c r="L51" t="s">
        <v>2175</v>
      </c>
      <c r="M51" s="100" t="str">
        <f t="shared" si="0"/>
        <v>TC_12_NCAP12_1YO_2L_CPD.MF4.xz</v>
      </c>
      <c r="N51" s="59" t="str">
        <f t="shared" si="1"/>
        <v>_NCAP12_1YO_2L_CPD.MF4.xz</v>
      </c>
      <c r="O51" s="129" t="s">
        <v>93</v>
      </c>
      <c r="P51" s="129"/>
    </row>
    <row r="52" spans="1:16">
      <c r="A52" s="77">
        <v>12</v>
      </c>
      <c r="B52" t="s">
        <v>2133</v>
      </c>
      <c r="C52" t="s">
        <v>48</v>
      </c>
      <c r="D52" s="97" t="e">
        <f>_xlfn.XLOOKUP(A52,[1]CPD_SOP_new!$A:$A,[1]CPD_SOP_new!#REF!,"not found",0 )</f>
        <v>#REF!</v>
      </c>
      <c r="E52" s="97" t="str">
        <f>_xlfn.XLOOKUP(A52,[1]CPD_SOP_new!$A:$A,[1]CPD_SOP_new!$K:$K,"not found",0 )</f>
        <v>2L</v>
      </c>
      <c r="F52" t="s">
        <v>27</v>
      </c>
      <c r="G52" t="s">
        <v>28</v>
      </c>
      <c r="H52" t="s">
        <v>28</v>
      </c>
      <c r="I52" s="59" t="s">
        <v>28</v>
      </c>
      <c r="J52" t="s">
        <v>29</v>
      </c>
      <c r="K52" s="60" t="s">
        <v>134</v>
      </c>
      <c r="L52" t="s">
        <v>2176</v>
      </c>
      <c r="M52" s="100" t="str">
        <f t="shared" si="0"/>
        <v>TC_12_Try1_NCAP12_1YO_2L_CPD.MF4.xz</v>
      </c>
      <c r="N52" s="59" t="str">
        <f t="shared" si="1"/>
        <v>_NCAP12_1YO_2L_CPD.MF4.xz</v>
      </c>
      <c r="O52" s="129" t="s">
        <v>98</v>
      </c>
      <c r="P52" s="129"/>
    </row>
    <row r="53" spans="1:16">
      <c r="A53" s="77">
        <v>12</v>
      </c>
      <c r="B53" t="s">
        <v>2133</v>
      </c>
      <c r="C53" t="s">
        <v>48</v>
      </c>
      <c r="D53" s="97" t="e">
        <f>_xlfn.XLOOKUP(A53,[1]CPD_SOP_new!$A:$A,[1]CPD_SOP_new!#REF!,"not found",0 )</f>
        <v>#REF!</v>
      </c>
      <c r="E53" s="97" t="str">
        <f>_xlfn.XLOOKUP(A53,[1]CPD_SOP_new!$A:$A,[1]CPD_SOP_new!$K:$K,"not found",0 )</f>
        <v>2L</v>
      </c>
      <c r="F53" t="s">
        <v>27</v>
      </c>
      <c r="G53" t="s">
        <v>28</v>
      </c>
      <c r="H53" t="s">
        <v>28</v>
      </c>
      <c r="I53" s="59" t="s">
        <v>28</v>
      </c>
      <c r="J53" t="s">
        <v>29</v>
      </c>
      <c r="K53" s="60" t="s">
        <v>135</v>
      </c>
      <c r="L53" t="s">
        <v>2177</v>
      </c>
      <c r="M53" s="100" t="str">
        <f t="shared" si="0"/>
        <v>TC_12_Try2_NCAP12_1YO_2L_CPD.MF4.xz</v>
      </c>
      <c r="N53" s="59" t="str">
        <f t="shared" si="1"/>
        <v>_NCAP12_1YO_2L_CPD.MF4.xz</v>
      </c>
      <c r="O53" s="129" t="s">
        <v>98</v>
      </c>
      <c r="P53" s="129"/>
    </row>
    <row r="54" spans="1:16">
      <c r="A54" s="77">
        <v>12</v>
      </c>
      <c r="B54" t="s">
        <v>2133</v>
      </c>
      <c r="C54" t="s">
        <v>48</v>
      </c>
      <c r="D54" s="97" t="e">
        <f>_xlfn.XLOOKUP(A54,[1]CPD_SOP_new!$A:$A,[1]CPD_SOP_new!#REF!,"not found",0 )</f>
        <v>#REF!</v>
      </c>
      <c r="E54" s="97" t="str">
        <f>_xlfn.XLOOKUP(A54,[1]CPD_SOP_new!$A:$A,[1]CPD_SOP_new!$K:$K,"not found",0 )</f>
        <v>2L</v>
      </c>
      <c r="F54" t="s">
        <v>27</v>
      </c>
      <c r="G54" t="s">
        <v>28</v>
      </c>
      <c r="H54" t="s">
        <v>28</v>
      </c>
      <c r="I54" s="59" t="s">
        <v>28</v>
      </c>
      <c r="J54" t="s">
        <v>29</v>
      </c>
      <c r="K54" s="60" t="s">
        <v>784</v>
      </c>
      <c r="L54" t="s">
        <v>2178</v>
      </c>
      <c r="M54" s="100" t="str">
        <f t="shared" si="0"/>
        <v>TC_12_Try3_NCAP12_1YO_2L_CPD.MF4.xz</v>
      </c>
      <c r="N54" s="59" t="str">
        <f t="shared" si="1"/>
        <v>_NCAP12_1YO_2L_CPD.MF4.xz</v>
      </c>
      <c r="O54" s="129" t="s">
        <v>98</v>
      </c>
      <c r="P54" s="129"/>
    </row>
    <row r="55" spans="1:16">
      <c r="A55" s="77">
        <v>12</v>
      </c>
      <c r="B55" t="s">
        <v>2133</v>
      </c>
      <c r="C55" t="s">
        <v>48</v>
      </c>
      <c r="D55" s="97" t="e">
        <f>_xlfn.XLOOKUP(A55,[1]CPD_SOP_new!$A:$A,[1]CPD_SOP_new!#REF!,"not found",0 )</f>
        <v>#REF!</v>
      </c>
      <c r="E55" s="97" t="str">
        <f>_xlfn.XLOOKUP(A55,[1]CPD_SOP_new!$A:$A,[1]CPD_SOP_new!$K:$K,"not found",0 )</f>
        <v>2L</v>
      </c>
      <c r="F55" t="s">
        <v>28</v>
      </c>
      <c r="G55" t="s">
        <v>28</v>
      </c>
      <c r="H55" t="s">
        <v>28</v>
      </c>
      <c r="I55" s="59" t="s">
        <v>28</v>
      </c>
      <c r="J55" t="s">
        <v>29</v>
      </c>
      <c r="K55" s="101" t="s">
        <v>139</v>
      </c>
      <c r="L55" s="10" t="s">
        <v>2179</v>
      </c>
      <c r="M55" s="100" t="str">
        <f t="shared" si="0"/>
        <v>CSR_XCP_Signals_Recorder_2025-12-15_10-23-34_TC12_2L_CPD_NCAP12_1YO_2L_CPD.MF4.xz</v>
      </c>
      <c r="N55" s="59" t="str">
        <f t="shared" si="1"/>
        <v>_NCAP12_1YO_2L_CPD.MF4.xz</v>
      </c>
      <c r="O55" s="129" t="s">
        <v>102</v>
      </c>
      <c r="P55" s="129"/>
    </row>
    <row r="56" spans="1:16">
      <c r="A56" s="77">
        <v>12</v>
      </c>
      <c r="B56" t="s">
        <v>2133</v>
      </c>
      <c r="C56" t="s">
        <v>48</v>
      </c>
      <c r="D56" s="97" t="e">
        <f>_xlfn.XLOOKUP(A56,[1]CPD_SOP_new!$A:$A,[1]CPD_SOP_new!#REF!,"not found",0 )</f>
        <v>#REF!</v>
      </c>
      <c r="E56" s="97" t="str">
        <f>_xlfn.XLOOKUP(A56,[1]CPD_SOP_new!$A:$A,[1]CPD_SOP_new!$K:$K,"not found",0 )</f>
        <v>2L</v>
      </c>
      <c r="F56" t="s">
        <v>28</v>
      </c>
      <c r="G56" t="s">
        <v>28</v>
      </c>
      <c r="H56" t="s">
        <v>28</v>
      </c>
      <c r="I56" s="59" t="s">
        <v>28</v>
      </c>
      <c r="J56" t="s">
        <v>29</v>
      </c>
      <c r="K56" s="10" t="s">
        <v>141</v>
      </c>
      <c r="L56" s="10" t="s">
        <v>2180</v>
      </c>
      <c r="M56" s="100" t="str">
        <f t="shared" si="0"/>
        <v>CSR_XCP_Signals_Recorder_2025-12-15_10-26-15_TC12_2L_CPD_NCAP12_1YO_2L_CPD.MF4.xz</v>
      </c>
      <c r="N56" s="59" t="str">
        <f t="shared" si="1"/>
        <v>_NCAP12_1YO_2L_CPD.MF4.xz</v>
      </c>
      <c r="O56" s="129" t="s">
        <v>102</v>
      </c>
      <c r="P56" s="129"/>
    </row>
    <row r="57" spans="1:16">
      <c r="A57" s="77">
        <v>12</v>
      </c>
      <c r="B57" t="s">
        <v>2133</v>
      </c>
      <c r="C57" t="s">
        <v>48</v>
      </c>
      <c r="D57" s="97" t="e">
        <f>_xlfn.XLOOKUP(A57,[1]CPD_SOP_new!$A:$A,[1]CPD_SOP_new!#REF!,"not found",0 )</f>
        <v>#REF!</v>
      </c>
      <c r="E57" s="97" t="str">
        <f>_xlfn.XLOOKUP(A57,[1]CPD_SOP_new!$A:$A,[1]CPD_SOP_new!$K:$K,"not found",0 )</f>
        <v>2L</v>
      </c>
      <c r="F57" t="s">
        <v>28</v>
      </c>
      <c r="G57" t="s">
        <v>28</v>
      </c>
      <c r="H57" t="s">
        <v>28</v>
      </c>
      <c r="I57" s="59" t="s">
        <v>28</v>
      </c>
      <c r="J57" t="s">
        <v>29</v>
      </c>
      <c r="K57" s="10" t="s">
        <v>142</v>
      </c>
      <c r="L57" s="10" t="s">
        <v>2181</v>
      </c>
      <c r="M57" s="100" t="str">
        <f t="shared" si="0"/>
        <v>CSR_XCP_Signals_Recorder_2025-12-15_10-29-29_TC12_2L_CPD_NCAP12_1YO_2L_CPD.MF4.xz</v>
      </c>
      <c r="N57" s="59" t="str">
        <f t="shared" si="1"/>
        <v>_NCAP12_1YO_2L_CPD.MF4.xz</v>
      </c>
      <c r="O57" s="129" t="s">
        <v>102</v>
      </c>
      <c r="P57" s="129"/>
    </row>
    <row r="58" spans="1:16" s="130" customFormat="1">
      <c r="A58" s="78">
        <v>12</v>
      </c>
      <c r="B58" s="130" t="s">
        <v>2133</v>
      </c>
      <c r="C58" s="130" t="s">
        <v>48</v>
      </c>
      <c r="D58" s="97" t="e">
        <f>_xlfn.XLOOKUP(A58,[1]CPD_SOP_new!$A:$A,[1]CPD_SOP_new!#REF!,"not found",0 )</f>
        <v>#REF!</v>
      </c>
      <c r="E58" s="97" t="str">
        <f>_xlfn.XLOOKUP(A58,[1]CPD_SOP_new!$A:$A,[1]CPD_SOP_new!$K:$K,"not found",0 )</f>
        <v>2L</v>
      </c>
      <c r="F58" s="130" t="s">
        <v>28</v>
      </c>
      <c r="G58" s="130" t="s">
        <v>28</v>
      </c>
      <c r="H58" s="130" t="s">
        <v>28</v>
      </c>
      <c r="I58" s="130" t="s">
        <v>27</v>
      </c>
      <c r="J58" s="130" t="s">
        <v>29</v>
      </c>
      <c r="K58" s="130" t="s">
        <v>143</v>
      </c>
      <c r="L58" s="130" t="s">
        <v>723</v>
      </c>
      <c r="M58" s="100" t="str">
        <f t="shared" si="0"/>
        <v>Wrong measurement</v>
      </c>
      <c r="N58" s="59" t="str">
        <f t="shared" si="1"/>
        <v>Wrong measurement</v>
      </c>
      <c r="O58" s="131" t="s">
        <v>102</v>
      </c>
      <c r="P58" s="131"/>
    </row>
    <row r="59" spans="1:16">
      <c r="A59" s="77">
        <v>12</v>
      </c>
      <c r="B59" t="s">
        <v>2133</v>
      </c>
      <c r="C59" t="s">
        <v>48</v>
      </c>
      <c r="D59" s="97" t="e">
        <f>_xlfn.XLOOKUP(A59,[1]CPD_SOP_new!$A:$A,[1]CPD_SOP_new!#REF!,"not found",0 )</f>
        <v>#REF!</v>
      </c>
      <c r="E59" s="97" t="str">
        <f>_xlfn.XLOOKUP(A59,[1]CPD_SOP_new!$A:$A,[1]CPD_SOP_new!$K:$K,"not found",0 )</f>
        <v>2L</v>
      </c>
      <c r="F59" t="s">
        <v>28</v>
      </c>
      <c r="G59" t="s">
        <v>28</v>
      </c>
      <c r="H59" t="s">
        <v>28</v>
      </c>
      <c r="I59" s="59" t="s">
        <v>28</v>
      </c>
      <c r="J59" t="s">
        <v>29</v>
      </c>
      <c r="K59" t="s">
        <v>144</v>
      </c>
      <c r="L59" t="s">
        <v>2182</v>
      </c>
      <c r="M59" s="100" t="str">
        <f t="shared" si="0"/>
        <v>CSR_XCP_Signals_Recorder_2025-12-15_10-34-55_TC12_2L_CPD_NCAP12_1YO_2L_CPD.MF4.xz</v>
      </c>
      <c r="N59" s="59" t="str">
        <f t="shared" si="1"/>
        <v>_NCAP12_1YO_2L_CPD.MF4.xz</v>
      </c>
      <c r="O59" s="129" t="s">
        <v>102</v>
      </c>
      <c r="P59" s="129"/>
    </row>
    <row r="60" spans="1:16">
      <c r="A60" s="77">
        <v>12</v>
      </c>
      <c r="B60" t="s">
        <v>2133</v>
      </c>
      <c r="C60" t="s">
        <v>48</v>
      </c>
      <c r="D60" s="97" t="e">
        <f>_xlfn.XLOOKUP(A60,[1]CPD_SOP_new!$A:$A,[1]CPD_SOP_new!#REF!,"not found",0 )</f>
        <v>#REF!</v>
      </c>
      <c r="E60" s="97" t="str">
        <f>_xlfn.XLOOKUP(A60,[1]CPD_SOP_new!$A:$A,[1]CPD_SOP_new!$K:$K,"not found",0 )</f>
        <v>2L</v>
      </c>
      <c r="F60" t="s">
        <v>27</v>
      </c>
      <c r="G60" t="s">
        <v>28</v>
      </c>
      <c r="H60" t="s">
        <v>28</v>
      </c>
      <c r="I60" s="59" t="s">
        <v>28</v>
      </c>
      <c r="J60" t="s">
        <v>29</v>
      </c>
      <c r="K60" s="132" t="s">
        <v>145</v>
      </c>
      <c r="L60" s="132" t="s">
        <v>2183</v>
      </c>
      <c r="M60" s="100" t="str">
        <f t="shared" si="0"/>
        <v>CSR_XCP_Signals_Recorder_2026-01-12_13-57-44_TC12_NCAP12_1YO_2L_CPD.MF4.xz</v>
      </c>
      <c r="N60" s="59" t="str">
        <f t="shared" si="1"/>
        <v>_NCAP12_1YO_2L_CPD.MF4.xz</v>
      </c>
      <c r="O60" s="129" t="s">
        <v>41</v>
      </c>
      <c r="P60" s="129"/>
    </row>
    <row r="61" spans="1:16">
      <c r="A61" s="77">
        <v>12</v>
      </c>
      <c r="B61" t="s">
        <v>2133</v>
      </c>
      <c r="C61" t="s">
        <v>48</v>
      </c>
      <c r="D61" s="97" t="e">
        <f>_xlfn.XLOOKUP(A61,[1]CPD_SOP_new!$A:$A,[1]CPD_SOP_new!#REF!,"not found",0 )</f>
        <v>#REF!</v>
      </c>
      <c r="E61" s="97" t="str">
        <f>_xlfn.XLOOKUP(A61,[1]CPD_SOP_new!$A:$A,[1]CPD_SOP_new!$K:$K,"not found",0 )</f>
        <v>2L</v>
      </c>
      <c r="F61" t="s">
        <v>27</v>
      </c>
      <c r="G61" t="s">
        <v>28</v>
      </c>
      <c r="H61" t="s">
        <v>28</v>
      </c>
      <c r="I61" s="59" t="s">
        <v>28</v>
      </c>
      <c r="J61" t="s">
        <v>29</v>
      </c>
      <c r="K61" s="132" t="s">
        <v>147</v>
      </c>
      <c r="L61" s="132" t="s">
        <v>2184</v>
      </c>
      <c r="M61" s="100" t="str">
        <f t="shared" si="0"/>
        <v>SmokeTest_CPD_TC12_NCAP12_1YO_2L_CPD.MF4.xz</v>
      </c>
      <c r="N61" s="59" t="str">
        <f t="shared" si="1"/>
        <v>_NCAP12_1YO_2L_CPD.MF4.xz</v>
      </c>
      <c r="O61" s="129" t="s">
        <v>64</v>
      </c>
      <c r="P61" s="129"/>
    </row>
    <row r="62" spans="1:16">
      <c r="A62" s="77">
        <v>12</v>
      </c>
      <c r="B62" t="s">
        <v>2133</v>
      </c>
      <c r="C62" t="s">
        <v>48</v>
      </c>
      <c r="D62" s="97" t="e">
        <f>_xlfn.XLOOKUP(A62,[1]CPD_SOP_new!$A:$A,[1]CPD_SOP_new!#REF!,"not found",0 )</f>
        <v>#REF!</v>
      </c>
      <c r="E62" s="97" t="str">
        <f>_xlfn.XLOOKUP(A62,[1]CPD_SOP_new!$A:$A,[1]CPD_SOP_new!$K:$K,"not found",0 )</f>
        <v>2L</v>
      </c>
      <c r="F62" t="s">
        <v>27</v>
      </c>
      <c r="G62" t="s">
        <v>28</v>
      </c>
      <c r="H62" t="s">
        <v>28</v>
      </c>
      <c r="I62" s="59" t="s">
        <v>28</v>
      </c>
      <c r="J62" t="s">
        <v>29</v>
      </c>
      <c r="K62" s="132" t="s">
        <v>148</v>
      </c>
      <c r="L62" s="132" t="s">
        <v>2185</v>
      </c>
      <c r="M62" s="100" t="str">
        <f t="shared" si="0"/>
        <v>CSR_XCP_Signals_Recorder_2025-12-22_14-57-30_TC12_CPD_NCAP12_1YO_2L_CPD.MF4.xz</v>
      </c>
      <c r="N62" s="59" t="str">
        <f t="shared" si="1"/>
        <v>_NCAP12_1YO_2L_CPD.MF4.xz</v>
      </c>
      <c r="O62" s="129" t="s">
        <v>53</v>
      </c>
      <c r="P62" s="129"/>
    </row>
    <row r="63" spans="1:16">
      <c r="A63" s="77">
        <v>12</v>
      </c>
      <c r="B63" t="s">
        <v>2133</v>
      </c>
      <c r="C63" t="s">
        <v>48</v>
      </c>
      <c r="D63" s="97" t="e">
        <f>_xlfn.XLOOKUP(A63,[1]CPD_SOP_new!$A:$A,[1]CPD_SOP_new!#REF!,"not found",0 )</f>
        <v>#REF!</v>
      </c>
      <c r="E63" s="97" t="str">
        <f>_xlfn.XLOOKUP(A63,[1]CPD_SOP_new!$A:$A,[1]CPD_SOP_new!$K:$K,"not found",0 )</f>
        <v>2L</v>
      </c>
      <c r="F63" t="s">
        <v>27</v>
      </c>
      <c r="G63" t="s">
        <v>28</v>
      </c>
      <c r="H63" t="s">
        <v>28</v>
      </c>
      <c r="I63" s="59" t="s">
        <v>28</v>
      </c>
      <c r="J63" t="s">
        <v>29</v>
      </c>
      <c r="K63" s="132" t="s">
        <v>149</v>
      </c>
      <c r="L63" s="132" t="s">
        <v>2186</v>
      </c>
      <c r="M63" s="100" t="str">
        <f t="shared" si="0"/>
        <v>CSR_XCP_Signals_Recorder_2025-12-22_15-01-04_TC12_CPD_NCAP12_1YO_2L_CPD.MF4.xz</v>
      </c>
      <c r="N63" s="59" t="str">
        <f t="shared" si="1"/>
        <v>_NCAP12_1YO_2L_CPD.MF4.xz</v>
      </c>
      <c r="O63" s="129" t="s">
        <v>53</v>
      </c>
      <c r="P63" s="129"/>
    </row>
    <row r="64" spans="1:16">
      <c r="A64" s="77">
        <v>12</v>
      </c>
      <c r="B64" t="s">
        <v>2133</v>
      </c>
      <c r="C64" t="s">
        <v>48</v>
      </c>
      <c r="D64" s="97" t="e">
        <f>_xlfn.XLOOKUP(A64,[1]CPD_SOP_new!$A:$A,[1]CPD_SOP_new!#REF!,"not found",0 )</f>
        <v>#REF!</v>
      </c>
      <c r="E64" s="97" t="str">
        <f>_xlfn.XLOOKUP(A64,[1]CPD_SOP_new!$A:$A,[1]CPD_SOP_new!$K:$K,"not found",0 )</f>
        <v>2L</v>
      </c>
      <c r="F64" t="s">
        <v>27</v>
      </c>
      <c r="G64" t="s">
        <v>28</v>
      </c>
      <c r="H64" t="s">
        <v>28</v>
      </c>
      <c r="I64" s="59" t="s">
        <v>28</v>
      </c>
      <c r="J64" t="s">
        <v>29</v>
      </c>
      <c r="K64" t="s">
        <v>150</v>
      </c>
      <c r="L64" t="s">
        <v>2187</v>
      </c>
      <c r="M64" s="100" t="str">
        <f t="shared" si="0"/>
        <v>CPD_SmokeTest_TS12_NCAP12_1YO_2L_CPD.MF4.xz</v>
      </c>
      <c r="N64" s="59" t="str">
        <f t="shared" si="1"/>
        <v>_NCAP12_1YO_2L_CPD.MF4.xz</v>
      </c>
      <c r="O64" s="129" t="s">
        <v>130</v>
      </c>
      <c r="P64" s="129"/>
    </row>
    <row r="65" spans="1:16">
      <c r="A65" s="77">
        <v>13</v>
      </c>
      <c r="B65" t="s">
        <v>2133</v>
      </c>
      <c r="C65" t="s">
        <v>48</v>
      </c>
      <c r="D65" s="97" t="e">
        <f>_xlfn.XLOOKUP(A65,[1]CPD_SOP_new!$A:$A,[1]CPD_SOP_new!#REF!,"not found",0 )</f>
        <v>#REF!</v>
      </c>
      <c r="E65" s="97" t="str">
        <f>_xlfn.XLOOKUP(A65,[1]CPD_SOP_new!$A:$A,[1]CPD_SOP_new!$K:$K,"not found",0 )</f>
        <v>2C</v>
      </c>
      <c r="F65" t="s">
        <v>28</v>
      </c>
      <c r="G65" t="s">
        <v>28</v>
      </c>
      <c r="H65" t="s">
        <v>28</v>
      </c>
      <c r="I65" s="59" t="s">
        <v>28</v>
      </c>
      <c r="J65" t="s">
        <v>29</v>
      </c>
      <c r="K65" t="s">
        <v>153</v>
      </c>
      <c r="L65" t="s">
        <v>2188</v>
      </c>
      <c r="M65" s="100" t="str">
        <f t="shared" si="0"/>
        <v>CSR_XCP_Signals_Recorder_2025-12-16_13-37-27_TC13_1YO2M_CPD_NCAP12_1YO_2C_CPD.MF4.xz</v>
      </c>
      <c r="N65" s="59" t="str">
        <f t="shared" si="1"/>
        <v>_NCAP12_1YO_2C_CPD.MF4.xz</v>
      </c>
      <c r="O65" s="129" t="s">
        <v>116</v>
      </c>
      <c r="P65" s="129"/>
    </row>
    <row r="66" spans="1:16">
      <c r="A66" s="77">
        <v>13</v>
      </c>
      <c r="B66" t="s">
        <v>2133</v>
      </c>
      <c r="C66" t="s">
        <v>48</v>
      </c>
      <c r="D66" s="97" t="e">
        <f>_xlfn.XLOOKUP(A66,[1]CPD_SOP_new!$A:$A,[1]CPD_SOP_new!#REF!,"not found",0 )</f>
        <v>#REF!</v>
      </c>
      <c r="E66" s="97" t="str">
        <f>_xlfn.XLOOKUP(A66,[1]CPD_SOP_new!$A:$A,[1]CPD_SOP_new!$K:$K,"not found",0 )</f>
        <v>2C</v>
      </c>
      <c r="F66" t="s">
        <v>28</v>
      </c>
      <c r="G66" t="s">
        <v>28</v>
      </c>
      <c r="H66" t="s">
        <v>28</v>
      </c>
      <c r="I66" s="59" t="s">
        <v>28</v>
      </c>
      <c r="J66" t="s">
        <v>29</v>
      </c>
      <c r="K66" t="s">
        <v>155</v>
      </c>
      <c r="L66" t="s">
        <v>2189</v>
      </c>
      <c r="M66" s="100" t="str">
        <f t="shared" ref="M66:M129" si="2">IF(NOT(N66="Wrong measurement"),SUBSTITUTE(K66,".MF4.xz",N66),"Wrong measurement")</f>
        <v>CSR_XCP_Signals_Recorder_2025-12-16_13-40-05_TC13_1YO2M_CPD_NCAP12_1YO_2C_CPD.MF4.xz</v>
      </c>
      <c r="N66" s="59" t="str">
        <f t="shared" ref="N66:N129" si="3">IF(I66="Y",("_"&amp;B66 &amp;"_"&amp; IF(C66="","",C66)&amp;"_"&amp;E66&amp;"_CPD.MF4.xz"),"Wrong measurement")</f>
        <v>_NCAP12_1YO_2C_CPD.MF4.xz</v>
      </c>
      <c r="O66" s="129" t="s">
        <v>116</v>
      </c>
      <c r="P66" s="129"/>
    </row>
    <row r="67" spans="1:16" s="130" customFormat="1">
      <c r="A67" s="78">
        <v>13</v>
      </c>
      <c r="B67" s="130" t="s">
        <v>2133</v>
      </c>
      <c r="C67" s="130" t="s">
        <v>48</v>
      </c>
      <c r="D67" s="97" t="e">
        <f>_xlfn.XLOOKUP(A67,[1]CPD_SOP_new!$A:$A,[1]CPD_SOP_new!#REF!,"not found",0 )</f>
        <v>#REF!</v>
      </c>
      <c r="E67" s="97" t="str">
        <f>_xlfn.XLOOKUP(A67,[1]CPD_SOP_new!$A:$A,[1]CPD_SOP_new!$K:$K,"not found",0 )</f>
        <v>2C</v>
      </c>
      <c r="F67" s="130" t="s">
        <v>28</v>
      </c>
      <c r="G67" s="130" t="s">
        <v>28</v>
      </c>
      <c r="H67" s="130" t="s">
        <v>28</v>
      </c>
      <c r="I67" s="130" t="s">
        <v>27</v>
      </c>
      <c r="J67" s="130" t="s">
        <v>29</v>
      </c>
      <c r="K67" s="130" t="s">
        <v>156</v>
      </c>
      <c r="L67" s="130" t="s">
        <v>723</v>
      </c>
      <c r="M67" s="100" t="str">
        <f t="shared" si="2"/>
        <v>Wrong measurement</v>
      </c>
      <c r="N67" s="59" t="str">
        <f t="shared" si="3"/>
        <v>Wrong measurement</v>
      </c>
      <c r="O67" s="131" t="s">
        <v>116</v>
      </c>
      <c r="P67" s="131"/>
    </row>
    <row r="68" spans="1:16">
      <c r="A68" s="77">
        <v>13</v>
      </c>
      <c r="B68" t="s">
        <v>2133</v>
      </c>
      <c r="C68" t="s">
        <v>48</v>
      </c>
      <c r="D68" s="97" t="e">
        <f>_xlfn.XLOOKUP(A68,[1]CPD_SOP_new!$A:$A,[1]CPD_SOP_new!#REF!,"not found",0 )</f>
        <v>#REF!</v>
      </c>
      <c r="E68" s="97" t="str">
        <f>_xlfn.XLOOKUP(A68,[1]CPD_SOP_new!$A:$A,[1]CPD_SOP_new!$K:$K,"not found",0 )</f>
        <v>2C</v>
      </c>
      <c r="F68" t="s">
        <v>28</v>
      </c>
      <c r="G68" t="s">
        <v>28</v>
      </c>
      <c r="H68" t="s">
        <v>28</v>
      </c>
      <c r="I68" s="59" t="s">
        <v>28</v>
      </c>
      <c r="J68" t="s">
        <v>29</v>
      </c>
      <c r="K68" t="s">
        <v>159</v>
      </c>
      <c r="L68" t="s">
        <v>2190</v>
      </c>
      <c r="M68" s="100" t="str">
        <f t="shared" si="2"/>
        <v>CSR_XCP_Signals_Recorder_2025-12-16_13-45-09_TC13_1YO2M_CPD_NCAP12_1YO_2C_CPD.MF4.xz</v>
      </c>
      <c r="N68" s="59" t="str">
        <f t="shared" si="3"/>
        <v>_NCAP12_1YO_2C_CPD.MF4.xz</v>
      </c>
      <c r="O68" s="129" t="s">
        <v>116</v>
      </c>
      <c r="P68" s="129"/>
    </row>
    <row r="69" spans="1:16">
      <c r="A69" s="77">
        <v>13</v>
      </c>
      <c r="B69" t="s">
        <v>2133</v>
      </c>
      <c r="C69" t="s">
        <v>48</v>
      </c>
      <c r="D69" s="97" t="e">
        <f>_xlfn.XLOOKUP(A69,[1]CPD_SOP_new!$A:$A,[1]CPD_SOP_new!#REF!,"not found",0 )</f>
        <v>#REF!</v>
      </c>
      <c r="E69" s="97" t="str">
        <f>_xlfn.XLOOKUP(A69,[1]CPD_SOP_new!$A:$A,[1]CPD_SOP_new!$K:$K,"not found",0 )</f>
        <v>2C</v>
      </c>
      <c r="F69" t="s">
        <v>28</v>
      </c>
      <c r="G69" t="s">
        <v>28</v>
      </c>
      <c r="H69" t="s">
        <v>28</v>
      </c>
      <c r="I69" s="59" t="s">
        <v>28</v>
      </c>
      <c r="J69" t="s">
        <v>29</v>
      </c>
      <c r="K69" t="s">
        <v>160</v>
      </c>
      <c r="L69" t="s">
        <v>2191</v>
      </c>
      <c r="M69" s="100" t="str">
        <f t="shared" si="2"/>
        <v>CSR_XCP_Signals_Recorder_2025-12-16_13-48-04_TC13_1YO2M_CPD_NCAP12_1YO_2C_CPD.MF4.xz</v>
      </c>
      <c r="N69" s="59" t="str">
        <f t="shared" si="3"/>
        <v>_NCAP12_1YO_2C_CPD.MF4.xz</v>
      </c>
      <c r="O69" s="129" t="s">
        <v>116</v>
      </c>
      <c r="P69" s="129"/>
    </row>
    <row r="70" spans="1:16">
      <c r="A70" s="77">
        <v>14</v>
      </c>
      <c r="B70" t="s">
        <v>2133</v>
      </c>
      <c r="C70" t="s">
        <v>48</v>
      </c>
      <c r="D70" s="97" t="e">
        <f>_xlfn.XLOOKUP(A70,[1]CPD_SOP_new!$A:$A,[1]CPD_SOP_new!#REF!,"not found",0 )</f>
        <v>#REF!</v>
      </c>
      <c r="E70" s="97" t="str">
        <f>_xlfn.XLOOKUP(A70,[1]CPD_SOP_new!$A:$A,[1]CPD_SOP_new!$K:$K,"not found",0 )</f>
        <v>3R</v>
      </c>
      <c r="F70" t="s">
        <v>27</v>
      </c>
      <c r="G70" t="s">
        <v>28</v>
      </c>
      <c r="H70" t="s">
        <v>28</v>
      </c>
      <c r="I70" s="59" t="s">
        <v>28</v>
      </c>
      <c r="J70" t="s">
        <v>29</v>
      </c>
      <c r="K70" t="s">
        <v>161</v>
      </c>
      <c r="L70" t="s">
        <v>2192</v>
      </c>
      <c r="M70" s="100" t="str">
        <f t="shared" si="2"/>
        <v>TC_14_NCAP12_1YO_3R_CPD.MF4.xz</v>
      </c>
      <c r="N70" s="59" t="str">
        <f t="shared" si="3"/>
        <v>_NCAP12_1YO_3R_CPD.MF4.xz</v>
      </c>
      <c r="O70" s="129" t="s">
        <v>93</v>
      </c>
      <c r="P70" s="129"/>
    </row>
    <row r="71" spans="1:16">
      <c r="A71" s="77">
        <v>14</v>
      </c>
      <c r="B71" t="s">
        <v>2133</v>
      </c>
      <c r="C71" t="s">
        <v>48</v>
      </c>
      <c r="D71" s="97" t="e">
        <f>_xlfn.XLOOKUP(A71,[1]CPD_SOP_new!$A:$A,[1]CPD_SOP_new!#REF!,"not found",0 )</f>
        <v>#REF!</v>
      </c>
      <c r="E71" s="97" t="str">
        <f>_xlfn.XLOOKUP(A71,[1]CPD_SOP_new!$A:$A,[1]CPD_SOP_new!$K:$K,"not found",0 )</f>
        <v>3R</v>
      </c>
      <c r="F71" t="s">
        <v>27</v>
      </c>
      <c r="G71" t="s">
        <v>28</v>
      </c>
      <c r="H71" t="s">
        <v>28</v>
      </c>
      <c r="I71" s="59" t="s">
        <v>28</v>
      </c>
      <c r="J71" t="s">
        <v>29</v>
      </c>
      <c r="K71" t="s">
        <v>163</v>
      </c>
      <c r="L71" t="s">
        <v>2193</v>
      </c>
      <c r="M71" s="100" t="str">
        <f t="shared" si="2"/>
        <v>TC_14_Try1_NCAP12_1YO_3R_CPD.MF4.xz</v>
      </c>
      <c r="N71" s="59" t="str">
        <f t="shared" si="3"/>
        <v>_NCAP12_1YO_3R_CPD.MF4.xz</v>
      </c>
      <c r="O71" s="129" t="s">
        <v>98</v>
      </c>
      <c r="P71" s="129"/>
    </row>
    <row r="72" spans="1:16">
      <c r="A72" s="77">
        <v>14</v>
      </c>
      <c r="B72" t="s">
        <v>2133</v>
      </c>
      <c r="C72" t="s">
        <v>48</v>
      </c>
      <c r="D72" s="97" t="e">
        <f>_xlfn.XLOOKUP(A72,[1]CPD_SOP_new!$A:$A,[1]CPD_SOP_new!#REF!,"not found",0 )</f>
        <v>#REF!</v>
      </c>
      <c r="E72" s="97" t="str">
        <f>_xlfn.XLOOKUP(A72,[1]CPD_SOP_new!$A:$A,[1]CPD_SOP_new!$K:$K,"not found",0 )</f>
        <v>3R</v>
      </c>
      <c r="F72" t="s">
        <v>27</v>
      </c>
      <c r="G72" t="s">
        <v>28</v>
      </c>
      <c r="H72" t="s">
        <v>28</v>
      </c>
      <c r="I72" s="59" t="s">
        <v>28</v>
      </c>
      <c r="J72" t="s">
        <v>29</v>
      </c>
      <c r="K72" t="s">
        <v>164</v>
      </c>
      <c r="L72" t="s">
        <v>2194</v>
      </c>
      <c r="M72" s="100" t="str">
        <f t="shared" si="2"/>
        <v>TC_14_Try2_NCAP12_1YO_3R_CPD.MF4.xz</v>
      </c>
      <c r="N72" s="59" t="str">
        <f t="shared" si="3"/>
        <v>_NCAP12_1YO_3R_CPD.MF4.xz</v>
      </c>
      <c r="O72" s="129" t="s">
        <v>98</v>
      </c>
      <c r="P72" s="129"/>
    </row>
    <row r="73" spans="1:16">
      <c r="A73" s="77">
        <v>14</v>
      </c>
      <c r="B73" t="s">
        <v>2133</v>
      </c>
      <c r="C73" t="s">
        <v>48</v>
      </c>
      <c r="D73" s="97" t="e">
        <f>_xlfn.XLOOKUP(A73,[1]CPD_SOP_new!$A:$A,[1]CPD_SOP_new!#REF!,"not found",0 )</f>
        <v>#REF!</v>
      </c>
      <c r="E73" s="97" t="str">
        <f>_xlfn.XLOOKUP(A73,[1]CPD_SOP_new!$A:$A,[1]CPD_SOP_new!$K:$K,"not found",0 )</f>
        <v>3R</v>
      </c>
      <c r="F73" t="s">
        <v>27</v>
      </c>
      <c r="G73" t="s">
        <v>28</v>
      </c>
      <c r="H73" t="s">
        <v>28</v>
      </c>
      <c r="I73" s="59" t="s">
        <v>28</v>
      </c>
      <c r="J73" t="s">
        <v>29</v>
      </c>
      <c r="K73" t="s">
        <v>165</v>
      </c>
      <c r="L73" t="s">
        <v>2195</v>
      </c>
      <c r="M73" s="100" t="str">
        <f t="shared" si="2"/>
        <v>TC_14_Try3_NCAP12_1YO_3R_CPD.MF4.xz</v>
      </c>
      <c r="N73" s="59" t="str">
        <f t="shared" si="3"/>
        <v>_NCAP12_1YO_3R_CPD.MF4.xz</v>
      </c>
      <c r="O73" s="129" t="s">
        <v>98</v>
      </c>
      <c r="P73" s="129"/>
    </row>
    <row r="74" spans="1:16">
      <c r="A74" s="77">
        <v>14</v>
      </c>
      <c r="B74" t="s">
        <v>2133</v>
      </c>
      <c r="C74" t="s">
        <v>48</v>
      </c>
      <c r="D74" s="97" t="e">
        <f>_xlfn.XLOOKUP(A74,[1]CPD_SOP_new!$A:$A,[1]CPD_SOP_new!#REF!,"not found",0 )</f>
        <v>#REF!</v>
      </c>
      <c r="E74" s="97" t="str">
        <f>_xlfn.XLOOKUP(A74,[1]CPD_SOP_new!$A:$A,[1]CPD_SOP_new!$K:$K,"not found",0 )</f>
        <v>3R</v>
      </c>
      <c r="F74" t="s">
        <v>28</v>
      </c>
      <c r="G74" t="s">
        <v>28</v>
      </c>
      <c r="H74" t="s">
        <v>28</v>
      </c>
      <c r="I74" s="59" t="s">
        <v>28</v>
      </c>
      <c r="J74" t="s">
        <v>29</v>
      </c>
      <c r="K74" t="s">
        <v>166</v>
      </c>
      <c r="L74" t="s">
        <v>2196</v>
      </c>
      <c r="M74" s="100" t="str">
        <f t="shared" si="2"/>
        <v>CSR_XCP_Signals_Recorder_2025-12-16_14-19-18_TC14_1YO3R_CPD_NCAP12_1YO_3R_CPD.MF4.xz</v>
      </c>
      <c r="N74" s="59" t="str">
        <f t="shared" si="3"/>
        <v>_NCAP12_1YO_3R_CPD.MF4.xz</v>
      </c>
      <c r="O74" s="129" t="s">
        <v>116</v>
      </c>
      <c r="P74" s="129"/>
    </row>
    <row r="75" spans="1:16">
      <c r="A75" s="77">
        <v>14</v>
      </c>
      <c r="B75" t="s">
        <v>2133</v>
      </c>
      <c r="C75" t="s">
        <v>48</v>
      </c>
      <c r="D75" s="97" t="e">
        <f>_xlfn.XLOOKUP(A75,[1]CPD_SOP_new!$A:$A,[1]CPD_SOP_new!#REF!,"not found",0 )</f>
        <v>#REF!</v>
      </c>
      <c r="E75" s="97" t="str">
        <f>_xlfn.XLOOKUP(A75,[1]CPD_SOP_new!$A:$A,[1]CPD_SOP_new!$K:$K,"not found",0 )</f>
        <v>3R</v>
      </c>
      <c r="F75" t="s">
        <v>28</v>
      </c>
      <c r="G75" t="s">
        <v>28</v>
      </c>
      <c r="H75" t="s">
        <v>28</v>
      </c>
      <c r="I75" s="59" t="s">
        <v>28</v>
      </c>
      <c r="J75" t="s">
        <v>29</v>
      </c>
      <c r="K75" t="s">
        <v>168</v>
      </c>
      <c r="L75" t="s">
        <v>2197</v>
      </c>
      <c r="M75" s="100" t="str">
        <f t="shared" si="2"/>
        <v>CSR_XCP_Signals_Recorder_2025-12-16_14-26-59_TC14_1YO3R_CPD_NCAP12_1YO_3R_CPD.MF4.xz</v>
      </c>
      <c r="N75" s="59" t="str">
        <f t="shared" si="3"/>
        <v>_NCAP12_1YO_3R_CPD.MF4.xz</v>
      </c>
      <c r="O75" s="129" t="s">
        <v>116</v>
      </c>
      <c r="P75" s="129"/>
    </row>
    <row r="76" spans="1:16">
      <c r="A76" s="77">
        <v>14</v>
      </c>
      <c r="B76" t="s">
        <v>2133</v>
      </c>
      <c r="C76" t="s">
        <v>48</v>
      </c>
      <c r="D76" s="97" t="e">
        <f>_xlfn.XLOOKUP(A76,[1]CPD_SOP_new!$A:$A,[1]CPD_SOP_new!#REF!,"not found",0 )</f>
        <v>#REF!</v>
      </c>
      <c r="E76" s="97" t="str">
        <f>_xlfn.XLOOKUP(A76,[1]CPD_SOP_new!$A:$A,[1]CPD_SOP_new!$K:$K,"not found",0 )</f>
        <v>3R</v>
      </c>
      <c r="F76" t="s">
        <v>28</v>
      </c>
      <c r="G76" t="s">
        <v>28</v>
      </c>
      <c r="H76" t="s">
        <v>28</v>
      </c>
      <c r="I76" s="59" t="s">
        <v>28</v>
      </c>
      <c r="J76" t="s">
        <v>29</v>
      </c>
      <c r="K76" t="s">
        <v>169</v>
      </c>
      <c r="L76" t="s">
        <v>2198</v>
      </c>
      <c r="M76" s="100" t="str">
        <f t="shared" si="2"/>
        <v>CSR_XCP_Signals_Recorder_2025-12-16_14-32-38_TC14_1YO3R_CPD_NCAP12_1YO_3R_CPD.MF4.xz</v>
      </c>
      <c r="N76" s="59" t="str">
        <f t="shared" si="3"/>
        <v>_NCAP12_1YO_3R_CPD.MF4.xz</v>
      </c>
      <c r="O76" s="129" t="s">
        <v>116</v>
      </c>
      <c r="P76" s="129"/>
    </row>
    <row r="77" spans="1:16">
      <c r="A77" s="77">
        <v>14</v>
      </c>
      <c r="B77" t="s">
        <v>2133</v>
      </c>
      <c r="C77" t="s">
        <v>48</v>
      </c>
      <c r="D77" s="97" t="e">
        <f>_xlfn.XLOOKUP(A77,[1]CPD_SOP_new!$A:$A,[1]CPD_SOP_new!#REF!,"not found",0 )</f>
        <v>#REF!</v>
      </c>
      <c r="E77" s="97" t="str">
        <f>_xlfn.XLOOKUP(A77,[1]CPD_SOP_new!$A:$A,[1]CPD_SOP_new!$K:$K,"not found",0 )</f>
        <v>3R</v>
      </c>
      <c r="F77" t="s">
        <v>28</v>
      </c>
      <c r="G77" t="s">
        <v>28</v>
      </c>
      <c r="H77" t="s">
        <v>28</v>
      </c>
      <c r="I77" s="59" t="s">
        <v>28</v>
      </c>
      <c r="J77" t="s">
        <v>29</v>
      </c>
      <c r="K77" t="s">
        <v>170</v>
      </c>
      <c r="L77" t="s">
        <v>2199</v>
      </c>
      <c r="M77" s="100" t="str">
        <f t="shared" si="2"/>
        <v>CSR_XCP_Signals_Recorder_2025-12-16_14-37-07_TC14_1YO3R_CPD_NCAP12_1YO_3R_CPD.MF4.xz</v>
      </c>
      <c r="N77" s="59" t="str">
        <f t="shared" si="3"/>
        <v>_NCAP12_1YO_3R_CPD.MF4.xz</v>
      </c>
      <c r="O77" s="129" t="s">
        <v>116</v>
      </c>
      <c r="P77" s="129"/>
    </row>
    <row r="78" spans="1:16">
      <c r="A78" s="77">
        <v>14</v>
      </c>
      <c r="B78" t="s">
        <v>2133</v>
      </c>
      <c r="C78" t="s">
        <v>48</v>
      </c>
      <c r="D78" s="97" t="e">
        <f>_xlfn.XLOOKUP(A78,[1]CPD_SOP_new!$A:$A,[1]CPD_SOP_new!#REF!,"not found",0 )</f>
        <v>#REF!</v>
      </c>
      <c r="E78" s="97" t="str">
        <f>_xlfn.XLOOKUP(A78,[1]CPD_SOP_new!$A:$A,[1]CPD_SOP_new!$K:$K,"not found",0 )</f>
        <v>3R</v>
      </c>
      <c r="F78" t="s">
        <v>28</v>
      </c>
      <c r="G78" t="s">
        <v>28</v>
      </c>
      <c r="H78" t="s">
        <v>28</v>
      </c>
      <c r="I78" s="59" t="s">
        <v>28</v>
      </c>
      <c r="J78" t="s">
        <v>29</v>
      </c>
      <c r="K78" t="s">
        <v>171</v>
      </c>
      <c r="L78" t="s">
        <v>2200</v>
      </c>
      <c r="M78" s="100" t="str">
        <f t="shared" si="2"/>
        <v>CSR_XCP_Signals_Recorder_2025-12-16_14-41-03_TC14_1YO3R_CPD_NCAP12_1YO_3R_CPD.MF4.xz</v>
      </c>
      <c r="N78" s="59" t="str">
        <f t="shared" si="3"/>
        <v>_NCAP12_1YO_3R_CPD.MF4.xz</v>
      </c>
      <c r="O78" s="129" t="s">
        <v>116</v>
      </c>
      <c r="P78" s="129"/>
    </row>
    <row r="79" spans="1:16">
      <c r="A79" s="77">
        <v>15</v>
      </c>
      <c r="B79" t="s">
        <v>2133</v>
      </c>
      <c r="C79" t="s">
        <v>48</v>
      </c>
      <c r="D79" s="97" t="e">
        <f>_xlfn.XLOOKUP(A79,[1]CPD_SOP_new!$A:$A,[1]CPD_SOP_new!#REF!,"not found",0 )</f>
        <v>#REF!</v>
      </c>
      <c r="E79" s="97" t="str">
        <f>_xlfn.XLOOKUP(A79,[1]CPD_SOP_new!$A:$A,[1]CPD_SOP_new!$K:$K,"not found",0 )</f>
        <v>3R</v>
      </c>
      <c r="F79" t="s">
        <v>28</v>
      </c>
      <c r="G79" t="s">
        <v>28</v>
      </c>
      <c r="H79" t="s">
        <v>28</v>
      </c>
      <c r="I79" s="59" t="s">
        <v>28</v>
      </c>
      <c r="J79" t="s">
        <v>29</v>
      </c>
      <c r="K79" s="60" t="s">
        <v>174</v>
      </c>
      <c r="L79" t="s">
        <v>2201</v>
      </c>
      <c r="M79" s="100" t="str">
        <f t="shared" si="2"/>
        <v>CSR_XCP_Signals_Recorder_2025-12-16_13-22-54_TC15_1YO3R_CPD_NCAP12_1YO_3R_CPD.MF4.xz</v>
      </c>
      <c r="N79" s="59" t="str">
        <f t="shared" si="3"/>
        <v>_NCAP12_1YO_3R_CPD.MF4.xz</v>
      </c>
      <c r="O79" s="129" t="s">
        <v>116</v>
      </c>
      <c r="P79" s="129"/>
    </row>
    <row r="80" spans="1:16">
      <c r="A80" s="77">
        <v>15</v>
      </c>
      <c r="B80" t="s">
        <v>2133</v>
      </c>
      <c r="C80" t="s">
        <v>48</v>
      </c>
      <c r="D80" s="97" t="e">
        <f>_xlfn.XLOOKUP(A80,[1]CPD_SOP_new!$A:$A,[1]CPD_SOP_new!#REF!,"not found",0 )</f>
        <v>#REF!</v>
      </c>
      <c r="E80" s="97" t="str">
        <f>_xlfn.XLOOKUP(A80,[1]CPD_SOP_new!$A:$A,[1]CPD_SOP_new!$K:$K,"not found",0 )</f>
        <v>3R</v>
      </c>
      <c r="F80" t="s">
        <v>28</v>
      </c>
      <c r="G80" t="s">
        <v>28</v>
      </c>
      <c r="H80" t="s">
        <v>28</v>
      </c>
      <c r="I80" s="59" t="s">
        <v>28</v>
      </c>
      <c r="J80" t="s">
        <v>29</v>
      </c>
      <c r="K80" s="60" t="s">
        <v>176</v>
      </c>
      <c r="L80" t="s">
        <v>2202</v>
      </c>
      <c r="M80" s="100" t="str">
        <f t="shared" si="2"/>
        <v>CSR_XCP_Signals_Recorder_2025-12-16_13-25-33_TC15_1YO3R_CPD_NCAP12_1YO_3R_CPD.MF4.xz</v>
      </c>
      <c r="N80" s="59" t="str">
        <f t="shared" si="3"/>
        <v>_NCAP12_1YO_3R_CPD.MF4.xz</v>
      </c>
      <c r="O80" s="129" t="s">
        <v>116</v>
      </c>
      <c r="P80" s="129"/>
    </row>
    <row r="81" spans="1:16">
      <c r="A81" s="77">
        <v>15</v>
      </c>
      <c r="B81" t="s">
        <v>2133</v>
      </c>
      <c r="C81" t="s">
        <v>48</v>
      </c>
      <c r="D81" s="97" t="e">
        <f>_xlfn.XLOOKUP(A81,[1]CPD_SOP_new!$A:$A,[1]CPD_SOP_new!#REF!,"not found",0 )</f>
        <v>#REF!</v>
      </c>
      <c r="E81" s="97" t="str">
        <f>_xlfn.XLOOKUP(A81,[1]CPD_SOP_new!$A:$A,[1]CPD_SOP_new!$K:$K,"not found",0 )</f>
        <v>3R</v>
      </c>
      <c r="F81" t="s">
        <v>28</v>
      </c>
      <c r="G81" t="s">
        <v>28</v>
      </c>
      <c r="H81" t="s">
        <v>28</v>
      </c>
      <c r="I81" s="59" t="s">
        <v>28</v>
      </c>
      <c r="J81" t="s">
        <v>29</v>
      </c>
      <c r="K81" t="s">
        <v>177</v>
      </c>
      <c r="L81" t="s">
        <v>2203</v>
      </c>
      <c r="M81" s="100" t="str">
        <f t="shared" si="2"/>
        <v>CSR_XCP_Signals_Recorder_2025-12-16_13-28-12_TC15_1YO3R_CPD_NCAP12_1YO_3R_CPD.MF4.xz</v>
      </c>
      <c r="N81" s="59" t="str">
        <f t="shared" si="3"/>
        <v>_NCAP12_1YO_3R_CPD.MF4.xz</v>
      </c>
      <c r="O81" s="129" t="s">
        <v>116</v>
      </c>
      <c r="P81" s="129"/>
    </row>
    <row r="82" spans="1:16">
      <c r="A82" s="77">
        <v>15</v>
      </c>
      <c r="B82" t="s">
        <v>2133</v>
      </c>
      <c r="C82" t="s">
        <v>48</v>
      </c>
      <c r="D82" s="97" t="e">
        <f>_xlfn.XLOOKUP(A82,[1]CPD_SOP_new!$A:$A,[1]CPD_SOP_new!#REF!,"not found",0 )</f>
        <v>#REF!</v>
      </c>
      <c r="E82" s="97" t="str">
        <f>_xlfn.XLOOKUP(A82,[1]CPD_SOP_new!$A:$A,[1]CPD_SOP_new!$K:$K,"not found",0 )</f>
        <v>3R</v>
      </c>
      <c r="F82" t="s">
        <v>28</v>
      </c>
      <c r="G82" t="s">
        <v>28</v>
      </c>
      <c r="H82" t="s">
        <v>28</v>
      </c>
      <c r="I82" s="59" t="s">
        <v>28</v>
      </c>
      <c r="J82" t="s">
        <v>29</v>
      </c>
      <c r="K82" t="s">
        <v>178</v>
      </c>
      <c r="L82" t="s">
        <v>2204</v>
      </c>
      <c r="M82" s="100" t="str">
        <f t="shared" si="2"/>
        <v>CSR_XCP_Signals_Recorder_2025-12-16_13-30-53_TC15_1YO3R_CPD_NCAP12_1YO_3R_CPD.MF4.xz</v>
      </c>
      <c r="N82" s="59" t="str">
        <f t="shared" si="3"/>
        <v>_NCAP12_1YO_3R_CPD.MF4.xz</v>
      </c>
      <c r="O82" s="129" t="s">
        <v>116</v>
      </c>
      <c r="P82" s="129"/>
    </row>
    <row r="83" spans="1:16">
      <c r="A83" s="77">
        <v>15</v>
      </c>
      <c r="B83" t="s">
        <v>2133</v>
      </c>
      <c r="C83" t="s">
        <v>48</v>
      </c>
      <c r="D83" s="97" t="e">
        <f>_xlfn.XLOOKUP(A83,[1]CPD_SOP_new!$A:$A,[1]CPD_SOP_new!#REF!,"not found",0 )</f>
        <v>#REF!</v>
      </c>
      <c r="E83" s="97" t="str">
        <f>_xlfn.XLOOKUP(A83,[1]CPD_SOP_new!$A:$A,[1]CPD_SOP_new!$K:$K,"not found",0 )</f>
        <v>3R</v>
      </c>
      <c r="F83" t="s">
        <v>28</v>
      </c>
      <c r="G83" t="s">
        <v>28</v>
      </c>
      <c r="H83" t="s">
        <v>28</v>
      </c>
      <c r="I83" s="59" t="s">
        <v>28</v>
      </c>
      <c r="J83" t="s">
        <v>29</v>
      </c>
      <c r="K83" t="s">
        <v>179</v>
      </c>
      <c r="L83" t="s">
        <v>2205</v>
      </c>
      <c r="M83" s="100" t="str">
        <f t="shared" si="2"/>
        <v>CSR_XCP_Signals_Recorder_2025-12-16_13-33-33_TC15_1YO3R_CPD_NCAP12_1YO_3R_CPD.MF4.xz</v>
      </c>
      <c r="N83" s="59" t="str">
        <f t="shared" si="3"/>
        <v>_NCAP12_1YO_3R_CPD.MF4.xz</v>
      </c>
      <c r="O83" s="129" t="s">
        <v>116</v>
      </c>
      <c r="P83" s="129"/>
    </row>
    <row r="84" spans="1:16">
      <c r="A84" s="77">
        <v>16</v>
      </c>
      <c r="B84" t="s">
        <v>2133</v>
      </c>
      <c r="C84" t="s">
        <v>48</v>
      </c>
      <c r="D84" s="97" t="e">
        <f>_xlfn.XLOOKUP(A84,[1]CPD_SOP_new!$A:$A,[1]CPD_SOP_new!#REF!,"not found",0 )</f>
        <v>#REF!</v>
      </c>
      <c r="E84" s="97" t="str">
        <f>_xlfn.XLOOKUP(A84,[1]CPD_SOP_new!$A:$A,[1]CPD_SOP_new!$K:$K,"not found",0 )</f>
        <v>3L</v>
      </c>
      <c r="F84" t="s">
        <v>27</v>
      </c>
      <c r="G84" t="s">
        <v>28</v>
      </c>
      <c r="H84" t="s">
        <v>28</v>
      </c>
      <c r="I84" s="59" t="s">
        <v>28</v>
      </c>
      <c r="J84" t="s">
        <v>29</v>
      </c>
      <c r="K84" s="11" t="s">
        <v>181</v>
      </c>
      <c r="L84" s="11" t="s">
        <v>2206</v>
      </c>
      <c r="M84" s="100" t="str">
        <f t="shared" si="2"/>
        <v>TC_16_Try2_NCAP12_1YO_3L_CPD.MF4.xz</v>
      </c>
      <c r="N84" s="59" t="str">
        <f t="shared" si="3"/>
        <v>_NCAP12_1YO_3L_CPD.MF4.xz</v>
      </c>
      <c r="O84" s="66" t="s">
        <v>98</v>
      </c>
      <c r="P84" s="129"/>
    </row>
    <row r="85" spans="1:16">
      <c r="A85" s="77">
        <v>16</v>
      </c>
      <c r="B85" t="s">
        <v>2133</v>
      </c>
      <c r="C85" t="s">
        <v>48</v>
      </c>
      <c r="D85" s="97" t="e">
        <f>_xlfn.XLOOKUP(A85,[1]CPD_SOP_new!$A:$A,[1]CPD_SOP_new!#REF!,"not found",0 )</f>
        <v>#REF!</v>
      </c>
      <c r="E85" s="97" t="str">
        <f>_xlfn.XLOOKUP(A85,[1]CPD_SOP_new!$A:$A,[1]CPD_SOP_new!$K:$K,"not found",0 )</f>
        <v>3L</v>
      </c>
      <c r="F85" t="s">
        <v>27</v>
      </c>
      <c r="G85" t="s">
        <v>28</v>
      </c>
      <c r="H85" t="s">
        <v>28</v>
      </c>
      <c r="I85" s="59" t="s">
        <v>28</v>
      </c>
      <c r="J85" t="s">
        <v>29</v>
      </c>
      <c r="K85" s="11" t="s">
        <v>183</v>
      </c>
      <c r="L85" s="11" t="s">
        <v>2207</v>
      </c>
      <c r="M85" s="100" t="str">
        <f t="shared" si="2"/>
        <v>TC_16_Try3_NCAP12_1YO_3L_CPD.MF4.xz</v>
      </c>
      <c r="N85" s="59" t="str">
        <f t="shared" si="3"/>
        <v>_NCAP12_1YO_3L_CPD.MF4.xz</v>
      </c>
      <c r="O85" s="66" t="s">
        <v>98</v>
      </c>
      <c r="P85" s="129"/>
    </row>
    <row r="86" spans="1:16">
      <c r="A86" s="77">
        <v>16</v>
      </c>
      <c r="B86" t="s">
        <v>2133</v>
      </c>
      <c r="C86" t="s">
        <v>48</v>
      </c>
      <c r="D86" s="97" t="e">
        <f>_xlfn.XLOOKUP(A86,[1]CPD_SOP_new!$A:$A,[1]CPD_SOP_new!#REF!,"not found",0 )</f>
        <v>#REF!</v>
      </c>
      <c r="E86" s="97" t="str">
        <f>_xlfn.XLOOKUP(A86,[1]CPD_SOP_new!$A:$A,[1]CPD_SOP_new!$K:$K,"not found",0 )</f>
        <v>3L</v>
      </c>
      <c r="F86" t="s">
        <v>27</v>
      </c>
      <c r="G86" t="s">
        <v>28</v>
      </c>
      <c r="H86" t="s">
        <v>28</v>
      </c>
      <c r="I86" s="59" t="s">
        <v>28</v>
      </c>
      <c r="J86" t="s">
        <v>29</v>
      </c>
      <c r="K86" t="s">
        <v>184</v>
      </c>
      <c r="L86" t="s">
        <v>2208</v>
      </c>
      <c r="M86" s="100" t="str">
        <f t="shared" si="2"/>
        <v>TC_16_NCAP12_1YO_3L_CPD.MF4.xz</v>
      </c>
      <c r="N86" s="59" t="str">
        <f t="shared" si="3"/>
        <v>_NCAP12_1YO_3L_CPD.MF4.xz</v>
      </c>
      <c r="O86" s="129" t="s">
        <v>93</v>
      </c>
      <c r="P86" s="129"/>
    </row>
    <row r="87" spans="1:16">
      <c r="A87" s="77">
        <v>16</v>
      </c>
      <c r="B87" t="s">
        <v>2133</v>
      </c>
      <c r="C87" t="s">
        <v>48</v>
      </c>
      <c r="D87" s="97" t="e">
        <f>_xlfn.XLOOKUP(A87,[1]CPD_SOP_new!$A:$A,[1]CPD_SOP_new!#REF!,"not found",0 )</f>
        <v>#REF!</v>
      </c>
      <c r="E87" s="97" t="str">
        <f>_xlfn.XLOOKUP(A87,[1]CPD_SOP_new!$A:$A,[1]CPD_SOP_new!$K:$K,"not found",0 )</f>
        <v>3L</v>
      </c>
      <c r="F87" t="s">
        <v>27</v>
      </c>
      <c r="G87" t="s">
        <v>28</v>
      </c>
      <c r="H87" t="s">
        <v>28</v>
      </c>
      <c r="I87" s="59" t="s">
        <v>28</v>
      </c>
      <c r="J87" t="s">
        <v>29</v>
      </c>
      <c r="K87" t="s">
        <v>181</v>
      </c>
      <c r="L87" t="s">
        <v>2206</v>
      </c>
      <c r="M87" s="100" t="str">
        <f t="shared" si="2"/>
        <v>TC_16_Try2_NCAP12_1YO_3L_CPD.MF4.xz</v>
      </c>
      <c r="N87" s="59" t="str">
        <f t="shared" si="3"/>
        <v>_NCAP12_1YO_3L_CPD.MF4.xz</v>
      </c>
      <c r="O87" s="129" t="s">
        <v>93</v>
      </c>
      <c r="P87" s="129"/>
    </row>
    <row r="88" spans="1:16">
      <c r="A88" s="77">
        <v>16</v>
      </c>
      <c r="B88" t="s">
        <v>2133</v>
      </c>
      <c r="C88" t="s">
        <v>48</v>
      </c>
      <c r="D88" s="97" t="e">
        <f>_xlfn.XLOOKUP(A88,[1]CPD_SOP_new!$A:$A,[1]CPD_SOP_new!#REF!,"not found",0 )</f>
        <v>#REF!</v>
      </c>
      <c r="E88" s="97" t="str">
        <f>_xlfn.XLOOKUP(A88,[1]CPD_SOP_new!$A:$A,[1]CPD_SOP_new!$K:$K,"not found",0 )</f>
        <v>3L</v>
      </c>
      <c r="F88" t="s">
        <v>27</v>
      </c>
      <c r="G88" t="s">
        <v>28</v>
      </c>
      <c r="H88" t="s">
        <v>28</v>
      </c>
      <c r="I88" s="59" t="s">
        <v>28</v>
      </c>
      <c r="J88" t="s">
        <v>29</v>
      </c>
      <c r="K88" s="60" t="s">
        <v>183</v>
      </c>
      <c r="L88" s="60" t="s">
        <v>2207</v>
      </c>
      <c r="M88" s="100" t="str">
        <f t="shared" si="2"/>
        <v>TC_16_Try3_NCAP12_1YO_3L_CPD.MF4.xz</v>
      </c>
      <c r="N88" s="59" t="str">
        <f t="shared" si="3"/>
        <v>_NCAP12_1YO_3L_CPD.MF4.xz</v>
      </c>
      <c r="O88" s="66" t="s">
        <v>93</v>
      </c>
      <c r="P88" s="129"/>
    </row>
    <row r="89" spans="1:16">
      <c r="A89" s="77">
        <v>16</v>
      </c>
      <c r="B89" t="s">
        <v>2133</v>
      </c>
      <c r="C89" t="s">
        <v>48</v>
      </c>
      <c r="D89" s="97" t="e">
        <f>_xlfn.XLOOKUP(A89,[1]CPD_SOP_new!$A:$A,[1]CPD_SOP_new!#REF!,"not found",0 )</f>
        <v>#REF!</v>
      </c>
      <c r="E89" s="97" t="str">
        <f>_xlfn.XLOOKUP(A89,[1]CPD_SOP_new!$A:$A,[1]CPD_SOP_new!$K:$K,"not found",0 )</f>
        <v>3L</v>
      </c>
      <c r="F89" t="s">
        <v>27</v>
      </c>
      <c r="G89" t="s">
        <v>28</v>
      </c>
      <c r="H89" t="s">
        <v>28</v>
      </c>
      <c r="I89" s="59" t="s">
        <v>28</v>
      </c>
      <c r="J89" t="s">
        <v>29</v>
      </c>
      <c r="K89" s="11" t="s">
        <v>186</v>
      </c>
      <c r="L89" s="11" t="s">
        <v>2209</v>
      </c>
      <c r="M89" s="100" t="str">
        <f t="shared" si="2"/>
        <v>CSR_XCP_Signals_Recorder_2026-01-12_14-05-41_TC16_NCAP12_1YO_3L_CPD.MF4.xz</v>
      </c>
      <c r="N89" s="59" t="str">
        <f t="shared" si="3"/>
        <v>_NCAP12_1YO_3L_CPD.MF4.xz</v>
      </c>
      <c r="O89" s="66" t="s">
        <v>41</v>
      </c>
      <c r="P89" s="129"/>
    </row>
    <row r="90" spans="1:16">
      <c r="A90" s="77">
        <v>16</v>
      </c>
      <c r="B90" t="s">
        <v>2133</v>
      </c>
      <c r="C90" t="s">
        <v>48</v>
      </c>
      <c r="D90" s="97" t="e">
        <f>_xlfn.XLOOKUP(A90,[1]CPD_SOP_new!$A:$A,[1]CPD_SOP_new!#REF!,"not found",0 )</f>
        <v>#REF!</v>
      </c>
      <c r="E90" s="97" t="str">
        <f>_xlfn.XLOOKUP(A90,[1]CPD_SOP_new!$A:$A,[1]CPD_SOP_new!$K:$K,"not found",0 )</f>
        <v>3L</v>
      </c>
      <c r="F90" t="s">
        <v>27</v>
      </c>
      <c r="G90" t="s">
        <v>28</v>
      </c>
      <c r="H90" t="s">
        <v>28</v>
      </c>
      <c r="I90" s="59" t="s">
        <v>28</v>
      </c>
      <c r="J90" t="s">
        <v>29</v>
      </c>
      <c r="K90" s="11" t="s">
        <v>188</v>
      </c>
      <c r="L90" s="11" t="s">
        <v>2210</v>
      </c>
      <c r="M90" s="100" t="str">
        <f t="shared" si="2"/>
        <v>TC_16_Try1_NCAP12_1YO_3L_CPD.MF4.xz</v>
      </c>
      <c r="N90" s="59" t="str">
        <f t="shared" si="3"/>
        <v>_NCAP12_1YO_3L_CPD.MF4.xz</v>
      </c>
      <c r="O90" s="66" t="s">
        <v>98</v>
      </c>
      <c r="P90" s="129"/>
    </row>
    <row r="91" spans="1:16" s="130" customFormat="1">
      <c r="A91" s="78">
        <v>16</v>
      </c>
      <c r="B91" s="130" t="s">
        <v>2133</v>
      </c>
      <c r="C91" s="130" t="s">
        <v>48</v>
      </c>
      <c r="D91" s="97" t="e">
        <f>_xlfn.XLOOKUP(A91,[1]CPD_SOP_new!$A:$A,[1]CPD_SOP_new!#REF!,"not found",0 )</f>
        <v>#REF!</v>
      </c>
      <c r="E91" s="97" t="str">
        <f>_xlfn.XLOOKUP(A91,[1]CPD_SOP_new!$A:$A,[1]CPD_SOP_new!$K:$K,"not found",0 )</f>
        <v>3L</v>
      </c>
      <c r="F91" s="130" t="s">
        <v>28</v>
      </c>
      <c r="G91" s="130" t="s">
        <v>28</v>
      </c>
      <c r="H91" s="130" t="s">
        <v>28</v>
      </c>
      <c r="I91" s="130" t="s">
        <v>27</v>
      </c>
      <c r="J91" s="130" t="s">
        <v>29</v>
      </c>
      <c r="K91" s="61" t="s">
        <v>1486</v>
      </c>
      <c r="L91" s="61" t="s">
        <v>723</v>
      </c>
      <c r="M91" s="100" t="str">
        <f t="shared" si="2"/>
        <v>Wrong measurement</v>
      </c>
      <c r="N91" s="59" t="str">
        <f t="shared" si="3"/>
        <v>Wrong measurement</v>
      </c>
      <c r="O91" s="67" t="s">
        <v>191</v>
      </c>
      <c r="P91" s="131"/>
    </row>
    <row r="92" spans="1:16">
      <c r="A92" s="77">
        <v>16</v>
      </c>
      <c r="B92" t="s">
        <v>2133</v>
      </c>
      <c r="C92" t="s">
        <v>48</v>
      </c>
      <c r="D92" s="97" t="e">
        <f>_xlfn.XLOOKUP(A92,[1]CPD_SOP_new!$A:$A,[1]CPD_SOP_new!#REF!,"not found",0 )</f>
        <v>#REF!</v>
      </c>
      <c r="E92" s="97" t="str">
        <f>_xlfn.XLOOKUP(A92,[1]CPD_SOP_new!$A:$A,[1]CPD_SOP_new!$K:$K,"not found",0 )</f>
        <v>3L</v>
      </c>
      <c r="F92" t="s">
        <v>28</v>
      </c>
      <c r="G92" t="s">
        <v>28</v>
      </c>
      <c r="H92" t="s">
        <v>28</v>
      </c>
      <c r="I92" s="59" t="s">
        <v>27</v>
      </c>
      <c r="J92" t="s">
        <v>29</v>
      </c>
      <c r="K92" s="60" t="s">
        <v>190</v>
      </c>
      <c r="L92" s="60" t="s">
        <v>723</v>
      </c>
      <c r="M92" s="100" t="str">
        <f t="shared" si="2"/>
        <v>Wrong measurement</v>
      </c>
      <c r="N92" s="59" t="str">
        <f t="shared" si="3"/>
        <v>Wrong measurement</v>
      </c>
      <c r="O92" s="66" t="s">
        <v>191</v>
      </c>
      <c r="P92" s="129"/>
    </row>
    <row r="93" spans="1:16">
      <c r="A93" s="77">
        <v>16</v>
      </c>
      <c r="B93" t="s">
        <v>2133</v>
      </c>
      <c r="C93" t="s">
        <v>48</v>
      </c>
      <c r="D93" s="97" t="e">
        <f>_xlfn.XLOOKUP(A93,[1]CPD_SOP_new!$A:$A,[1]CPD_SOP_new!#REF!,"not found",0 )</f>
        <v>#REF!</v>
      </c>
      <c r="E93" s="97" t="str">
        <f>_xlfn.XLOOKUP(A93,[1]CPD_SOP_new!$A:$A,[1]CPD_SOP_new!$K:$K,"not found",0 )</f>
        <v>3L</v>
      </c>
      <c r="F93" t="s">
        <v>28</v>
      </c>
      <c r="G93" t="s">
        <v>28</v>
      </c>
      <c r="H93" t="s">
        <v>28</v>
      </c>
      <c r="I93" s="59" t="s">
        <v>28</v>
      </c>
      <c r="J93" t="s">
        <v>29</v>
      </c>
      <c r="K93" s="60" t="s">
        <v>192</v>
      </c>
      <c r="L93" s="60" t="s">
        <v>2211</v>
      </c>
      <c r="M93" s="100" t="str">
        <f t="shared" si="2"/>
        <v>CPD_TC16_Try3_NCAP12_1YO_3L_CPD.MF4.xz</v>
      </c>
      <c r="N93" s="59" t="str">
        <f t="shared" si="3"/>
        <v>_NCAP12_1YO_3L_CPD.MF4.xz</v>
      </c>
      <c r="O93" s="66" t="s">
        <v>191</v>
      </c>
      <c r="P93" s="129"/>
    </row>
    <row r="94" spans="1:16" s="130" customFormat="1">
      <c r="A94" s="78">
        <v>16</v>
      </c>
      <c r="B94" s="130" t="s">
        <v>2133</v>
      </c>
      <c r="C94" s="130" t="s">
        <v>48</v>
      </c>
      <c r="D94" s="97" t="e">
        <f>_xlfn.XLOOKUP(A94,[1]CPD_SOP_new!$A:$A,[1]CPD_SOP_new!#REF!,"not found",0 )</f>
        <v>#REF!</v>
      </c>
      <c r="E94" s="97" t="str">
        <f>_xlfn.XLOOKUP(A94,[1]CPD_SOP_new!$A:$A,[1]CPD_SOP_new!$K:$K,"not found",0 )</f>
        <v>3L</v>
      </c>
      <c r="F94" s="130" t="s">
        <v>28</v>
      </c>
      <c r="G94" s="130" t="s">
        <v>28</v>
      </c>
      <c r="H94" s="130" t="s">
        <v>28</v>
      </c>
      <c r="I94" s="130" t="s">
        <v>27</v>
      </c>
      <c r="J94" s="130" t="s">
        <v>29</v>
      </c>
      <c r="K94" s="61" t="s">
        <v>1497</v>
      </c>
      <c r="L94" s="61" t="s">
        <v>723</v>
      </c>
      <c r="M94" s="100" t="str">
        <f t="shared" si="2"/>
        <v>Wrong measurement</v>
      </c>
      <c r="N94" s="59" t="str">
        <f t="shared" si="3"/>
        <v>Wrong measurement</v>
      </c>
      <c r="O94" s="67" t="s">
        <v>191</v>
      </c>
      <c r="P94" s="131"/>
    </row>
    <row r="95" spans="1:16">
      <c r="A95" s="77">
        <v>16</v>
      </c>
      <c r="B95" t="s">
        <v>2133</v>
      </c>
      <c r="C95" t="s">
        <v>48</v>
      </c>
      <c r="D95" s="97" t="e">
        <f>_xlfn.XLOOKUP(A95,[1]CPD_SOP_new!$A:$A,[1]CPD_SOP_new!#REF!,"not found",0 )</f>
        <v>#REF!</v>
      </c>
      <c r="E95" s="97" t="str">
        <f>_xlfn.XLOOKUP(A95,[1]CPD_SOP_new!$A:$A,[1]CPD_SOP_new!$K:$K,"not found",0 )</f>
        <v>3L</v>
      </c>
      <c r="F95" t="s">
        <v>28</v>
      </c>
      <c r="G95" t="s">
        <v>28</v>
      </c>
      <c r="H95" t="s">
        <v>28</v>
      </c>
      <c r="I95" s="59" t="s">
        <v>28</v>
      </c>
      <c r="J95" t="s">
        <v>29</v>
      </c>
      <c r="K95" s="60" t="s">
        <v>194</v>
      </c>
      <c r="L95" s="60" t="s">
        <v>2212</v>
      </c>
      <c r="M95" s="100" t="str">
        <f t="shared" si="2"/>
        <v>CPD_TC16_Try5_NCAP12_1YO_3L_CPD.MF4.xz</v>
      </c>
      <c r="N95" s="59" t="str">
        <f t="shared" si="3"/>
        <v>_NCAP12_1YO_3L_CPD.MF4.xz</v>
      </c>
      <c r="O95" s="66" t="s">
        <v>191</v>
      </c>
      <c r="P95" s="129"/>
    </row>
    <row r="96" spans="1:16">
      <c r="A96" s="77">
        <v>17</v>
      </c>
      <c r="B96" t="s">
        <v>2133</v>
      </c>
      <c r="C96" t="s">
        <v>66</v>
      </c>
      <c r="D96" s="97" t="e">
        <f>_xlfn.XLOOKUP(A96,[1]CPD_SOP_new!$A:$A,[1]CPD_SOP_new!#REF!,"not found",0 )</f>
        <v>#REF!</v>
      </c>
      <c r="E96" s="97" t="s">
        <v>26</v>
      </c>
      <c r="F96" t="s">
        <v>28</v>
      </c>
      <c r="G96" t="s">
        <v>28</v>
      </c>
      <c r="H96" t="s">
        <v>28</v>
      </c>
      <c r="I96" s="59" t="s">
        <v>28</v>
      </c>
      <c r="J96" t="s">
        <v>29</v>
      </c>
      <c r="K96" s="11" t="s">
        <v>195</v>
      </c>
      <c r="L96" s="11" t="s">
        <v>2213</v>
      </c>
      <c r="M96" s="100" t="str">
        <f t="shared" si="2"/>
        <v>CPD_TC17_Try1_NCAP12_3YO_1R_CPD.MF4.xz</v>
      </c>
      <c r="N96" s="59" t="str">
        <f t="shared" si="3"/>
        <v>_NCAP12_3YO_1R_CPD.MF4.xz</v>
      </c>
      <c r="O96" s="11" t="s">
        <v>86</v>
      </c>
      <c r="P96" s="132"/>
    </row>
    <row r="97" spans="1:21">
      <c r="A97" s="77">
        <v>17</v>
      </c>
      <c r="B97" t="s">
        <v>2133</v>
      </c>
      <c r="C97" t="s">
        <v>66</v>
      </c>
      <c r="D97" s="97" t="e">
        <f>_xlfn.XLOOKUP(A97,[1]CPD_SOP_new!$A:$A,[1]CPD_SOP_new!#REF!,"not found",0 )</f>
        <v>#REF!</v>
      </c>
      <c r="E97" s="97" t="s">
        <v>26</v>
      </c>
      <c r="F97" t="s">
        <v>28</v>
      </c>
      <c r="G97" t="s">
        <v>28</v>
      </c>
      <c r="H97" t="s">
        <v>28</v>
      </c>
      <c r="I97" s="59" t="s">
        <v>28</v>
      </c>
      <c r="J97" t="s">
        <v>29</v>
      </c>
      <c r="K97" s="11" t="s">
        <v>197</v>
      </c>
      <c r="L97" s="11" t="s">
        <v>2214</v>
      </c>
      <c r="M97" s="100" t="str">
        <f t="shared" si="2"/>
        <v>CPD_TC17_Try2_NCAP12_3YO_1R_CPD.MF4.xz</v>
      </c>
      <c r="N97" s="59" t="str">
        <f t="shared" si="3"/>
        <v>_NCAP12_3YO_1R_CPD.MF4.xz</v>
      </c>
      <c r="O97" s="11" t="s">
        <v>86</v>
      </c>
      <c r="P97" s="132"/>
    </row>
    <row r="98" spans="1:21">
      <c r="A98" s="77">
        <v>17</v>
      </c>
      <c r="B98" t="s">
        <v>2133</v>
      </c>
      <c r="C98" t="s">
        <v>66</v>
      </c>
      <c r="D98" s="97" t="e">
        <f>_xlfn.XLOOKUP(A98,[1]CPD_SOP_new!$A:$A,[1]CPD_SOP_new!#REF!,"not found",0 )</f>
        <v>#REF!</v>
      </c>
      <c r="E98" s="97" t="s">
        <v>26</v>
      </c>
      <c r="F98" t="s">
        <v>28</v>
      </c>
      <c r="G98" t="s">
        <v>28</v>
      </c>
      <c r="H98" t="s">
        <v>28</v>
      </c>
      <c r="I98" s="59" t="s">
        <v>28</v>
      </c>
      <c r="J98" t="s">
        <v>29</v>
      </c>
      <c r="K98" s="11" t="s">
        <v>198</v>
      </c>
      <c r="L98" s="11" t="s">
        <v>2215</v>
      </c>
      <c r="M98" s="100" t="str">
        <f t="shared" si="2"/>
        <v>CPD_TC17_Try3_NCAP12_3YO_1R_CPD.MF4.xz</v>
      </c>
      <c r="N98" s="59" t="str">
        <f t="shared" si="3"/>
        <v>_NCAP12_3YO_1R_CPD.MF4.xz</v>
      </c>
      <c r="O98" s="11" t="s">
        <v>86</v>
      </c>
      <c r="P98" s="132"/>
    </row>
    <row r="99" spans="1:21">
      <c r="A99" s="77">
        <v>17</v>
      </c>
      <c r="B99" t="s">
        <v>2133</v>
      </c>
      <c r="C99" t="s">
        <v>66</v>
      </c>
      <c r="D99" s="97" t="e">
        <f>_xlfn.XLOOKUP(A99,[1]CPD_SOP_new!$A:$A,[1]CPD_SOP_new!#REF!,"not found",0 )</f>
        <v>#REF!</v>
      </c>
      <c r="E99" s="97" t="s">
        <v>26</v>
      </c>
      <c r="F99" t="s">
        <v>28</v>
      </c>
      <c r="G99" t="s">
        <v>28</v>
      </c>
      <c r="H99" t="s">
        <v>28</v>
      </c>
      <c r="I99" s="59" t="s">
        <v>28</v>
      </c>
      <c r="J99" t="s">
        <v>29</v>
      </c>
      <c r="K99" s="11" t="s">
        <v>199</v>
      </c>
      <c r="L99" s="11" t="s">
        <v>2216</v>
      </c>
      <c r="M99" s="100" t="str">
        <f t="shared" si="2"/>
        <v>CPD_TC17_Try4_NCAP12_3YO_1R_CPD.MF4.xz</v>
      </c>
      <c r="N99" s="59" t="str">
        <f t="shared" si="3"/>
        <v>_NCAP12_3YO_1R_CPD.MF4.xz</v>
      </c>
      <c r="O99" s="11" t="s">
        <v>86</v>
      </c>
      <c r="P99" s="132"/>
    </row>
    <row r="100" spans="1:21">
      <c r="A100" s="77">
        <v>17</v>
      </c>
      <c r="B100" t="s">
        <v>2133</v>
      </c>
      <c r="C100" t="s">
        <v>66</v>
      </c>
      <c r="D100" s="97" t="e">
        <f>_xlfn.XLOOKUP(A100,[1]CPD_SOP_new!$A:$A,[1]CPD_SOP_new!#REF!,"not found",0 )</f>
        <v>#REF!</v>
      </c>
      <c r="E100" s="97" t="s">
        <v>26</v>
      </c>
      <c r="F100" t="s">
        <v>28</v>
      </c>
      <c r="G100" t="s">
        <v>28</v>
      </c>
      <c r="H100" t="s">
        <v>28</v>
      </c>
      <c r="I100" s="59" t="s">
        <v>28</v>
      </c>
      <c r="J100" t="s">
        <v>29</v>
      </c>
      <c r="K100" s="11" t="s">
        <v>200</v>
      </c>
      <c r="L100" s="11" t="s">
        <v>2217</v>
      </c>
      <c r="M100" s="100" t="str">
        <f t="shared" si="2"/>
        <v>CPD_TC17_Try5_NCAP12_3YO_1R_CPD.MF4.xz</v>
      </c>
      <c r="N100" s="59" t="str">
        <f t="shared" si="3"/>
        <v>_NCAP12_3YO_1R_CPD.MF4.xz</v>
      </c>
      <c r="O100" s="11" t="s">
        <v>86</v>
      </c>
      <c r="P100" s="132"/>
    </row>
    <row r="101" spans="1:21">
      <c r="A101" s="77">
        <v>17</v>
      </c>
      <c r="B101" t="s">
        <v>2133</v>
      </c>
      <c r="C101" t="s">
        <v>66</v>
      </c>
      <c r="D101" s="97" t="e">
        <f>_xlfn.XLOOKUP(A101,[1]CPD_SOP_new!$A:$A,[1]CPD_SOP_new!#REF!,"not found",0 )</f>
        <v>#REF!</v>
      </c>
      <c r="E101" s="97" t="s">
        <v>26</v>
      </c>
      <c r="F101" t="s">
        <v>28</v>
      </c>
      <c r="G101" t="s">
        <v>28</v>
      </c>
      <c r="H101" t="s">
        <v>28</v>
      </c>
      <c r="I101" s="59" t="s">
        <v>28</v>
      </c>
      <c r="J101" t="s">
        <v>29</v>
      </c>
      <c r="K101" s="11" t="s">
        <v>201</v>
      </c>
      <c r="L101" s="11" t="s">
        <v>2218</v>
      </c>
      <c r="M101" s="100" t="str">
        <f t="shared" si="2"/>
        <v>CSR_XCP_Signals_Recorder_2025-12-18_15-59-42_TC17_CPD_NCAP12_3YO_1R_CPD.MF4.xz</v>
      </c>
      <c r="N101" s="59" t="str">
        <f t="shared" si="3"/>
        <v>_NCAP12_3YO_1R_CPD.MF4.xz</v>
      </c>
      <c r="O101" s="11" t="s">
        <v>202</v>
      </c>
      <c r="P101" s="132"/>
    </row>
    <row r="102" spans="1:21">
      <c r="A102" s="77">
        <v>17</v>
      </c>
      <c r="B102" t="s">
        <v>2133</v>
      </c>
      <c r="C102" t="s">
        <v>66</v>
      </c>
      <c r="D102" s="97" t="e">
        <f>_xlfn.XLOOKUP(A102,[1]CPD_SOP_new!$A:$A,[1]CPD_SOP_new!#REF!,"not found",0 )</f>
        <v>#REF!</v>
      </c>
      <c r="E102" s="97" t="s">
        <v>26</v>
      </c>
      <c r="F102" t="s">
        <v>28</v>
      </c>
      <c r="G102" t="s">
        <v>28</v>
      </c>
      <c r="H102" t="s">
        <v>28</v>
      </c>
      <c r="I102" s="59" t="s">
        <v>28</v>
      </c>
      <c r="J102" t="s">
        <v>29</v>
      </c>
      <c r="K102" s="11" t="s">
        <v>203</v>
      </c>
      <c r="L102" s="11" t="s">
        <v>2219</v>
      </c>
      <c r="M102" s="100" t="str">
        <f t="shared" si="2"/>
        <v>CSR_XCP_Signals_Recorder_2025-12-18_16-02-16_TC17_CPD_NCAP12_3YO_1R_CPD.MF4.xz</v>
      </c>
      <c r="N102" s="59" t="str">
        <f t="shared" si="3"/>
        <v>_NCAP12_3YO_1R_CPD.MF4.xz</v>
      </c>
      <c r="O102" s="11" t="s">
        <v>202</v>
      </c>
      <c r="P102" s="132"/>
    </row>
    <row r="103" spans="1:21">
      <c r="A103" s="77">
        <v>17</v>
      </c>
      <c r="B103" t="s">
        <v>2133</v>
      </c>
      <c r="C103" t="s">
        <v>66</v>
      </c>
      <c r="D103" s="97" t="e">
        <f>_xlfn.XLOOKUP(A103,[1]CPD_SOP_new!$A:$A,[1]CPD_SOP_new!#REF!,"not found",0 )</f>
        <v>#REF!</v>
      </c>
      <c r="E103" s="97" t="s">
        <v>26</v>
      </c>
      <c r="F103" t="s">
        <v>28</v>
      </c>
      <c r="G103" t="s">
        <v>28</v>
      </c>
      <c r="H103" t="s">
        <v>28</v>
      </c>
      <c r="I103" s="59" t="s">
        <v>28</v>
      </c>
      <c r="J103" t="s">
        <v>29</v>
      </c>
      <c r="K103" s="132" t="s">
        <v>204</v>
      </c>
      <c r="L103" s="132" t="s">
        <v>2220</v>
      </c>
      <c r="M103" s="100" t="str">
        <f t="shared" si="2"/>
        <v>CSR_XCP_Signals_Recorder_2025-12-18_16-04-43_TC17_CPD_NCAP12_3YO_1R_CPD.MF4.xz</v>
      </c>
      <c r="N103" s="59" t="str">
        <f t="shared" si="3"/>
        <v>_NCAP12_3YO_1R_CPD.MF4.xz</v>
      </c>
      <c r="O103" s="132" t="s">
        <v>202</v>
      </c>
      <c r="P103" s="132"/>
    </row>
    <row r="104" spans="1:21">
      <c r="A104" s="77">
        <v>17</v>
      </c>
      <c r="B104" t="s">
        <v>2133</v>
      </c>
      <c r="C104" t="s">
        <v>66</v>
      </c>
      <c r="D104" s="97" t="e">
        <f>_xlfn.XLOOKUP(A104,[1]CPD_SOP_new!$A:$A,[1]CPD_SOP_new!#REF!,"not found",0 )</f>
        <v>#REF!</v>
      </c>
      <c r="E104" s="97" t="s">
        <v>26</v>
      </c>
      <c r="F104" t="s">
        <v>28</v>
      </c>
      <c r="G104" t="s">
        <v>28</v>
      </c>
      <c r="H104" t="s">
        <v>28</v>
      </c>
      <c r="I104" s="59" t="s">
        <v>28</v>
      </c>
      <c r="J104" t="s">
        <v>29</v>
      </c>
      <c r="K104" s="132" t="s">
        <v>205</v>
      </c>
      <c r="L104" s="132" t="s">
        <v>2221</v>
      </c>
      <c r="M104" s="100" t="str">
        <f t="shared" si="2"/>
        <v>CSR_XCP_Signals_Recorder_2025-12-18_16-06-30_TC17_CPD_NCAP12_3YO_1R_CPD.MF4.xz</v>
      </c>
      <c r="N104" s="59" t="str">
        <f t="shared" si="3"/>
        <v>_NCAP12_3YO_1R_CPD.MF4.xz</v>
      </c>
      <c r="O104" s="132" t="s">
        <v>202</v>
      </c>
      <c r="P104" s="132"/>
    </row>
    <row r="105" spans="1:21">
      <c r="A105" s="77">
        <v>17</v>
      </c>
      <c r="B105" t="s">
        <v>2133</v>
      </c>
      <c r="C105" t="s">
        <v>66</v>
      </c>
      <c r="D105" s="97" t="e">
        <f>_xlfn.XLOOKUP(A105,[1]CPD_SOP_new!$A:$A,[1]CPD_SOP_new!#REF!,"not found",0 )</f>
        <v>#REF!</v>
      </c>
      <c r="E105" s="97" t="s">
        <v>26</v>
      </c>
      <c r="F105" t="s">
        <v>28</v>
      </c>
      <c r="G105" t="s">
        <v>28</v>
      </c>
      <c r="H105" t="s">
        <v>28</v>
      </c>
      <c r="I105" s="59" t="s">
        <v>28</v>
      </c>
      <c r="J105" t="s">
        <v>29</v>
      </c>
      <c r="K105" s="132" t="s">
        <v>206</v>
      </c>
      <c r="L105" s="132" t="s">
        <v>2222</v>
      </c>
      <c r="M105" s="100" t="str">
        <f t="shared" si="2"/>
        <v>CSR_XCP_Signals_Recorder_2025-12-18_16-08-07_TC17_CPD_NCAP12_3YO_1R_CPD.MF4.xz</v>
      </c>
      <c r="N105" s="59" t="str">
        <f t="shared" si="3"/>
        <v>_NCAP12_3YO_1R_CPD.MF4.xz</v>
      </c>
      <c r="O105" s="132" t="s">
        <v>202</v>
      </c>
      <c r="P105" s="132"/>
    </row>
    <row r="106" spans="1:21">
      <c r="A106" s="77">
        <v>17</v>
      </c>
      <c r="B106" t="s">
        <v>2133</v>
      </c>
      <c r="C106" t="s">
        <v>66</v>
      </c>
      <c r="D106" s="97" t="e">
        <f>_xlfn.XLOOKUP(A106,[1]CPD_SOP_new!$A:$A,[1]CPD_SOP_new!#REF!,"not found",0 )</f>
        <v>#REF!</v>
      </c>
      <c r="E106" s="97" t="s">
        <v>26</v>
      </c>
      <c r="F106" t="s">
        <v>28</v>
      </c>
      <c r="G106" t="s">
        <v>28</v>
      </c>
      <c r="H106" t="s">
        <v>28</v>
      </c>
      <c r="I106" s="59" t="s">
        <v>28</v>
      </c>
      <c r="J106" t="s">
        <v>29</v>
      </c>
      <c r="K106" s="132" t="s">
        <v>207</v>
      </c>
      <c r="L106" s="132" t="s">
        <v>2223</v>
      </c>
      <c r="M106" s="100" t="str">
        <f t="shared" si="2"/>
        <v>CSR_XCP_Signals_Recorder_2025-12-23_11-49-41_TC17_CPD_NCAP12_3YO_1R_CPD.MF4.xz</v>
      </c>
      <c r="N106" s="59" t="str">
        <f t="shared" si="3"/>
        <v>_NCAP12_3YO_1R_CPD.MF4.xz</v>
      </c>
      <c r="O106" s="132" t="s">
        <v>202</v>
      </c>
      <c r="P106" s="132"/>
    </row>
    <row r="107" spans="1:21">
      <c r="A107" s="77">
        <v>17</v>
      </c>
      <c r="B107" t="s">
        <v>2133</v>
      </c>
      <c r="C107" t="s">
        <v>66</v>
      </c>
      <c r="D107" s="97" t="e">
        <f>_xlfn.XLOOKUP(A107,[1]CPD_SOP_new!$A:$A,[1]CPD_SOP_new!#REF!,"not found",0 )</f>
        <v>#REF!</v>
      </c>
      <c r="E107" s="97" t="s">
        <v>26</v>
      </c>
      <c r="F107" t="s">
        <v>28</v>
      </c>
      <c r="G107" t="s">
        <v>28</v>
      </c>
      <c r="H107" t="s">
        <v>28</v>
      </c>
      <c r="I107" s="59" t="s">
        <v>28</v>
      </c>
      <c r="J107" t="s">
        <v>29</v>
      </c>
      <c r="K107" s="132" t="s">
        <v>208</v>
      </c>
      <c r="L107" s="132" t="s">
        <v>2224</v>
      </c>
      <c r="M107" s="100" t="str">
        <f t="shared" si="2"/>
        <v>CSR_XCP_Signals_Recorder_2025-12-23_11-51-13_TC17_CPD_NCAP12_3YO_1R_CPD.MF4.xz</v>
      </c>
      <c r="N107" s="59" t="str">
        <f t="shared" si="3"/>
        <v>_NCAP12_3YO_1R_CPD.MF4.xz</v>
      </c>
      <c r="O107" s="132" t="s">
        <v>202</v>
      </c>
      <c r="P107" s="132"/>
    </row>
    <row r="108" spans="1:21">
      <c r="A108" s="77">
        <v>17</v>
      </c>
      <c r="B108" t="s">
        <v>2133</v>
      </c>
      <c r="C108" t="s">
        <v>66</v>
      </c>
      <c r="D108" s="97" t="e">
        <f>_xlfn.XLOOKUP(A108,[1]CPD_SOP_new!$A:$A,[1]CPD_SOP_new!#REF!,"not found",0 )</f>
        <v>#REF!</v>
      </c>
      <c r="E108" s="97" t="s">
        <v>26</v>
      </c>
      <c r="F108" t="s">
        <v>28</v>
      </c>
      <c r="G108" t="s">
        <v>28</v>
      </c>
      <c r="H108" t="s">
        <v>28</v>
      </c>
      <c r="I108" s="59" t="s">
        <v>28</v>
      </c>
      <c r="J108" t="s">
        <v>29</v>
      </c>
      <c r="K108" s="132" t="s">
        <v>209</v>
      </c>
      <c r="L108" s="132" t="s">
        <v>2225</v>
      </c>
      <c r="M108" s="100" t="str">
        <f t="shared" si="2"/>
        <v>CSR_XCP_Signals_Recorder_2025-12-23_11-52-43_TC17_CPD_NCAP12_3YO_1R_CPD.MF4.xz</v>
      </c>
      <c r="N108" s="59" t="str">
        <f t="shared" si="3"/>
        <v>_NCAP12_3YO_1R_CPD.MF4.xz</v>
      </c>
      <c r="O108" s="132" t="s">
        <v>202</v>
      </c>
      <c r="P108" s="132"/>
    </row>
    <row r="109" spans="1:21">
      <c r="A109" s="77">
        <v>17</v>
      </c>
      <c r="B109" t="s">
        <v>2133</v>
      </c>
      <c r="C109" t="s">
        <v>66</v>
      </c>
      <c r="D109" s="97" t="e">
        <f>_xlfn.XLOOKUP(A109,[1]CPD_SOP_new!$A:$A,[1]CPD_SOP_new!#REF!,"not found",0 )</f>
        <v>#REF!</v>
      </c>
      <c r="E109" s="97" t="s">
        <v>26</v>
      </c>
      <c r="F109" t="s">
        <v>28</v>
      </c>
      <c r="G109" t="s">
        <v>28</v>
      </c>
      <c r="H109" t="s">
        <v>28</v>
      </c>
      <c r="I109" s="59" t="s">
        <v>28</v>
      </c>
      <c r="J109" t="s">
        <v>29</v>
      </c>
      <c r="K109" s="132" t="s">
        <v>210</v>
      </c>
      <c r="L109" s="132" t="s">
        <v>2226</v>
      </c>
      <c r="M109" s="100" t="str">
        <f t="shared" si="2"/>
        <v>CSR_XCP_Signals_Recorder_2025-12-23_11-54-15_TC17_CPD_NCAP12_3YO_1R_CPD.MF4.xz</v>
      </c>
      <c r="N109" s="59" t="str">
        <f t="shared" si="3"/>
        <v>_NCAP12_3YO_1R_CPD.MF4.xz</v>
      </c>
      <c r="O109" s="132" t="s">
        <v>202</v>
      </c>
      <c r="P109" s="132"/>
    </row>
    <row r="110" spans="1:21">
      <c r="A110" s="77">
        <v>17</v>
      </c>
      <c r="B110" t="s">
        <v>2133</v>
      </c>
      <c r="C110" t="s">
        <v>66</v>
      </c>
      <c r="D110" s="97" t="e">
        <f>_xlfn.XLOOKUP(A110,[1]CPD_SOP_new!$A:$A,[1]CPD_SOP_new!#REF!,"not found",0 )</f>
        <v>#REF!</v>
      </c>
      <c r="E110" s="97" t="s">
        <v>26</v>
      </c>
      <c r="F110" t="s">
        <v>28</v>
      </c>
      <c r="G110" t="s">
        <v>28</v>
      </c>
      <c r="H110" t="s">
        <v>28</v>
      </c>
      <c r="I110" s="59" t="s">
        <v>28</v>
      </c>
      <c r="J110" t="s">
        <v>29</v>
      </c>
      <c r="K110" s="132" t="s">
        <v>211</v>
      </c>
      <c r="L110" s="132" t="s">
        <v>2227</v>
      </c>
      <c r="M110" s="100" t="str">
        <f t="shared" si="2"/>
        <v>CSR_XCP_Signals_Recorder_2025-12-23_11-56-52_TC17_CPD_NCAP12_3YO_1R_CPD.MF4.xz</v>
      </c>
      <c r="N110" s="59" t="str">
        <f t="shared" si="3"/>
        <v>_NCAP12_3YO_1R_CPD.MF4.xz</v>
      </c>
      <c r="O110" s="132" t="s">
        <v>202</v>
      </c>
      <c r="P110" s="132"/>
    </row>
    <row r="111" spans="1:21">
      <c r="A111" s="77">
        <v>17</v>
      </c>
      <c r="B111" t="s">
        <v>2133</v>
      </c>
      <c r="C111" t="s">
        <v>66</v>
      </c>
      <c r="D111" s="97" t="e">
        <f>_xlfn.XLOOKUP(A111,[1]CPD_SOP_new!$A:$A,[1]CPD_SOP_new!#REF!,"not found",0 )</f>
        <v>#REF!</v>
      </c>
      <c r="E111" s="97" t="s">
        <v>26</v>
      </c>
      <c r="F111" t="s">
        <v>28</v>
      </c>
      <c r="G111" t="s">
        <v>28</v>
      </c>
      <c r="H111" t="s">
        <v>28</v>
      </c>
      <c r="I111" t="s">
        <v>28</v>
      </c>
      <c r="J111" t="s">
        <v>29</v>
      </c>
      <c r="K111" t="s">
        <v>212</v>
      </c>
      <c r="L111" t="s">
        <v>2228</v>
      </c>
      <c r="M111" s="100" t="str">
        <f t="shared" si="2"/>
        <v>CSR_XCP_Signals_Recorder_2026-01-29_16-04-22_TC17_NCAP12_3YO_1R_CPD.MF4.xz</v>
      </c>
      <c r="N111" s="59" t="str">
        <f t="shared" si="3"/>
        <v>_NCAP12_3YO_1R_CPD.MF4.xz</v>
      </c>
      <c r="O111" t="s">
        <v>213</v>
      </c>
      <c r="Q111" t="s">
        <v>29</v>
      </c>
      <c r="R111" t="s">
        <v>29</v>
      </c>
      <c r="S111">
        <v>1</v>
      </c>
      <c r="T111">
        <v>0</v>
      </c>
      <c r="U111">
        <v>0</v>
      </c>
    </row>
    <row r="112" spans="1:21">
      <c r="A112" s="77">
        <v>17</v>
      </c>
      <c r="B112" t="s">
        <v>2133</v>
      </c>
      <c r="C112" t="s">
        <v>66</v>
      </c>
      <c r="D112" s="97" t="e">
        <f>_xlfn.XLOOKUP(A112,[1]CPD_SOP_new!$A:$A,[1]CPD_SOP_new!#REF!,"not found",0 )</f>
        <v>#REF!</v>
      </c>
      <c r="E112" s="97" t="s">
        <v>26</v>
      </c>
      <c r="F112" t="s">
        <v>28</v>
      </c>
      <c r="G112" t="s">
        <v>28</v>
      </c>
      <c r="H112" t="s">
        <v>28</v>
      </c>
      <c r="I112" t="s">
        <v>28</v>
      </c>
      <c r="J112" t="s">
        <v>29</v>
      </c>
      <c r="K112" t="s">
        <v>1025</v>
      </c>
      <c r="L112" t="s">
        <v>2229</v>
      </c>
      <c r="M112" s="100" t="str">
        <f t="shared" si="2"/>
        <v>CSR_XCP_Signals_Recorder_2026-01-29_16-05-49_TC17_NCAP12_3YO_1R_CPD.MF4.xz</v>
      </c>
      <c r="N112" s="59" t="str">
        <f t="shared" si="3"/>
        <v>_NCAP12_3YO_1R_CPD.MF4.xz</v>
      </c>
      <c r="O112" t="s">
        <v>213</v>
      </c>
      <c r="Q112" t="s">
        <v>29</v>
      </c>
      <c r="R112" t="s">
        <v>29</v>
      </c>
      <c r="S112">
        <v>1</v>
      </c>
      <c r="T112">
        <v>0</v>
      </c>
      <c r="U112">
        <v>0</v>
      </c>
    </row>
    <row r="113" spans="1:21">
      <c r="A113" s="78">
        <v>17</v>
      </c>
      <c r="B113" s="137" t="s">
        <v>105</v>
      </c>
      <c r="C113" t="s">
        <v>66</v>
      </c>
      <c r="D113" s="97" t="e">
        <f>_xlfn.XLOOKUP(A113,[1]CPD_SOP_new!$A:$A,[1]CPD_SOP_new!#REF!,"not found",0 )</f>
        <v>#REF!</v>
      </c>
      <c r="E113" s="97" t="s">
        <v>26</v>
      </c>
      <c r="F113" t="s">
        <v>28</v>
      </c>
      <c r="G113" t="s">
        <v>28</v>
      </c>
      <c r="H113" t="s">
        <v>28</v>
      </c>
      <c r="I113" s="137" t="s">
        <v>27</v>
      </c>
      <c r="J113" s="137" t="s">
        <v>105</v>
      </c>
      <c r="K113" s="137" t="s">
        <v>215</v>
      </c>
      <c r="L113" s="137" t="s">
        <v>723</v>
      </c>
      <c r="M113" s="100" t="str">
        <f t="shared" si="2"/>
        <v>Wrong measurement</v>
      </c>
      <c r="N113" s="59" t="str">
        <f t="shared" si="3"/>
        <v>Wrong measurement</v>
      </c>
      <c r="O113" s="137" t="s">
        <v>213</v>
      </c>
      <c r="P113" s="137"/>
      <c r="Q113" s="137" t="s">
        <v>105</v>
      </c>
      <c r="R113" s="137" t="s">
        <v>105</v>
      </c>
      <c r="S113" s="137" t="s">
        <v>105</v>
      </c>
      <c r="T113" s="137" t="s">
        <v>105</v>
      </c>
      <c r="U113" s="137" t="s">
        <v>105</v>
      </c>
    </row>
    <row r="114" spans="1:21">
      <c r="A114" s="77">
        <v>18</v>
      </c>
      <c r="B114" t="s">
        <v>2133</v>
      </c>
      <c r="C114" t="s">
        <v>66</v>
      </c>
      <c r="D114" s="97" t="e">
        <f>_xlfn.XLOOKUP(A114,[1]CPD_SOP_new!$A:$A,[1]CPD_SOP_new!#REF!,"not found",0 )</f>
        <v>#REF!</v>
      </c>
      <c r="E114" s="97" t="str">
        <f>_xlfn.XLOOKUP(A114,[1]CPD_SOP_new!$A:$A,[1]CPD_SOP_new!$K:$K,"not found",0 )</f>
        <v>2R</v>
      </c>
      <c r="F114" t="s">
        <v>28</v>
      </c>
      <c r="G114" t="s">
        <v>28</v>
      </c>
      <c r="H114" t="s">
        <v>28</v>
      </c>
      <c r="I114" t="s">
        <v>28</v>
      </c>
      <c r="J114" t="s">
        <v>29</v>
      </c>
      <c r="K114" t="s">
        <v>216</v>
      </c>
      <c r="L114" t="s">
        <v>2230</v>
      </c>
      <c r="M114" s="100" t="str">
        <f t="shared" si="2"/>
        <v>CSR_XCP_Signals_Recorder_2025-12-11_11-11-53_TC18_3YO_2R_CPD_NCAP12_3YO_2R_CPD.MF4.xz</v>
      </c>
      <c r="N114" s="59" t="str">
        <f t="shared" si="3"/>
        <v>_NCAP12_3YO_2R_CPD.MF4.xz</v>
      </c>
      <c r="O114" s="129" t="s">
        <v>217</v>
      </c>
      <c r="P114" s="129"/>
    </row>
    <row r="115" spans="1:21">
      <c r="A115" s="77">
        <v>18</v>
      </c>
      <c r="B115" t="s">
        <v>2133</v>
      </c>
      <c r="C115" t="s">
        <v>66</v>
      </c>
      <c r="D115" s="97" t="e">
        <f>_xlfn.XLOOKUP(A115,[1]CPD_SOP_new!$A:$A,[1]CPD_SOP_new!#REF!,"not found",0 )</f>
        <v>#REF!</v>
      </c>
      <c r="E115" s="97" t="str">
        <f>_xlfn.XLOOKUP(A115,[1]CPD_SOP_new!$A:$A,[1]CPD_SOP_new!$K:$K,"not found",0 )</f>
        <v>2R</v>
      </c>
      <c r="F115" t="s">
        <v>28</v>
      </c>
      <c r="G115" t="s">
        <v>28</v>
      </c>
      <c r="H115" t="s">
        <v>28</v>
      </c>
      <c r="I115" t="s">
        <v>28</v>
      </c>
      <c r="J115" t="s">
        <v>29</v>
      </c>
      <c r="K115" t="s">
        <v>219</v>
      </c>
      <c r="L115" t="s">
        <v>2231</v>
      </c>
      <c r="M115" s="100" t="str">
        <f t="shared" si="2"/>
        <v>CSR_XCP_Signals_Recorder_2025-12-11_11-13-35_TC18_3YO_2R_CPD_NCAP12_3YO_2R_CPD.MF4.xz</v>
      </c>
      <c r="N115" s="59" t="str">
        <f t="shared" si="3"/>
        <v>_NCAP12_3YO_2R_CPD.MF4.xz</v>
      </c>
      <c r="O115" s="129" t="s">
        <v>217</v>
      </c>
      <c r="P115" s="129"/>
    </row>
    <row r="116" spans="1:21">
      <c r="A116" s="77">
        <v>18</v>
      </c>
      <c r="B116" t="s">
        <v>2133</v>
      </c>
      <c r="C116" t="s">
        <v>66</v>
      </c>
      <c r="D116" s="97" t="e">
        <f>_xlfn.XLOOKUP(A116,[1]CPD_SOP_new!$A:$A,[1]CPD_SOP_new!#REF!,"not found",0 )</f>
        <v>#REF!</v>
      </c>
      <c r="E116" s="97" t="str">
        <f>_xlfn.XLOOKUP(A116,[1]CPD_SOP_new!$A:$A,[1]CPD_SOP_new!$K:$K,"not found",0 )</f>
        <v>2R</v>
      </c>
      <c r="F116" t="s">
        <v>28</v>
      </c>
      <c r="G116" t="s">
        <v>28</v>
      </c>
      <c r="H116" t="s">
        <v>28</v>
      </c>
      <c r="I116" t="s">
        <v>28</v>
      </c>
      <c r="J116" t="s">
        <v>29</v>
      </c>
      <c r="K116" s="60" t="s">
        <v>220</v>
      </c>
      <c r="L116" t="s">
        <v>2232</v>
      </c>
      <c r="M116" s="100" t="str">
        <f t="shared" si="2"/>
        <v>CSR_XCP_Signals_Recorder_2025-12-11_11-16-51_TC18_3YO_2R_CPD_NCAP12_3YO_2R_CPD.MF4.xz</v>
      </c>
      <c r="N116" s="59" t="str">
        <f t="shared" si="3"/>
        <v>_NCAP12_3YO_2R_CPD.MF4.xz</v>
      </c>
      <c r="O116" s="129" t="s">
        <v>217</v>
      </c>
      <c r="P116" s="129"/>
    </row>
    <row r="117" spans="1:21">
      <c r="A117" s="77">
        <v>18</v>
      </c>
      <c r="B117" t="s">
        <v>2133</v>
      </c>
      <c r="C117" t="s">
        <v>66</v>
      </c>
      <c r="D117" s="97" t="e">
        <f>_xlfn.XLOOKUP(A117,[1]CPD_SOP_new!$A:$A,[1]CPD_SOP_new!#REF!,"not found",0 )</f>
        <v>#REF!</v>
      </c>
      <c r="E117" s="97" t="str">
        <f>_xlfn.XLOOKUP(A117,[1]CPD_SOP_new!$A:$A,[1]CPD_SOP_new!$K:$K,"not found",0 )</f>
        <v>2R</v>
      </c>
      <c r="F117" t="s">
        <v>28</v>
      </c>
      <c r="G117" t="s">
        <v>28</v>
      </c>
      <c r="H117" t="s">
        <v>28</v>
      </c>
      <c r="I117" t="s">
        <v>28</v>
      </c>
      <c r="J117" t="s">
        <v>29</v>
      </c>
      <c r="K117" s="60" t="s">
        <v>221</v>
      </c>
      <c r="L117" t="s">
        <v>2233</v>
      </c>
      <c r="M117" s="100" t="str">
        <f t="shared" si="2"/>
        <v>CSR_XCP_Signals_Recorder_2025-12-11_11-18-13_TC18_3YO_2R_CPD_NCAP12_3YO_2R_CPD.MF4.xz</v>
      </c>
      <c r="N117" s="59" t="str">
        <f t="shared" si="3"/>
        <v>_NCAP12_3YO_2R_CPD.MF4.xz</v>
      </c>
      <c r="O117" s="129" t="s">
        <v>217</v>
      </c>
      <c r="P117" s="129"/>
    </row>
    <row r="118" spans="1:21">
      <c r="A118" s="77">
        <v>18</v>
      </c>
      <c r="B118" t="s">
        <v>2133</v>
      </c>
      <c r="C118" t="s">
        <v>66</v>
      </c>
      <c r="D118" s="97" t="e">
        <f>_xlfn.XLOOKUP(A118,[1]CPD_SOP_new!$A:$A,[1]CPD_SOP_new!#REF!,"not found",0 )</f>
        <v>#REF!</v>
      </c>
      <c r="E118" s="97" t="str">
        <f>_xlfn.XLOOKUP(A118,[1]CPD_SOP_new!$A:$A,[1]CPD_SOP_new!$K:$K,"not found",0 )</f>
        <v>2R</v>
      </c>
      <c r="F118" t="s">
        <v>28</v>
      </c>
      <c r="G118" t="s">
        <v>28</v>
      </c>
      <c r="H118" t="s">
        <v>28</v>
      </c>
      <c r="I118" t="s">
        <v>28</v>
      </c>
      <c r="J118" t="s">
        <v>29</v>
      </c>
      <c r="K118" t="s">
        <v>222</v>
      </c>
      <c r="L118" t="s">
        <v>2234</v>
      </c>
      <c r="M118" s="100" t="str">
        <f t="shared" si="2"/>
        <v>CSR_XCP_Signals_Recorder_2025-12-11_11-19-38_TC18_3YO_2R_CPD_NCAP12_3YO_2R_CPD.MF4.xz</v>
      </c>
      <c r="N118" s="59" t="str">
        <f t="shared" si="3"/>
        <v>_NCAP12_3YO_2R_CPD.MF4.xz</v>
      </c>
      <c r="O118" s="129" t="s">
        <v>217</v>
      </c>
      <c r="P118" s="129"/>
    </row>
    <row r="119" spans="1:21">
      <c r="A119" s="77">
        <v>19</v>
      </c>
      <c r="B119" t="s">
        <v>2133</v>
      </c>
      <c r="C119" t="s">
        <v>66</v>
      </c>
      <c r="D119" s="97" t="e">
        <f>_xlfn.XLOOKUP(A119,[1]CPD_SOP_new!$A:$A,[1]CPD_SOP_new!#REF!,"not found",0 )</f>
        <v>#REF!</v>
      </c>
      <c r="E119" s="97" t="str">
        <f>_xlfn.XLOOKUP(A119,[1]CPD_SOP_new!$A:$A,[1]CPD_SOP_new!$K:$K,"not found",0 )</f>
        <v>2L</v>
      </c>
      <c r="F119" t="s">
        <v>27</v>
      </c>
      <c r="G119" t="s">
        <v>28</v>
      </c>
      <c r="H119" t="s">
        <v>28</v>
      </c>
      <c r="I119" t="s">
        <v>28</v>
      </c>
      <c r="J119" t="s">
        <v>29</v>
      </c>
      <c r="K119" t="s">
        <v>223</v>
      </c>
      <c r="L119" t="s">
        <v>2235</v>
      </c>
      <c r="M119" s="100" t="str">
        <f t="shared" si="2"/>
        <v>TC_19_Try1_NCAP12_3YO_2L_CPD.MF4.xz</v>
      </c>
      <c r="N119" s="59" t="str">
        <f t="shared" si="3"/>
        <v>_NCAP12_3YO_2L_CPD.MF4.xz</v>
      </c>
      <c r="O119" s="129" t="s">
        <v>2236</v>
      </c>
      <c r="P119" s="129"/>
    </row>
    <row r="120" spans="1:21">
      <c r="A120" s="77">
        <v>19</v>
      </c>
      <c r="B120" t="s">
        <v>2133</v>
      </c>
      <c r="C120" t="s">
        <v>66</v>
      </c>
      <c r="D120" s="97" t="e">
        <f>_xlfn.XLOOKUP(A120,[1]CPD_SOP_new!$A:$A,[1]CPD_SOP_new!#REF!,"not found",0 )</f>
        <v>#REF!</v>
      </c>
      <c r="E120" s="97" t="str">
        <f>_xlfn.XLOOKUP(A120,[1]CPD_SOP_new!$A:$A,[1]CPD_SOP_new!$K:$K,"not found",0 )</f>
        <v>2L</v>
      </c>
      <c r="F120" t="s">
        <v>27</v>
      </c>
      <c r="G120" t="s">
        <v>28</v>
      </c>
      <c r="H120" t="s">
        <v>28</v>
      </c>
      <c r="I120" t="s">
        <v>28</v>
      </c>
      <c r="J120" t="s">
        <v>29</v>
      </c>
      <c r="K120" t="s">
        <v>226</v>
      </c>
      <c r="L120" t="s">
        <v>2237</v>
      </c>
      <c r="M120" s="100" t="str">
        <f t="shared" si="2"/>
        <v>TC_19_Try2_NCAP12_3YO_2L_CPD.MF4.xz</v>
      </c>
      <c r="N120" s="59" t="str">
        <f t="shared" si="3"/>
        <v>_NCAP12_3YO_2L_CPD.MF4.xz</v>
      </c>
      <c r="O120" s="129" t="s">
        <v>2236</v>
      </c>
      <c r="P120" s="129"/>
    </row>
    <row r="121" spans="1:21">
      <c r="A121" s="77">
        <v>19</v>
      </c>
      <c r="B121" t="s">
        <v>2133</v>
      </c>
      <c r="C121" t="s">
        <v>66</v>
      </c>
      <c r="D121" s="97" t="e">
        <f>_xlfn.XLOOKUP(A121,[1]CPD_SOP_new!$A:$A,[1]CPD_SOP_new!#REF!,"not found",0 )</f>
        <v>#REF!</v>
      </c>
      <c r="E121" s="97" t="str">
        <f>_xlfn.XLOOKUP(A121,[1]CPD_SOP_new!$A:$A,[1]CPD_SOP_new!$K:$K,"not found",0 )</f>
        <v>2L</v>
      </c>
      <c r="F121" t="s">
        <v>27</v>
      </c>
      <c r="G121" t="s">
        <v>28</v>
      </c>
      <c r="H121" t="s">
        <v>28</v>
      </c>
      <c r="I121" t="s">
        <v>28</v>
      </c>
      <c r="J121" t="s">
        <v>29</v>
      </c>
      <c r="K121" t="s">
        <v>227</v>
      </c>
      <c r="L121" t="s">
        <v>2238</v>
      </c>
      <c r="M121" s="100" t="str">
        <f t="shared" si="2"/>
        <v>TC_19_Try3_NCAP12_3YO_2L_CPD.MF4.xz</v>
      </c>
      <c r="N121" s="59" t="str">
        <f t="shared" si="3"/>
        <v>_NCAP12_3YO_2L_CPD.MF4.xz</v>
      </c>
      <c r="O121" s="129" t="s">
        <v>2236</v>
      </c>
      <c r="P121" s="129"/>
    </row>
    <row r="122" spans="1:21">
      <c r="A122" s="77">
        <v>20</v>
      </c>
      <c r="B122" t="s">
        <v>2133</v>
      </c>
      <c r="C122" t="s">
        <v>66</v>
      </c>
      <c r="D122" s="97" t="e">
        <f>_xlfn.XLOOKUP(A122,[1]CPD_SOP_new!$A:$A,[1]CPD_SOP_new!#REF!,"not found",0 )</f>
        <v>#REF!</v>
      </c>
      <c r="E122" s="97" t="str">
        <f>_xlfn.XLOOKUP(A122,[1]CPD_SOP_new!$A:$A,[1]CPD_SOP_new!$K:$K,"not found",0 )</f>
        <v>2C</v>
      </c>
      <c r="F122" t="s">
        <v>28</v>
      </c>
      <c r="G122" t="s">
        <v>28</v>
      </c>
      <c r="H122" t="s">
        <v>28</v>
      </c>
      <c r="I122" t="s">
        <v>28</v>
      </c>
      <c r="J122" t="s">
        <v>29</v>
      </c>
      <c r="K122" t="s">
        <v>228</v>
      </c>
      <c r="L122" t="s">
        <v>2239</v>
      </c>
      <c r="M122" s="100" t="str">
        <f t="shared" si="2"/>
        <v>CSR_XCP_Signals_Recorder_2025-12-11_11-27-04_TC20_3YO_2M_CPD_NCAP12_3YO_2C_CPD.MF4.xz</v>
      </c>
      <c r="N122" s="59" t="str">
        <f t="shared" si="3"/>
        <v>_NCAP12_3YO_2C_CPD.MF4.xz</v>
      </c>
      <c r="O122" s="129" t="s">
        <v>217</v>
      </c>
      <c r="P122" s="129"/>
    </row>
    <row r="123" spans="1:21">
      <c r="A123" s="77">
        <v>20</v>
      </c>
      <c r="B123" t="s">
        <v>2133</v>
      </c>
      <c r="C123" t="s">
        <v>66</v>
      </c>
      <c r="D123" s="97" t="e">
        <f>_xlfn.XLOOKUP(A123,[1]CPD_SOP_new!$A:$A,[1]CPD_SOP_new!#REF!,"not found",0 )</f>
        <v>#REF!</v>
      </c>
      <c r="E123" s="97" t="str">
        <f>_xlfn.XLOOKUP(A123,[1]CPD_SOP_new!$A:$A,[1]CPD_SOP_new!$K:$K,"not found",0 )</f>
        <v>2C</v>
      </c>
      <c r="F123" t="s">
        <v>28</v>
      </c>
      <c r="G123" t="s">
        <v>28</v>
      </c>
      <c r="H123" t="s">
        <v>28</v>
      </c>
      <c r="I123" t="s">
        <v>28</v>
      </c>
      <c r="J123" t="s">
        <v>29</v>
      </c>
      <c r="K123" t="s">
        <v>230</v>
      </c>
      <c r="L123" t="s">
        <v>2240</v>
      </c>
      <c r="M123" s="100" t="str">
        <f t="shared" si="2"/>
        <v>CSR_XCP_Signals_Recorder_2025-12-11_11-28-02_TC20_3YO_2M_CPD_NCAP12_3YO_2C_CPD.MF4.xz</v>
      </c>
      <c r="N123" s="59" t="str">
        <f t="shared" si="3"/>
        <v>_NCAP12_3YO_2C_CPD.MF4.xz</v>
      </c>
      <c r="O123" s="129" t="s">
        <v>217</v>
      </c>
      <c r="P123" s="129"/>
    </row>
    <row r="124" spans="1:21" s="130" customFormat="1">
      <c r="A124" s="78">
        <v>20</v>
      </c>
      <c r="B124" s="130" t="s">
        <v>2133</v>
      </c>
      <c r="C124" s="130" t="s">
        <v>66</v>
      </c>
      <c r="D124" s="97" t="e">
        <f>_xlfn.XLOOKUP(A124,[1]CPD_SOP_new!$A:$A,[1]CPD_SOP_new!#REF!,"not found",0 )</f>
        <v>#REF!</v>
      </c>
      <c r="E124" s="97" t="str">
        <f>_xlfn.XLOOKUP(A124,[1]CPD_SOP_new!$A:$A,[1]CPD_SOP_new!$K:$K,"not found",0 )</f>
        <v>2C</v>
      </c>
      <c r="F124" s="130" t="s">
        <v>28</v>
      </c>
      <c r="G124" s="130" t="s">
        <v>28</v>
      </c>
      <c r="H124" s="130" t="s">
        <v>28</v>
      </c>
      <c r="I124" s="130" t="s">
        <v>27</v>
      </c>
      <c r="J124" s="130" t="s">
        <v>29</v>
      </c>
      <c r="K124" s="130" t="s">
        <v>231</v>
      </c>
      <c r="L124" s="130" t="s">
        <v>723</v>
      </c>
      <c r="M124" s="100" t="str">
        <f t="shared" si="2"/>
        <v>Wrong measurement</v>
      </c>
      <c r="N124" s="59" t="str">
        <f t="shared" si="3"/>
        <v>Wrong measurement</v>
      </c>
      <c r="O124" s="131" t="s">
        <v>217</v>
      </c>
      <c r="P124" s="131"/>
    </row>
    <row r="125" spans="1:21">
      <c r="A125" s="77">
        <v>20</v>
      </c>
      <c r="B125" t="s">
        <v>2133</v>
      </c>
      <c r="C125" t="s">
        <v>66</v>
      </c>
      <c r="D125" s="97" t="e">
        <f>_xlfn.XLOOKUP(A125,[1]CPD_SOP_new!$A:$A,[1]CPD_SOP_new!#REF!,"not found",0 )</f>
        <v>#REF!</v>
      </c>
      <c r="E125" s="97" t="str">
        <f>_xlfn.XLOOKUP(A125,[1]CPD_SOP_new!$A:$A,[1]CPD_SOP_new!$K:$K,"not found",0 )</f>
        <v>2C</v>
      </c>
      <c r="F125" t="s">
        <v>28</v>
      </c>
      <c r="G125" t="s">
        <v>28</v>
      </c>
      <c r="H125" t="s">
        <v>28</v>
      </c>
      <c r="I125" t="s">
        <v>28</v>
      </c>
      <c r="J125" t="s">
        <v>29</v>
      </c>
      <c r="K125" t="s">
        <v>232</v>
      </c>
      <c r="L125" t="s">
        <v>2241</v>
      </c>
      <c r="M125" s="100" t="str">
        <f t="shared" si="2"/>
        <v>CSR_XCP_Signals_Recorder_2025-12-11_11-29-44_TC20_3YO_2M_CPD_NCAP12_3YO_2C_CPD.MF4.xz</v>
      </c>
      <c r="N125" s="59" t="str">
        <f t="shared" si="3"/>
        <v>_NCAP12_3YO_2C_CPD.MF4.xz</v>
      </c>
      <c r="O125" s="129" t="s">
        <v>217</v>
      </c>
      <c r="P125" s="129"/>
    </row>
    <row r="126" spans="1:21">
      <c r="A126" s="77">
        <v>20</v>
      </c>
      <c r="B126" t="s">
        <v>2133</v>
      </c>
      <c r="C126" t="s">
        <v>66</v>
      </c>
      <c r="D126" s="97" t="e">
        <f>_xlfn.XLOOKUP(A126,[1]CPD_SOP_new!$A:$A,[1]CPD_SOP_new!#REF!,"not found",0 )</f>
        <v>#REF!</v>
      </c>
      <c r="E126" s="97" t="str">
        <f>_xlfn.XLOOKUP(A126,[1]CPD_SOP_new!$A:$A,[1]CPD_SOP_new!$K:$K,"not found",0 )</f>
        <v>2C</v>
      </c>
      <c r="F126" t="s">
        <v>28</v>
      </c>
      <c r="G126" t="s">
        <v>28</v>
      </c>
      <c r="H126" t="s">
        <v>28</v>
      </c>
      <c r="I126" t="s">
        <v>28</v>
      </c>
      <c r="J126" t="s">
        <v>29</v>
      </c>
      <c r="K126" t="s">
        <v>233</v>
      </c>
      <c r="L126" t="s">
        <v>2242</v>
      </c>
      <c r="M126" s="100" t="str">
        <f t="shared" si="2"/>
        <v>CSR_XCP_Signals_Recorder_2025-12-11_11-30-35_TC20_3YO_2M_CPD_NCAP12_3YO_2C_CPD.MF4.xz</v>
      </c>
      <c r="N126" s="59" t="str">
        <f t="shared" si="3"/>
        <v>_NCAP12_3YO_2C_CPD.MF4.xz</v>
      </c>
      <c r="O126" s="129" t="s">
        <v>217</v>
      </c>
      <c r="P126" s="129"/>
    </row>
    <row r="127" spans="1:21" s="130" customFormat="1">
      <c r="A127" s="78">
        <v>20</v>
      </c>
      <c r="B127" s="130" t="s">
        <v>2133</v>
      </c>
      <c r="C127" s="130" t="s">
        <v>66</v>
      </c>
      <c r="D127" s="97" t="e">
        <f>_xlfn.XLOOKUP(A127,[1]CPD_SOP_new!$A:$A,[1]CPD_SOP_new!#REF!,"not found",0 )</f>
        <v>#REF!</v>
      </c>
      <c r="E127" s="97" t="str">
        <f>_xlfn.XLOOKUP(A127,[1]CPD_SOP_new!$A:$A,[1]CPD_SOP_new!$K:$K,"not found",0 )</f>
        <v>2C</v>
      </c>
      <c r="F127" s="130" t="s">
        <v>27</v>
      </c>
      <c r="G127" s="130" t="s">
        <v>28</v>
      </c>
      <c r="H127" s="130" t="s">
        <v>28</v>
      </c>
      <c r="I127" s="130" t="s">
        <v>27</v>
      </c>
      <c r="J127" s="137" t="s">
        <v>68</v>
      </c>
      <c r="K127" s="136" t="s">
        <v>69</v>
      </c>
      <c r="L127" s="136" t="s">
        <v>723</v>
      </c>
      <c r="M127" s="100" t="str">
        <f t="shared" si="2"/>
        <v>Wrong measurement</v>
      </c>
      <c r="N127" s="59" t="str">
        <f t="shared" si="3"/>
        <v>Wrong measurement</v>
      </c>
      <c r="O127" s="131" t="s">
        <v>64</v>
      </c>
      <c r="P127" s="131"/>
    </row>
    <row r="128" spans="1:21" s="130" customFormat="1">
      <c r="A128" s="78">
        <v>20</v>
      </c>
      <c r="B128" s="130" t="s">
        <v>2133</v>
      </c>
      <c r="C128" s="130" t="s">
        <v>66</v>
      </c>
      <c r="D128" s="97" t="e">
        <f>_xlfn.XLOOKUP(A128,[1]CPD_SOP_new!$A:$A,[1]CPD_SOP_new!#REF!,"not found",0 )</f>
        <v>#REF!</v>
      </c>
      <c r="E128" s="97" t="str">
        <f>_xlfn.XLOOKUP(A128,[1]CPD_SOP_new!$A:$A,[1]CPD_SOP_new!$K:$K,"not found",0 )</f>
        <v>2C</v>
      </c>
      <c r="F128" s="130" t="s">
        <v>27</v>
      </c>
      <c r="G128" s="130" t="s">
        <v>28</v>
      </c>
      <c r="H128" s="130" t="s">
        <v>28</v>
      </c>
      <c r="I128" s="130" t="s">
        <v>27</v>
      </c>
      <c r="J128" s="137" t="s">
        <v>68</v>
      </c>
      <c r="K128" s="136" t="s">
        <v>241</v>
      </c>
      <c r="L128" s="136" t="s">
        <v>723</v>
      </c>
      <c r="M128" s="100" t="str">
        <f t="shared" si="2"/>
        <v>Wrong measurement</v>
      </c>
      <c r="N128" s="59" t="str">
        <f t="shared" si="3"/>
        <v>Wrong measurement</v>
      </c>
      <c r="O128" s="131" t="s">
        <v>41</v>
      </c>
      <c r="P128" s="131"/>
    </row>
    <row r="129" spans="1:16" s="130" customFormat="1">
      <c r="A129" s="78">
        <v>20</v>
      </c>
      <c r="B129" s="130" t="s">
        <v>2133</v>
      </c>
      <c r="C129" s="130" t="s">
        <v>66</v>
      </c>
      <c r="D129" s="97" t="e">
        <f>_xlfn.XLOOKUP(A129,[1]CPD_SOP_new!$A:$A,[1]CPD_SOP_new!#REF!,"not found",0 )</f>
        <v>#REF!</v>
      </c>
      <c r="E129" s="97" t="str">
        <f>_xlfn.XLOOKUP(A129,[1]CPD_SOP_new!$A:$A,[1]CPD_SOP_new!$K:$K,"not found",0 )</f>
        <v>2C</v>
      </c>
      <c r="F129" s="130" t="s">
        <v>27</v>
      </c>
      <c r="G129" s="130" t="s">
        <v>28</v>
      </c>
      <c r="H129" s="130" t="s">
        <v>28</v>
      </c>
      <c r="I129" s="130" t="s">
        <v>27</v>
      </c>
      <c r="J129" s="137" t="s">
        <v>68</v>
      </c>
      <c r="K129" s="130" t="s">
        <v>242</v>
      </c>
      <c r="L129" s="130" t="s">
        <v>723</v>
      </c>
      <c r="M129" s="100" t="str">
        <f t="shared" si="2"/>
        <v>Wrong measurement</v>
      </c>
      <c r="N129" s="59" t="str">
        <f t="shared" si="3"/>
        <v>Wrong measurement</v>
      </c>
      <c r="O129" s="130" t="s">
        <v>130</v>
      </c>
    </row>
    <row r="130" spans="1:16">
      <c r="A130" s="77">
        <v>21</v>
      </c>
      <c r="B130" t="s">
        <v>2133</v>
      </c>
      <c r="C130" t="s">
        <v>66</v>
      </c>
      <c r="D130" s="97" t="e">
        <f>_xlfn.XLOOKUP(A130,[1]CPD_SOP_new!$A:$A,[1]CPD_SOP_new!#REF!,"not found",0 )</f>
        <v>#REF!</v>
      </c>
      <c r="E130" s="97" t="str">
        <f>_xlfn.XLOOKUP(A130,[1]CPD_SOP_new!$A:$A,[1]CPD_SOP_new!$K:$K,"not found",0 )</f>
        <v>3R</v>
      </c>
      <c r="F130" t="s">
        <v>27</v>
      </c>
      <c r="G130" t="s">
        <v>28</v>
      </c>
      <c r="H130" t="s">
        <v>28</v>
      </c>
      <c r="I130" t="s">
        <v>28</v>
      </c>
      <c r="J130" t="s">
        <v>29</v>
      </c>
      <c r="K130" t="s">
        <v>243</v>
      </c>
      <c r="L130" t="s">
        <v>2243</v>
      </c>
      <c r="M130" s="100" t="str">
        <f t="shared" ref="M130:M193" si="4">IF(NOT(N130="Wrong measurement"),SUBSTITUTE(K130,".MF4.xz",N130),"Wrong measurement")</f>
        <v>TC_21_Try1_NCAP12_3YO_3R_CPD.MF4.xz</v>
      </c>
      <c r="N130" s="59" t="str">
        <f t="shared" ref="N130:N193" si="5">IF(I130="Y",("_"&amp;B130 &amp;"_"&amp; IF(C130="","",C130)&amp;"_"&amp;E130&amp;"_CPD.MF4.xz"),"Wrong measurement")</f>
        <v>_NCAP12_3YO_3R_CPD.MF4.xz</v>
      </c>
      <c r="O130" s="129" t="s">
        <v>244</v>
      </c>
      <c r="P130" s="129"/>
    </row>
    <row r="131" spans="1:16">
      <c r="A131" s="77">
        <v>21</v>
      </c>
      <c r="B131" t="s">
        <v>2133</v>
      </c>
      <c r="C131" t="s">
        <v>66</v>
      </c>
      <c r="D131" s="97" t="e">
        <f>_xlfn.XLOOKUP(A131,[1]CPD_SOP_new!$A:$A,[1]CPD_SOP_new!#REF!,"not found",0 )</f>
        <v>#REF!</v>
      </c>
      <c r="E131" s="97" t="str">
        <f>_xlfn.XLOOKUP(A131,[1]CPD_SOP_new!$A:$A,[1]CPD_SOP_new!$K:$K,"not found",0 )</f>
        <v>3R</v>
      </c>
      <c r="F131" t="s">
        <v>27</v>
      </c>
      <c r="G131" t="s">
        <v>28</v>
      </c>
      <c r="H131" t="s">
        <v>28</v>
      </c>
      <c r="I131" t="s">
        <v>28</v>
      </c>
      <c r="J131" t="s">
        <v>29</v>
      </c>
      <c r="K131" t="s">
        <v>246</v>
      </c>
      <c r="L131" t="s">
        <v>2244</v>
      </c>
      <c r="M131" s="100" t="str">
        <f t="shared" si="4"/>
        <v>TC_21_Try2_NCAP12_3YO_3R_CPD.MF4.xz</v>
      </c>
      <c r="N131" s="59" t="str">
        <f t="shared" si="5"/>
        <v>_NCAP12_3YO_3R_CPD.MF4.xz</v>
      </c>
      <c r="O131" s="129" t="s">
        <v>244</v>
      </c>
      <c r="P131" s="129"/>
    </row>
    <row r="132" spans="1:16">
      <c r="A132" s="77">
        <v>21</v>
      </c>
      <c r="B132" t="s">
        <v>2133</v>
      </c>
      <c r="C132" t="s">
        <v>66</v>
      </c>
      <c r="D132" s="97" t="e">
        <f>_xlfn.XLOOKUP(A132,[1]CPD_SOP_new!$A:$A,[1]CPD_SOP_new!#REF!,"not found",0 )</f>
        <v>#REF!</v>
      </c>
      <c r="E132" s="97" t="str">
        <f>_xlfn.XLOOKUP(A132,[1]CPD_SOP_new!$A:$A,[1]CPD_SOP_new!$K:$K,"not found",0 )</f>
        <v>3R</v>
      </c>
      <c r="F132" t="s">
        <v>27</v>
      </c>
      <c r="G132" t="s">
        <v>28</v>
      </c>
      <c r="H132" t="s">
        <v>28</v>
      </c>
      <c r="I132" t="s">
        <v>28</v>
      </c>
      <c r="J132" t="s">
        <v>29</v>
      </c>
      <c r="K132" t="s">
        <v>247</v>
      </c>
      <c r="L132" t="s">
        <v>2245</v>
      </c>
      <c r="M132" s="100" t="str">
        <f t="shared" si="4"/>
        <v>TC_21_Try3_NCAP12_3YO_3R_CPD.MF4.xz</v>
      </c>
      <c r="N132" s="59" t="str">
        <f t="shared" si="5"/>
        <v>_NCAP12_3YO_3R_CPD.MF4.xz</v>
      </c>
      <c r="O132" s="129" t="s">
        <v>244</v>
      </c>
      <c r="P132" s="129"/>
    </row>
    <row r="133" spans="1:16">
      <c r="A133" s="77">
        <v>22</v>
      </c>
      <c r="B133" t="s">
        <v>2133</v>
      </c>
      <c r="C133" t="s">
        <v>66</v>
      </c>
      <c r="D133" s="97" t="e">
        <f>_xlfn.XLOOKUP(A133,[1]CPD_SOP_new!$A:$A,[1]CPD_SOP_new!#REF!,"not found",0 )</f>
        <v>#REF!</v>
      </c>
      <c r="E133" s="97" t="str">
        <f>_xlfn.XLOOKUP(A133,[1]CPD_SOP_new!$A:$A,[1]CPD_SOP_new!$K:$K,"not found",0 )</f>
        <v>3L</v>
      </c>
      <c r="F133" t="s">
        <v>28</v>
      </c>
      <c r="G133" t="s">
        <v>28</v>
      </c>
      <c r="H133" t="s">
        <v>28</v>
      </c>
      <c r="I133" t="s">
        <v>28</v>
      </c>
      <c r="J133" t="s">
        <v>29</v>
      </c>
      <c r="K133" t="s">
        <v>248</v>
      </c>
      <c r="L133" t="s">
        <v>2246</v>
      </c>
      <c r="M133" s="100" t="str">
        <f t="shared" si="4"/>
        <v>CSR_XCP_Signals_Recorder_2025-12-11_11-38-48_TC22_3YO_3L_CPD_NCAP12_3YO_3L_CPD.MF4.xz</v>
      </c>
      <c r="N133" s="59" t="str">
        <f t="shared" si="5"/>
        <v>_NCAP12_3YO_3L_CPD.MF4.xz</v>
      </c>
      <c r="O133" s="129" t="s">
        <v>217</v>
      </c>
      <c r="P133" s="129"/>
    </row>
    <row r="134" spans="1:16">
      <c r="A134" s="77">
        <v>22</v>
      </c>
      <c r="B134" t="s">
        <v>2133</v>
      </c>
      <c r="C134" t="s">
        <v>66</v>
      </c>
      <c r="D134" s="97" t="e">
        <f>_xlfn.XLOOKUP(A134,[1]CPD_SOP_new!$A:$A,[1]CPD_SOP_new!#REF!,"not found",0 )</f>
        <v>#REF!</v>
      </c>
      <c r="E134" s="97" t="str">
        <f>_xlfn.XLOOKUP(A134,[1]CPD_SOP_new!$A:$A,[1]CPD_SOP_new!$K:$K,"not found",0 )</f>
        <v>3L</v>
      </c>
      <c r="F134" t="s">
        <v>28</v>
      </c>
      <c r="G134" t="s">
        <v>28</v>
      </c>
      <c r="H134" t="s">
        <v>28</v>
      </c>
      <c r="I134" t="s">
        <v>28</v>
      </c>
      <c r="J134" t="s">
        <v>29</v>
      </c>
      <c r="K134" s="60" t="s">
        <v>250</v>
      </c>
      <c r="L134" t="s">
        <v>2247</v>
      </c>
      <c r="M134" s="100" t="str">
        <f t="shared" si="4"/>
        <v>CSR_XCP_Signals_Recorder_2025-12-11_11-39-36_TC22_3YO_3L_CPD_NCAP12_3YO_3L_CPD.MF4.xz</v>
      </c>
      <c r="N134" s="59" t="str">
        <f t="shared" si="5"/>
        <v>_NCAP12_3YO_3L_CPD.MF4.xz</v>
      </c>
      <c r="O134" s="129" t="s">
        <v>217</v>
      </c>
      <c r="P134" s="129"/>
    </row>
    <row r="135" spans="1:16">
      <c r="A135" s="77">
        <v>22</v>
      </c>
      <c r="B135" t="s">
        <v>2133</v>
      </c>
      <c r="C135" t="s">
        <v>66</v>
      </c>
      <c r="D135" s="97" t="e">
        <f>_xlfn.XLOOKUP(A135,[1]CPD_SOP_new!$A:$A,[1]CPD_SOP_new!#REF!,"not found",0 )</f>
        <v>#REF!</v>
      </c>
      <c r="E135" s="97" t="str">
        <f>_xlfn.XLOOKUP(A135,[1]CPD_SOP_new!$A:$A,[1]CPD_SOP_new!$K:$K,"not found",0 )</f>
        <v>3L</v>
      </c>
      <c r="F135" t="s">
        <v>28</v>
      </c>
      <c r="G135" t="s">
        <v>28</v>
      </c>
      <c r="H135" t="s">
        <v>28</v>
      </c>
      <c r="I135" t="s">
        <v>28</v>
      </c>
      <c r="J135" t="s">
        <v>29</v>
      </c>
      <c r="K135" s="60" t="s">
        <v>251</v>
      </c>
      <c r="L135" t="s">
        <v>2248</v>
      </c>
      <c r="M135" s="100" t="str">
        <f t="shared" si="4"/>
        <v>CSR_XCP_Signals_Recorder_2025-12-11_11-40-24_TC22_3YO_3L_CPD_NCAP12_3YO_3L_CPD.MF4.xz</v>
      </c>
      <c r="N135" s="59" t="str">
        <f t="shared" si="5"/>
        <v>_NCAP12_3YO_3L_CPD.MF4.xz</v>
      </c>
      <c r="O135" s="129" t="s">
        <v>217</v>
      </c>
      <c r="P135" s="129"/>
    </row>
    <row r="136" spans="1:16">
      <c r="A136" s="77">
        <v>22</v>
      </c>
      <c r="B136" t="s">
        <v>2133</v>
      </c>
      <c r="C136" t="s">
        <v>66</v>
      </c>
      <c r="D136" s="97" t="e">
        <f>_xlfn.XLOOKUP(A136,[1]CPD_SOP_new!$A:$A,[1]CPD_SOP_new!#REF!,"not found",0 )</f>
        <v>#REF!</v>
      </c>
      <c r="E136" s="97" t="str">
        <f>_xlfn.XLOOKUP(A136,[1]CPD_SOP_new!$A:$A,[1]CPD_SOP_new!$K:$K,"not found",0 )</f>
        <v>3L</v>
      </c>
      <c r="F136" t="s">
        <v>28</v>
      </c>
      <c r="G136" t="s">
        <v>28</v>
      </c>
      <c r="H136" t="s">
        <v>28</v>
      </c>
      <c r="I136" t="s">
        <v>28</v>
      </c>
      <c r="J136" t="s">
        <v>29</v>
      </c>
      <c r="K136" s="60" t="s">
        <v>252</v>
      </c>
      <c r="L136" t="s">
        <v>2249</v>
      </c>
      <c r="M136" s="100" t="str">
        <f t="shared" si="4"/>
        <v>CSR_XCP_Signals_Recorder_2025-12-11_11-41-12_TC22_3YO_3L_CPD_NCAP12_3YO_3L_CPD.MF4.xz</v>
      </c>
      <c r="N136" s="59" t="str">
        <f t="shared" si="5"/>
        <v>_NCAP12_3YO_3L_CPD.MF4.xz</v>
      </c>
      <c r="O136" s="129" t="s">
        <v>217</v>
      </c>
      <c r="P136" s="129"/>
    </row>
    <row r="137" spans="1:16">
      <c r="A137" s="77">
        <v>22</v>
      </c>
      <c r="B137" t="s">
        <v>2133</v>
      </c>
      <c r="C137" t="s">
        <v>253</v>
      </c>
      <c r="D137" s="97" t="e">
        <f>_xlfn.XLOOKUP(A137,[1]CPD_SOP_new!$A:$A,[1]CPD_SOP_new!#REF!,"not found",0 )</f>
        <v>#REF!</v>
      </c>
      <c r="E137" s="97" t="str">
        <f>_xlfn.XLOOKUP(A137,[1]CPD_SOP_new!$A:$A,[1]CPD_SOP_new!$K:$K,"not found",0 )</f>
        <v>3L</v>
      </c>
      <c r="F137" t="s">
        <v>28</v>
      </c>
      <c r="G137" t="s">
        <v>28</v>
      </c>
      <c r="H137" t="s">
        <v>28</v>
      </c>
      <c r="I137" t="s">
        <v>28</v>
      </c>
      <c r="J137" t="s">
        <v>29</v>
      </c>
      <c r="K137" t="s">
        <v>254</v>
      </c>
      <c r="L137" t="s">
        <v>2250</v>
      </c>
      <c r="M137" s="100" t="str">
        <f t="shared" si="4"/>
        <v>CSR_XCP_Signals_Recorder_2025-12-11_11-42-00_TC22_3YO_3L_CPD_NCAP12_6YO_3L_CPD.MF4.xz</v>
      </c>
      <c r="N137" s="59" t="str">
        <f t="shared" si="5"/>
        <v>_NCAP12_6YO_3L_CPD.MF4.xz</v>
      </c>
      <c r="O137" s="129" t="s">
        <v>217</v>
      </c>
      <c r="P137" s="129"/>
    </row>
    <row r="138" spans="1:16">
      <c r="A138" s="77">
        <v>23</v>
      </c>
      <c r="B138" t="s">
        <v>2133</v>
      </c>
      <c r="C138" t="s">
        <v>253</v>
      </c>
      <c r="D138" s="97" t="e">
        <f>_xlfn.XLOOKUP(A138,[1]CPD_SOP_new!$A:$A,[1]CPD_SOP_new!#REF!,"not found",0 )</f>
        <v>#REF!</v>
      </c>
      <c r="E138" s="97" t="s">
        <v>26</v>
      </c>
      <c r="F138" t="s">
        <v>28</v>
      </c>
      <c r="G138" t="s">
        <v>28</v>
      </c>
      <c r="H138" t="s">
        <v>28</v>
      </c>
      <c r="I138" t="s">
        <v>28</v>
      </c>
      <c r="J138" t="s">
        <v>29</v>
      </c>
      <c r="K138" t="s">
        <v>255</v>
      </c>
      <c r="L138" t="s">
        <v>2251</v>
      </c>
      <c r="M138" s="100" t="str">
        <f t="shared" si="4"/>
        <v>CSR_XCP_Signals_Recorder_2025-12-10_10-07-16_TC23_6YOPS_CPD_NCAP12_6YO_1R_CPD.MF4.xz</v>
      </c>
      <c r="N138" s="59" t="str">
        <f t="shared" si="5"/>
        <v>_NCAP12_6YO_1R_CPD.MF4.xz</v>
      </c>
      <c r="O138" s="129" t="s">
        <v>217</v>
      </c>
      <c r="P138" s="129"/>
    </row>
    <row r="139" spans="1:16">
      <c r="A139" s="77">
        <v>23</v>
      </c>
      <c r="B139" t="s">
        <v>2133</v>
      </c>
      <c r="C139" t="s">
        <v>253</v>
      </c>
      <c r="D139" s="97" t="e">
        <f>_xlfn.XLOOKUP(A139,[1]CPD_SOP_new!$A:$A,[1]CPD_SOP_new!#REF!,"not found",0 )</f>
        <v>#REF!</v>
      </c>
      <c r="E139" s="97" t="s">
        <v>26</v>
      </c>
      <c r="F139" t="s">
        <v>28</v>
      </c>
      <c r="G139" t="s">
        <v>28</v>
      </c>
      <c r="H139" t="s">
        <v>28</v>
      </c>
      <c r="I139" t="s">
        <v>28</v>
      </c>
      <c r="J139" t="s">
        <v>29</v>
      </c>
      <c r="K139" t="s">
        <v>257</v>
      </c>
      <c r="L139" t="s">
        <v>2252</v>
      </c>
      <c r="M139" s="100" t="str">
        <f t="shared" si="4"/>
        <v>CSR_XCP_Signals_Recorder_2025-12-10_10-08-48_TC23_6YOPS_CPD_NCAP12_6YO_1R_CPD.MF4.xz</v>
      </c>
      <c r="N139" s="59" t="str">
        <f t="shared" si="5"/>
        <v>_NCAP12_6YO_1R_CPD.MF4.xz</v>
      </c>
      <c r="O139" s="129" t="s">
        <v>217</v>
      </c>
      <c r="P139" s="129"/>
    </row>
    <row r="140" spans="1:16">
      <c r="A140" s="77">
        <v>23</v>
      </c>
      <c r="B140" t="s">
        <v>2133</v>
      </c>
      <c r="C140" t="s">
        <v>253</v>
      </c>
      <c r="D140" s="97" t="e">
        <f>_xlfn.XLOOKUP(A140,[1]CPD_SOP_new!$A:$A,[1]CPD_SOP_new!#REF!,"not found",0 )</f>
        <v>#REF!</v>
      </c>
      <c r="E140" s="97" t="s">
        <v>26</v>
      </c>
      <c r="F140" t="s">
        <v>28</v>
      </c>
      <c r="G140" t="s">
        <v>28</v>
      </c>
      <c r="H140" t="s">
        <v>28</v>
      </c>
      <c r="I140" t="s">
        <v>28</v>
      </c>
      <c r="J140" t="s">
        <v>29</v>
      </c>
      <c r="K140" s="60" t="s">
        <v>258</v>
      </c>
      <c r="L140" t="s">
        <v>2253</v>
      </c>
      <c r="M140" s="100" t="str">
        <f t="shared" si="4"/>
        <v>CSR_XCP_Signals_Recorder_2025-12-10_10-11-52_TC23_6YOPS_CPD_NCAP12_6YO_1R_CPD.MF4.xz</v>
      </c>
      <c r="N140" s="59" t="str">
        <f t="shared" si="5"/>
        <v>_NCAP12_6YO_1R_CPD.MF4.xz</v>
      </c>
      <c r="O140" s="129" t="s">
        <v>217</v>
      </c>
      <c r="P140" s="129"/>
    </row>
    <row r="141" spans="1:16">
      <c r="A141" s="77">
        <v>23</v>
      </c>
      <c r="B141" t="s">
        <v>2133</v>
      </c>
      <c r="C141" t="s">
        <v>253</v>
      </c>
      <c r="D141" s="97" t="e">
        <f>_xlfn.XLOOKUP(A141,[1]CPD_SOP_new!$A:$A,[1]CPD_SOP_new!#REF!,"not found",0 )</f>
        <v>#REF!</v>
      </c>
      <c r="E141" s="97" t="s">
        <v>26</v>
      </c>
      <c r="F141" t="s">
        <v>28</v>
      </c>
      <c r="G141" t="s">
        <v>28</v>
      </c>
      <c r="H141" t="s">
        <v>28</v>
      </c>
      <c r="I141" t="s">
        <v>28</v>
      </c>
      <c r="J141" t="s">
        <v>29</v>
      </c>
      <c r="K141" s="60" t="s">
        <v>259</v>
      </c>
      <c r="L141" t="s">
        <v>2254</v>
      </c>
      <c r="M141" s="100" t="str">
        <f t="shared" si="4"/>
        <v>CSR_XCP_Signals_Recorder_2025-12-10_10-15-38_TC23_6YOPS_CPD_NCAP12_6YO_1R_CPD.MF4.xz</v>
      </c>
      <c r="N141" s="59" t="str">
        <f t="shared" si="5"/>
        <v>_NCAP12_6YO_1R_CPD.MF4.xz</v>
      </c>
      <c r="O141" s="129" t="s">
        <v>217</v>
      </c>
      <c r="P141" s="129"/>
    </row>
    <row r="142" spans="1:16">
      <c r="A142" s="77">
        <v>23</v>
      </c>
      <c r="B142" t="s">
        <v>2133</v>
      </c>
      <c r="C142" t="s">
        <v>253</v>
      </c>
      <c r="D142" s="97" t="e">
        <f>_xlfn.XLOOKUP(A142,[1]CPD_SOP_new!$A:$A,[1]CPD_SOP_new!#REF!,"not found",0 )</f>
        <v>#REF!</v>
      </c>
      <c r="E142" s="97" t="s">
        <v>26</v>
      </c>
      <c r="F142" t="s">
        <v>28</v>
      </c>
      <c r="G142" t="s">
        <v>28</v>
      </c>
      <c r="H142" t="s">
        <v>28</v>
      </c>
      <c r="I142" t="s">
        <v>28</v>
      </c>
      <c r="J142" t="s">
        <v>29</v>
      </c>
      <c r="K142" s="60" t="s">
        <v>260</v>
      </c>
      <c r="L142" t="s">
        <v>2255</v>
      </c>
      <c r="M142" s="100" t="str">
        <f t="shared" si="4"/>
        <v>CSR_XCP_Signals_Recorder_2025-12-10_10-19-04_TC23_6YOPS_CPD_NCAP12_6YO_1R_CPD.MF4.xz</v>
      </c>
      <c r="N142" s="59" t="str">
        <f t="shared" si="5"/>
        <v>_NCAP12_6YO_1R_CPD.MF4.xz</v>
      </c>
      <c r="O142" s="129" t="s">
        <v>217</v>
      </c>
      <c r="P142" s="129"/>
    </row>
    <row r="143" spans="1:16">
      <c r="A143" s="77">
        <v>23</v>
      </c>
      <c r="B143" t="s">
        <v>2133</v>
      </c>
      <c r="C143" t="s">
        <v>253</v>
      </c>
      <c r="D143" s="97" t="e">
        <f>_xlfn.XLOOKUP(A143,[1]CPD_SOP_new!$A:$A,[1]CPD_SOP_new!#REF!,"not found",0 )</f>
        <v>#REF!</v>
      </c>
      <c r="E143" s="97" t="s">
        <v>26</v>
      </c>
      <c r="F143" t="s">
        <v>28</v>
      </c>
      <c r="G143" t="s">
        <v>28</v>
      </c>
      <c r="H143" t="s">
        <v>28</v>
      </c>
      <c r="I143" t="s">
        <v>28</v>
      </c>
      <c r="J143" t="s">
        <v>29</v>
      </c>
      <c r="K143" s="60" t="s">
        <v>261</v>
      </c>
      <c r="L143" t="s">
        <v>2256</v>
      </c>
      <c r="M143" s="100" t="str">
        <f t="shared" si="4"/>
        <v>CSR_XCP_Signals_Recorder_2025-12-10_10-22-02_TC23_6YOPS_CPD_NCAP12_6YO_1R_CPD.MF4.xz</v>
      </c>
      <c r="N143" s="59" t="str">
        <f t="shared" si="5"/>
        <v>_NCAP12_6YO_1R_CPD.MF4.xz</v>
      </c>
      <c r="O143" s="129" t="s">
        <v>217</v>
      </c>
      <c r="P143" s="129"/>
    </row>
    <row r="144" spans="1:16" s="130" customFormat="1">
      <c r="A144" s="78">
        <v>23</v>
      </c>
      <c r="B144" s="130" t="s">
        <v>2133</v>
      </c>
      <c r="C144" s="130" t="s">
        <v>253</v>
      </c>
      <c r="D144" s="97" t="e">
        <f>_xlfn.XLOOKUP(A144,[1]CPD_SOP_new!$A:$A,[1]CPD_SOP_new!#REF!,"not found",0 )</f>
        <v>#REF!</v>
      </c>
      <c r="E144" s="97" t="s">
        <v>26</v>
      </c>
      <c r="F144" s="130" t="s">
        <v>28</v>
      </c>
      <c r="G144" s="130" t="s">
        <v>28</v>
      </c>
      <c r="H144" s="130" t="s">
        <v>28</v>
      </c>
      <c r="I144" s="130" t="s">
        <v>27</v>
      </c>
      <c r="J144" s="137" t="s">
        <v>262</v>
      </c>
      <c r="K144" s="61" t="s">
        <v>263</v>
      </c>
      <c r="L144" s="130" t="s">
        <v>723</v>
      </c>
      <c r="M144" s="100" t="str">
        <f t="shared" si="4"/>
        <v>Wrong measurement</v>
      </c>
      <c r="N144" s="59" t="str">
        <f t="shared" si="5"/>
        <v>Wrong measurement</v>
      </c>
      <c r="O144" s="131" t="s">
        <v>217</v>
      </c>
      <c r="P144" s="131"/>
    </row>
    <row r="145" spans="1:21" s="130" customFormat="1">
      <c r="A145" s="78">
        <v>23</v>
      </c>
      <c r="B145" s="130" t="s">
        <v>2133</v>
      </c>
      <c r="C145" s="130" t="s">
        <v>253</v>
      </c>
      <c r="D145" s="97" t="e">
        <f>_xlfn.XLOOKUP(A145,[1]CPD_SOP_new!$A:$A,[1]CPD_SOP_new!#REF!,"not found",0 )</f>
        <v>#REF!</v>
      </c>
      <c r="E145" s="97" t="s">
        <v>26</v>
      </c>
      <c r="F145" s="130" t="s">
        <v>27</v>
      </c>
      <c r="G145" s="130" t="s">
        <v>28</v>
      </c>
      <c r="H145" s="130" t="s">
        <v>28</v>
      </c>
      <c r="I145" s="130" t="s">
        <v>27</v>
      </c>
      <c r="J145" s="137" t="s">
        <v>68</v>
      </c>
      <c r="K145" s="62" t="s">
        <v>264</v>
      </c>
      <c r="L145" s="136" t="s">
        <v>723</v>
      </c>
      <c r="M145" s="100" t="str">
        <f t="shared" si="4"/>
        <v>Wrong measurement</v>
      </c>
      <c r="N145" s="59" t="str">
        <f t="shared" si="5"/>
        <v>Wrong measurement</v>
      </c>
      <c r="O145" s="131" t="s">
        <v>202</v>
      </c>
      <c r="P145" s="131"/>
    </row>
    <row r="146" spans="1:21" s="130" customFormat="1">
      <c r="A146" s="78">
        <v>23</v>
      </c>
      <c r="B146" s="130" t="s">
        <v>2133</v>
      </c>
      <c r="C146" s="130" t="s">
        <v>253</v>
      </c>
      <c r="D146" s="97" t="e">
        <f>_xlfn.XLOOKUP(A146,[1]CPD_SOP_new!$A:$A,[1]CPD_SOP_new!#REF!,"not found",0 )</f>
        <v>#REF!</v>
      </c>
      <c r="E146" s="97" t="s">
        <v>26</v>
      </c>
      <c r="F146" s="130" t="s">
        <v>27</v>
      </c>
      <c r="G146" s="130" t="s">
        <v>28</v>
      </c>
      <c r="H146" s="130" t="s">
        <v>28</v>
      </c>
      <c r="I146" s="130" t="s">
        <v>27</v>
      </c>
      <c r="J146" s="137" t="s">
        <v>68</v>
      </c>
      <c r="K146" s="62" t="s">
        <v>265</v>
      </c>
      <c r="L146" s="136" t="s">
        <v>723</v>
      </c>
      <c r="M146" s="100" t="str">
        <f t="shared" si="4"/>
        <v>Wrong measurement</v>
      </c>
      <c r="N146" s="59" t="str">
        <f t="shared" si="5"/>
        <v>Wrong measurement</v>
      </c>
      <c r="O146" s="131" t="s">
        <v>202</v>
      </c>
      <c r="P146" s="131"/>
    </row>
    <row r="147" spans="1:21" s="130" customFormat="1">
      <c r="A147" s="78">
        <v>23</v>
      </c>
      <c r="B147" s="130" t="s">
        <v>2133</v>
      </c>
      <c r="C147" s="130" t="s">
        <v>253</v>
      </c>
      <c r="D147" s="97" t="e">
        <f>_xlfn.XLOOKUP(A147,[1]CPD_SOP_new!$A:$A,[1]CPD_SOP_new!#REF!,"not found",0 )</f>
        <v>#REF!</v>
      </c>
      <c r="E147" s="97" t="s">
        <v>26</v>
      </c>
      <c r="F147" s="130" t="s">
        <v>27</v>
      </c>
      <c r="G147" s="130" t="s">
        <v>28</v>
      </c>
      <c r="H147" s="130" t="s">
        <v>28</v>
      </c>
      <c r="I147" s="130" t="s">
        <v>27</v>
      </c>
      <c r="J147" s="137" t="s">
        <v>68</v>
      </c>
      <c r="K147" s="136" t="s">
        <v>266</v>
      </c>
      <c r="L147" s="136" t="s">
        <v>723</v>
      </c>
      <c r="M147" s="100" t="str">
        <f t="shared" si="4"/>
        <v>Wrong measurement</v>
      </c>
      <c r="N147" s="59" t="str">
        <f t="shared" si="5"/>
        <v>Wrong measurement</v>
      </c>
      <c r="O147" s="131" t="s">
        <v>202</v>
      </c>
      <c r="P147" s="131"/>
    </row>
    <row r="148" spans="1:21">
      <c r="A148" s="77">
        <v>23</v>
      </c>
      <c r="B148" t="s">
        <v>2133</v>
      </c>
      <c r="C148" t="s">
        <v>253</v>
      </c>
      <c r="D148" s="97" t="e">
        <f>_xlfn.XLOOKUP(A148,[1]CPD_SOP_new!$A:$A,[1]CPD_SOP_new!#REF!,"not found",0 )</f>
        <v>#REF!</v>
      </c>
      <c r="E148" s="97" t="s">
        <v>26</v>
      </c>
      <c r="F148" t="s">
        <v>28</v>
      </c>
      <c r="G148" t="s">
        <v>28</v>
      </c>
      <c r="H148" t="s">
        <v>28</v>
      </c>
      <c r="I148" t="s">
        <v>28</v>
      </c>
      <c r="J148" t="s">
        <v>29</v>
      </c>
      <c r="K148" t="s">
        <v>267</v>
      </c>
      <c r="L148" t="s">
        <v>2257</v>
      </c>
      <c r="M148" s="100" t="str">
        <f t="shared" si="4"/>
        <v>CSR_XCP_Signals_Recorder_2026-01-30_16-30-52_TC23_NCAP12_6YO_1R_CPD.MF4.xz</v>
      </c>
      <c r="N148" s="59" t="str">
        <f t="shared" si="5"/>
        <v>_NCAP12_6YO_1R_CPD.MF4.xz</v>
      </c>
      <c r="O148" t="s">
        <v>213</v>
      </c>
      <c r="Q148" t="s">
        <v>29</v>
      </c>
      <c r="R148" t="s">
        <v>29</v>
      </c>
      <c r="S148">
        <v>1</v>
      </c>
      <c r="T148">
        <v>0</v>
      </c>
      <c r="U148">
        <v>0</v>
      </c>
    </row>
    <row r="149" spans="1:21">
      <c r="A149" s="77">
        <v>23</v>
      </c>
      <c r="B149" t="s">
        <v>2133</v>
      </c>
      <c r="C149" t="s">
        <v>253</v>
      </c>
      <c r="D149" s="97" t="e">
        <f>_xlfn.XLOOKUP(A149,[1]CPD_SOP_new!$A:$A,[1]CPD_SOP_new!#REF!,"not found",0 )</f>
        <v>#REF!</v>
      </c>
      <c r="E149" s="97" t="s">
        <v>26</v>
      </c>
      <c r="F149" t="s">
        <v>28</v>
      </c>
      <c r="G149" t="s">
        <v>28</v>
      </c>
      <c r="H149" t="s">
        <v>28</v>
      </c>
      <c r="I149" t="s">
        <v>28</v>
      </c>
      <c r="J149" t="s">
        <v>29</v>
      </c>
      <c r="K149" t="s">
        <v>269</v>
      </c>
      <c r="L149" t="s">
        <v>2258</v>
      </c>
      <c r="M149" s="100" t="str">
        <f t="shared" si="4"/>
        <v>CSR_XCP_Signals_Recorder_2026-01-30_16-31-33_TC23_NCAP12_6YO_1R_CPD.MF4.xz</v>
      </c>
      <c r="N149" s="59" t="str">
        <f t="shared" si="5"/>
        <v>_NCAP12_6YO_1R_CPD.MF4.xz</v>
      </c>
      <c r="O149" t="s">
        <v>213</v>
      </c>
      <c r="Q149" t="s">
        <v>29</v>
      </c>
      <c r="R149" t="s">
        <v>29</v>
      </c>
      <c r="S149">
        <v>1</v>
      </c>
      <c r="T149">
        <v>0</v>
      </c>
      <c r="U149">
        <v>0</v>
      </c>
    </row>
    <row r="150" spans="1:21">
      <c r="A150" s="77">
        <v>23</v>
      </c>
      <c r="B150" t="s">
        <v>2133</v>
      </c>
      <c r="C150" t="s">
        <v>253</v>
      </c>
      <c r="D150" s="97" t="e">
        <f>_xlfn.XLOOKUP(A150,[1]CPD_SOP_new!$A:$A,[1]CPD_SOP_new!#REF!,"not found",0 )</f>
        <v>#REF!</v>
      </c>
      <c r="E150" s="97" t="s">
        <v>26</v>
      </c>
      <c r="F150" t="s">
        <v>28</v>
      </c>
      <c r="G150" t="s">
        <v>28</v>
      </c>
      <c r="H150" t="s">
        <v>28</v>
      </c>
      <c r="I150" t="s">
        <v>28</v>
      </c>
      <c r="J150" t="s">
        <v>29</v>
      </c>
      <c r="K150" t="s">
        <v>270</v>
      </c>
      <c r="L150" t="s">
        <v>2259</v>
      </c>
      <c r="M150" s="100" t="str">
        <f t="shared" si="4"/>
        <v>CSR_XCP_Signals_Recorder_2026-01-30_14-03-06_TC23_NCAP12_6YO_1R_CPD.MF4.xz</v>
      </c>
      <c r="N150" s="59" t="str">
        <f t="shared" si="5"/>
        <v>_NCAP12_6YO_1R_CPD.MF4.xz</v>
      </c>
      <c r="O150" t="s">
        <v>271</v>
      </c>
      <c r="Q150" t="s">
        <v>29</v>
      </c>
      <c r="R150" t="s">
        <v>29</v>
      </c>
      <c r="S150">
        <v>1</v>
      </c>
      <c r="T150">
        <v>0</v>
      </c>
      <c r="U150">
        <v>0</v>
      </c>
    </row>
    <row r="151" spans="1:21">
      <c r="A151" s="77">
        <v>23</v>
      </c>
      <c r="B151" t="s">
        <v>2133</v>
      </c>
      <c r="C151" t="s">
        <v>253</v>
      </c>
      <c r="D151" s="97" t="e">
        <f>_xlfn.XLOOKUP(A151,[1]CPD_SOP_new!$A:$A,[1]CPD_SOP_new!#REF!,"not found",0 )</f>
        <v>#REF!</v>
      </c>
      <c r="E151" s="97" t="s">
        <v>26</v>
      </c>
      <c r="F151" t="s">
        <v>28</v>
      </c>
      <c r="G151" t="s">
        <v>28</v>
      </c>
      <c r="H151" t="s">
        <v>28</v>
      </c>
      <c r="I151" t="s">
        <v>28</v>
      </c>
      <c r="J151" t="s">
        <v>29</v>
      </c>
      <c r="K151" t="s">
        <v>273</v>
      </c>
      <c r="L151" t="s">
        <v>2260</v>
      </c>
      <c r="M151" s="100" t="str">
        <f t="shared" si="4"/>
        <v>CSR_XCP_Signals_Recorder_2026-01-30_14-03-57_TC23_NCAP12_6YO_1R_CPD.MF4.xz</v>
      </c>
      <c r="N151" s="59" t="str">
        <f t="shared" si="5"/>
        <v>_NCAP12_6YO_1R_CPD.MF4.xz</v>
      </c>
      <c r="O151" t="s">
        <v>271</v>
      </c>
      <c r="Q151" t="s">
        <v>29</v>
      </c>
      <c r="R151" t="s">
        <v>29</v>
      </c>
      <c r="S151">
        <v>1</v>
      </c>
      <c r="T151">
        <v>0</v>
      </c>
      <c r="U151">
        <v>0</v>
      </c>
    </row>
    <row r="152" spans="1:21">
      <c r="A152" s="77">
        <v>23</v>
      </c>
      <c r="B152" t="s">
        <v>2133</v>
      </c>
      <c r="C152" t="s">
        <v>253</v>
      </c>
      <c r="D152" s="97" t="e">
        <f>_xlfn.XLOOKUP(A152,[1]CPD_SOP_new!$A:$A,[1]CPD_SOP_new!#REF!,"not found",0 )</f>
        <v>#REF!</v>
      </c>
      <c r="E152" s="97" t="s">
        <v>26</v>
      </c>
      <c r="F152" t="s">
        <v>28</v>
      </c>
      <c r="G152" t="s">
        <v>28</v>
      </c>
      <c r="H152" t="s">
        <v>28</v>
      </c>
      <c r="I152" t="s">
        <v>28</v>
      </c>
      <c r="J152" t="s">
        <v>29</v>
      </c>
      <c r="K152" s="60" t="s">
        <v>274</v>
      </c>
      <c r="L152" t="s">
        <v>2261</v>
      </c>
      <c r="M152" s="100" t="str">
        <f t="shared" si="4"/>
        <v>CSR_XCP_Signals_Recorder_2026-01-30_14-04-44_TC23_NCAP12_6YO_1R_CPD.MF4.xz</v>
      </c>
      <c r="N152" s="59" t="str">
        <f t="shared" si="5"/>
        <v>_NCAP12_6YO_1R_CPD.MF4.xz</v>
      </c>
      <c r="O152" t="s">
        <v>271</v>
      </c>
      <c r="Q152" t="s">
        <v>29</v>
      </c>
      <c r="R152" t="s">
        <v>29</v>
      </c>
      <c r="S152">
        <v>1</v>
      </c>
      <c r="T152">
        <v>0</v>
      </c>
      <c r="U152">
        <v>0</v>
      </c>
    </row>
    <row r="153" spans="1:21">
      <c r="A153" s="77">
        <v>23</v>
      </c>
      <c r="B153" t="s">
        <v>2133</v>
      </c>
      <c r="C153" t="s">
        <v>253</v>
      </c>
      <c r="D153" s="97" t="e">
        <f>_xlfn.XLOOKUP(A153,[1]CPD_SOP_new!$A:$A,[1]CPD_SOP_new!#REF!,"not found",0 )</f>
        <v>#REF!</v>
      </c>
      <c r="E153" s="97" t="s">
        <v>26</v>
      </c>
      <c r="F153" t="s">
        <v>28</v>
      </c>
      <c r="G153" t="s">
        <v>28</v>
      </c>
      <c r="H153" t="s">
        <v>28</v>
      </c>
      <c r="I153" t="s">
        <v>28</v>
      </c>
      <c r="J153" t="s">
        <v>29</v>
      </c>
      <c r="K153" s="60" t="s">
        <v>275</v>
      </c>
      <c r="L153" t="s">
        <v>2262</v>
      </c>
      <c r="M153" s="100" t="str">
        <f t="shared" si="4"/>
        <v>CSR_XCP_Signals_Recorder_2026-01-30_14-05-25_TC23_NCAP12_6YO_1R_CPD.MF4.xz</v>
      </c>
      <c r="N153" s="59" t="str">
        <f t="shared" si="5"/>
        <v>_NCAP12_6YO_1R_CPD.MF4.xz</v>
      </c>
      <c r="O153" t="s">
        <v>271</v>
      </c>
      <c r="Q153" t="s">
        <v>29</v>
      </c>
      <c r="R153" t="s">
        <v>29</v>
      </c>
      <c r="S153">
        <v>1</v>
      </c>
      <c r="T153">
        <v>0</v>
      </c>
      <c r="U153">
        <v>0</v>
      </c>
    </row>
    <row r="154" spans="1:21" s="130" customFormat="1">
      <c r="A154" s="78">
        <v>24</v>
      </c>
      <c r="B154" s="130" t="s">
        <v>2133</v>
      </c>
      <c r="C154" s="130" t="s">
        <v>253</v>
      </c>
      <c r="D154" s="97" t="e">
        <f>_xlfn.XLOOKUP(A154,[1]CPD_SOP_new!$A:$A,[1]CPD_SOP_new!#REF!,"not found",0 )</f>
        <v>#REF!</v>
      </c>
      <c r="E154" s="97" t="str">
        <f>_xlfn.XLOOKUP(A154,[1]CPD_SOP_new!$A:$A,[1]CPD_SOP_new!$K:$K,"not found",0 )</f>
        <v>2R</v>
      </c>
      <c r="F154" s="130" t="s">
        <v>27</v>
      </c>
      <c r="G154" s="130" t="s">
        <v>28</v>
      </c>
      <c r="H154" s="130" t="s">
        <v>28</v>
      </c>
      <c r="I154" s="130" t="s">
        <v>27</v>
      </c>
      <c r="J154" s="137" t="s">
        <v>68</v>
      </c>
      <c r="K154" s="61" t="s">
        <v>280</v>
      </c>
      <c r="L154" s="130" t="s">
        <v>723</v>
      </c>
      <c r="M154" s="100" t="str">
        <f t="shared" si="4"/>
        <v>Wrong measurement</v>
      </c>
      <c r="N154" s="59" t="str">
        <f t="shared" si="5"/>
        <v>Wrong measurement</v>
      </c>
      <c r="O154" s="131" t="s">
        <v>281</v>
      </c>
      <c r="P154" s="131"/>
    </row>
    <row r="155" spans="1:21" s="130" customFormat="1">
      <c r="A155" s="78">
        <v>24</v>
      </c>
      <c r="B155" s="130" t="s">
        <v>2133</v>
      </c>
      <c r="C155" s="130" t="s">
        <v>253</v>
      </c>
      <c r="D155" s="97" t="e">
        <f>_xlfn.XLOOKUP(A155,[1]CPD_SOP_new!$A:$A,[1]CPD_SOP_new!#REF!,"not found",0 )</f>
        <v>#REF!</v>
      </c>
      <c r="E155" s="97" t="str">
        <f>_xlfn.XLOOKUP(A155,[1]CPD_SOP_new!$A:$A,[1]CPD_SOP_new!$K:$K,"not found",0 )</f>
        <v>2R</v>
      </c>
      <c r="F155" s="130" t="s">
        <v>27</v>
      </c>
      <c r="G155" s="130" t="s">
        <v>28</v>
      </c>
      <c r="H155" s="130" t="s">
        <v>28</v>
      </c>
      <c r="I155" s="130" t="s">
        <v>27</v>
      </c>
      <c r="J155" s="137" t="s">
        <v>68</v>
      </c>
      <c r="K155" s="130" t="s">
        <v>282</v>
      </c>
      <c r="L155" s="130" t="s">
        <v>723</v>
      </c>
      <c r="M155" s="100" t="str">
        <f t="shared" si="4"/>
        <v>Wrong measurement</v>
      </c>
      <c r="N155" s="59" t="str">
        <f t="shared" si="5"/>
        <v>Wrong measurement</v>
      </c>
      <c r="O155" s="131" t="s">
        <v>281</v>
      </c>
      <c r="P155" s="131"/>
    </row>
    <row r="156" spans="1:21" s="130" customFormat="1">
      <c r="A156" s="78">
        <v>24</v>
      </c>
      <c r="B156" s="130" t="s">
        <v>2133</v>
      </c>
      <c r="C156" s="130" t="s">
        <v>253</v>
      </c>
      <c r="D156" s="97" t="e">
        <f>_xlfn.XLOOKUP(A156,[1]CPD_SOP_new!$A:$A,[1]CPD_SOP_new!#REF!,"not found",0 )</f>
        <v>#REF!</v>
      </c>
      <c r="E156" s="97" t="str">
        <f>_xlfn.XLOOKUP(A156,[1]CPD_SOP_new!$A:$A,[1]CPD_SOP_new!$K:$K,"not found",0 )</f>
        <v>2R</v>
      </c>
      <c r="F156" s="130" t="s">
        <v>27</v>
      </c>
      <c r="G156" s="130" t="s">
        <v>28</v>
      </c>
      <c r="H156" s="130" t="s">
        <v>28</v>
      </c>
      <c r="I156" s="130" t="s">
        <v>27</v>
      </c>
      <c r="J156" s="137" t="s">
        <v>68</v>
      </c>
      <c r="K156" s="130" t="s">
        <v>283</v>
      </c>
      <c r="L156" s="130" t="s">
        <v>723</v>
      </c>
      <c r="M156" s="100" t="str">
        <f t="shared" si="4"/>
        <v>Wrong measurement</v>
      </c>
      <c r="N156" s="59" t="str">
        <f t="shared" si="5"/>
        <v>Wrong measurement</v>
      </c>
      <c r="O156" s="131" t="s">
        <v>281</v>
      </c>
      <c r="P156" s="131"/>
    </row>
    <row r="157" spans="1:21" s="130" customFormat="1">
      <c r="A157" s="78">
        <v>24</v>
      </c>
      <c r="B157" s="130" t="s">
        <v>2133</v>
      </c>
      <c r="C157" s="130" t="s">
        <v>253</v>
      </c>
      <c r="D157" s="97" t="e">
        <f>_xlfn.XLOOKUP(A157,[1]CPD_SOP_new!$A:$A,[1]CPD_SOP_new!#REF!,"not found",0 )</f>
        <v>#REF!</v>
      </c>
      <c r="E157" s="97" t="str">
        <f>_xlfn.XLOOKUP(A157,[1]CPD_SOP_new!$A:$A,[1]CPD_SOP_new!$K:$K,"not found",0 )</f>
        <v>2R</v>
      </c>
      <c r="F157" s="130" t="s">
        <v>27</v>
      </c>
      <c r="G157" s="130" t="s">
        <v>28</v>
      </c>
      <c r="H157" s="130" t="s">
        <v>28</v>
      </c>
      <c r="I157" s="130" t="s">
        <v>27</v>
      </c>
      <c r="J157" s="137" t="s">
        <v>68</v>
      </c>
      <c r="K157" s="136" t="s">
        <v>284</v>
      </c>
      <c r="L157" s="136" t="s">
        <v>723</v>
      </c>
      <c r="M157" s="100" t="str">
        <f t="shared" si="4"/>
        <v>Wrong measurement</v>
      </c>
      <c r="N157" s="59" t="str">
        <f t="shared" si="5"/>
        <v>Wrong measurement</v>
      </c>
      <c r="O157" s="131" t="s">
        <v>41</v>
      </c>
      <c r="P157" s="131"/>
    </row>
    <row r="158" spans="1:21">
      <c r="A158" s="77">
        <v>24</v>
      </c>
      <c r="B158" t="s">
        <v>2133</v>
      </c>
      <c r="C158" t="s">
        <v>253</v>
      </c>
      <c r="D158" s="97" t="e">
        <f>_xlfn.XLOOKUP(A158,[1]CPD_SOP_new!$A:$A,[1]CPD_SOP_new!#REF!,"not found",0 )</f>
        <v>#REF!</v>
      </c>
      <c r="E158" s="97" t="str">
        <f>_xlfn.XLOOKUP(A158,[1]CPD_SOP_new!$A:$A,[1]CPD_SOP_new!$K:$K,"not found",0 )</f>
        <v>2R</v>
      </c>
      <c r="F158" t="s">
        <v>28</v>
      </c>
      <c r="G158" t="s">
        <v>28</v>
      </c>
      <c r="H158" t="s">
        <v>28</v>
      </c>
      <c r="I158" t="s">
        <v>28</v>
      </c>
      <c r="J158" t="s">
        <v>29</v>
      </c>
      <c r="K158" s="132" t="s">
        <v>285</v>
      </c>
      <c r="L158" s="132" t="s">
        <v>2263</v>
      </c>
      <c r="M158" s="100" t="str">
        <f t="shared" si="4"/>
        <v>CPD_TC24_Try1_NCAP12_6YO_2R_CPD.MF4.xz</v>
      </c>
      <c r="N158" s="59" t="str">
        <f t="shared" si="5"/>
        <v>_NCAP12_6YO_2R_CPD.MF4.xz</v>
      </c>
      <c r="O158" s="129" t="s">
        <v>86</v>
      </c>
      <c r="P158" s="129"/>
    </row>
    <row r="159" spans="1:21">
      <c r="A159" s="77">
        <v>24</v>
      </c>
      <c r="B159" t="s">
        <v>2133</v>
      </c>
      <c r="C159" t="s">
        <v>253</v>
      </c>
      <c r="D159" s="97" t="e">
        <f>_xlfn.XLOOKUP(A159,[1]CPD_SOP_new!$A:$A,[1]CPD_SOP_new!#REF!,"not found",0 )</f>
        <v>#REF!</v>
      </c>
      <c r="E159" s="97" t="str">
        <f>_xlfn.XLOOKUP(A159,[1]CPD_SOP_new!$A:$A,[1]CPD_SOP_new!$K:$K,"not found",0 )</f>
        <v>2R</v>
      </c>
      <c r="F159" t="s">
        <v>28</v>
      </c>
      <c r="G159" t="s">
        <v>28</v>
      </c>
      <c r="H159" t="s">
        <v>28</v>
      </c>
      <c r="I159" t="s">
        <v>28</v>
      </c>
      <c r="J159" t="s">
        <v>29</v>
      </c>
      <c r="K159" s="132" t="s">
        <v>287</v>
      </c>
      <c r="L159" s="132" t="s">
        <v>2264</v>
      </c>
      <c r="M159" s="100" t="str">
        <f t="shared" si="4"/>
        <v>CPD_TC24_Try2_NCAP12_6YO_2R_CPD.MF4.xz</v>
      </c>
      <c r="N159" s="59" t="str">
        <f t="shared" si="5"/>
        <v>_NCAP12_6YO_2R_CPD.MF4.xz</v>
      </c>
      <c r="O159" s="129" t="s">
        <v>86</v>
      </c>
      <c r="P159" s="129"/>
    </row>
    <row r="160" spans="1:21">
      <c r="A160" s="77">
        <v>24</v>
      </c>
      <c r="B160" t="s">
        <v>2133</v>
      </c>
      <c r="C160" t="s">
        <v>253</v>
      </c>
      <c r="D160" s="97" t="e">
        <f>_xlfn.XLOOKUP(A160,[1]CPD_SOP_new!$A:$A,[1]CPD_SOP_new!#REF!,"not found",0 )</f>
        <v>#REF!</v>
      </c>
      <c r="E160" s="97" t="str">
        <f>_xlfn.XLOOKUP(A160,[1]CPD_SOP_new!$A:$A,[1]CPD_SOP_new!$K:$K,"not found",0 )</f>
        <v>2R</v>
      </c>
      <c r="F160" t="s">
        <v>28</v>
      </c>
      <c r="G160" t="s">
        <v>28</v>
      </c>
      <c r="H160" t="s">
        <v>28</v>
      </c>
      <c r="I160" t="s">
        <v>28</v>
      </c>
      <c r="J160" t="s">
        <v>29</v>
      </c>
      <c r="K160" s="132" t="s">
        <v>288</v>
      </c>
      <c r="L160" s="132" t="s">
        <v>2265</v>
      </c>
      <c r="M160" s="100" t="str">
        <f t="shared" si="4"/>
        <v>CPD_TC24_Try3_NCAP12_6YO_2R_CPD.MF4.xz</v>
      </c>
      <c r="N160" s="59" t="str">
        <f t="shared" si="5"/>
        <v>_NCAP12_6YO_2R_CPD.MF4.xz</v>
      </c>
      <c r="O160" s="129" t="s">
        <v>86</v>
      </c>
      <c r="P160" s="129"/>
    </row>
    <row r="161" spans="1:21">
      <c r="A161" s="77">
        <v>24</v>
      </c>
      <c r="B161" t="s">
        <v>2133</v>
      </c>
      <c r="C161" t="s">
        <v>253</v>
      </c>
      <c r="D161" s="97" t="e">
        <f>_xlfn.XLOOKUP(A161,[1]CPD_SOP_new!$A:$A,[1]CPD_SOP_new!#REF!,"not found",0 )</f>
        <v>#REF!</v>
      </c>
      <c r="E161" s="97" t="str">
        <f>_xlfn.XLOOKUP(A161,[1]CPD_SOP_new!$A:$A,[1]CPD_SOP_new!$K:$K,"not found",0 )</f>
        <v>2R</v>
      </c>
      <c r="F161" t="s">
        <v>28</v>
      </c>
      <c r="G161" t="s">
        <v>28</v>
      </c>
      <c r="H161" t="s">
        <v>28</v>
      </c>
      <c r="I161" t="s">
        <v>28</v>
      </c>
      <c r="J161" t="s">
        <v>29</v>
      </c>
      <c r="K161" s="132" t="s">
        <v>289</v>
      </c>
      <c r="L161" s="132" t="s">
        <v>2266</v>
      </c>
      <c r="M161" s="100" t="str">
        <f t="shared" si="4"/>
        <v>CPD_TC24_Try4_NCAP12_6YO_2R_CPD.MF4.xz</v>
      </c>
      <c r="N161" s="59" t="str">
        <f t="shared" si="5"/>
        <v>_NCAP12_6YO_2R_CPD.MF4.xz</v>
      </c>
      <c r="O161" s="129" t="s">
        <v>86</v>
      </c>
      <c r="P161" s="129"/>
    </row>
    <row r="162" spans="1:21">
      <c r="A162" s="77">
        <v>24</v>
      </c>
      <c r="B162" t="s">
        <v>2133</v>
      </c>
      <c r="C162" t="s">
        <v>253</v>
      </c>
      <c r="D162" s="97" t="e">
        <f>_xlfn.XLOOKUP(A162,[1]CPD_SOP_new!$A:$A,[1]CPD_SOP_new!#REF!,"not found",0 )</f>
        <v>#REF!</v>
      </c>
      <c r="E162" s="97" t="str">
        <f>_xlfn.XLOOKUP(A162,[1]CPD_SOP_new!$A:$A,[1]CPD_SOP_new!$K:$K,"not found",0 )</f>
        <v>2R</v>
      </c>
      <c r="F162" t="s">
        <v>28</v>
      </c>
      <c r="G162" t="s">
        <v>28</v>
      </c>
      <c r="H162" t="s">
        <v>28</v>
      </c>
      <c r="I162" t="s">
        <v>28</v>
      </c>
      <c r="J162" t="s">
        <v>29</v>
      </c>
      <c r="K162" s="132" t="s">
        <v>290</v>
      </c>
      <c r="L162" s="132" t="s">
        <v>2267</v>
      </c>
      <c r="M162" s="100" t="str">
        <f t="shared" si="4"/>
        <v>CPD_TC24_Try5_NCAP12_6YO_2R_CPD.MF4.xz</v>
      </c>
      <c r="N162" s="59" t="str">
        <f t="shared" si="5"/>
        <v>_NCAP12_6YO_2R_CPD.MF4.xz</v>
      </c>
      <c r="O162" s="129" t="s">
        <v>86</v>
      </c>
      <c r="P162" s="129"/>
    </row>
    <row r="163" spans="1:21" s="130" customFormat="1">
      <c r="A163" s="78">
        <v>24</v>
      </c>
      <c r="B163" s="130" t="s">
        <v>2133</v>
      </c>
      <c r="C163" s="130" t="s">
        <v>253</v>
      </c>
      <c r="D163" s="97" t="e">
        <f>_xlfn.XLOOKUP(A163,[1]CPD_SOP_new!$A:$A,[1]CPD_SOP_new!#REF!,"not found",0 )</f>
        <v>#REF!</v>
      </c>
      <c r="E163" s="97" t="str">
        <f>_xlfn.XLOOKUP(A163,[1]CPD_SOP_new!$A:$A,[1]CPD_SOP_new!$K:$K,"not found",0 )</f>
        <v>2R</v>
      </c>
      <c r="F163" s="130" t="s">
        <v>27</v>
      </c>
      <c r="G163" s="130" t="s">
        <v>28</v>
      </c>
      <c r="H163" s="130" t="s">
        <v>28</v>
      </c>
      <c r="I163" s="130" t="s">
        <v>27</v>
      </c>
      <c r="J163" s="137" t="s">
        <v>68</v>
      </c>
      <c r="K163" s="62" t="s">
        <v>291</v>
      </c>
      <c r="L163" s="136" t="s">
        <v>723</v>
      </c>
      <c r="M163" s="100" t="str">
        <f t="shared" si="4"/>
        <v>Wrong measurement</v>
      </c>
      <c r="N163" s="59" t="str">
        <f t="shared" si="5"/>
        <v>Wrong measurement</v>
      </c>
      <c r="O163" s="131" t="s">
        <v>64</v>
      </c>
      <c r="P163" s="131"/>
    </row>
    <row r="164" spans="1:21">
      <c r="A164" s="77">
        <v>24</v>
      </c>
      <c r="B164" t="s">
        <v>2133</v>
      </c>
      <c r="C164" t="s">
        <v>253</v>
      </c>
      <c r="D164" s="97" t="e">
        <f>_xlfn.XLOOKUP(A164,[1]CPD_SOP_new!$A:$A,[1]CPD_SOP_new!#REF!,"not found",0 )</f>
        <v>#REF!</v>
      </c>
      <c r="E164" s="97" t="str">
        <f>_xlfn.XLOOKUP(A164,[1]CPD_SOP_new!$A:$A,[1]CPD_SOP_new!$K:$K,"not found",0 )</f>
        <v>2R</v>
      </c>
      <c r="F164" t="s">
        <v>28</v>
      </c>
      <c r="G164" t="s">
        <v>28</v>
      </c>
      <c r="H164" t="s">
        <v>28</v>
      </c>
      <c r="I164" t="s">
        <v>28</v>
      </c>
      <c r="J164" t="s">
        <v>29</v>
      </c>
      <c r="K164" s="60" t="s">
        <v>292</v>
      </c>
      <c r="L164" t="s">
        <v>2268</v>
      </c>
      <c r="M164" s="100" t="str">
        <f t="shared" si="4"/>
        <v>CSR_XCP_Signals_Recorder_2026-01-30_16-01-23_TC24_NCAP12_6YO_2R_CPD.MF4.xz</v>
      </c>
      <c r="N164" s="59" t="str">
        <f t="shared" si="5"/>
        <v>_NCAP12_6YO_2R_CPD.MF4.xz</v>
      </c>
      <c r="O164" t="s">
        <v>213</v>
      </c>
      <c r="Q164" t="s">
        <v>29</v>
      </c>
      <c r="R164" t="s">
        <v>29</v>
      </c>
      <c r="S164">
        <v>1</v>
      </c>
      <c r="T164">
        <v>0</v>
      </c>
      <c r="U164">
        <v>0</v>
      </c>
    </row>
    <row r="165" spans="1:21">
      <c r="A165" s="77">
        <v>24</v>
      </c>
      <c r="B165" t="s">
        <v>2133</v>
      </c>
      <c r="C165" t="s">
        <v>253</v>
      </c>
      <c r="D165" s="97" t="e">
        <f>_xlfn.XLOOKUP(A165,[1]CPD_SOP_new!$A:$A,[1]CPD_SOP_new!#REF!,"not found",0 )</f>
        <v>#REF!</v>
      </c>
      <c r="E165" s="97" t="str">
        <f>_xlfn.XLOOKUP(A165,[1]CPD_SOP_new!$A:$A,[1]CPD_SOP_new!$K:$K,"not found",0 )</f>
        <v>2R</v>
      </c>
      <c r="F165" t="s">
        <v>28</v>
      </c>
      <c r="G165" t="s">
        <v>28</v>
      </c>
      <c r="H165" t="s">
        <v>28</v>
      </c>
      <c r="I165" t="s">
        <v>28</v>
      </c>
      <c r="J165" t="s">
        <v>29</v>
      </c>
      <c r="K165" s="60" t="s">
        <v>293</v>
      </c>
      <c r="L165" t="s">
        <v>2269</v>
      </c>
      <c r="M165" s="100" t="str">
        <f t="shared" si="4"/>
        <v>CSR_XCP_Signals_Recorder_2026-01-30_16-02-33_TC24_NCAP12_6YO_2R_CPD.MF4.xz</v>
      </c>
      <c r="N165" s="59" t="str">
        <f t="shared" si="5"/>
        <v>_NCAP12_6YO_2R_CPD.MF4.xz</v>
      </c>
      <c r="O165" t="s">
        <v>213</v>
      </c>
      <c r="Q165" t="s">
        <v>29</v>
      </c>
      <c r="R165" t="s">
        <v>29</v>
      </c>
      <c r="S165">
        <v>1</v>
      </c>
      <c r="T165">
        <v>0</v>
      </c>
      <c r="U165">
        <v>0</v>
      </c>
    </row>
    <row r="166" spans="1:21">
      <c r="A166" s="77">
        <v>24</v>
      </c>
      <c r="B166" t="s">
        <v>2133</v>
      </c>
      <c r="C166" t="s">
        <v>253</v>
      </c>
      <c r="D166" s="97" t="e">
        <f>_xlfn.XLOOKUP(A166,[1]CPD_SOP_new!$A:$A,[1]CPD_SOP_new!#REF!,"not found",0 )</f>
        <v>#REF!</v>
      </c>
      <c r="E166" s="97" t="str">
        <f>_xlfn.XLOOKUP(A166,[1]CPD_SOP_new!$A:$A,[1]CPD_SOP_new!$K:$K,"not found",0 )</f>
        <v>2R</v>
      </c>
      <c r="F166" t="s">
        <v>28</v>
      </c>
      <c r="G166" t="s">
        <v>28</v>
      </c>
      <c r="H166" t="s">
        <v>28</v>
      </c>
      <c r="I166" t="s">
        <v>28</v>
      </c>
      <c r="J166" t="s">
        <v>29</v>
      </c>
      <c r="K166" t="s">
        <v>294</v>
      </c>
      <c r="L166" t="s">
        <v>2270</v>
      </c>
      <c r="M166" s="100" t="str">
        <f t="shared" si="4"/>
        <v>CSR_XCP_Signals_Recorder_2026-01-30_16-03-40_TC24_NCAP12_6YO_2R_CPD.MF4.xz</v>
      </c>
      <c r="N166" s="59" t="str">
        <f t="shared" si="5"/>
        <v>_NCAP12_6YO_2R_CPD.MF4.xz</v>
      </c>
      <c r="O166" t="s">
        <v>213</v>
      </c>
      <c r="Q166" t="s">
        <v>29</v>
      </c>
      <c r="R166" t="s">
        <v>29</v>
      </c>
      <c r="S166">
        <v>1</v>
      </c>
      <c r="T166">
        <v>0</v>
      </c>
      <c r="U166">
        <v>0</v>
      </c>
    </row>
    <row r="167" spans="1:21">
      <c r="A167" s="77">
        <v>25</v>
      </c>
      <c r="B167" t="s">
        <v>2133</v>
      </c>
      <c r="C167" t="s">
        <v>253</v>
      </c>
      <c r="D167" s="97" t="e">
        <f>_xlfn.XLOOKUP(A167,[1]CPD_SOP_new!$A:$A,[1]CPD_SOP_new!#REF!,"not found",0 )</f>
        <v>#REF!</v>
      </c>
      <c r="E167" s="97" t="str">
        <f>_xlfn.XLOOKUP(A167,[1]CPD_SOP_new!$A:$A,[1]CPD_SOP_new!$K:$K,"not found",0 )</f>
        <v>2L</v>
      </c>
      <c r="F167" t="s">
        <v>28</v>
      </c>
      <c r="G167" t="s">
        <v>28</v>
      </c>
      <c r="H167" t="s">
        <v>28</v>
      </c>
      <c r="I167" t="s">
        <v>28</v>
      </c>
      <c r="J167" t="s">
        <v>29</v>
      </c>
      <c r="K167" t="s">
        <v>295</v>
      </c>
      <c r="L167" t="s">
        <v>2271</v>
      </c>
      <c r="M167" s="100" t="str">
        <f t="shared" si="4"/>
        <v>CSR_XCP_Signals_Recorder_2025-12-10_10-28-27_TC25_6YO2RL_CPD_NCAP12_6YO_2L_CPD.MF4.xz</v>
      </c>
      <c r="N167" s="59" t="str">
        <f t="shared" si="5"/>
        <v>_NCAP12_6YO_2L_CPD.MF4.xz</v>
      </c>
      <c r="O167" s="129" t="s">
        <v>217</v>
      </c>
      <c r="P167" s="129"/>
    </row>
    <row r="168" spans="1:21">
      <c r="A168" s="77">
        <v>25</v>
      </c>
      <c r="B168" t="s">
        <v>2133</v>
      </c>
      <c r="C168" t="s">
        <v>253</v>
      </c>
      <c r="D168" s="97" t="e">
        <f>_xlfn.XLOOKUP(A168,[1]CPD_SOP_new!$A:$A,[1]CPD_SOP_new!#REF!,"not found",0 )</f>
        <v>#REF!</v>
      </c>
      <c r="E168" s="97" t="str">
        <f>_xlfn.XLOOKUP(A168,[1]CPD_SOP_new!$A:$A,[1]CPD_SOP_new!$K:$K,"not found",0 )</f>
        <v>2L</v>
      </c>
      <c r="F168" t="s">
        <v>28</v>
      </c>
      <c r="G168" t="s">
        <v>28</v>
      </c>
      <c r="H168" t="s">
        <v>28</v>
      </c>
      <c r="I168" t="s">
        <v>28</v>
      </c>
      <c r="J168" t="s">
        <v>29</v>
      </c>
      <c r="K168" t="s">
        <v>297</v>
      </c>
      <c r="L168" t="s">
        <v>2272</v>
      </c>
      <c r="M168" s="100" t="str">
        <f t="shared" si="4"/>
        <v>CSR_XCP_Signals_Recorder_2025-12-10_10-31-22_TC25_6YO2RL_CPD_NCAP12_6YO_2L_CPD.MF4.xz</v>
      </c>
      <c r="N168" s="59" t="str">
        <f t="shared" si="5"/>
        <v>_NCAP12_6YO_2L_CPD.MF4.xz</v>
      </c>
      <c r="O168" s="129" t="s">
        <v>217</v>
      </c>
      <c r="P168" s="129"/>
    </row>
    <row r="169" spans="1:21">
      <c r="A169" s="77">
        <v>25</v>
      </c>
      <c r="B169" t="s">
        <v>2133</v>
      </c>
      <c r="C169" t="s">
        <v>253</v>
      </c>
      <c r="D169" s="97" t="e">
        <f>_xlfn.XLOOKUP(A169,[1]CPD_SOP_new!$A:$A,[1]CPD_SOP_new!#REF!,"not found",0 )</f>
        <v>#REF!</v>
      </c>
      <c r="E169" s="97" t="str">
        <f>_xlfn.XLOOKUP(A169,[1]CPD_SOP_new!$A:$A,[1]CPD_SOP_new!$K:$K,"not found",0 )</f>
        <v>2L</v>
      </c>
      <c r="F169" t="s">
        <v>28</v>
      </c>
      <c r="G169" t="s">
        <v>28</v>
      </c>
      <c r="H169" t="s">
        <v>28</v>
      </c>
      <c r="I169" t="s">
        <v>28</v>
      </c>
      <c r="J169" t="s">
        <v>29</v>
      </c>
      <c r="K169" t="s">
        <v>298</v>
      </c>
      <c r="L169" t="s">
        <v>2273</v>
      </c>
      <c r="M169" s="100" t="str">
        <f t="shared" si="4"/>
        <v>CSR_XCP_Signals_Recorder_2025-12-10_10-33-22_TC25_6YO2RL_CPD_NCAP12_6YO_2L_CPD.MF4.xz</v>
      </c>
      <c r="N169" s="59" t="str">
        <f t="shared" si="5"/>
        <v>_NCAP12_6YO_2L_CPD.MF4.xz</v>
      </c>
      <c r="O169" s="129" t="s">
        <v>217</v>
      </c>
      <c r="P169" s="129"/>
    </row>
    <row r="170" spans="1:21">
      <c r="A170" s="77">
        <v>25</v>
      </c>
      <c r="B170" t="s">
        <v>2133</v>
      </c>
      <c r="C170" t="s">
        <v>253</v>
      </c>
      <c r="D170" s="97" t="e">
        <f>_xlfn.XLOOKUP(A170,[1]CPD_SOP_new!$A:$A,[1]CPD_SOP_new!#REF!,"not found",0 )</f>
        <v>#REF!</v>
      </c>
      <c r="E170" s="97" t="str">
        <f>_xlfn.XLOOKUP(A170,[1]CPD_SOP_new!$A:$A,[1]CPD_SOP_new!$K:$K,"not found",0 )</f>
        <v>2L</v>
      </c>
      <c r="F170" t="s">
        <v>28</v>
      </c>
      <c r="G170" t="s">
        <v>28</v>
      </c>
      <c r="H170" t="s">
        <v>28</v>
      </c>
      <c r="I170" t="s">
        <v>28</v>
      </c>
      <c r="J170" t="s">
        <v>29</v>
      </c>
      <c r="K170" t="s">
        <v>299</v>
      </c>
      <c r="L170" t="s">
        <v>2274</v>
      </c>
      <c r="M170" s="100" t="str">
        <f t="shared" si="4"/>
        <v>CSR_XCP_Signals_Recorder_2025-12-10_10-35-23_TC25_6YO2RL_CPD_NCAP12_6YO_2L_CPD.MF4.xz</v>
      </c>
      <c r="N170" s="59" t="str">
        <f t="shared" si="5"/>
        <v>_NCAP12_6YO_2L_CPD.MF4.xz</v>
      </c>
      <c r="O170" s="129" t="s">
        <v>217</v>
      </c>
      <c r="P170" s="129"/>
    </row>
    <row r="171" spans="1:21">
      <c r="A171" s="77">
        <v>25</v>
      </c>
      <c r="B171" t="s">
        <v>2133</v>
      </c>
      <c r="C171" t="s">
        <v>253</v>
      </c>
      <c r="D171" s="97" t="e">
        <f>_xlfn.XLOOKUP(A171,[1]CPD_SOP_new!$A:$A,[1]CPD_SOP_new!#REF!,"not found",0 )</f>
        <v>#REF!</v>
      </c>
      <c r="E171" s="97" t="str">
        <f>_xlfn.XLOOKUP(A171,[1]CPD_SOP_new!$A:$A,[1]CPD_SOP_new!$K:$K,"not found",0 )</f>
        <v>2L</v>
      </c>
      <c r="F171" t="s">
        <v>28</v>
      </c>
      <c r="G171" t="s">
        <v>28</v>
      </c>
      <c r="H171" t="s">
        <v>28</v>
      </c>
      <c r="I171" t="s">
        <v>28</v>
      </c>
      <c r="J171" t="s">
        <v>29</v>
      </c>
      <c r="K171" t="s">
        <v>300</v>
      </c>
      <c r="L171" t="s">
        <v>2275</v>
      </c>
      <c r="M171" s="100" t="str">
        <f t="shared" si="4"/>
        <v>CSR_XCP_Signals_Recorder_2025-12-10_10-37-11_TC25_6YO2RL_CPD_NCAP12_6YO_2L_CPD.MF4.xz</v>
      </c>
      <c r="N171" s="59" t="str">
        <f t="shared" si="5"/>
        <v>_NCAP12_6YO_2L_CPD.MF4.xz</v>
      </c>
      <c r="O171" s="129" t="s">
        <v>217</v>
      </c>
      <c r="P171" s="129"/>
    </row>
    <row r="172" spans="1:21" s="130" customFormat="1">
      <c r="A172" s="78">
        <v>25</v>
      </c>
      <c r="B172" s="130" t="s">
        <v>2133</v>
      </c>
      <c r="C172" s="130" t="s">
        <v>253</v>
      </c>
      <c r="D172" s="97" t="e">
        <f>_xlfn.XLOOKUP(A172,[1]CPD_SOP_new!$A:$A,[1]CPD_SOP_new!#REF!,"not found",0 )</f>
        <v>#REF!</v>
      </c>
      <c r="E172" s="97" t="str">
        <f>_xlfn.XLOOKUP(A172,[1]CPD_SOP_new!$A:$A,[1]CPD_SOP_new!$K:$K,"not found",0 )</f>
        <v>2L</v>
      </c>
      <c r="F172" s="130" t="s">
        <v>27</v>
      </c>
      <c r="G172" s="130" t="s">
        <v>28</v>
      </c>
      <c r="H172" s="130" t="s">
        <v>28</v>
      </c>
      <c r="I172" s="130" t="s">
        <v>27</v>
      </c>
      <c r="J172" s="137" t="s">
        <v>68</v>
      </c>
      <c r="K172" s="136" t="s">
        <v>301</v>
      </c>
      <c r="L172" s="136" t="s">
        <v>723</v>
      </c>
      <c r="M172" s="100" t="str">
        <f t="shared" si="4"/>
        <v>Wrong measurement</v>
      </c>
      <c r="N172" s="59" t="str">
        <f t="shared" si="5"/>
        <v>Wrong measurement</v>
      </c>
      <c r="O172" s="131" t="s">
        <v>202</v>
      </c>
      <c r="P172" s="131"/>
    </row>
    <row r="173" spans="1:21" s="130" customFormat="1">
      <c r="A173" s="78">
        <v>25</v>
      </c>
      <c r="B173" s="130" t="s">
        <v>2133</v>
      </c>
      <c r="C173" s="130" t="s">
        <v>253</v>
      </c>
      <c r="D173" s="97" t="e">
        <f>_xlfn.XLOOKUP(A173,[1]CPD_SOP_new!$A:$A,[1]CPD_SOP_new!#REF!,"not found",0 )</f>
        <v>#REF!</v>
      </c>
      <c r="E173" s="97" t="str">
        <f>_xlfn.XLOOKUP(A173,[1]CPD_SOP_new!$A:$A,[1]CPD_SOP_new!$K:$K,"not found",0 )</f>
        <v>2L</v>
      </c>
      <c r="F173" s="130" t="s">
        <v>27</v>
      </c>
      <c r="G173" s="130" t="s">
        <v>28</v>
      </c>
      <c r="H173" s="130" t="s">
        <v>28</v>
      </c>
      <c r="I173" s="130" t="s">
        <v>27</v>
      </c>
      <c r="J173" s="137" t="s">
        <v>68</v>
      </c>
      <c r="K173" s="136" t="s">
        <v>302</v>
      </c>
      <c r="L173" s="136" t="s">
        <v>723</v>
      </c>
      <c r="M173" s="100" t="str">
        <f t="shared" si="4"/>
        <v>Wrong measurement</v>
      </c>
      <c r="N173" s="59" t="str">
        <f t="shared" si="5"/>
        <v>Wrong measurement</v>
      </c>
      <c r="O173" s="131" t="s">
        <v>202</v>
      </c>
      <c r="P173" s="131"/>
    </row>
    <row r="174" spans="1:21" s="130" customFormat="1">
      <c r="A174" s="78">
        <v>25</v>
      </c>
      <c r="B174" s="130" t="s">
        <v>2133</v>
      </c>
      <c r="C174" s="130" t="s">
        <v>253</v>
      </c>
      <c r="D174" s="97" t="e">
        <f>_xlfn.XLOOKUP(A174,[1]CPD_SOP_new!$A:$A,[1]CPD_SOP_new!#REF!,"not found",0 )</f>
        <v>#REF!</v>
      </c>
      <c r="E174" s="97" t="str">
        <f>_xlfn.XLOOKUP(A174,[1]CPD_SOP_new!$A:$A,[1]CPD_SOP_new!$K:$K,"not found",0 )</f>
        <v>2L</v>
      </c>
      <c r="F174" s="130" t="s">
        <v>27</v>
      </c>
      <c r="G174" s="130" t="s">
        <v>28</v>
      </c>
      <c r="H174" s="130" t="s">
        <v>28</v>
      </c>
      <c r="I174" s="130" t="s">
        <v>27</v>
      </c>
      <c r="J174" s="137" t="s">
        <v>68</v>
      </c>
      <c r="K174" s="136" t="s">
        <v>303</v>
      </c>
      <c r="L174" s="136" t="s">
        <v>723</v>
      </c>
      <c r="M174" s="100" t="str">
        <f t="shared" si="4"/>
        <v>Wrong measurement</v>
      </c>
      <c r="N174" s="59" t="str">
        <f t="shared" si="5"/>
        <v>Wrong measurement</v>
      </c>
      <c r="O174" s="131" t="s">
        <v>202</v>
      </c>
      <c r="P174" s="131"/>
    </row>
    <row r="175" spans="1:21">
      <c r="A175" s="77">
        <v>25</v>
      </c>
      <c r="B175" t="s">
        <v>2133</v>
      </c>
      <c r="C175" t="s">
        <v>253</v>
      </c>
      <c r="D175" s="97" t="e">
        <f>_xlfn.XLOOKUP(A175,[1]CPD_SOP_new!$A:$A,[1]CPD_SOP_new!#REF!,"not found",0 )</f>
        <v>#REF!</v>
      </c>
      <c r="E175" s="97" t="str">
        <f>_xlfn.XLOOKUP(A175,[1]CPD_SOP_new!$A:$A,[1]CPD_SOP_new!$K:$K,"not found",0 )</f>
        <v>2L</v>
      </c>
      <c r="F175" t="s">
        <v>28</v>
      </c>
      <c r="G175" t="s">
        <v>28</v>
      </c>
      <c r="H175" t="s">
        <v>28</v>
      </c>
      <c r="I175" t="s">
        <v>28</v>
      </c>
      <c r="J175" t="s">
        <v>29</v>
      </c>
      <c r="K175" t="s">
        <v>304</v>
      </c>
      <c r="L175" t="s">
        <v>2276</v>
      </c>
      <c r="M175" s="100" t="str">
        <f t="shared" si="4"/>
        <v>CSR_XCP_Signals_Recorder_2026-01-30_16-26-12_TC25_NCAP12_6YO_2L_CPD.MF4.xz</v>
      </c>
      <c r="N175" s="59" t="str">
        <f t="shared" si="5"/>
        <v>_NCAP12_6YO_2L_CPD.MF4.xz</v>
      </c>
      <c r="O175" t="s">
        <v>213</v>
      </c>
      <c r="Q175" t="s">
        <v>29</v>
      </c>
      <c r="R175" t="s">
        <v>29</v>
      </c>
      <c r="S175">
        <v>1</v>
      </c>
      <c r="T175">
        <v>0</v>
      </c>
      <c r="U175">
        <v>0</v>
      </c>
    </row>
    <row r="176" spans="1:21">
      <c r="A176" s="77">
        <v>25</v>
      </c>
      <c r="B176" t="s">
        <v>2133</v>
      </c>
      <c r="C176" t="s">
        <v>253</v>
      </c>
      <c r="D176" s="97" t="e">
        <f>_xlfn.XLOOKUP(A176,[1]CPD_SOP_new!$A:$A,[1]CPD_SOP_new!#REF!,"not found",0 )</f>
        <v>#REF!</v>
      </c>
      <c r="E176" s="97" t="str">
        <f>_xlfn.XLOOKUP(A176,[1]CPD_SOP_new!$A:$A,[1]CPD_SOP_new!$K:$K,"not found",0 )</f>
        <v>2L</v>
      </c>
      <c r="F176" t="s">
        <v>28</v>
      </c>
      <c r="G176" t="s">
        <v>28</v>
      </c>
      <c r="H176" t="s">
        <v>28</v>
      </c>
      <c r="I176" t="s">
        <v>28</v>
      </c>
      <c r="J176" t="s">
        <v>29</v>
      </c>
      <c r="K176" t="s">
        <v>306</v>
      </c>
      <c r="L176" t="s">
        <v>2277</v>
      </c>
      <c r="M176" s="100" t="str">
        <f t="shared" si="4"/>
        <v>CSR_XCP_Signals_Recorder_2026-01-30_16-27-01_TC25_NCAP12_6YO_2L_CPD.MF4.xz</v>
      </c>
      <c r="N176" s="59" t="str">
        <f t="shared" si="5"/>
        <v>_NCAP12_6YO_2L_CPD.MF4.xz</v>
      </c>
      <c r="O176" t="s">
        <v>213</v>
      </c>
      <c r="Q176" t="s">
        <v>29</v>
      </c>
      <c r="R176" t="s">
        <v>29</v>
      </c>
      <c r="S176">
        <v>1</v>
      </c>
      <c r="T176">
        <v>0</v>
      </c>
      <c r="U176">
        <v>0</v>
      </c>
    </row>
    <row r="177" spans="1:21">
      <c r="A177" s="77">
        <v>25</v>
      </c>
      <c r="B177" t="s">
        <v>2133</v>
      </c>
      <c r="C177" t="s">
        <v>253</v>
      </c>
      <c r="D177" s="97" t="e">
        <f>_xlfn.XLOOKUP(A177,[1]CPD_SOP_new!$A:$A,[1]CPD_SOP_new!#REF!,"not found",0 )</f>
        <v>#REF!</v>
      </c>
      <c r="E177" s="97" t="str">
        <f>_xlfn.XLOOKUP(A177,[1]CPD_SOP_new!$A:$A,[1]CPD_SOP_new!$K:$K,"not found",0 )</f>
        <v>2L</v>
      </c>
      <c r="F177" t="s">
        <v>28</v>
      </c>
      <c r="G177" t="s">
        <v>28</v>
      </c>
      <c r="H177" t="s">
        <v>28</v>
      </c>
      <c r="I177" t="s">
        <v>28</v>
      </c>
      <c r="J177" t="s">
        <v>29</v>
      </c>
      <c r="K177" s="60" t="s">
        <v>307</v>
      </c>
      <c r="L177" t="s">
        <v>2278</v>
      </c>
      <c r="M177" s="100" t="str">
        <f t="shared" si="4"/>
        <v>CSR_XCP_Signals_Recorder_2026-01-30_16-27-48_TC25_NCAP12_6YO_2L_CPD.MF4.xz</v>
      </c>
      <c r="N177" s="59" t="str">
        <f t="shared" si="5"/>
        <v>_NCAP12_6YO_2L_CPD.MF4.xz</v>
      </c>
      <c r="O177" t="s">
        <v>213</v>
      </c>
      <c r="Q177" t="s">
        <v>29</v>
      </c>
      <c r="R177" t="s">
        <v>29</v>
      </c>
      <c r="S177">
        <v>1</v>
      </c>
      <c r="T177">
        <v>0</v>
      </c>
      <c r="U177">
        <v>0</v>
      </c>
    </row>
    <row r="178" spans="1:21">
      <c r="A178" s="77">
        <v>25</v>
      </c>
      <c r="B178" t="s">
        <v>2133</v>
      </c>
      <c r="C178" t="s">
        <v>253</v>
      </c>
      <c r="D178" s="97" t="e">
        <f>_xlfn.XLOOKUP(A178,[1]CPD_SOP_new!$A:$A,[1]CPD_SOP_new!#REF!,"not found",0 )</f>
        <v>#REF!</v>
      </c>
      <c r="E178" s="97" t="str">
        <f>_xlfn.XLOOKUP(A178,[1]CPD_SOP_new!$A:$A,[1]CPD_SOP_new!$K:$K,"not found",0 )</f>
        <v>2L</v>
      </c>
      <c r="F178" t="s">
        <v>28</v>
      </c>
      <c r="G178" t="s">
        <v>28</v>
      </c>
      <c r="H178" t="s">
        <v>28</v>
      </c>
      <c r="I178" t="s">
        <v>28</v>
      </c>
      <c r="J178" t="s">
        <v>29</v>
      </c>
      <c r="K178" s="60" t="s">
        <v>308</v>
      </c>
      <c r="L178" t="s">
        <v>2279</v>
      </c>
      <c r="M178" s="100" t="str">
        <f t="shared" si="4"/>
        <v>CSR_XCP_Signals_Recorder_2026-01-30_14-08-58_TC25_NCAP12_6YO_2L_CPD.MF4.xz</v>
      </c>
      <c r="N178" s="59" t="str">
        <f t="shared" si="5"/>
        <v>_NCAP12_6YO_2L_CPD.MF4.xz</v>
      </c>
      <c r="O178" t="s">
        <v>271</v>
      </c>
      <c r="Q178" t="s">
        <v>29</v>
      </c>
      <c r="R178" t="s">
        <v>29</v>
      </c>
      <c r="S178">
        <v>1</v>
      </c>
      <c r="T178">
        <v>0</v>
      </c>
      <c r="U178">
        <v>0</v>
      </c>
    </row>
    <row r="179" spans="1:21">
      <c r="A179" s="78">
        <v>25</v>
      </c>
      <c r="B179" t="s">
        <v>2133</v>
      </c>
      <c r="C179" s="137" t="s">
        <v>253</v>
      </c>
      <c r="D179" s="97" t="e">
        <f>_xlfn.XLOOKUP(A179,[1]CPD_SOP_new!$A:$A,[1]CPD_SOP_new!#REF!,"not found",0 )</f>
        <v>#REF!</v>
      </c>
      <c r="E179" s="97" t="str">
        <f>_xlfn.XLOOKUP(A179,[1]CPD_SOP_new!$A:$A,[1]CPD_SOP_new!$K:$K,"not found",0 )</f>
        <v>2L</v>
      </c>
      <c r="F179" t="s">
        <v>28</v>
      </c>
      <c r="G179" t="s">
        <v>28</v>
      </c>
      <c r="H179" t="s">
        <v>28</v>
      </c>
      <c r="I179" s="137" t="s">
        <v>27</v>
      </c>
      <c r="J179" s="137" t="s">
        <v>105</v>
      </c>
      <c r="K179" s="137" t="s">
        <v>1023</v>
      </c>
      <c r="L179" s="137" t="s">
        <v>723</v>
      </c>
      <c r="M179" s="100" t="str">
        <f t="shared" si="4"/>
        <v>Wrong measurement</v>
      </c>
      <c r="N179" s="59" t="str">
        <f t="shared" si="5"/>
        <v>Wrong measurement</v>
      </c>
      <c r="O179" s="137" t="s">
        <v>271</v>
      </c>
      <c r="P179" s="137"/>
      <c r="Q179" s="137" t="s">
        <v>105</v>
      </c>
      <c r="R179" s="137" t="s">
        <v>105</v>
      </c>
      <c r="S179" s="137" t="s">
        <v>105</v>
      </c>
      <c r="T179" s="137" t="s">
        <v>105</v>
      </c>
      <c r="U179" s="137" t="s">
        <v>105</v>
      </c>
    </row>
    <row r="180" spans="1:21">
      <c r="A180" s="77">
        <v>25</v>
      </c>
      <c r="B180" t="s">
        <v>2133</v>
      </c>
      <c r="C180" t="s">
        <v>253</v>
      </c>
      <c r="D180" s="97" t="e">
        <f>_xlfn.XLOOKUP(A180,[1]CPD_SOP_new!$A:$A,[1]CPD_SOP_new!#REF!,"not found",0 )</f>
        <v>#REF!</v>
      </c>
      <c r="E180" s="97" t="str">
        <f>_xlfn.XLOOKUP(A180,[1]CPD_SOP_new!$A:$A,[1]CPD_SOP_new!$K:$K,"not found",0 )</f>
        <v>2L</v>
      </c>
      <c r="F180" t="s">
        <v>28</v>
      </c>
      <c r="G180" t="s">
        <v>28</v>
      </c>
      <c r="H180" t="s">
        <v>28</v>
      </c>
      <c r="I180" t="s">
        <v>28</v>
      </c>
      <c r="J180" t="s">
        <v>29</v>
      </c>
      <c r="K180" t="s">
        <v>310</v>
      </c>
      <c r="L180" t="s">
        <v>2280</v>
      </c>
      <c r="M180" s="100" t="str">
        <f t="shared" si="4"/>
        <v>CSR_XCP_Signals_Recorder_2026-01-30_14-10-22_TC25_NCAP12_6YO_2L_CPD.MF4.xz</v>
      </c>
      <c r="N180" s="59" t="str">
        <f t="shared" si="5"/>
        <v>_NCAP12_6YO_2L_CPD.MF4.xz</v>
      </c>
      <c r="O180" t="s">
        <v>271</v>
      </c>
      <c r="Q180" t="s">
        <v>29</v>
      </c>
      <c r="R180" t="s">
        <v>29</v>
      </c>
      <c r="S180">
        <v>1</v>
      </c>
      <c r="T180">
        <v>0</v>
      </c>
      <c r="U180">
        <v>0</v>
      </c>
    </row>
    <row r="181" spans="1:21" s="130" customFormat="1">
      <c r="A181" s="78">
        <v>26</v>
      </c>
      <c r="B181" s="130" t="s">
        <v>2133</v>
      </c>
      <c r="C181" s="130" t="s">
        <v>253</v>
      </c>
      <c r="D181" s="97" t="e">
        <f>_xlfn.XLOOKUP(A181,[1]CPD_SOP_new!$A:$A,[1]CPD_SOP_new!#REF!,"not found",0 )</f>
        <v>#REF!</v>
      </c>
      <c r="E181" s="97" t="str">
        <f>_xlfn.XLOOKUP(A181,[1]CPD_SOP_new!$A:$A,[1]CPD_SOP_new!$K:$K,"not found",0 )</f>
        <v>2C</v>
      </c>
      <c r="F181" s="130" t="s">
        <v>27</v>
      </c>
      <c r="G181" s="130" t="s">
        <v>28</v>
      </c>
      <c r="H181" s="130" t="s">
        <v>28</v>
      </c>
      <c r="I181" s="130" t="s">
        <v>27</v>
      </c>
      <c r="J181" s="137" t="s">
        <v>68</v>
      </c>
      <c r="K181" s="130" t="s">
        <v>314</v>
      </c>
      <c r="L181" s="130" t="s">
        <v>723</v>
      </c>
      <c r="M181" s="100" t="str">
        <f t="shared" si="4"/>
        <v>Wrong measurement</v>
      </c>
      <c r="N181" s="59" t="str">
        <f t="shared" si="5"/>
        <v>Wrong measurement</v>
      </c>
      <c r="O181" s="131" t="s">
        <v>281</v>
      </c>
      <c r="P181" s="131"/>
    </row>
    <row r="182" spans="1:21" s="130" customFormat="1">
      <c r="A182" s="78">
        <v>26</v>
      </c>
      <c r="B182" s="130" t="s">
        <v>2133</v>
      </c>
      <c r="C182" s="130" t="s">
        <v>253</v>
      </c>
      <c r="D182" s="97" t="e">
        <f>_xlfn.XLOOKUP(A182,[1]CPD_SOP_new!$A:$A,[1]CPD_SOP_new!#REF!,"not found",0 )</f>
        <v>#REF!</v>
      </c>
      <c r="E182" s="97" t="str">
        <f>_xlfn.XLOOKUP(A182,[1]CPD_SOP_new!$A:$A,[1]CPD_SOP_new!$K:$K,"not found",0 )</f>
        <v>2C</v>
      </c>
      <c r="F182" s="130" t="s">
        <v>27</v>
      </c>
      <c r="G182" s="130" t="s">
        <v>28</v>
      </c>
      <c r="H182" s="130" t="s">
        <v>28</v>
      </c>
      <c r="I182" s="130" t="s">
        <v>27</v>
      </c>
      <c r="J182" s="137" t="s">
        <v>68</v>
      </c>
      <c r="K182" s="61" t="s">
        <v>315</v>
      </c>
      <c r="L182" s="130" t="s">
        <v>723</v>
      </c>
      <c r="M182" s="100" t="str">
        <f t="shared" si="4"/>
        <v>Wrong measurement</v>
      </c>
      <c r="N182" s="59" t="str">
        <f t="shared" si="5"/>
        <v>Wrong measurement</v>
      </c>
      <c r="O182" s="131" t="s">
        <v>281</v>
      </c>
      <c r="P182" s="131"/>
    </row>
    <row r="183" spans="1:21" s="130" customFormat="1">
      <c r="A183" s="78">
        <v>26</v>
      </c>
      <c r="B183" s="130" t="s">
        <v>2133</v>
      </c>
      <c r="C183" s="130" t="s">
        <v>253</v>
      </c>
      <c r="D183" s="97" t="e">
        <f>_xlfn.XLOOKUP(A183,[1]CPD_SOP_new!$A:$A,[1]CPD_SOP_new!#REF!,"not found",0 )</f>
        <v>#REF!</v>
      </c>
      <c r="E183" s="97" t="str">
        <f>_xlfn.XLOOKUP(A183,[1]CPD_SOP_new!$A:$A,[1]CPD_SOP_new!$K:$K,"not found",0 )</f>
        <v>2C</v>
      </c>
      <c r="F183" s="130" t="s">
        <v>27</v>
      </c>
      <c r="G183" s="130" t="s">
        <v>28</v>
      </c>
      <c r="H183" s="130" t="s">
        <v>28</v>
      </c>
      <c r="I183" s="130" t="s">
        <v>27</v>
      </c>
      <c r="J183" s="137" t="s">
        <v>68</v>
      </c>
      <c r="K183" s="61" t="s">
        <v>316</v>
      </c>
      <c r="L183" s="130" t="s">
        <v>723</v>
      </c>
      <c r="M183" s="100" t="str">
        <f t="shared" si="4"/>
        <v>Wrong measurement</v>
      </c>
      <c r="N183" s="59" t="str">
        <f t="shared" si="5"/>
        <v>Wrong measurement</v>
      </c>
      <c r="O183" s="131" t="s">
        <v>281</v>
      </c>
      <c r="P183" s="131"/>
    </row>
    <row r="184" spans="1:21" s="130" customFormat="1">
      <c r="A184" s="78">
        <v>26</v>
      </c>
      <c r="B184" s="130" t="s">
        <v>2133</v>
      </c>
      <c r="C184" s="130" t="s">
        <v>253</v>
      </c>
      <c r="D184" s="97" t="e">
        <f>_xlfn.XLOOKUP(A184,[1]CPD_SOP_new!$A:$A,[1]CPD_SOP_new!#REF!,"not found",0 )</f>
        <v>#REF!</v>
      </c>
      <c r="E184" s="97" t="str">
        <f>_xlfn.XLOOKUP(A184,[1]CPD_SOP_new!$A:$A,[1]CPD_SOP_new!$K:$K,"not found",0 )</f>
        <v>2C</v>
      </c>
      <c r="F184" s="130" t="s">
        <v>28</v>
      </c>
      <c r="G184" s="130" t="s">
        <v>28</v>
      </c>
      <c r="H184" s="130" t="s">
        <v>28</v>
      </c>
      <c r="I184" s="130" t="s">
        <v>27</v>
      </c>
      <c r="J184" s="130" t="s">
        <v>1029</v>
      </c>
      <c r="K184" s="61" t="s">
        <v>1030</v>
      </c>
      <c r="L184" s="130" t="s">
        <v>723</v>
      </c>
      <c r="M184" s="100" t="str">
        <f t="shared" si="4"/>
        <v>Wrong measurement</v>
      </c>
      <c r="N184" s="59" t="str">
        <f t="shared" si="5"/>
        <v>Wrong measurement</v>
      </c>
      <c r="O184" s="130" t="s">
        <v>213</v>
      </c>
      <c r="Q184" s="130" t="s">
        <v>29</v>
      </c>
      <c r="R184" s="130" t="s">
        <v>29</v>
      </c>
      <c r="S184" s="130">
        <v>1</v>
      </c>
      <c r="T184" s="130">
        <v>0</v>
      </c>
      <c r="U184" s="130">
        <v>0</v>
      </c>
    </row>
    <row r="185" spans="1:21">
      <c r="A185" s="77">
        <v>26</v>
      </c>
      <c r="B185" t="s">
        <v>2133</v>
      </c>
      <c r="C185" t="s">
        <v>253</v>
      </c>
      <c r="D185" s="97" t="e">
        <f>_xlfn.XLOOKUP(A185,[1]CPD_SOP_new!$A:$A,[1]CPD_SOP_new!#REF!,"not found",0 )</f>
        <v>#REF!</v>
      </c>
      <c r="E185" s="97" t="str">
        <f>_xlfn.XLOOKUP(A185,[1]CPD_SOP_new!$A:$A,[1]CPD_SOP_new!$K:$K,"not found",0 )</f>
        <v>2C</v>
      </c>
      <c r="F185" t="s">
        <v>28</v>
      </c>
      <c r="G185" t="s">
        <v>28</v>
      </c>
      <c r="H185" t="s">
        <v>28</v>
      </c>
      <c r="I185" t="s">
        <v>28</v>
      </c>
      <c r="J185" t="s">
        <v>29</v>
      </c>
      <c r="K185" s="60" t="s">
        <v>318</v>
      </c>
      <c r="L185" t="s">
        <v>2281</v>
      </c>
      <c r="M185" s="100" t="str">
        <f t="shared" si="4"/>
        <v>CSR_XCP_Signals_Recorder_2026-01-30_16-09-35_TC26_NCAP12_6YO_2C_CPD.MF4.xz</v>
      </c>
      <c r="N185" s="59" t="str">
        <f t="shared" si="5"/>
        <v>_NCAP12_6YO_2C_CPD.MF4.xz</v>
      </c>
      <c r="O185" t="s">
        <v>213</v>
      </c>
      <c r="Q185" t="s">
        <v>29</v>
      </c>
      <c r="R185" t="s">
        <v>29</v>
      </c>
      <c r="S185">
        <v>1</v>
      </c>
      <c r="T185">
        <v>0</v>
      </c>
      <c r="U185">
        <v>0</v>
      </c>
    </row>
    <row r="186" spans="1:21">
      <c r="A186" s="77">
        <v>26</v>
      </c>
      <c r="B186" t="s">
        <v>2133</v>
      </c>
      <c r="C186" t="s">
        <v>253</v>
      </c>
      <c r="D186" s="97" t="e">
        <f>_xlfn.XLOOKUP(A186,[1]CPD_SOP_new!$A:$A,[1]CPD_SOP_new!#REF!,"not found",0 )</f>
        <v>#REF!</v>
      </c>
      <c r="E186" s="97" t="str">
        <f>_xlfn.XLOOKUP(A186,[1]CPD_SOP_new!$A:$A,[1]CPD_SOP_new!$K:$K,"not found",0 )</f>
        <v>2C</v>
      </c>
      <c r="F186" t="s">
        <v>28</v>
      </c>
      <c r="G186" t="s">
        <v>28</v>
      </c>
      <c r="H186" t="s">
        <v>28</v>
      </c>
      <c r="I186" t="s">
        <v>28</v>
      </c>
      <c r="J186" t="s">
        <v>29</v>
      </c>
      <c r="K186" s="60" t="s">
        <v>320</v>
      </c>
      <c r="L186" t="s">
        <v>2282</v>
      </c>
      <c r="M186" s="100" t="str">
        <f t="shared" si="4"/>
        <v>CSR_XCP_Signals_Recorder_2026-01-30_16-10-22_TC26_NCAP12_6YO_2C_CPD.MF4.xz</v>
      </c>
      <c r="N186" s="59" t="str">
        <f t="shared" si="5"/>
        <v>_NCAP12_6YO_2C_CPD.MF4.xz</v>
      </c>
      <c r="O186" t="s">
        <v>213</v>
      </c>
      <c r="Q186" t="s">
        <v>29</v>
      </c>
      <c r="R186" t="s">
        <v>29</v>
      </c>
      <c r="S186">
        <v>1</v>
      </c>
      <c r="T186">
        <v>0</v>
      </c>
      <c r="U186">
        <v>0</v>
      </c>
    </row>
    <row r="187" spans="1:21">
      <c r="A187" s="77">
        <v>26</v>
      </c>
      <c r="B187" t="s">
        <v>2133</v>
      </c>
      <c r="C187" t="s">
        <v>253</v>
      </c>
      <c r="D187" s="97" t="e">
        <f>_xlfn.XLOOKUP(A187,[1]CPD_SOP_new!$A:$A,[1]CPD_SOP_new!#REF!,"not found",0 )</f>
        <v>#REF!</v>
      </c>
      <c r="E187" s="97" t="str">
        <f>_xlfn.XLOOKUP(A187,[1]CPD_SOP_new!$A:$A,[1]CPD_SOP_new!$K:$K,"not found",0 )</f>
        <v>2C</v>
      </c>
      <c r="F187" t="s">
        <v>28</v>
      </c>
      <c r="G187" t="s">
        <v>28</v>
      </c>
      <c r="H187" t="s">
        <v>28</v>
      </c>
      <c r="I187" t="s">
        <v>28</v>
      </c>
      <c r="J187" t="s">
        <v>29</v>
      </c>
      <c r="K187" s="60" t="s">
        <v>321</v>
      </c>
      <c r="L187" t="s">
        <v>2283</v>
      </c>
      <c r="M187" s="100" t="str">
        <f t="shared" si="4"/>
        <v>CSR_XCP_Signals_Recorder_2026-01-30_16-11-11_TC26_NCAP12_6YO_2C_CPD.MF4.xz</v>
      </c>
      <c r="N187" s="59" t="str">
        <f t="shared" si="5"/>
        <v>_NCAP12_6YO_2C_CPD.MF4.xz</v>
      </c>
      <c r="O187" t="s">
        <v>213</v>
      </c>
      <c r="Q187" t="s">
        <v>29</v>
      </c>
      <c r="R187" t="s">
        <v>29</v>
      </c>
      <c r="S187">
        <v>1</v>
      </c>
      <c r="T187">
        <v>0</v>
      </c>
      <c r="U187">
        <v>0</v>
      </c>
    </row>
    <row r="188" spans="1:21">
      <c r="A188" s="77">
        <v>26</v>
      </c>
      <c r="B188" t="s">
        <v>2133</v>
      </c>
      <c r="C188" t="s">
        <v>253</v>
      </c>
      <c r="D188" s="97" t="e">
        <f>_xlfn.XLOOKUP(A188,[1]CPD_SOP_new!$A:$A,[1]CPD_SOP_new!#REF!,"not found",0 )</f>
        <v>#REF!</v>
      </c>
      <c r="E188" s="97" t="str">
        <f>_xlfn.XLOOKUP(A188,[1]CPD_SOP_new!$A:$A,[1]CPD_SOP_new!$K:$K,"not found",0 )</f>
        <v>2C</v>
      </c>
      <c r="F188" t="s">
        <v>28</v>
      </c>
      <c r="G188" t="s">
        <v>28</v>
      </c>
      <c r="H188" t="s">
        <v>28</v>
      </c>
      <c r="I188" t="s">
        <v>28</v>
      </c>
      <c r="J188" t="s">
        <v>29</v>
      </c>
      <c r="K188" s="60" t="s">
        <v>322</v>
      </c>
      <c r="L188" t="s">
        <v>2284</v>
      </c>
      <c r="M188" s="100" t="str">
        <f t="shared" si="4"/>
        <v>CSR_XCP_Signals_Recorder_2026-01-30_16-13-49_TC26_NCAP12_6YO_2C_CPD.MF4.xz</v>
      </c>
      <c r="N188" s="59" t="str">
        <f t="shared" si="5"/>
        <v>_NCAP12_6YO_2C_CPD.MF4.xz</v>
      </c>
      <c r="O188" t="s">
        <v>213</v>
      </c>
      <c r="Q188" t="s">
        <v>29</v>
      </c>
      <c r="R188" t="s">
        <v>29</v>
      </c>
      <c r="S188">
        <v>1</v>
      </c>
      <c r="T188">
        <v>0</v>
      </c>
      <c r="U188">
        <v>0</v>
      </c>
    </row>
    <row r="189" spans="1:21">
      <c r="A189" s="77">
        <v>27</v>
      </c>
      <c r="B189" t="s">
        <v>2133</v>
      </c>
      <c r="C189" t="s">
        <v>253</v>
      </c>
      <c r="D189" s="97" t="e">
        <f>_xlfn.XLOOKUP(A189,[1]CPD_SOP_new!$A:$A,[1]CPD_SOP_new!#REF!,"not found",0 )</f>
        <v>#REF!</v>
      </c>
      <c r="E189" s="97" t="str">
        <f>_xlfn.XLOOKUP(A189,[1]CPD_SOP_new!$A:$A,[1]CPD_SOP_new!$K:$K,"not found",0 )</f>
        <v>3R</v>
      </c>
      <c r="F189" t="s">
        <v>28</v>
      </c>
      <c r="G189" t="s">
        <v>28</v>
      </c>
      <c r="H189" t="s">
        <v>28</v>
      </c>
      <c r="I189" t="s">
        <v>28</v>
      </c>
      <c r="J189" t="s">
        <v>29</v>
      </c>
      <c r="K189" s="60" t="s">
        <v>323</v>
      </c>
      <c r="L189" t="s">
        <v>2285</v>
      </c>
      <c r="M189" s="100" t="str">
        <f t="shared" si="4"/>
        <v>CSR_XCP_Signals_Recorder_2025-12-10_10-40-19_TC27_6YO3RR_CPD_NCAP12_6YO_3R_CPD.MF4.xz</v>
      </c>
      <c r="N189" s="59" t="str">
        <f t="shared" si="5"/>
        <v>_NCAP12_6YO_3R_CPD.MF4.xz</v>
      </c>
      <c r="O189" s="129" t="s">
        <v>217</v>
      </c>
      <c r="P189" s="129"/>
    </row>
    <row r="190" spans="1:21">
      <c r="A190" s="77">
        <v>27</v>
      </c>
      <c r="B190" t="s">
        <v>2133</v>
      </c>
      <c r="C190" t="s">
        <v>253</v>
      </c>
      <c r="D190" s="97" t="e">
        <f>_xlfn.XLOOKUP(A190,[1]CPD_SOP_new!$A:$A,[1]CPD_SOP_new!#REF!,"not found",0 )</f>
        <v>#REF!</v>
      </c>
      <c r="E190" s="97" t="str">
        <f>_xlfn.XLOOKUP(A190,[1]CPD_SOP_new!$A:$A,[1]CPD_SOP_new!$K:$K,"not found",0 )</f>
        <v>3R</v>
      </c>
      <c r="F190" t="s">
        <v>28</v>
      </c>
      <c r="G190" t="s">
        <v>28</v>
      </c>
      <c r="H190" t="s">
        <v>28</v>
      </c>
      <c r="I190" t="s">
        <v>28</v>
      </c>
      <c r="J190" t="s">
        <v>29</v>
      </c>
      <c r="K190" t="s">
        <v>325</v>
      </c>
      <c r="L190" t="s">
        <v>2286</v>
      </c>
      <c r="M190" s="100" t="str">
        <f t="shared" si="4"/>
        <v>CSR_XCP_Signals_Recorder_2025-12-10_10-42-14_TC27_6YO3RR_CPD_NCAP12_6YO_3R_CPD.MF4.xz</v>
      </c>
      <c r="N190" s="59" t="str">
        <f t="shared" si="5"/>
        <v>_NCAP12_6YO_3R_CPD.MF4.xz</v>
      </c>
      <c r="O190" s="129" t="s">
        <v>217</v>
      </c>
      <c r="P190" s="129"/>
    </row>
    <row r="191" spans="1:21">
      <c r="A191" s="77">
        <v>27</v>
      </c>
      <c r="B191" t="s">
        <v>2133</v>
      </c>
      <c r="C191" t="s">
        <v>253</v>
      </c>
      <c r="D191" s="97" t="e">
        <f>_xlfn.XLOOKUP(A191,[1]CPD_SOP_new!$A:$A,[1]CPD_SOP_new!#REF!,"not found",0 )</f>
        <v>#REF!</v>
      </c>
      <c r="E191" s="97" t="str">
        <f>_xlfn.XLOOKUP(A191,[1]CPD_SOP_new!$A:$A,[1]CPD_SOP_new!$K:$K,"not found",0 )</f>
        <v>3R</v>
      </c>
      <c r="F191" t="s">
        <v>28</v>
      </c>
      <c r="G191" t="s">
        <v>28</v>
      </c>
      <c r="H191" t="s">
        <v>28</v>
      </c>
      <c r="I191" t="s">
        <v>28</v>
      </c>
      <c r="J191" t="s">
        <v>29</v>
      </c>
      <c r="K191" t="s">
        <v>326</v>
      </c>
      <c r="L191" t="s">
        <v>2287</v>
      </c>
      <c r="M191" s="100" t="str">
        <f t="shared" si="4"/>
        <v>CSR_XCP_Signals_Recorder_2025-12-10_10-43-45_TC27_6YO3RR_CPD_NCAP12_6YO_3R_CPD.MF4.xz</v>
      </c>
      <c r="N191" s="59" t="str">
        <f t="shared" si="5"/>
        <v>_NCAP12_6YO_3R_CPD.MF4.xz</v>
      </c>
      <c r="O191" s="129" t="s">
        <v>217</v>
      </c>
      <c r="P191" s="129"/>
    </row>
    <row r="192" spans="1:21">
      <c r="A192" s="77">
        <v>27</v>
      </c>
      <c r="B192" t="s">
        <v>2133</v>
      </c>
      <c r="C192" t="s">
        <v>253</v>
      </c>
      <c r="D192" s="97" t="e">
        <f>_xlfn.XLOOKUP(A192,[1]CPD_SOP_new!$A:$A,[1]CPD_SOP_new!#REF!,"not found",0 )</f>
        <v>#REF!</v>
      </c>
      <c r="E192" s="97" t="str">
        <f>_xlfn.XLOOKUP(A192,[1]CPD_SOP_new!$A:$A,[1]CPD_SOP_new!$K:$K,"not found",0 )</f>
        <v>3R</v>
      </c>
      <c r="F192" t="s">
        <v>28</v>
      </c>
      <c r="G192" t="s">
        <v>28</v>
      </c>
      <c r="H192" t="s">
        <v>28</v>
      </c>
      <c r="I192" t="s">
        <v>28</v>
      </c>
      <c r="J192" t="s">
        <v>29</v>
      </c>
      <c r="K192" t="s">
        <v>327</v>
      </c>
      <c r="L192" t="s">
        <v>2288</v>
      </c>
      <c r="M192" s="100" t="str">
        <f t="shared" si="4"/>
        <v>CSR_XCP_Signals_Recorder_2025-12-10_10-45-23_TC27_6YO3RR_CPD_NCAP12_6YO_3R_CPD.MF4.xz</v>
      </c>
      <c r="N192" s="59" t="str">
        <f t="shared" si="5"/>
        <v>_NCAP12_6YO_3R_CPD.MF4.xz</v>
      </c>
      <c r="O192" s="129" t="s">
        <v>217</v>
      </c>
      <c r="P192" s="129"/>
    </row>
    <row r="193" spans="1:21">
      <c r="A193" s="77">
        <v>27</v>
      </c>
      <c r="B193" t="s">
        <v>2133</v>
      </c>
      <c r="C193" t="s">
        <v>253</v>
      </c>
      <c r="D193" s="97" t="e">
        <f>_xlfn.XLOOKUP(A193,[1]CPD_SOP_new!$A:$A,[1]CPD_SOP_new!#REF!,"not found",0 )</f>
        <v>#REF!</v>
      </c>
      <c r="E193" s="97" t="str">
        <f>_xlfn.XLOOKUP(A193,[1]CPD_SOP_new!$A:$A,[1]CPD_SOP_new!$K:$K,"not found",0 )</f>
        <v>3R</v>
      </c>
      <c r="F193" t="s">
        <v>28</v>
      </c>
      <c r="G193" t="s">
        <v>28</v>
      </c>
      <c r="H193" t="s">
        <v>28</v>
      </c>
      <c r="I193" t="s">
        <v>28</v>
      </c>
      <c r="J193" t="s">
        <v>29</v>
      </c>
      <c r="K193" s="60" t="s">
        <v>328</v>
      </c>
      <c r="L193" t="s">
        <v>2289</v>
      </c>
      <c r="M193" s="100" t="str">
        <f t="shared" si="4"/>
        <v>CSR_XCP_Signals_Recorder_2025-12-10_10-46-57_TC27_6YO3RR_CPD_NCAP12_6YO_3R_CPD.MF4.xz</v>
      </c>
      <c r="N193" s="59" t="str">
        <f t="shared" si="5"/>
        <v>_NCAP12_6YO_3R_CPD.MF4.xz</v>
      </c>
      <c r="O193" s="129" t="s">
        <v>217</v>
      </c>
      <c r="P193" s="129"/>
    </row>
    <row r="194" spans="1:21" s="130" customFormat="1">
      <c r="A194" s="78">
        <v>27</v>
      </c>
      <c r="B194" s="130" t="s">
        <v>2133</v>
      </c>
      <c r="C194" s="130" t="s">
        <v>253</v>
      </c>
      <c r="D194" s="97" t="e">
        <f>_xlfn.XLOOKUP(A194,[1]CPD_SOP_new!$A:$A,[1]CPD_SOP_new!#REF!,"not found",0 )</f>
        <v>#REF!</v>
      </c>
      <c r="E194" s="97" t="str">
        <f>_xlfn.XLOOKUP(A194,[1]CPD_SOP_new!$A:$A,[1]CPD_SOP_new!$K:$K,"not found",0 )</f>
        <v>3R</v>
      </c>
      <c r="F194" s="130" t="s">
        <v>27</v>
      </c>
      <c r="G194" s="130" t="s">
        <v>28</v>
      </c>
      <c r="H194" s="130" t="s">
        <v>28</v>
      </c>
      <c r="I194" s="130" t="s">
        <v>27</v>
      </c>
      <c r="J194" s="137" t="s">
        <v>68</v>
      </c>
      <c r="K194" s="62" t="s">
        <v>329</v>
      </c>
      <c r="L194" s="136" t="s">
        <v>723</v>
      </c>
      <c r="M194" s="100" t="str">
        <f t="shared" ref="M194:M257" si="6">IF(NOT(N194="Wrong measurement"),SUBSTITUTE(K194,".MF4.xz",N194),"Wrong measurement")</f>
        <v>Wrong measurement</v>
      </c>
      <c r="N194" s="59" t="str">
        <f t="shared" ref="N194:N257" si="7">IF(I194="Y",("_"&amp;B194 &amp;"_"&amp; IF(C194="","",C194)&amp;"_"&amp;E194&amp;"_CPD.MF4.xz"),"Wrong measurement")</f>
        <v>Wrong measurement</v>
      </c>
      <c r="O194" s="131" t="s">
        <v>202</v>
      </c>
      <c r="P194" s="131"/>
    </row>
    <row r="195" spans="1:21" s="130" customFormat="1">
      <c r="A195" s="78">
        <v>27</v>
      </c>
      <c r="B195" s="130" t="s">
        <v>2133</v>
      </c>
      <c r="C195" s="130" t="s">
        <v>253</v>
      </c>
      <c r="D195" s="97" t="e">
        <f>_xlfn.XLOOKUP(A195,[1]CPD_SOP_new!$A:$A,[1]CPD_SOP_new!#REF!,"not found",0 )</f>
        <v>#REF!</v>
      </c>
      <c r="E195" s="97" t="str">
        <f>_xlfn.XLOOKUP(A195,[1]CPD_SOP_new!$A:$A,[1]CPD_SOP_new!$K:$K,"not found",0 )</f>
        <v>3R</v>
      </c>
      <c r="F195" s="130" t="s">
        <v>27</v>
      </c>
      <c r="G195" s="130" t="s">
        <v>28</v>
      </c>
      <c r="H195" s="130" t="s">
        <v>28</v>
      </c>
      <c r="I195" s="130" t="s">
        <v>27</v>
      </c>
      <c r="J195" s="137" t="s">
        <v>68</v>
      </c>
      <c r="K195" s="62" t="s">
        <v>330</v>
      </c>
      <c r="L195" s="136" t="s">
        <v>723</v>
      </c>
      <c r="M195" s="100" t="str">
        <f t="shared" si="6"/>
        <v>Wrong measurement</v>
      </c>
      <c r="N195" s="59" t="str">
        <f t="shared" si="7"/>
        <v>Wrong measurement</v>
      </c>
      <c r="O195" s="131" t="s">
        <v>202</v>
      </c>
      <c r="P195" s="131"/>
    </row>
    <row r="196" spans="1:21" s="130" customFormat="1">
      <c r="A196" s="78">
        <v>27</v>
      </c>
      <c r="B196" s="130" t="s">
        <v>2133</v>
      </c>
      <c r="C196" s="130" t="s">
        <v>253</v>
      </c>
      <c r="D196" s="97" t="e">
        <f>_xlfn.XLOOKUP(A196,[1]CPD_SOP_new!$A:$A,[1]CPD_SOP_new!#REF!,"not found",0 )</f>
        <v>#REF!</v>
      </c>
      <c r="E196" s="97" t="str">
        <f>_xlfn.XLOOKUP(A196,[1]CPD_SOP_new!$A:$A,[1]CPD_SOP_new!$K:$K,"not found",0 )</f>
        <v>3R</v>
      </c>
      <c r="F196" s="130" t="s">
        <v>27</v>
      </c>
      <c r="G196" s="130" t="s">
        <v>28</v>
      </c>
      <c r="H196" s="130" t="s">
        <v>28</v>
      </c>
      <c r="I196" s="130" t="s">
        <v>27</v>
      </c>
      <c r="J196" s="137" t="s">
        <v>68</v>
      </c>
      <c r="K196" s="62" t="s">
        <v>331</v>
      </c>
      <c r="L196" s="136" t="s">
        <v>723</v>
      </c>
      <c r="M196" s="100" t="str">
        <f t="shared" si="6"/>
        <v>Wrong measurement</v>
      </c>
      <c r="N196" s="59" t="str">
        <f t="shared" si="7"/>
        <v>Wrong measurement</v>
      </c>
      <c r="O196" s="131" t="s">
        <v>202</v>
      </c>
      <c r="P196" s="131"/>
    </row>
    <row r="197" spans="1:21">
      <c r="A197" s="77">
        <v>27</v>
      </c>
      <c r="B197" t="s">
        <v>2133</v>
      </c>
      <c r="C197" t="s">
        <v>253</v>
      </c>
      <c r="D197" s="97" t="e">
        <f>_xlfn.XLOOKUP(A197,[1]CPD_SOP_new!$A:$A,[1]CPD_SOP_new!#REF!,"not found",0 )</f>
        <v>#REF!</v>
      </c>
      <c r="E197" s="97" t="str">
        <f>_xlfn.XLOOKUP(A197,[1]CPD_SOP_new!$A:$A,[1]CPD_SOP_new!$K:$K,"not found",0 )</f>
        <v>3R</v>
      </c>
      <c r="F197" t="s">
        <v>28</v>
      </c>
      <c r="G197" t="s">
        <v>28</v>
      </c>
      <c r="H197" t="s">
        <v>28</v>
      </c>
      <c r="I197" t="s">
        <v>28</v>
      </c>
      <c r="J197" t="s">
        <v>29</v>
      </c>
      <c r="K197" s="60" t="s">
        <v>332</v>
      </c>
      <c r="L197" t="s">
        <v>2290</v>
      </c>
      <c r="M197" s="100" t="str">
        <f t="shared" si="6"/>
        <v>CSR_XCP_Signals_Recorder_2026-01-30_16-21-49_TC27_NCAP12_6YO_3R_CPD.MF4.xz</v>
      </c>
      <c r="N197" s="59" t="str">
        <f t="shared" si="7"/>
        <v>_NCAP12_6YO_3R_CPD.MF4.xz</v>
      </c>
      <c r="O197" t="s">
        <v>213</v>
      </c>
      <c r="Q197" t="s">
        <v>29</v>
      </c>
      <c r="R197" t="s">
        <v>29</v>
      </c>
      <c r="S197">
        <v>1</v>
      </c>
      <c r="T197">
        <v>0</v>
      </c>
      <c r="U197">
        <v>0</v>
      </c>
    </row>
    <row r="198" spans="1:21">
      <c r="A198" s="77">
        <v>27</v>
      </c>
      <c r="B198" t="s">
        <v>2133</v>
      </c>
      <c r="C198" t="s">
        <v>253</v>
      </c>
      <c r="D198" s="97" t="e">
        <f>_xlfn.XLOOKUP(A198,[1]CPD_SOP_new!$A:$A,[1]CPD_SOP_new!#REF!,"not found",0 )</f>
        <v>#REF!</v>
      </c>
      <c r="E198" s="97" t="str">
        <f>_xlfn.XLOOKUP(A198,[1]CPD_SOP_new!$A:$A,[1]CPD_SOP_new!$K:$K,"not found",0 )</f>
        <v>3R</v>
      </c>
      <c r="F198" t="s">
        <v>28</v>
      </c>
      <c r="G198" t="s">
        <v>28</v>
      </c>
      <c r="H198" t="s">
        <v>28</v>
      </c>
      <c r="I198" t="s">
        <v>28</v>
      </c>
      <c r="J198" t="s">
        <v>29</v>
      </c>
      <c r="K198" s="60" t="s">
        <v>334</v>
      </c>
      <c r="L198" t="s">
        <v>2291</v>
      </c>
      <c r="M198" s="100" t="str">
        <f t="shared" si="6"/>
        <v>CSR_XCP_Signals_Recorder_2026-01-30_16-22-29_TC27_NCAP12_6YO_3R_CPD.MF4.xz</v>
      </c>
      <c r="N198" s="59" t="str">
        <f t="shared" si="7"/>
        <v>_NCAP12_6YO_3R_CPD.MF4.xz</v>
      </c>
      <c r="O198" t="s">
        <v>213</v>
      </c>
      <c r="Q198" t="s">
        <v>29</v>
      </c>
      <c r="R198" t="s">
        <v>29</v>
      </c>
      <c r="S198">
        <v>1</v>
      </c>
      <c r="T198">
        <v>0</v>
      </c>
      <c r="U198">
        <v>0</v>
      </c>
    </row>
    <row r="199" spans="1:21">
      <c r="A199" s="77">
        <v>27</v>
      </c>
      <c r="B199" t="s">
        <v>2133</v>
      </c>
      <c r="C199" t="s">
        <v>253</v>
      </c>
      <c r="D199" s="97" t="e">
        <f>_xlfn.XLOOKUP(A199,[1]CPD_SOP_new!$A:$A,[1]CPD_SOP_new!#REF!,"not found",0 )</f>
        <v>#REF!</v>
      </c>
      <c r="E199" s="97" t="str">
        <f>_xlfn.XLOOKUP(A199,[1]CPD_SOP_new!$A:$A,[1]CPD_SOP_new!$K:$K,"not found",0 )</f>
        <v>3R</v>
      </c>
      <c r="F199" t="s">
        <v>28</v>
      </c>
      <c r="G199" t="s">
        <v>28</v>
      </c>
      <c r="H199" t="s">
        <v>28</v>
      </c>
      <c r="I199" t="s">
        <v>28</v>
      </c>
      <c r="J199" t="s">
        <v>29</v>
      </c>
      <c r="K199" s="60" t="s">
        <v>335</v>
      </c>
      <c r="L199" t="s">
        <v>2292</v>
      </c>
      <c r="M199" s="100" t="str">
        <f t="shared" si="6"/>
        <v>CSR_XCP_Signals_Recorder_2026-01-30_16-23-12_TC27_NCAP12_6YO_3R_CPD.MF4.xz</v>
      </c>
      <c r="N199" s="59" t="str">
        <f t="shared" si="7"/>
        <v>_NCAP12_6YO_3R_CPD.MF4.xz</v>
      </c>
      <c r="O199" t="s">
        <v>213</v>
      </c>
      <c r="Q199" t="s">
        <v>29</v>
      </c>
      <c r="R199" t="s">
        <v>29</v>
      </c>
      <c r="S199">
        <v>1</v>
      </c>
      <c r="T199">
        <v>0</v>
      </c>
      <c r="U199">
        <v>0</v>
      </c>
    </row>
    <row r="200" spans="1:21">
      <c r="A200" s="77">
        <v>27</v>
      </c>
      <c r="B200" t="s">
        <v>2133</v>
      </c>
      <c r="C200" t="s">
        <v>253</v>
      </c>
      <c r="D200" s="97" t="e">
        <f>_xlfn.XLOOKUP(A200,[1]CPD_SOP_new!$A:$A,[1]CPD_SOP_new!#REF!,"not found",0 )</f>
        <v>#REF!</v>
      </c>
      <c r="E200" s="97" t="str">
        <f>_xlfn.XLOOKUP(A200,[1]CPD_SOP_new!$A:$A,[1]CPD_SOP_new!$K:$K,"not found",0 )</f>
        <v>3R</v>
      </c>
      <c r="F200" t="s">
        <v>28</v>
      </c>
      <c r="G200" t="s">
        <v>28</v>
      </c>
      <c r="H200" t="s">
        <v>28</v>
      </c>
      <c r="I200" t="s">
        <v>28</v>
      </c>
      <c r="J200" t="s">
        <v>29</v>
      </c>
      <c r="K200" s="60" t="s">
        <v>336</v>
      </c>
      <c r="L200" t="s">
        <v>2293</v>
      </c>
      <c r="M200" s="100" t="str">
        <f t="shared" si="6"/>
        <v>CSR_XCP_Signals_Recorder_2026-01-30_14-14-17_TC27_NCAP12_6YO_3R_CPD.MF4.xz</v>
      </c>
      <c r="N200" s="59" t="str">
        <f t="shared" si="7"/>
        <v>_NCAP12_6YO_3R_CPD.MF4.xz</v>
      </c>
      <c r="O200" t="s">
        <v>271</v>
      </c>
      <c r="Q200" t="s">
        <v>29</v>
      </c>
      <c r="R200" t="s">
        <v>29</v>
      </c>
      <c r="S200">
        <v>1</v>
      </c>
      <c r="T200">
        <v>0</v>
      </c>
      <c r="U200">
        <v>0</v>
      </c>
    </row>
    <row r="201" spans="1:21">
      <c r="A201" s="77">
        <v>27</v>
      </c>
      <c r="B201" t="s">
        <v>2133</v>
      </c>
      <c r="C201" t="s">
        <v>253</v>
      </c>
      <c r="D201" s="97" t="e">
        <f>_xlfn.XLOOKUP(A201,[1]CPD_SOP_new!$A:$A,[1]CPD_SOP_new!#REF!,"not found",0 )</f>
        <v>#REF!</v>
      </c>
      <c r="E201" s="97" t="str">
        <f>_xlfn.XLOOKUP(A201,[1]CPD_SOP_new!$A:$A,[1]CPD_SOP_new!$K:$K,"not found",0 )</f>
        <v>3R</v>
      </c>
      <c r="F201" t="s">
        <v>28</v>
      </c>
      <c r="G201" t="s">
        <v>28</v>
      </c>
      <c r="H201" t="s">
        <v>28</v>
      </c>
      <c r="I201" t="s">
        <v>28</v>
      </c>
      <c r="J201" t="s">
        <v>29</v>
      </c>
      <c r="K201" s="60" t="s">
        <v>337</v>
      </c>
      <c r="L201" t="s">
        <v>2294</v>
      </c>
      <c r="M201" s="100" t="str">
        <f t="shared" si="6"/>
        <v>CSR_XCP_Signals_Recorder_2026-01-30_14-14-55_TC27_NCAP12_6YO_3R_CPD.MF4.xz</v>
      </c>
      <c r="N201" s="59" t="str">
        <f t="shared" si="7"/>
        <v>_NCAP12_6YO_3R_CPD.MF4.xz</v>
      </c>
      <c r="O201" t="s">
        <v>271</v>
      </c>
      <c r="Q201" t="s">
        <v>29</v>
      </c>
      <c r="R201" t="s">
        <v>29</v>
      </c>
      <c r="S201">
        <v>1</v>
      </c>
      <c r="T201">
        <v>0</v>
      </c>
      <c r="U201">
        <v>0</v>
      </c>
    </row>
    <row r="202" spans="1:21">
      <c r="A202" s="77">
        <v>27</v>
      </c>
      <c r="B202" t="s">
        <v>2133</v>
      </c>
      <c r="C202" t="s">
        <v>253</v>
      </c>
      <c r="D202" s="97" t="e">
        <f>_xlfn.XLOOKUP(A202,[1]CPD_SOP_new!$A:$A,[1]CPD_SOP_new!#REF!,"not found",0 )</f>
        <v>#REF!</v>
      </c>
      <c r="E202" s="97" t="str">
        <f>_xlfn.XLOOKUP(A202,[1]CPD_SOP_new!$A:$A,[1]CPD_SOP_new!$K:$K,"not found",0 )</f>
        <v>3R</v>
      </c>
      <c r="F202" t="s">
        <v>28</v>
      </c>
      <c r="G202" t="s">
        <v>28</v>
      </c>
      <c r="H202" t="s">
        <v>28</v>
      </c>
      <c r="I202" t="s">
        <v>28</v>
      </c>
      <c r="J202" t="s">
        <v>29</v>
      </c>
      <c r="K202" s="60" t="s">
        <v>338</v>
      </c>
      <c r="L202" t="s">
        <v>2295</v>
      </c>
      <c r="M202" s="100" t="str">
        <f t="shared" si="6"/>
        <v>CSR_XCP_Signals_Recorder_2026-01-30_14-15-41_TC27_NCAP12_6YO_3R_CPD.MF4.xz</v>
      </c>
      <c r="N202" s="59" t="str">
        <f t="shared" si="7"/>
        <v>_NCAP12_6YO_3R_CPD.MF4.xz</v>
      </c>
      <c r="O202" t="s">
        <v>271</v>
      </c>
      <c r="Q202" t="s">
        <v>29</v>
      </c>
      <c r="R202" t="s">
        <v>29</v>
      </c>
      <c r="S202">
        <v>1</v>
      </c>
      <c r="T202">
        <v>0</v>
      </c>
      <c r="U202">
        <v>0</v>
      </c>
    </row>
    <row r="203" spans="1:21" s="130" customFormat="1">
      <c r="A203" s="78">
        <v>28</v>
      </c>
      <c r="B203" s="130" t="s">
        <v>2133</v>
      </c>
      <c r="C203" s="130" t="s">
        <v>253</v>
      </c>
      <c r="D203" s="97" t="e">
        <f>_xlfn.XLOOKUP(A203,[1]CPD_SOP_new!$A:$A,[1]CPD_SOP_new!#REF!,"not found",0 )</f>
        <v>#REF!</v>
      </c>
      <c r="E203" s="97" t="str">
        <f>_xlfn.XLOOKUP(A203,[1]CPD_SOP_new!$A:$A,[1]CPD_SOP_new!$K:$K,"not found",0 )</f>
        <v>3L</v>
      </c>
      <c r="F203" s="130" t="s">
        <v>27</v>
      </c>
      <c r="G203" s="130" t="s">
        <v>28</v>
      </c>
      <c r="H203" s="130" t="s">
        <v>28</v>
      </c>
      <c r="I203" s="130" t="s">
        <v>27</v>
      </c>
      <c r="J203" s="137" t="s">
        <v>68</v>
      </c>
      <c r="K203" s="130" t="s">
        <v>342</v>
      </c>
      <c r="L203" s="130" t="s">
        <v>723</v>
      </c>
      <c r="M203" s="100" t="str">
        <f t="shared" si="6"/>
        <v>Wrong measurement</v>
      </c>
      <c r="N203" s="59" t="str">
        <f t="shared" si="7"/>
        <v>Wrong measurement</v>
      </c>
      <c r="O203" s="131" t="s">
        <v>281</v>
      </c>
      <c r="P203" s="131"/>
    </row>
    <row r="204" spans="1:21" s="130" customFormat="1">
      <c r="A204" s="78">
        <v>28</v>
      </c>
      <c r="B204" s="130" t="s">
        <v>2133</v>
      </c>
      <c r="C204" s="130" t="s">
        <v>253</v>
      </c>
      <c r="D204" s="97" t="e">
        <f>_xlfn.XLOOKUP(A204,[1]CPD_SOP_new!$A:$A,[1]CPD_SOP_new!#REF!,"not found",0 )</f>
        <v>#REF!</v>
      </c>
      <c r="E204" s="97" t="str">
        <f>_xlfn.XLOOKUP(A204,[1]CPD_SOP_new!$A:$A,[1]CPD_SOP_new!$K:$K,"not found",0 )</f>
        <v>3L</v>
      </c>
      <c r="F204" s="130" t="s">
        <v>27</v>
      </c>
      <c r="G204" s="130" t="s">
        <v>28</v>
      </c>
      <c r="H204" s="130" t="s">
        <v>28</v>
      </c>
      <c r="I204" s="130" t="s">
        <v>27</v>
      </c>
      <c r="J204" s="137" t="s">
        <v>68</v>
      </c>
      <c r="K204" s="130" t="s">
        <v>342</v>
      </c>
      <c r="L204" s="130" t="s">
        <v>723</v>
      </c>
      <c r="M204" s="100" t="str">
        <f t="shared" si="6"/>
        <v>Wrong measurement</v>
      </c>
      <c r="N204" s="59" t="str">
        <f t="shared" si="7"/>
        <v>Wrong measurement</v>
      </c>
      <c r="O204" s="131" t="s">
        <v>281</v>
      </c>
      <c r="P204" s="131"/>
    </row>
    <row r="205" spans="1:21" s="130" customFormat="1">
      <c r="A205" s="78">
        <v>28</v>
      </c>
      <c r="B205" s="130" t="s">
        <v>2133</v>
      </c>
      <c r="C205" s="130" t="s">
        <v>253</v>
      </c>
      <c r="D205" s="97" t="e">
        <f>_xlfn.XLOOKUP(A205,[1]CPD_SOP_new!$A:$A,[1]CPD_SOP_new!#REF!,"not found",0 )</f>
        <v>#REF!</v>
      </c>
      <c r="E205" s="97" t="str">
        <f>_xlfn.XLOOKUP(A205,[1]CPD_SOP_new!$A:$A,[1]CPD_SOP_new!$K:$K,"not found",0 )</f>
        <v>3L</v>
      </c>
      <c r="F205" s="130" t="s">
        <v>27</v>
      </c>
      <c r="G205" s="130" t="s">
        <v>28</v>
      </c>
      <c r="H205" s="130" t="s">
        <v>28</v>
      </c>
      <c r="I205" s="130" t="s">
        <v>27</v>
      </c>
      <c r="J205" s="137" t="s">
        <v>68</v>
      </c>
      <c r="K205" s="130" t="s">
        <v>342</v>
      </c>
      <c r="L205" s="130" t="s">
        <v>723</v>
      </c>
      <c r="M205" s="100" t="str">
        <f t="shared" si="6"/>
        <v>Wrong measurement</v>
      </c>
      <c r="N205" s="59" t="str">
        <f t="shared" si="7"/>
        <v>Wrong measurement</v>
      </c>
      <c r="O205" s="131" t="s">
        <v>281</v>
      </c>
      <c r="P205" s="131"/>
    </row>
    <row r="206" spans="1:21">
      <c r="A206" s="77">
        <v>28</v>
      </c>
      <c r="B206" t="s">
        <v>2133</v>
      </c>
      <c r="C206" t="s">
        <v>253</v>
      </c>
      <c r="D206" s="97" t="e">
        <f>_xlfn.XLOOKUP(A206,[1]CPD_SOP_new!$A:$A,[1]CPD_SOP_new!#REF!,"not found",0 )</f>
        <v>#REF!</v>
      </c>
      <c r="E206" s="97" t="str">
        <f>_xlfn.XLOOKUP(A206,[1]CPD_SOP_new!$A:$A,[1]CPD_SOP_new!$K:$K,"not found",0 )</f>
        <v>3L</v>
      </c>
      <c r="F206" t="s">
        <v>28</v>
      </c>
      <c r="G206" t="s">
        <v>28</v>
      </c>
      <c r="H206" t="s">
        <v>28</v>
      </c>
      <c r="I206" t="s">
        <v>28</v>
      </c>
      <c r="J206" t="s">
        <v>29</v>
      </c>
      <c r="K206" s="60" t="s">
        <v>345</v>
      </c>
      <c r="L206" t="s">
        <v>2296</v>
      </c>
      <c r="M206" s="100" t="str">
        <f t="shared" si="6"/>
        <v>CSR_XCP_Signals_Recorder_2026-01-30_16-17-14_TC28_NCAP12_6YO_3L_CPD.MF4.xz</v>
      </c>
      <c r="N206" s="59" t="str">
        <f t="shared" si="7"/>
        <v>_NCAP12_6YO_3L_CPD.MF4.xz</v>
      </c>
      <c r="O206" t="s">
        <v>213</v>
      </c>
      <c r="Q206" t="s">
        <v>29</v>
      </c>
      <c r="R206" t="s">
        <v>29</v>
      </c>
      <c r="S206">
        <v>1</v>
      </c>
      <c r="T206">
        <v>0</v>
      </c>
      <c r="U206">
        <v>0</v>
      </c>
    </row>
    <row r="207" spans="1:21">
      <c r="A207" s="77">
        <v>28</v>
      </c>
      <c r="B207" t="s">
        <v>2133</v>
      </c>
      <c r="C207" t="s">
        <v>253</v>
      </c>
      <c r="D207" s="97" t="e">
        <f>_xlfn.XLOOKUP(A207,[1]CPD_SOP_new!$A:$A,[1]CPD_SOP_new!#REF!,"not found",0 )</f>
        <v>#REF!</v>
      </c>
      <c r="E207" s="97" t="str">
        <f>_xlfn.XLOOKUP(A207,[1]CPD_SOP_new!$A:$A,[1]CPD_SOP_new!$K:$K,"not found",0 )</f>
        <v>3L</v>
      </c>
      <c r="F207" t="s">
        <v>28</v>
      </c>
      <c r="G207" t="s">
        <v>28</v>
      </c>
      <c r="H207" t="s">
        <v>28</v>
      </c>
      <c r="I207" t="s">
        <v>28</v>
      </c>
      <c r="J207" t="s">
        <v>29</v>
      </c>
      <c r="K207" s="60" t="s">
        <v>347</v>
      </c>
      <c r="L207" t="s">
        <v>2297</v>
      </c>
      <c r="M207" s="100" t="str">
        <f t="shared" si="6"/>
        <v>CSR_XCP_Signals_Recorder_2026-01-30_16-17-59_TC28_NCAP12_6YO_3L_CPD.MF4.xz</v>
      </c>
      <c r="N207" s="59" t="str">
        <f t="shared" si="7"/>
        <v>_NCAP12_6YO_3L_CPD.MF4.xz</v>
      </c>
      <c r="O207" t="s">
        <v>213</v>
      </c>
      <c r="Q207" t="s">
        <v>29</v>
      </c>
      <c r="R207" t="s">
        <v>29</v>
      </c>
      <c r="S207">
        <v>1</v>
      </c>
      <c r="T207">
        <v>0</v>
      </c>
      <c r="U207">
        <v>0</v>
      </c>
    </row>
    <row r="208" spans="1:21">
      <c r="A208" s="77">
        <v>28</v>
      </c>
      <c r="B208" t="s">
        <v>2133</v>
      </c>
      <c r="C208" t="s">
        <v>253</v>
      </c>
      <c r="D208" s="97" t="e">
        <f>_xlfn.XLOOKUP(A208,[1]CPD_SOP_new!$A:$A,[1]CPD_SOP_new!#REF!,"not found",0 )</f>
        <v>#REF!</v>
      </c>
      <c r="E208" s="97" t="str">
        <f>_xlfn.XLOOKUP(A208,[1]CPD_SOP_new!$A:$A,[1]CPD_SOP_new!$K:$K,"not found",0 )</f>
        <v>3L</v>
      </c>
      <c r="F208" t="s">
        <v>28</v>
      </c>
      <c r="G208" t="s">
        <v>28</v>
      </c>
      <c r="H208" t="s">
        <v>28</v>
      </c>
      <c r="I208" t="s">
        <v>28</v>
      </c>
      <c r="J208" t="s">
        <v>29</v>
      </c>
      <c r="K208" s="60" t="s">
        <v>348</v>
      </c>
      <c r="L208" t="s">
        <v>2298</v>
      </c>
      <c r="M208" s="100" t="str">
        <f t="shared" si="6"/>
        <v>CSR_XCP_Signals_Recorder_2026-01-30_16-18-46_TC28_NCAP12_6YO_3L_CPD.MF4.xz</v>
      </c>
      <c r="N208" s="59" t="str">
        <f t="shared" si="7"/>
        <v>_NCAP12_6YO_3L_CPD.MF4.xz</v>
      </c>
      <c r="O208" t="s">
        <v>213</v>
      </c>
      <c r="Q208" t="s">
        <v>29</v>
      </c>
      <c r="R208" t="s">
        <v>29</v>
      </c>
      <c r="S208">
        <v>1</v>
      </c>
      <c r="T208">
        <v>0</v>
      </c>
      <c r="U208">
        <v>0</v>
      </c>
    </row>
    <row r="209" spans="1:21">
      <c r="A209" s="77">
        <v>30</v>
      </c>
      <c r="B209" t="s">
        <v>2133</v>
      </c>
      <c r="C209" t="s">
        <v>349</v>
      </c>
      <c r="D209" s="97" t="e">
        <f>_xlfn.XLOOKUP(A209,[1]CPD_SOP_new!$A:$A,[1]CPD_SOP_new!#REF!,"not found",0 )</f>
        <v>#REF!</v>
      </c>
      <c r="E209" s="97" t="str">
        <f>_xlfn.XLOOKUP(A209,[1]CPD_SOP_new!$A:$A,[1]CPD_SOP_new!$K:$K,"not found",0 )</f>
        <v>2R+3R</v>
      </c>
      <c r="F209" t="s">
        <v>27</v>
      </c>
      <c r="G209" t="s">
        <v>27</v>
      </c>
      <c r="H209" t="s">
        <v>27</v>
      </c>
      <c r="I209" t="s">
        <v>28</v>
      </c>
      <c r="J209" t="s">
        <v>29</v>
      </c>
      <c r="K209" s="60" t="s">
        <v>352</v>
      </c>
      <c r="L209" t="s">
        <v>2299</v>
      </c>
      <c r="M209" s="100" t="str">
        <f t="shared" si="6"/>
        <v>CSR_XCP_Signals_Recorder_2026-01-30_16-36-33_TC30_NCAP12_6YO+NB_2R+3R_CPD.MF4.xz</v>
      </c>
      <c r="N209" s="59" t="str">
        <f t="shared" si="7"/>
        <v>_NCAP12_6YO+NB_2R+3R_CPD.MF4.xz</v>
      </c>
      <c r="O209" t="s">
        <v>353</v>
      </c>
      <c r="Q209" t="s">
        <v>29</v>
      </c>
      <c r="R209" t="s">
        <v>29</v>
      </c>
      <c r="S209">
        <v>2</v>
      </c>
      <c r="T209">
        <v>0</v>
      </c>
      <c r="U209">
        <v>0</v>
      </c>
    </row>
    <row r="210" spans="1:21">
      <c r="A210" s="77">
        <v>30</v>
      </c>
      <c r="B210" t="s">
        <v>2133</v>
      </c>
      <c r="C210" t="s">
        <v>349</v>
      </c>
      <c r="D210" s="97" t="e">
        <f>_xlfn.XLOOKUP(A210,[1]CPD_SOP_new!$A:$A,[1]CPD_SOP_new!#REF!,"not found",0 )</f>
        <v>#REF!</v>
      </c>
      <c r="E210" s="97" t="str">
        <f>_xlfn.XLOOKUP(A210,[1]CPD_SOP_new!$A:$A,[1]CPD_SOP_new!$K:$K,"not found",0 )</f>
        <v>2R+3R</v>
      </c>
      <c r="F210" t="s">
        <v>27</v>
      </c>
      <c r="G210" t="s">
        <v>27</v>
      </c>
      <c r="H210" t="s">
        <v>27</v>
      </c>
      <c r="I210" t="s">
        <v>28</v>
      </c>
      <c r="J210" t="s">
        <v>29</v>
      </c>
      <c r="K210" s="60" t="s">
        <v>355</v>
      </c>
      <c r="L210" t="s">
        <v>2300</v>
      </c>
      <c r="M210" s="100" t="str">
        <f t="shared" si="6"/>
        <v>CSR_XCP_Signals_Recorder_2026-01-30_16-37-12_TC30_NCAP12_6YO+NB_2R+3R_CPD.MF4.xz</v>
      </c>
      <c r="N210" s="59" t="str">
        <f t="shared" si="7"/>
        <v>_NCAP12_6YO+NB_2R+3R_CPD.MF4.xz</v>
      </c>
      <c r="O210" t="s">
        <v>353</v>
      </c>
      <c r="Q210" t="s">
        <v>29</v>
      </c>
      <c r="R210" t="s">
        <v>29</v>
      </c>
      <c r="S210">
        <v>2</v>
      </c>
      <c r="T210">
        <v>0</v>
      </c>
      <c r="U210">
        <v>0</v>
      </c>
    </row>
    <row r="211" spans="1:21">
      <c r="A211" s="77">
        <v>30</v>
      </c>
      <c r="B211" t="s">
        <v>2133</v>
      </c>
      <c r="C211" t="s">
        <v>349</v>
      </c>
      <c r="D211" s="97" t="e">
        <f>_xlfn.XLOOKUP(A211,[1]CPD_SOP_new!$A:$A,[1]CPD_SOP_new!#REF!,"not found",0 )</f>
        <v>#REF!</v>
      </c>
      <c r="E211" s="97" t="str">
        <f>_xlfn.XLOOKUP(A211,[1]CPD_SOP_new!$A:$A,[1]CPD_SOP_new!$K:$K,"not found",0 )</f>
        <v>2R+3R</v>
      </c>
      <c r="F211" t="s">
        <v>27</v>
      </c>
      <c r="G211" t="s">
        <v>27</v>
      </c>
      <c r="H211" t="s">
        <v>27</v>
      </c>
      <c r="I211" t="s">
        <v>28</v>
      </c>
      <c r="J211" t="s">
        <v>29</v>
      </c>
      <c r="K211" s="60" t="s">
        <v>356</v>
      </c>
      <c r="L211" s="60" t="s">
        <v>2301</v>
      </c>
      <c r="M211" s="100" t="str">
        <f t="shared" si="6"/>
        <v>CSR_XCP_Signals_Recorder_2026-01-30_16-37-59_TC30_NCAP12_6YO+NB_2R+3R_CPD.MF4.xz</v>
      </c>
      <c r="N211" s="59" t="str">
        <f t="shared" si="7"/>
        <v>_NCAP12_6YO+NB_2R+3R_CPD.MF4.xz</v>
      </c>
      <c r="O211" s="60" t="s">
        <v>353</v>
      </c>
      <c r="Q211" t="s">
        <v>29</v>
      </c>
      <c r="R211" t="s">
        <v>29</v>
      </c>
      <c r="S211">
        <v>2</v>
      </c>
      <c r="T211">
        <v>0</v>
      </c>
      <c r="U211">
        <v>0</v>
      </c>
    </row>
    <row r="212" spans="1:21">
      <c r="A212" s="77">
        <v>30</v>
      </c>
      <c r="B212" t="s">
        <v>2133</v>
      </c>
      <c r="C212" t="s">
        <v>349</v>
      </c>
      <c r="D212" s="97" t="e">
        <f>_xlfn.XLOOKUP(A212,[1]CPD_SOP_new!$A:$A,[1]CPD_SOP_new!#REF!,"not found",0 )</f>
        <v>#REF!</v>
      </c>
      <c r="E212" s="97" t="str">
        <f>_xlfn.XLOOKUP(A212,[1]CPD_SOP_new!$A:$A,[1]CPD_SOP_new!$K:$K,"not found",0 )</f>
        <v>2R+3R</v>
      </c>
      <c r="F212" t="s">
        <v>27</v>
      </c>
      <c r="G212" t="s">
        <v>27</v>
      </c>
      <c r="H212" t="s">
        <v>27</v>
      </c>
      <c r="I212" t="s">
        <v>28</v>
      </c>
      <c r="J212" t="s">
        <v>29</v>
      </c>
      <c r="K212" s="60" t="s">
        <v>357</v>
      </c>
      <c r="L212" s="60" t="s">
        <v>2302</v>
      </c>
      <c r="M212" s="100" t="str">
        <f t="shared" si="6"/>
        <v>CSR_XCP_Signals_Recorder_2026-01-30_16-38-48_TC30_NCAP12_6YO+NB_2R+3R_CPD.MF4.xz</v>
      </c>
      <c r="N212" s="59" t="str">
        <f t="shared" si="7"/>
        <v>_NCAP12_6YO+NB_2R+3R_CPD.MF4.xz</v>
      </c>
      <c r="O212" s="60" t="s">
        <v>353</v>
      </c>
      <c r="Q212" t="s">
        <v>29</v>
      </c>
      <c r="R212" t="s">
        <v>29</v>
      </c>
      <c r="S212">
        <v>2</v>
      </c>
      <c r="T212">
        <v>0</v>
      </c>
      <c r="U212">
        <v>0</v>
      </c>
    </row>
    <row r="213" spans="1:21">
      <c r="A213" s="77">
        <v>30</v>
      </c>
      <c r="B213" t="s">
        <v>2133</v>
      </c>
      <c r="C213" t="s">
        <v>349</v>
      </c>
      <c r="D213" s="97" t="e">
        <f>_xlfn.XLOOKUP(A213,[1]CPD_SOP_new!$A:$A,[1]CPD_SOP_new!#REF!,"not found",0 )</f>
        <v>#REF!</v>
      </c>
      <c r="E213" s="97" t="str">
        <f>_xlfn.XLOOKUP(A213,[1]CPD_SOP_new!$A:$A,[1]CPD_SOP_new!$K:$K,"not found",0 )</f>
        <v>2R+3R</v>
      </c>
      <c r="F213" t="s">
        <v>27</v>
      </c>
      <c r="G213" t="s">
        <v>27</v>
      </c>
      <c r="H213" t="s">
        <v>27</v>
      </c>
      <c r="I213" t="s">
        <v>28</v>
      </c>
      <c r="J213" t="s">
        <v>29</v>
      </c>
      <c r="K213" s="60" t="s">
        <v>358</v>
      </c>
      <c r="L213" s="60" t="s">
        <v>2303</v>
      </c>
      <c r="M213" s="100" t="str">
        <f t="shared" si="6"/>
        <v>CSR_XCP_Signals_Recorder_2026-01-30_16-39-34_TC30_NCAP12_6YO+NB_2R+3R_CPD.MF4.xz</v>
      </c>
      <c r="N213" s="59" t="str">
        <f t="shared" si="7"/>
        <v>_NCAP12_6YO+NB_2R+3R_CPD.MF4.xz</v>
      </c>
      <c r="O213" s="60" t="s">
        <v>353</v>
      </c>
      <c r="Q213" t="s">
        <v>29</v>
      </c>
      <c r="R213" t="s">
        <v>29</v>
      </c>
      <c r="S213">
        <v>2</v>
      </c>
      <c r="T213">
        <v>0</v>
      </c>
      <c r="U213">
        <v>0</v>
      </c>
    </row>
    <row r="214" spans="1:21">
      <c r="A214" s="77">
        <v>31</v>
      </c>
      <c r="B214" t="s">
        <v>2304</v>
      </c>
      <c r="C214" t="s">
        <v>66</v>
      </c>
      <c r="D214" s="97" t="e">
        <f>_xlfn.XLOOKUP(A214,[1]CPD_SOP_new!$A:$A,[1]CPD_SOP_new!#REF!,"not found",0 )</f>
        <v>#REF!</v>
      </c>
      <c r="E214" s="97" t="s">
        <v>112</v>
      </c>
      <c r="F214" t="s">
        <v>28</v>
      </c>
      <c r="G214" t="s">
        <v>28</v>
      </c>
      <c r="H214" t="s">
        <v>27</v>
      </c>
      <c r="I214" t="s">
        <v>28</v>
      </c>
      <c r="J214" t="s">
        <v>124</v>
      </c>
      <c r="K214" t="s">
        <v>364</v>
      </c>
      <c r="L214" t="s">
        <v>2305</v>
      </c>
      <c r="M214" s="100" t="str">
        <f t="shared" si="6"/>
        <v>CSR_XCP_Signals_Recorder_2025-12-11_11-49-25_TC31_3YO_1L_CPD_NCAP3_3YO_1L_CPD.MF4.xz</v>
      </c>
      <c r="N214" s="59" t="str">
        <f t="shared" si="7"/>
        <v>_NCAP3_3YO_1L_CPD.MF4.xz</v>
      </c>
      <c r="O214" s="132" t="s">
        <v>217</v>
      </c>
      <c r="P214" s="132"/>
    </row>
    <row r="215" spans="1:21">
      <c r="A215" s="77">
        <v>31</v>
      </c>
      <c r="B215" t="s">
        <v>2304</v>
      </c>
      <c r="C215" t="s">
        <v>66</v>
      </c>
      <c r="D215" s="97" t="e">
        <f>_xlfn.XLOOKUP(A215,[1]CPD_SOP_new!$A:$A,[1]CPD_SOP_new!#REF!,"not found",0 )</f>
        <v>#REF!</v>
      </c>
      <c r="E215" s="97" t="s">
        <v>112</v>
      </c>
      <c r="F215" t="s">
        <v>28</v>
      </c>
      <c r="G215" t="s">
        <v>28</v>
      </c>
      <c r="H215" t="s">
        <v>27</v>
      </c>
      <c r="I215" t="s">
        <v>28</v>
      </c>
      <c r="J215" t="s">
        <v>124</v>
      </c>
      <c r="K215" t="s">
        <v>366</v>
      </c>
      <c r="L215" t="s">
        <v>2306</v>
      </c>
      <c r="M215" s="100" t="str">
        <f t="shared" si="6"/>
        <v>CSR_XCP_Signals_Recorder_2025-12-11_11-50-58_TC31_3YO_1L_CPD_NCAP3_3YO_1L_CPD.MF4.xz</v>
      </c>
      <c r="N215" s="59" t="str">
        <f t="shared" si="7"/>
        <v>_NCAP3_3YO_1L_CPD.MF4.xz</v>
      </c>
      <c r="O215" s="132" t="s">
        <v>217</v>
      </c>
      <c r="P215" s="132"/>
    </row>
    <row r="216" spans="1:21">
      <c r="A216" s="77">
        <v>31</v>
      </c>
      <c r="B216" t="s">
        <v>2304</v>
      </c>
      <c r="C216" t="s">
        <v>66</v>
      </c>
      <c r="D216" s="97" t="e">
        <f>_xlfn.XLOOKUP(A216,[1]CPD_SOP_new!$A:$A,[1]CPD_SOP_new!#REF!,"not found",0 )</f>
        <v>#REF!</v>
      </c>
      <c r="E216" s="97" t="s">
        <v>112</v>
      </c>
      <c r="F216" t="s">
        <v>28</v>
      </c>
      <c r="G216" t="s">
        <v>28</v>
      </c>
      <c r="H216" t="s">
        <v>27</v>
      </c>
      <c r="I216" t="s">
        <v>28</v>
      </c>
      <c r="J216" t="s">
        <v>124</v>
      </c>
      <c r="K216" t="s">
        <v>367</v>
      </c>
      <c r="L216" t="s">
        <v>2307</v>
      </c>
      <c r="M216" s="100" t="str">
        <f t="shared" si="6"/>
        <v>CSR_XCP_Signals_Recorder_2025-12-11_11-52-57_TC31_3YO_1L_CPD_NCAP3_3YO_1L_CPD.MF4.xz</v>
      </c>
      <c r="N216" s="59" t="str">
        <f t="shared" si="7"/>
        <v>_NCAP3_3YO_1L_CPD.MF4.xz</v>
      </c>
      <c r="O216" s="132" t="s">
        <v>217</v>
      </c>
      <c r="P216" s="132"/>
    </row>
    <row r="217" spans="1:21" s="59" customFormat="1">
      <c r="A217" s="77">
        <v>31</v>
      </c>
      <c r="B217" s="59" t="s">
        <v>2304</v>
      </c>
      <c r="C217" s="59" t="s">
        <v>66</v>
      </c>
      <c r="D217" s="97" t="e">
        <f>_xlfn.XLOOKUP(A217,[1]CPD_SOP_new!$A:$A,[1]CPD_SOP_new!#REF!,"not found",0 )</f>
        <v>#REF!</v>
      </c>
      <c r="E217" s="97" t="s">
        <v>112</v>
      </c>
      <c r="F217" s="59" t="s">
        <v>28</v>
      </c>
      <c r="G217" s="59" t="s">
        <v>28</v>
      </c>
      <c r="H217" s="59" t="s">
        <v>27</v>
      </c>
      <c r="I217" s="59" t="s">
        <v>28</v>
      </c>
      <c r="J217" s="59" t="s">
        <v>124</v>
      </c>
      <c r="K217" s="59" t="s">
        <v>368</v>
      </c>
      <c r="L217" s="59" t="s">
        <v>2308</v>
      </c>
      <c r="M217" s="100" t="str">
        <f t="shared" si="6"/>
        <v>CSR_XCP_Signals_Recorder_2025-12-11_11-56-10_TC31_3YO_1L_CPD_NCAP3_3YO_1L_CPD.MF4.xz</v>
      </c>
      <c r="N217" s="59" t="str">
        <f t="shared" si="7"/>
        <v>_NCAP3_3YO_1L_CPD.MF4.xz</v>
      </c>
      <c r="O217" s="91" t="s">
        <v>217</v>
      </c>
      <c r="P217" s="91"/>
    </row>
    <row r="218" spans="1:21">
      <c r="A218" s="77">
        <v>31</v>
      </c>
      <c r="B218" t="s">
        <v>2304</v>
      </c>
      <c r="C218" t="s">
        <v>66</v>
      </c>
      <c r="D218" s="97" t="e">
        <f>_xlfn.XLOOKUP(A218,[1]CPD_SOP_new!$A:$A,[1]CPD_SOP_new!#REF!,"not found",0 )</f>
        <v>#REF!</v>
      </c>
      <c r="E218" s="97" t="s">
        <v>112</v>
      </c>
      <c r="F218" t="s">
        <v>28</v>
      </c>
      <c r="G218" t="s">
        <v>28</v>
      </c>
      <c r="H218" t="s">
        <v>27</v>
      </c>
      <c r="I218" t="s">
        <v>28</v>
      </c>
      <c r="J218" t="s">
        <v>124</v>
      </c>
      <c r="K218" t="s">
        <v>369</v>
      </c>
      <c r="L218" t="s">
        <v>2309</v>
      </c>
      <c r="M218" s="100" t="str">
        <f t="shared" si="6"/>
        <v>CSR_XCP_Signals_Recorder_2025-12-11_11-58-19_TC31_3YO_1L_CPD_NCAP3_3YO_1L_CPD.MF4.xz</v>
      </c>
      <c r="N218" s="59" t="str">
        <f t="shared" si="7"/>
        <v>_NCAP3_3YO_1L_CPD.MF4.xz</v>
      </c>
      <c r="O218" s="132" t="s">
        <v>217</v>
      </c>
      <c r="P218" s="132"/>
    </row>
    <row r="219" spans="1:21">
      <c r="A219" s="38">
        <v>32</v>
      </c>
      <c r="B219" t="s">
        <v>2304</v>
      </c>
      <c r="C219" t="s">
        <v>66</v>
      </c>
      <c r="D219" s="97" t="e">
        <f>_xlfn.XLOOKUP(A219,[1]CPD_SOP_new!$A:$A,[1]CPD_SOP_new!#REF!,"not found",0 )</f>
        <v>#REF!</v>
      </c>
      <c r="E219" s="97" t="s">
        <v>112</v>
      </c>
      <c r="F219" t="s">
        <v>27</v>
      </c>
      <c r="G219" t="s">
        <v>27</v>
      </c>
      <c r="H219" t="s">
        <v>27</v>
      </c>
      <c r="I219" t="s">
        <v>28</v>
      </c>
      <c r="J219" t="s">
        <v>124</v>
      </c>
      <c r="K219" t="s">
        <v>370</v>
      </c>
      <c r="L219" t="s">
        <v>2310</v>
      </c>
      <c r="M219" s="100" t="str">
        <f t="shared" si="6"/>
        <v>TC_32_Try1_NCAP3_3YO_1L_CPD.MF4.xz</v>
      </c>
      <c r="N219" s="59" t="str">
        <f t="shared" si="7"/>
        <v>_NCAP3_3YO_1L_CPD.MF4.xz</v>
      </c>
      <c r="O219" t="s">
        <v>371</v>
      </c>
    </row>
    <row r="220" spans="1:21">
      <c r="A220" s="38">
        <v>32</v>
      </c>
      <c r="B220" t="s">
        <v>2304</v>
      </c>
      <c r="C220" t="s">
        <v>66</v>
      </c>
      <c r="D220" s="97" t="e">
        <f>_xlfn.XLOOKUP(A220,[1]CPD_SOP_new!$A:$A,[1]CPD_SOP_new!#REF!,"not found",0 )</f>
        <v>#REF!</v>
      </c>
      <c r="E220" s="97" t="s">
        <v>112</v>
      </c>
      <c r="F220" t="s">
        <v>27</v>
      </c>
      <c r="G220" t="s">
        <v>27</v>
      </c>
      <c r="H220" t="s">
        <v>27</v>
      </c>
      <c r="I220" t="s">
        <v>28</v>
      </c>
      <c r="J220" t="s">
        <v>124</v>
      </c>
      <c r="K220" t="s">
        <v>373</v>
      </c>
      <c r="L220" t="s">
        <v>2311</v>
      </c>
      <c r="M220" s="100" t="str">
        <f t="shared" si="6"/>
        <v>TC_32_Try2_NCAP3_3YO_1L_CPD.MF4.xz</v>
      </c>
      <c r="N220" s="59" t="str">
        <f t="shared" si="7"/>
        <v>_NCAP3_3YO_1L_CPD.MF4.xz</v>
      </c>
      <c r="O220" t="s">
        <v>371</v>
      </c>
    </row>
    <row r="221" spans="1:21">
      <c r="A221" s="38">
        <v>32</v>
      </c>
      <c r="B221" t="s">
        <v>2304</v>
      </c>
      <c r="C221" t="s">
        <v>66</v>
      </c>
      <c r="D221" s="97" t="e">
        <f>_xlfn.XLOOKUP(A221,[1]CPD_SOP_new!$A:$A,[1]CPD_SOP_new!#REF!,"not found",0 )</f>
        <v>#REF!</v>
      </c>
      <c r="E221" s="97" t="s">
        <v>112</v>
      </c>
      <c r="F221" t="s">
        <v>27</v>
      </c>
      <c r="G221" t="s">
        <v>27</v>
      </c>
      <c r="H221" t="s">
        <v>27</v>
      </c>
      <c r="I221" t="s">
        <v>28</v>
      </c>
      <c r="J221" t="s">
        <v>124</v>
      </c>
      <c r="K221" t="s">
        <v>374</v>
      </c>
      <c r="L221" t="s">
        <v>2312</v>
      </c>
      <c r="M221" s="100" t="str">
        <f t="shared" si="6"/>
        <v>TC_32_Try3_NCAP3_3YO_1L_CPD.MF4.xz</v>
      </c>
      <c r="N221" s="59" t="str">
        <f t="shared" si="7"/>
        <v>_NCAP3_3YO_1L_CPD.MF4.xz</v>
      </c>
      <c r="O221" t="s">
        <v>371</v>
      </c>
    </row>
    <row r="222" spans="1:21">
      <c r="A222" s="38">
        <v>33</v>
      </c>
      <c r="B222" t="s">
        <v>2304</v>
      </c>
      <c r="C222" t="s">
        <v>66</v>
      </c>
      <c r="D222" s="97" t="e">
        <f>_xlfn.XLOOKUP(A222,[1]CPD_SOP_new!$A:$A,[1]CPD_SOP_new!#REF!,"not found",0 )</f>
        <v>#REF!</v>
      </c>
      <c r="E222" s="97" t="s">
        <v>112</v>
      </c>
      <c r="F222" t="s">
        <v>27</v>
      </c>
      <c r="G222" t="s">
        <v>27</v>
      </c>
      <c r="H222" t="s">
        <v>27</v>
      </c>
      <c r="I222" t="s">
        <v>28</v>
      </c>
      <c r="J222" t="s">
        <v>124</v>
      </c>
      <c r="K222" t="s">
        <v>375</v>
      </c>
      <c r="L222" t="s">
        <v>2313</v>
      </c>
      <c r="M222" s="100" t="str">
        <f t="shared" si="6"/>
        <v>TC_33_Try1_NCAP3_3YO_1L_CPD.MF4.xz</v>
      </c>
      <c r="N222" s="59" t="str">
        <f t="shared" si="7"/>
        <v>_NCAP3_3YO_1L_CPD.MF4.xz</v>
      </c>
      <c r="O222" t="s">
        <v>371</v>
      </c>
    </row>
    <row r="223" spans="1:21">
      <c r="A223" s="38">
        <v>33</v>
      </c>
      <c r="B223" t="s">
        <v>2304</v>
      </c>
      <c r="C223" t="s">
        <v>66</v>
      </c>
      <c r="D223" s="97" t="e">
        <f>_xlfn.XLOOKUP(A223,[1]CPD_SOP_new!$A:$A,[1]CPD_SOP_new!#REF!,"not found",0 )</f>
        <v>#REF!</v>
      </c>
      <c r="E223" s="97" t="s">
        <v>112</v>
      </c>
      <c r="F223" t="s">
        <v>27</v>
      </c>
      <c r="G223" t="s">
        <v>27</v>
      </c>
      <c r="H223" t="s">
        <v>27</v>
      </c>
      <c r="I223" t="s">
        <v>28</v>
      </c>
      <c r="J223" t="s">
        <v>124</v>
      </c>
      <c r="K223" t="s">
        <v>377</v>
      </c>
      <c r="L223" t="s">
        <v>2314</v>
      </c>
      <c r="M223" s="100" t="str">
        <f t="shared" si="6"/>
        <v>TC_33_Try2_NCAP3_3YO_1L_CPD.MF4.xz</v>
      </c>
      <c r="N223" s="59" t="str">
        <f t="shared" si="7"/>
        <v>_NCAP3_3YO_1L_CPD.MF4.xz</v>
      </c>
      <c r="O223" t="s">
        <v>371</v>
      </c>
    </row>
    <row r="224" spans="1:21">
      <c r="A224" s="38">
        <v>33</v>
      </c>
      <c r="B224" t="s">
        <v>2304</v>
      </c>
      <c r="C224" t="s">
        <v>66</v>
      </c>
      <c r="D224" s="97" t="e">
        <f>_xlfn.XLOOKUP(A224,[1]CPD_SOP_new!$A:$A,[1]CPD_SOP_new!#REF!,"not found",0 )</f>
        <v>#REF!</v>
      </c>
      <c r="E224" s="97" t="s">
        <v>112</v>
      </c>
      <c r="F224" t="s">
        <v>27</v>
      </c>
      <c r="G224" t="s">
        <v>27</v>
      </c>
      <c r="H224" t="s">
        <v>27</v>
      </c>
      <c r="I224" t="s">
        <v>28</v>
      </c>
      <c r="J224" t="s">
        <v>124</v>
      </c>
      <c r="K224" t="s">
        <v>378</v>
      </c>
      <c r="L224" t="s">
        <v>2315</v>
      </c>
      <c r="M224" s="100" t="str">
        <f t="shared" si="6"/>
        <v>TC_33_Try3_NCAP3_3YO_1L_CPD.MF4.xz</v>
      </c>
      <c r="N224" s="59" t="str">
        <f t="shared" si="7"/>
        <v>_NCAP3_3YO_1L_CPD.MF4.xz</v>
      </c>
      <c r="O224" t="s">
        <v>371</v>
      </c>
    </row>
    <row r="225" spans="1:21">
      <c r="A225" s="38">
        <v>34</v>
      </c>
      <c r="B225" t="s">
        <v>2304</v>
      </c>
      <c r="C225" t="s">
        <v>66</v>
      </c>
      <c r="D225" s="97" t="e">
        <f>_xlfn.XLOOKUP(A225,[1]CPD_SOP_new!$A:$A,[1]CPD_SOP_new!#REF!,"not found",0 )</f>
        <v>#REF!</v>
      </c>
      <c r="E225" s="97" t="s">
        <v>112</v>
      </c>
      <c r="F225" t="s">
        <v>27</v>
      </c>
      <c r="G225" t="s">
        <v>27</v>
      </c>
      <c r="H225" t="s">
        <v>27</v>
      </c>
      <c r="I225" t="s">
        <v>28</v>
      </c>
      <c r="J225" t="s">
        <v>124</v>
      </c>
      <c r="K225" t="s">
        <v>379</v>
      </c>
      <c r="L225" t="s">
        <v>2316</v>
      </c>
      <c r="M225" s="100" t="str">
        <f t="shared" si="6"/>
        <v>TC_34_Try1_NCAP3_3YO_1L_CPD.MF4.xz</v>
      </c>
      <c r="N225" s="59" t="str">
        <f t="shared" si="7"/>
        <v>_NCAP3_3YO_1L_CPD.MF4.xz</v>
      </c>
      <c r="O225" t="s">
        <v>380</v>
      </c>
    </row>
    <row r="226" spans="1:21">
      <c r="A226" s="38">
        <v>34</v>
      </c>
      <c r="B226" t="s">
        <v>2304</v>
      </c>
      <c r="C226" t="s">
        <v>66</v>
      </c>
      <c r="D226" s="97" t="e">
        <f>_xlfn.XLOOKUP(A226,[1]CPD_SOP_new!$A:$A,[1]CPD_SOP_new!#REF!,"not found",0 )</f>
        <v>#REF!</v>
      </c>
      <c r="E226" s="97" t="s">
        <v>112</v>
      </c>
      <c r="F226" t="s">
        <v>27</v>
      </c>
      <c r="G226" t="s">
        <v>27</v>
      </c>
      <c r="H226" t="s">
        <v>27</v>
      </c>
      <c r="I226" t="s">
        <v>28</v>
      </c>
      <c r="J226" t="s">
        <v>124</v>
      </c>
      <c r="K226" t="s">
        <v>382</v>
      </c>
      <c r="L226" t="s">
        <v>2317</v>
      </c>
      <c r="M226" s="100" t="str">
        <f t="shared" si="6"/>
        <v>TC_34_Try2_NCAP3_3YO_1L_CPD.MF4.xz</v>
      </c>
      <c r="N226" s="59" t="str">
        <f t="shared" si="7"/>
        <v>_NCAP3_3YO_1L_CPD.MF4.xz</v>
      </c>
      <c r="O226" t="s">
        <v>380</v>
      </c>
    </row>
    <row r="227" spans="1:21">
      <c r="A227" s="38">
        <v>34</v>
      </c>
      <c r="B227" t="s">
        <v>2304</v>
      </c>
      <c r="C227" t="s">
        <v>66</v>
      </c>
      <c r="D227" s="97" t="e">
        <f>_xlfn.XLOOKUP(A227,[1]CPD_SOP_new!$A:$A,[1]CPD_SOP_new!#REF!,"not found",0 )</f>
        <v>#REF!</v>
      </c>
      <c r="E227" s="97" t="s">
        <v>112</v>
      </c>
      <c r="F227" t="s">
        <v>27</v>
      </c>
      <c r="G227" t="s">
        <v>27</v>
      </c>
      <c r="H227" t="s">
        <v>27</v>
      </c>
      <c r="I227" t="s">
        <v>28</v>
      </c>
      <c r="J227" t="s">
        <v>124</v>
      </c>
      <c r="K227" t="s">
        <v>383</v>
      </c>
      <c r="L227" t="s">
        <v>2318</v>
      </c>
      <c r="M227" s="100" t="str">
        <f t="shared" si="6"/>
        <v>TC_34_Try3_NCAP3_3YO_1L_CPD.MF4.xz</v>
      </c>
      <c r="N227" s="59" t="str">
        <f t="shared" si="7"/>
        <v>_NCAP3_3YO_1L_CPD.MF4.xz</v>
      </c>
      <c r="O227" t="s">
        <v>380</v>
      </c>
    </row>
    <row r="228" spans="1:21">
      <c r="A228" s="38">
        <v>35</v>
      </c>
      <c r="B228" t="s">
        <v>2304</v>
      </c>
      <c r="C228" t="s">
        <v>66</v>
      </c>
      <c r="D228" s="97" t="e">
        <f>_xlfn.XLOOKUP(A228,[1]CPD_SOP_new!$A:$A,[1]CPD_SOP_new!#REF!,"not found",0 )</f>
        <v>#REF!</v>
      </c>
      <c r="E228" s="97" t="s">
        <v>112</v>
      </c>
      <c r="F228" t="s">
        <v>27</v>
      </c>
      <c r="G228" t="s">
        <v>27</v>
      </c>
      <c r="H228" t="s">
        <v>27</v>
      </c>
      <c r="I228" t="s">
        <v>28</v>
      </c>
      <c r="J228" t="s">
        <v>124</v>
      </c>
      <c r="K228" t="s">
        <v>384</v>
      </c>
      <c r="L228" t="s">
        <v>2319</v>
      </c>
      <c r="M228" s="100" t="str">
        <f t="shared" si="6"/>
        <v>TC_35_Try1_NCAP3_3YO_1L_CPD.MF4.xz</v>
      </c>
      <c r="N228" s="59" t="str">
        <f t="shared" si="7"/>
        <v>_NCAP3_3YO_1L_CPD.MF4.xz</v>
      </c>
      <c r="O228" t="s">
        <v>371</v>
      </c>
    </row>
    <row r="229" spans="1:21">
      <c r="A229" s="38">
        <v>35</v>
      </c>
      <c r="B229" t="s">
        <v>2304</v>
      </c>
      <c r="C229" t="s">
        <v>66</v>
      </c>
      <c r="D229" s="97" t="e">
        <f>_xlfn.XLOOKUP(A229,[1]CPD_SOP_new!$A:$A,[1]CPD_SOP_new!#REF!,"not found",0 )</f>
        <v>#REF!</v>
      </c>
      <c r="E229" s="97" t="s">
        <v>112</v>
      </c>
      <c r="F229" t="s">
        <v>27</v>
      </c>
      <c r="G229" t="s">
        <v>27</v>
      </c>
      <c r="H229" t="s">
        <v>27</v>
      </c>
      <c r="I229" t="s">
        <v>28</v>
      </c>
      <c r="J229" t="s">
        <v>124</v>
      </c>
      <c r="K229" t="s">
        <v>385</v>
      </c>
      <c r="L229" t="s">
        <v>2320</v>
      </c>
      <c r="M229" s="100" t="str">
        <f t="shared" si="6"/>
        <v>TC_35_Try2_NCAP3_3YO_1L_CPD.MF4.xz</v>
      </c>
      <c r="N229" s="59" t="str">
        <f t="shared" si="7"/>
        <v>_NCAP3_3YO_1L_CPD.MF4.xz</v>
      </c>
      <c r="O229" t="s">
        <v>371</v>
      </c>
    </row>
    <row r="230" spans="1:21">
      <c r="A230" s="38">
        <v>35</v>
      </c>
      <c r="B230" t="s">
        <v>2304</v>
      </c>
      <c r="C230" t="s">
        <v>66</v>
      </c>
      <c r="D230" s="97" t="e">
        <f>_xlfn.XLOOKUP(A230,[1]CPD_SOP_new!$A:$A,[1]CPD_SOP_new!#REF!,"not found",0 )</f>
        <v>#REF!</v>
      </c>
      <c r="E230" s="97" t="s">
        <v>112</v>
      </c>
      <c r="F230" t="s">
        <v>27</v>
      </c>
      <c r="G230" t="s">
        <v>27</v>
      </c>
      <c r="H230" t="s">
        <v>27</v>
      </c>
      <c r="I230" t="s">
        <v>28</v>
      </c>
      <c r="J230" t="s">
        <v>124</v>
      </c>
      <c r="K230" t="s">
        <v>386</v>
      </c>
      <c r="L230" t="s">
        <v>2321</v>
      </c>
      <c r="M230" s="100" t="str">
        <f t="shared" si="6"/>
        <v>TC_35_Try3_NCAP3_3YO_1L_CPD.MF4.xz</v>
      </c>
      <c r="N230" s="59" t="str">
        <f t="shared" si="7"/>
        <v>_NCAP3_3YO_1L_CPD.MF4.xz</v>
      </c>
      <c r="O230" t="s">
        <v>371</v>
      </c>
    </row>
    <row r="231" spans="1:21">
      <c r="A231" s="38">
        <v>36</v>
      </c>
      <c r="B231" t="s">
        <v>2304</v>
      </c>
      <c r="C231" t="s">
        <v>66</v>
      </c>
      <c r="D231" s="97" t="e">
        <f>_xlfn.XLOOKUP(A231,[1]CPD_SOP_new!$A:$A,[1]CPD_SOP_new!#REF!,"not found",0 )</f>
        <v>#REF!</v>
      </c>
      <c r="E231" s="97" t="s">
        <v>112</v>
      </c>
      <c r="F231" t="s">
        <v>27</v>
      </c>
      <c r="G231" t="s">
        <v>27</v>
      </c>
      <c r="H231" t="s">
        <v>27</v>
      </c>
      <c r="I231" t="s">
        <v>28</v>
      </c>
      <c r="J231" t="s">
        <v>124</v>
      </c>
      <c r="K231" t="s">
        <v>387</v>
      </c>
      <c r="L231" t="s">
        <v>2322</v>
      </c>
      <c r="M231" s="100" t="str">
        <f t="shared" si="6"/>
        <v>TC_36_Try1_NCAP3_3YO_1L_CPD.MF4.xz</v>
      </c>
      <c r="N231" s="59" t="str">
        <f t="shared" si="7"/>
        <v>_NCAP3_3YO_1L_CPD.MF4.xz</v>
      </c>
      <c r="O231" t="s">
        <v>371</v>
      </c>
    </row>
    <row r="232" spans="1:21">
      <c r="A232" s="38">
        <v>36</v>
      </c>
      <c r="B232" t="s">
        <v>2304</v>
      </c>
      <c r="C232" t="s">
        <v>66</v>
      </c>
      <c r="D232" s="97" t="e">
        <f>_xlfn.XLOOKUP(A232,[1]CPD_SOP_new!$A:$A,[1]CPD_SOP_new!#REF!,"not found",0 )</f>
        <v>#REF!</v>
      </c>
      <c r="E232" s="97" t="s">
        <v>112</v>
      </c>
      <c r="F232" t="s">
        <v>27</v>
      </c>
      <c r="G232" t="s">
        <v>27</v>
      </c>
      <c r="H232" t="s">
        <v>27</v>
      </c>
      <c r="I232" t="s">
        <v>28</v>
      </c>
      <c r="J232" t="s">
        <v>124</v>
      </c>
      <c r="K232" t="s">
        <v>388</v>
      </c>
      <c r="L232" t="s">
        <v>2323</v>
      </c>
      <c r="M232" s="100" t="str">
        <f t="shared" si="6"/>
        <v>TC_36_Try2_NCAP3_3YO_1L_CPD.MF4.xz</v>
      </c>
      <c r="N232" s="59" t="str">
        <f t="shared" si="7"/>
        <v>_NCAP3_3YO_1L_CPD.MF4.xz</v>
      </c>
      <c r="O232" t="s">
        <v>371</v>
      </c>
    </row>
    <row r="233" spans="1:21">
      <c r="A233" s="38">
        <v>36</v>
      </c>
      <c r="B233" t="s">
        <v>2304</v>
      </c>
      <c r="C233" t="s">
        <v>66</v>
      </c>
      <c r="D233" s="97" t="e">
        <f>_xlfn.XLOOKUP(A233,[1]CPD_SOP_new!$A:$A,[1]CPD_SOP_new!#REF!,"not found",0 )</f>
        <v>#REF!</v>
      </c>
      <c r="E233" s="97" t="s">
        <v>112</v>
      </c>
      <c r="F233" t="s">
        <v>27</v>
      </c>
      <c r="G233" t="s">
        <v>27</v>
      </c>
      <c r="H233" t="s">
        <v>27</v>
      </c>
      <c r="I233" t="s">
        <v>28</v>
      </c>
      <c r="J233" t="s">
        <v>124</v>
      </c>
      <c r="K233" t="s">
        <v>389</v>
      </c>
      <c r="L233" t="s">
        <v>2324</v>
      </c>
      <c r="M233" s="100" t="str">
        <f t="shared" si="6"/>
        <v>TC_36_Try3_NCAP3_3YO_1L_CPD.MF4.xz</v>
      </c>
      <c r="N233" s="59" t="str">
        <f t="shared" si="7"/>
        <v>_NCAP3_3YO_1L_CPD.MF4.xz</v>
      </c>
      <c r="O233" t="s">
        <v>371</v>
      </c>
    </row>
    <row r="234" spans="1:21" s="130" customFormat="1">
      <c r="A234" s="78">
        <v>37</v>
      </c>
      <c r="B234" s="130" t="s">
        <v>105</v>
      </c>
      <c r="C234" s="130" t="s">
        <v>66</v>
      </c>
      <c r="D234" s="97" t="e">
        <f>_xlfn.XLOOKUP(A234,[1]CPD_SOP_new!$A:$A,[1]CPD_SOP_new!#REF!,"not found",0 )</f>
        <v>#REF!</v>
      </c>
      <c r="E234" s="97" t="s">
        <v>112</v>
      </c>
      <c r="F234" s="130" t="s">
        <v>28</v>
      </c>
      <c r="G234" s="130" t="s">
        <v>27</v>
      </c>
      <c r="H234" s="130" t="s">
        <v>27</v>
      </c>
      <c r="I234" s="130" t="s">
        <v>27</v>
      </c>
      <c r="J234" s="130" t="s">
        <v>105</v>
      </c>
      <c r="K234" s="130" t="s">
        <v>390</v>
      </c>
      <c r="L234" s="130" t="s">
        <v>723</v>
      </c>
      <c r="M234" s="100" t="str">
        <f t="shared" si="6"/>
        <v>Wrong measurement</v>
      </c>
      <c r="N234" s="59" t="str">
        <f t="shared" si="7"/>
        <v>Wrong measurement</v>
      </c>
      <c r="O234" s="130" t="s">
        <v>391</v>
      </c>
      <c r="Q234" s="130" t="s">
        <v>105</v>
      </c>
      <c r="R234" s="130" t="s">
        <v>105</v>
      </c>
      <c r="S234" s="130" t="s">
        <v>105</v>
      </c>
      <c r="T234" s="130" t="s">
        <v>105</v>
      </c>
      <c r="U234" s="130" t="s">
        <v>105</v>
      </c>
    </row>
    <row r="235" spans="1:21">
      <c r="A235" s="77">
        <v>37</v>
      </c>
      <c r="B235" t="s">
        <v>2304</v>
      </c>
      <c r="C235" t="s">
        <v>66</v>
      </c>
      <c r="D235" s="97" t="e">
        <f>_xlfn.XLOOKUP(A235,[1]CPD_SOP_new!$A:$A,[1]CPD_SOP_new!#REF!,"not found",0 )</f>
        <v>#REF!</v>
      </c>
      <c r="E235" s="97" t="s">
        <v>112</v>
      </c>
      <c r="F235" t="s">
        <v>28</v>
      </c>
      <c r="G235" t="s">
        <v>27</v>
      </c>
      <c r="H235" t="s">
        <v>27</v>
      </c>
      <c r="I235" t="s">
        <v>28</v>
      </c>
      <c r="J235" t="s">
        <v>124</v>
      </c>
      <c r="K235" t="s">
        <v>392</v>
      </c>
      <c r="L235" t="s">
        <v>2325</v>
      </c>
      <c r="M235" s="100" t="str">
        <f t="shared" si="6"/>
        <v>CSR_XCP_Signals_Recorder_2026-01-30_10-25-19_TC37_NCAP3_3YO_1L_CPD.MF4.xz</v>
      </c>
      <c r="N235" s="59" t="str">
        <f t="shared" si="7"/>
        <v>_NCAP3_3YO_1L_CPD.MF4.xz</v>
      </c>
      <c r="O235" t="s">
        <v>391</v>
      </c>
      <c r="Q235" t="s">
        <v>124</v>
      </c>
      <c r="R235" t="s">
        <v>29</v>
      </c>
      <c r="S235">
        <v>1</v>
      </c>
      <c r="T235">
        <v>0</v>
      </c>
      <c r="U235">
        <v>0</v>
      </c>
    </row>
    <row r="236" spans="1:21" s="130" customFormat="1">
      <c r="A236" s="78">
        <v>37</v>
      </c>
      <c r="B236" s="130" t="s">
        <v>105</v>
      </c>
      <c r="C236" s="130" t="s">
        <v>66</v>
      </c>
      <c r="D236" s="97" t="e">
        <f>_xlfn.XLOOKUP(A236,[1]CPD_SOP_new!$A:$A,[1]CPD_SOP_new!#REF!,"not found",0 )</f>
        <v>#REF!</v>
      </c>
      <c r="E236" s="97" t="s">
        <v>112</v>
      </c>
      <c r="F236" s="130" t="s">
        <v>28</v>
      </c>
      <c r="G236" s="130" t="s">
        <v>27</v>
      </c>
      <c r="H236" s="130" t="s">
        <v>27</v>
      </c>
      <c r="I236" s="130" t="s">
        <v>27</v>
      </c>
      <c r="J236" s="130" t="s">
        <v>105</v>
      </c>
      <c r="K236" s="130" t="s">
        <v>394</v>
      </c>
      <c r="L236" s="130" t="s">
        <v>723</v>
      </c>
      <c r="M236" s="100" t="str">
        <f t="shared" si="6"/>
        <v>Wrong measurement</v>
      </c>
      <c r="N236" s="59" t="str">
        <f t="shared" si="7"/>
        <v>Wrong measurement</v>
      </c>
      <c r="O236" s="130" t="s">
        <v>391</v>
      </c>
      <c r="Q236" s="130" t="s">
        <v>105</v>
      </c>
      <c r="R236" s="130" t="s">
        <v>105</v>
      </c>
      <c r="S236" s="130" t="s">
        <v>105</v>
      </c>
      <c r="T236" s="130" t="s">
        <v>105</v>
      </c>
      <c r="U236" s="130" t="s">
        <v>105</v>
      </c>
    </row>
    <row r="237" spans="1:21">
      <c r="A237" s="77">
        <v>37</v>
      </c>
      <c r="B237" t="s">
        <v>2304</v>
      </c>
      <c r="C237" t="s">
        <v>66</v>
      </c>
      <c r="D237" s="97" t="e">
        <f>_xlfn.XLOOKUP(A237,[1]CPD_SOP_new!$A:$A,[1]CPD_SOP_new!#REF!,"not found",0 )</f>
        <v>#REF!</v>
      </c>
      <c r="E237" s="97" t="s">
        <v>112</v>
      </c>
      <c r="F237" t="s">
        <v>28</v>
      </c>
      <c r="G237" t="s">
        <v>27</v>
      </c>
      <c r="H237" t="s">
        <v>27</v>
      </c>
      <c r="I237" t="s">
        <v>28</v>
      </c>
      <c r="J237" t="s">
        <v>124</v>
      </c>
      <c r="K237" t="s">
        <v>395</v>
      </c>
      <c r="L237" t="s">
        <v>2326</v>
      </c>
      <c r="M237" s="100" t="str">
        <f t="shared" si="6"/>
        <v>CSR_XCP_Signals_Recorder_2026-01-30_10-28-06_TC37_NCAP3_3YO_1L_CPD.MF4.xz</v>
      </c>
      <c r="N237" s="59" t="str">
        <f t="shared" si="7"/>
        <v>_NCAP3_3YO_1L_CPD.MF4.xz</v>
      </c>
      <c r="O237" t="s">
        <v>391</v>
      </c>
      <c r="Q237" t="s">
        <v>124</v>
      </c>
      <c r="R237" t="s">
        <v>29</v>
      </c>
      <c r="S237">
        <v>1</v>
      </c>
      <c r="T237">
        <v>0</v>
      </c>
      <c r="U237">
        <v>0</v>
      </c>
    </row>
    <row r="238" spans="1:21">
      <c r="A238" s="77">
        <v>37</v>
      </c>
      <c r="B238" t="s">
        <v>2304</v>
      </c>
      <c r="C238" t="s">
        <v>66</v>
      </c>
      <c r="D238" s="97" t="e">
        <f>_xlfn.XLOOKUP(A238,[1]CPD_SOP_new!$A:$A,[1]CPD_SOP_new!#REF!,"not found",0 )</f>
        <v>#REF!</v>
      </c>
      <c r="E238" s="97" t="s">
        <v>112</v>
      </c>
      <c r="F238" t="s">
        <v>28</v>
      </c>
      <c r="G238" t="s">
        <v>27</v>
      </c>
      <c r="H238" t="s">
        <v>27</v>
      </c>
      <c r="I238" t="s">
        <v>28</v>
      </c>
      <c r="J238" t="s">
        <v>124</v>
      </c>
      <c r="K238" s="60" t="s">
        <v>396</v>
      </c>
      <c r="L238" t="s">
        <v>2327</v>
      </c>
      <c r="M238" s="100" t="str">
        <f t="shared" si="6"/>
        <v>CSR_XCP_Signals_Recorder_2026-01-30_10-29-32_TC37_NCAP3_3YO_1L_CPD.MF4.xz</v>
      </c>
      <c r="N238" s="59" t="str">
        <f t="shared" si="7"/>
        <v>_NCAP3_3YO_1L_CPD.MF4.xz</v>
      </c>
      <c r="O238" t="s">
        <v>391</v>
      </c>
      <c r="Q238" t="s">
        <v>124</v>
      </c>
      <c r="R238" t="s">
        <v>29</v>
      </c>
      <c r="S238">
        <v>1</v>
      </c>
      <c r="T238">
        <v>0</v>
      </c>
      <c r="U238">
        <v>0</v>
      </c>
    </row>
    <row r="239" spans="1:21">
      <c r="A239" s="77">
        <v>37</v>
      </c>
      <c r="B239" t="s">
        <v>2304</v>
      </c>
      <c r="C239" t="s">
        <v>66</v>
      </c>
      <c r="D239" s="97" t="e">
        <f>_xlfn.XLOOKUP(A239,[1]CPD_SOP_new!$A:$A,[1]CPD_SOP_new!#REF!,"not found",0 )</f>
        <v>#REF!</v>
      </c>
      <c r="E239" s="97" t="s">
        <v>112</v>
      </c>
      <c r="F239" t="s">
        <v>28</v>
      </c>
      <c r="G239" t="s">
        <v>27</v>
      </c>
      <c r="H239" t="s">
        <v>27</v>
      </c>
      <c r="I239" t="s">
        <v>28</v>
      </c>
      <c r="J239" t="s">
        <v>124</v>
      </c>
      <c r="K239" s="60" t="s">
        <v>397</v>
      </c>
      <c r="L239" t="s">
        <v>2328</v>
      </c>
      <c r="M239" s="100" t="str">
        <f t="shared" si="6"/>
        <v>CSR_XCP_Signals_Recorder_2026-01-30_10-31-17_TC37_NCAP3_3YO_1L_CPD.MF4.xz</v>
      </c>
      <c r="N239" s="59" t="str">
        <f t="shared" si="7"/>
        <v>_NCAP3_3YO_1L_CPD.MF4.xz</v>
      </c>
      <c r="O239" t="s">
        <v>391</v>
      </c>
      <c r="Q239" t="s">
        <v>124</v>
      </c>
      <c r="R239" t="s">
        <v>29</v>
      </c>
      <c r="S239">
        <v>1</v>
      </c>
      <c r="T239">
        <v>0</v>
      </c>
      <c r="U239">
        <v>0</v>
      </c>
    </row>
    <row r="240" spans="1:21">
      <c r="A240" s="38">
        <v>38</v>
      </c>
      <c r="B240" t="s">
        <v>2304</v>
      </c>
      <c r="C240" t="s">
        <v>66</v>
      </c>
      <c r="D240" s="97" t="e">
        <f>_xlfn.XLOOKUP(A240,[1]CPD_SOP_new!$A:$A,[1]CPD_SOP_new!#REF!,"not found",0 )</f>
        <v>#REF!</v>
      </c>
      <c r="E240" s="97" t="s">
        <v>112</v>
      </c>
      <c r="F240" t="s">
        <v>27</v>
      </c>
      <c r="G240" t="s">
        <v>27</v>
      </c>
      <c r="H240" t="s">
        <v>27</v>
      </c>
      <c r="I240" t="s">
        <v>28</v>
      </c>
      <c r="J240" t="s">
        <v>124</v>
      </c>
      <c r="K240" t="s">
        <v>398</v>
      </c>
      <c r="L240" t="s">
        <v>2329</v>
      </c>
      <c r="M240" s="100" t="str">
        <f t="shared" si="6"/>
        <v>TC_38_Try1_NCAP3_3YO_1L_CPD.MF4.xz</v>
      </c>
      <c r="N240" s="59" t="str">
        <f t="shared" si="7"/>
        <v>_NCAP3_3YO_1L_CPD.MF4.xz</v>
      </c>
      <c r="O240" t="s">
        <v>380</v>
      </c>
    </row>
    <row r="241" spans="1:15">
      <c r="A241" s="38">
        <v>38</v>
      </c>
      <c r="B241" t="s">
        <v>2304</v>
      </c>
      <c r="C241" t="s">
        <v>66</v>
      </c>
      <c r="D241" s="97" t="e">
        <f>_xlfn.XLOOKUP(A241,[1]CPD_SOP_new!$A:$A,[1]CPD_SOP_new!#REF!,"not found",0 )</f>
        <v>#REF!</v>
      </c>
      <c r="E241" s="97" t="s">
        <v>112</v>
      </c>
      <c r="F241" t="s">
        <v>27</v>
      </c>
      <c r="G241" t="s">
        <v>27</v>
      </c>
      <c r="H241" t="s">
        <v>27</v>
      </c>
      <c r="I241" t="s">
        <v>28</v>
      </c>
      <c r="J241" t="s">
        <v>124</v>
      </c>
      <c r="K241" t="s">
        <v>399</v>
      </c>
      <c r="L241" t="s">
        <v>2330</v>
      </c>
      <c r="M241" s="100" t="str">
        <f t="shared" si="6"/>
        <v>TC_38_Try2_NCAP3_3YO_1L_CPD.MF4.xz</v>
      </c>
      <c r="N241" s="59" t="str">
        <f t="shared" si="7"/>
        <v>_NCAP3_3YO_1L_CPD.MF4.xz</v>
      </c>
      <c r="O241" t="s">
        <v>380</v>
      </c>
    </row>
    <row r="242" spans="1:15">
      <c r="A242" s="38">
        <v>38</v>
      </c>
      <c r="B242" t="s">
        <v>2304</v>
      </c>
      <c r="C242" t="s">
        <v>66</v>
      </c>
      <c r="D242" s="97" t="e">
        <f>_xlfn.XLOOKUP(A242,[1]CPD_SOP_new!$A:$A,[1]CPD_SOP_new!#REF!,"not found",0 )</f>
        <v>#REF!</v>
      </c>
      <c r="E242" s="97" t="s">
        <v>112</v>
      </c>
      <c r="F242" t="s">
        <v>27</v>
      </c>
      <c r="G242" t="s">
        <v>27</v>
      </c>
      <c r="H242" t="s">
        <v>27</v>
      </c>
      <c r="I242" t="s">
        <v>28</v>
      </c>
      <c r="J242" t="s">
        <v>124</v>
      </c>
      <c r="K242" t="s">
        <v>400</v>
      </c>
      <c r="L242" t="s">
        <v>2331</v>
      </c>
      <c r="M242" s="100" t="str">
        <f t="shared" si="6"/>
        <v>TC_38_Try3_NCAP3_3YO_1L_CPD.MF4.xz</v>
      </c>
      <c r="N242" s="59" t="str">
        <f t="shared" si="7"/>
        <v>_NCAP3_3YO_1L_CPD.MF4.xz</v>
      </c>
      <c r="O242" t="s">
        <v>380</v>
      </c>
    </row>
    <row r="243" spans="1:15">
      <c r="A243" s="38">
        <v>39</v>
      </c>
      <c r="B243" t="s">
        <v>2304</v>
      </c>
      <c r="C243" t="s">
        <v>253</v>
      </c>
      <c r="D243" s="97" t="e">
        <f>_xlfn.XLOOKUP(A243,[1]CPD_SOP_new!$A:$A,[1]CPD_SOP_new!#REF!,"not found",0 )</f>
        <v>#REF!</v>
      </c>
      <c r="E243" s="97" t="s">
        <v>26</v>
      </c>
      <c r="F243" t="s">
        <v>27</v>
      </c>
      <c r="G243" t="s">
        <v>27</v>
      </c>
      <c r="H243" t="s">
        <v>27</v>
      </c>
      <c r="I243" t="s">
        <v>28</v>
      </c>
      <c r="J243" t="s">
        <v>124</v>
      </c>
      <c r="K243" t="s">
        <v>401</v>
      </c>
      <c r="L243" t="s">
        <v>2332</v>
      </c>
      <c r="M243" s="100" t="str">
        <f t="shared" si="6"/>
        <v>TC_39_Try1_NCAP3_6YO_1R_CPD.MF4.xz</v>
      </c>
      <c r="N243" s="59" t="str">
        <f t="shared" si="7"/>
        <v>_NCAP3_6YO_1R_CPD.MF4.xz</v>
      </c>
      <c r="O243" t="s">
        <v>380</v>
      </c>
    </row>
    <row r="244" spans="1:15">
      <c r="A244" s="38">
        <v>39</v>
      </c>
      <c r="B244" t="s">
        <v>2304</v>
      </c>
      <c r="C244" t="s">
        <v>253</v>
      </c>
      <c r="D244" s="97" t="e">
        <f>_xlfn.XLOOKUP(A244,[1]CPD_SOP_new!$A:$A,[1]CPD_SOP_new!#REF!,"not found",0 )</f>
        <v>#REF!</v>
      </c>
      <c r="E244" s="97" t="s">
        <v>26</v>
      </c>
      <c r="F244" t="s">
        <v>27</v>
      </c>
      <c r="G244" t="s">
        <v>27</v>
      </c>
      <c r="H244" t="s">
        <v>27</v>
      </c>
      <c r="I244" t="s">
        <v>28</v>
      </c>
      <c r="J244" t="s">
        <v>124</v>
      </c>
      <c r="K244" t="s">
        <v>403</v>
      </c>
      <c r="L244" t="s">
        <v>2333</v>
      </c>
      <c r="M244" s="100" t="str">
        <f t="shared" si="6"/>
        <v>TC_39_Try2_NCAP3_6YO_1R_CPD.MF4.xz</v>
      </c>
      <c r="N244" s="59" t="str">
        <f t="shared" si="7"/>
        <v>_NCAP3_6YO_1R_CPD.MF4.xz</v>
      </c>
      <c r="O244" t="s">
        <v>380</v>
      </c>
    </row>
    <row r="245" spans="1:15">
      <c r="A245" s="38">
        <v>39</v>
      </c>
      <c r="B245" t="s">
        <v>2304</v>
      </c>
      <c r="C245" t="s">
        <v>253</v>
      </c>
      <c r="D245" s="97" t="e">
        <f>_xlfn.XLOOKUP(A245,[1]CPD_SOP_new!$A:$A,[1]CPD_SOP_new!#REF!,"not found",0 )</f>
        <v>#REF!</v>
      </c>
      <c r="E245" s="97" t="s">
        <v>26</v>
      </c>
      <c r="F245" t="s">
        <v>27</v>
      </c>
      <c r="G245" t="s">
        <v>27</v>
      </c>
      <c r="H245" t="s">
        <v>27</v>
      </c>
      <c r="I245" t="s">
        <v>28</v>
      </c>
      <c r="J245" t="s">
        <v>124</v>
      </c>
      <c r="K245" t="s">
        <v>404</v>
      </c>
      <c r="L245" t="s">
        <v>2334</v>
      </c>
      <c r="M245" s="100" t="str">
        <f t="shared" si="6"/>
        <v>TC_39_Try3_NCAP3_6YO_1R_CPD.MF4.xz</v>
      </c>
      <c r="N245" s="59" t="str">
        <f t="shared" si="7"/>
        <v>_NCAP3_6YO_1R_CPD.MF4.xz</v>
      </c>
      <c r="O245" t="s">
        <v>380</v>
      </c>
    </row>
    <row r="246" spans="1:15">
      <c r="A246" s="38">
        <v>40</v>
      </c>
      <c r="B246" t="s">
        <v>2304</v>
      </c>
      <c r="C246" t="s">
        <v>66</v>
      </c>
      <c r="D246" s="97" t="e">
        <f>_xlfn.XLOOKUP(A246,[1]CPD_SOP_new!$A:$A,[1]CPD_SOP_new!#REF!,"not found",0 )</f>
        <v>#REF!</v>
      </c>
      <c r="E246" s="97" t="s">
        <v>112</v>
      </c>
      <c r="F246" t="s">
        <v>27</v>
      </c>
      <c r="G246" t="s">
        <v>27</v>
      </c>
      <c r="H246" t="s">
        <v>27</v>
      </c>
      <c r="I246" t="s">
        <v>27</v>
      </c>
      <c r="J246" t="s">
        <v>124</v>
      </c>
      <c r="K246" t="s">
        <v>970</v>
      </c>
      <c r="L246" t="s">
        <v>723</v>
      </c>
      <c r="M246" s="100" t="str">
        <f t="shared" si="6"/>
        <v>Wrong measurement</v>
      </c>
      <c r="N246" s="59" t="str">
        <f t="shared" si="7"/>
        <v>Wrong measurement</v>
      </c>
      <c r="O246" t="s">
        <v>971</v>
      </c>
    </row>
    <row r="247" spans="1:15">
      <c r="A247" s="38">
        <v>40</v>
      </c>
      <c r="B247" t="s">
        <v>2304</v>
      </c>
      <c r="C247" t="s">
        <v>66</v>
      </c>
      <c r="D247" s="97" t="e">
        <f>_xlfn.XLOOKUP(A247,[1]CPD_SOP_new!$A:$A,[1]CPD_SOP_new!#REF!,"not found",0 )</f>
        <v>#REF!</v>
      </c>
      <c r="E247" s="97" t="s">
        <v>112</v>
      </c>
      <c r="F247" t="s">
        <v>27</v>
      </c>
      <c r="G247" t="s">
        <v>27</v>
      </c>
      <c r="H247" t="s">
        <v>27</v>
      </c>
      <c r="I247" t="s">
        <v>27</v>
      </c>
      <c r="J247" t="s">
        <v>124</v>
      </c>
      <c r="K247" t="s">
        <v>972</v>
      </c>
      <c r="L247" t="s">
        <v>723</v>
      </c>
      <c r="M247" s="100" t="str">
        <f t="shared" si="6"/>
        <v>Wrong measurement</v>
      </c>
      <c r="N247" s="59" t="str">
        <f t="shared" si="7"/>
        <v>Wrong measurement</v>
      </c>
      <c r="O247" t="s">
        <v>971</v>
      </c>
    </row>
    <row r="248" spans="1:15">
      <c r="A248" s="38">
        <v>40</v>
      </c>
      <c r="B248" t="s">
        <v>2304</v>
      </c>
      <c r="C248" t="s">
        <v>66</v>
      </c>
      <c r="D248" s="97" t="e">
        <f>_xlfn.XLOOKUP(A248,[1]CPD_SOP_new!$A:$A,[1]CPD_SOP_new!#REF!,"not found",0 )</f>
        <v>#REF!</v>
      </c>
      <c r="E248" s="97" t="s">
        <v>112</v>
      </c>
      <c r="F248" t="s">
        <v>27</v>
      </c>
      <c r="G248" t="s">
        <v>27</v>
      </c>
      <c r="H248" t="s">
        <v>27</v>
      </c>
      <c r="I248" t="s">
        <v>27</v>
      </c>
      <c r="J248" t="s">
        <v>124</v>
      </c>
      <c r="K248" t="s">
        <v>973</v>
      </c>
      <c r="L248" t="s">
        <v>723</v>
      </c>
      <c r="M248" s="100" t="str">
        <f t="shared" si="6"/>
        <v>Wrong measurement</v>
      </c>
      <c r="N248" s="59" t="str">
        <f t="shared" si="7"/>
        <v>Wrong measurement</v>
      </c>
      <c r="O248" t="s">
        <v>971</v>
      </c>
    </row>
    <row r="249" spans="1:15">
      <c r="A249" s="38">
        <v>40</v>
      </c>
      <c r="B249" t="s">
        <v>2304</v>
      </c>
      <c r="C249" t="s">
        <v>66</v>
      </c>
      <c r="D249" s="97" t="e">
        <f>_xlfn.XLOOKUP(A249,[1]CPD_SOP_new!$A:$A,[1]CPD_SOP_new!#REF!,"not found",0 )</f>
        <v>#REF!</v>
      </c>
      <c r="E249" s="97" t="s">
        <v>112</v>
      </c>
      <c r="F249" t="s">
        <v>28</v>
      </c>
      <c r="G249" t="s">
        <v>27</v>
      </c>
      <c r="H249" t="s">
        <v>27</v>
      </c>
      <c r="I249" t="s">
        <v>28</v>
      </c>
      <c r="J249" t="s">
        <v>124</v>
      </c>
      <c r="K249" t="s">
        <v>409</v>
      </c>
      <c r="L249" t="s">
        <v>2335</v>
      </c>
      <c r="M249" s="100" t="str">
        <f t="shared" si="6"/>
        <v>CPD_TC40_Try1_NCAP3_3YO_1L_CPD.MF4.xz</v>
      </c>
      <c r="N249" s="59" t="str">
        <f t="shared" si="7"/>
        <v>_NCAP3_3YO_1L_CPD.MF4.xz</v>
      </c>
      <c r="O249" t="s">
        <v>86</v>
      </c>
    </row>
    <row r="250" spans="1:15">
      <c r="A250" s="38">
        <v>40</v>
      </c>
      <c r="B250" t="s">
        <v>2304</v>
      </c>
      <c r="C250" t="s">
        <v>66</v>
      </c>
      <c r="D250" s="97" t="e">
        <f>_xlfn.XLOOKUP(A250,[1]CPD_SOP_new!$A:$A,[1]CPD_SOP_new!#REF!,"not found",0 )</f>
        <v>#REF!</v>
      </c>
      <c r="E250" s="97" t="s">
        <v>112</v>
      </c>
      <c r="F250" t="s">
        <v>28</v>
      </c>
      <c r="G250" t="s">
        <v>27</v>
      </c>
      <c r="H250" t="s">
        <v>27</v>
      </c>
      <c r="I250" t="s">
        <v>28</v>
      </c>
      <c r="J250" t="s">
        <v>124</v>
      </c>
      <c r="K250" t="s">
        <v>410</v>
      </c>
      <c r="L250" t="s">
        <v>2336</v>
      </c>
      <c r="M250" s="100" t="str">
        <f t="shared" si="6"/>
        <v>CPD_TC40_Try2_NCAP3_3YO_1L_CPD.MF4.xz</v>
      </c>
      <c r="N250" s="59" t="str">
        <f t="shared" si="7"/>
        <v>_NCAP3_3YO_1L_CPD.MF4.xz</v>
      </c>
      <c r="O250" t="s">
        <v>86</v>
      </c>
    </row>
    <row r="251" spans="1:15">
      <c r="A251" s="38">
        <v>40</v>
      </c>
      <c r="B251" t="s">
        <v>2304</v>
      </c>
      <c r="C251" t="s">
        <v>66</v>
      </c>
      <c r="D251" s="97" t="e">
        <f>_xlfn.XLOOKUP(A251,[1]CPD_SOP_new!$A:$A,[1]CPD_SOP_new!#REF!,"not found",0 )</f>
        <v>#REF!</v>
      </c>
      <c r="E251" s="97" t="s">
        <v>112</v>
      </c>
      <c r="F251" t="s">
        <v>28</v>
      </c>
      <c r="G251" t="s">
        <v>27</v>
      </c>
      <c r="H251" t="s">
        <v>27</v>
      </c>
      <c r="I251" t="s">
        <v>28</v>
      </c>
      <c r="J251" t="s">
        <v>124</v>
      </c>
      <c r="K251" t="s">
        <v>411</v>
      </c>
      <c r="L251" t="s">
        <v>2337</v>
      </c>
      <c r="M251" s="100" t="str">
        <f t="shared" si="6"/>
        <v>CPD_TC40_Try3_NCAP3_3YO_1L_CPD.MF4.xz</v>
      </c>
      <c r="N251" s="59" t="str">
        <f t="shared" si="7"/>
        <v>_NCAP3_3YO_1L_CPD.MF4.xz</v>
      </c>
      <c r="O251" t="s">
        <v>86</v>
      </c>
    </row>
    <row r="252" spans="1:15">
      <c r="A252" s="38">
        <v>40</v>
      </c>
      <c r="B252" t="s">
        <v>2304</v>
      </c>
      <c r="C252" t="s">
        <v>66</v>
      </c>
      <c r="D252" s="97" t="e">
        <f>_xlfn.XLOOKUP(A252,[1]CPD_SOP_new!$A:$A,[1]CPD_SOP_new!#REF!,"not found",0 )</f>
        <v>#REF!</v>
      </c>
      <c r="E252" s="97" t="s">
        <v>112</v>
      </c>
      <c r="F252" t="s">
        <v>28</v>
      </c>
      <c r="G252" t="s">
        <v>27</v>
      </c>
      <c r="H252" t="s">
        <v>27</v>
      </c>
      <c r="I252" t="s">
        <v>28</v>
      </c>
      <c r="J252" t="s">
        <v>124</v>
      </c>
      <c r="K252" t="s">
        <v>412</v>
      </c>
      <c r="L252" t="s">
        <v>2338</v>
      </c>
      <c r="M252" s="100" t="str">
        <f t="shared" si="6"/>
        <v>CPD_TC40_Try4_NCAP3_3YO_1L_CPD.MF4.xz</v>
      </c>
      <c r="N252" s="59" t="str">
        <f t="shared" si="7"/>
        <v>_NCAP3_3YO_1L_CPD.MF4.xz</v>
      </c>
      <c r="O252" t="s">
        <v>86</v>
      </c>
    </row>
    <row r="253" spans="1:15">
      <c r="A253" s="38">
        <v>40</v>
      </c>
      <c r="B253" t="s">
        <v>2304</v>
      </c>
      <c r="C253" t="s">
        <v>66</v>
      </c>
      <c r="D253" s="97" t="e">
        <f>_xlfn.XLOOKUP(A253,[1]CPD_SOP_new!$A:$A,[1]CPD_SOP_new!#REF!,"not found",0 )</f>
        <v>#REF!</v>
      </c>
      <c r="E253" s="97" t="s">
        <v>112</v>
      </c>
      <c r="F253" t="s">
        <v>28</v>
      </c>
      <c r="G253" t="s">
        <v>27</v>
      </c>
      <c r="H253" t="s">
        <v>27</v>
      </c>
      <c r="I253" t="s">
        <v>28</v>
      </c>
      <c r="J253" t="s">
        <v>124</v>
      </c>
      <c r="K253" t="s">
        <v>413</v>
      </c>
      <c r="L253" t="s">
        <v>2339</v>
      </c>
      <c r="M253" s="100" t="str">
        <f t="shared" si="6"/>
        <v>CPD_TC40_Try5_NCAP3_3YO_1L_CPD.MF4.xz</v>
      </c>
      <c r="N253" s="59" t="str">
        <f t="shared" si="7"/>
        <v>_NCAP3_3YO_1L_CPD.MF4.xz</v>
      </c>
      <c r="O253" t="s">
        <v>86</v>
      </c>
    </row>
    <row r="254" spans="1:15">
      <c r="A254" s="38">
        <v>41</v>
      </c>
      <c r="B254" t="s">
        <v>2304</v>
      </c>
      <c r="C254" t="s">
        <v>66</v>
      </c>
      <c r="D254" s="97" t="e">
        <f>_xlfn.XLOOKUP(A254,[1]CPD_SOP_new!$A:$A,[1]CPD_SOP_new!#REF!,"not found",0 )</f>
        <v>#REF!</v>
      </c>
      <c r="E254" s="97" t="s">
        <v>112</v>
      </c>
      <c r="F254" t="s">
        <v>28</v>
      </c>
      <c r="G254" t="s">
        <v>27</v>
      </c>
      <c r="H254" t="s">
        <v>27</v>
      </c>
      <c r="I254" t="s">
        <v>28</v>
      </c>
      <c r="J254" t="s">
        <v>124</v>
      </c>
      <c r="K254" t="s">
        <v>414</v>
      </c>
      <c r="L254" t="s">
        <v>2340</v>
      </c>
      <c r="M254" s="100" t="str">
        <f t="shared" si="6"/>
        <v>CPD_TC41_Try1_NCAP3_3YO_1L_CPD.MF4.xz</v>
      </c>
      <c r="N254" s="59" t="str">
        <f t="shared" si="7"/>
        <v>_NCAP3_3YO_1L_CPD.MF4.xz</v>
      </c>
      <c r="O254" t="s">
        <v>191</v>
      </c>
    </row>
    <row r="255" spans="1:15">
      <c r="A255" s="38">
        <v>41</v>
      </c>
      <c r="B255" t="s">
        <v>2304</v>
      </c>
      <c r="C255" t="s">
        <v>66</v>
      </c>
      <c r="D255" s="97" t="e">
        <f>_xlfn.XLOOKUP(A255,[1]CPD_SOP_new!$A:$A,[1]CPD_SOP_new!#REF!,"not found",0 )</f>
        <v>#REF!</v>
      </c>
      <c r="E255" s="97" t="s">
        <v>112</v>
      </c>
      <c r="F255" t="s">
        <v>28</v>
      </c>
      <c r="G255" t="s">
        <v>27</v>
      </c>
      <c r="H255" t="s">
        <v>27</v>
      </c>
      <c r="I255" t="s">
        <v>28</v>
      </c>
      <c r="J255" t="s">
        <v>124</v>
      </c>
      <c r="K255" t="s">
        <v>415</v>
      </c>
      <c r="L255" t="s">
        <v>2341</v>
      </c>
      <c r="M255" s="100" t="str">
        <f t="shared" si="6"/>
        <v>CPD_TC41_Try2_NCAP3_3YO_1L_CPD.MF4.xz</v>
      </c>
      <c r="N255" s="59" t="str">
        <f t="shared" si="7"/>
        <v>_NCAP3_3YO_1L_CPD.MF4.xz</v>
      </c>
      <c r="O255" t="s">
        <v>191</v>
      </c>
    </row>
    <row r="256" spans="1:15">
      <c r="A256" s="38">
        <v>41</v>
      </c>
      <c r="B256" t="s">
        <v>2304</v>
      </c>
      <c r="C256" t="s">
        <v>66</v>
      </c>
      <c r="D256" s="97" t="e">
        <f>_xlfn.XLOOKUP(A256,[1]CPD_SOP_new!$A:$A,[1]CPD_SOP_new!#REF!,"not found",0 )</f>
        <v>#REF!</v>
      </c>
      <c r="E256" s="97" t="s">
        <v>112</v>
      </c>
      <c r="F256" t="s">
        <v>28</v>
      </c>
      <c r="G256" t="s">
        <v>27</v>
      </c>
      <c r="H256" t="s">
        <v>27</v>
      </c>
      <c r="I256" t="s">
        <v>28</v>
      </c>
      <c r="J256" t="s">
        <v>124</v>
      </c>
      <c r="K256" t="s">
        <v>416</v>
      </c>
      <c r="L256" t="s">
        <v>2342</v>
      </c>
      <c r="M256" s="100" t="str">
        <f t="shared" si="6"/>
        <v>CPD_TC41_Try3_NCAP3_3YO_1L_CPD.MF4.xz</v>
      </c>
      <c r="N256" s="59" t="str">
        <f t="shared" si="7"/>
        <v>_NCAP3_3YO_1L_CPD.MF4.xz</v>
      </c>
      <c r="O256" t="s">
        <v>191</v>
      </c>
    </row>
    <row r="257" spans="1:16">
      <c r="A257" s="38">
        <v>41</v>
      </c>
      <c r="B257" t="s">
        <v>2304</v>
      </c>
      <c r="C257" t="s">
        <v>66</v>
      </c>
      <c r="D257" s="97" t="e">
        <f>_xlfn.XLOOKUP(A257,[1]CPD_SOP_new!$A:$A,[1]CPD_SOP_new!#REF!,"not found",0 )</f>
        <v>#REF!</v>
      </c>
      <c r="E257" s="97" t="s">
        <v>112</v>
      </c>
      <c r="F257" t="s">
        <v>28</v>
      </c>
      <c r="G257" t="s">
        <v>27</v>
      </c>
      <c r="H257" t="s">
        <v>27</v>
      </c>
      <c r="I257" t="s">
        <v>28</v>
      </c>
      <c r="J257" t="s">
        <v>124</v>
      </c>
      <c r="K257" t="s">
        <v>417</v>
      </c>
      <c r="L257" t="s">
        <v>2343</v>
      </c>
      <c r="M257" s="100" t="str">
        <f t="shared" si="6"/>
        <v>CPD_TC41_Try4_NCAP3_3YO_1L_CPD.MF4.xz</v>
      </c>
      <c r="N257" s="59" t="str">
        <f t="shared" si="7"/>
        <v>_NCAP3_3YO_1L_CPD.MF4.xz</v>
      </c>
      <c r="O257" t="s">
        <v>191</v>
      </c>
    </row>
    <row r="258" spans="1:16">
      <c r="A258" s="38">
        <v>41</v>
      </c>
      <c r="B258" t="s">
        <v>2304</v>
      </c>
      <c r="C258" t="s">
        <v>66</v>
      </c>
      <c r="D258" s="97" t="e">
        <f>_xlfn.XLOOKUP(A258,[1]CPD_SOP_new!$A:$A,[1]CPD_SOP_new!#REF!,"not found",0 )</f>
        <v>#REF!</v>
      </c>
      <c r="E258" s="97" t="s">
        <v>112</v>
      </c>
      <c r="F258" t="s">
        <v>28</v>
      </c>
      <c r="G258" t="s">
        <v>27</v>
      </c>
      <c r="H258" t="s">
        <v>27</v>
      </c>
      <c r="I258" t="s">
        <v>28</v>
      </c>
      <c r="J258" t="s">
        <v>124</v>
      </c>
      <c r="K258" t="s">
        <v>418</v>
      </c>
      <c r="L258" t="s">
        <v>2344</v>
      </c>
      <c r="M258" s="100" t="str">
        <f t="shared" ref="M258:M321" si="8">IF(NOT(N258="Wrong measurement"),SUBSTITUTE(K258,".MF4.xz",N258),"Wrong measurement")</f>
        <v>CPD_TC41_Try5_NCAP3_3YO_1L_CPD.MF4.xz</v>
      </c>
      <c r="N258" s="59" t="str">
        <f t="shared" ref="N258:N321" si="9">IF(I258="Y",("_"&amp;B258 &amp;"_"&amp; IF(C258="","",C258)&amp;"_"&amp;E258&amp;"_CPD.MF4.xz"),"Wrong measurement")</f>
        <v>_NCAP3_3YO_1L_CPD.MF4.xz</v>
      </c>
      <c r="O258" t="s">
        <v>191</v>
      </c>
    </row>
    <row r="259" spans="1:16">
      <c r="A259" s="77">
        <v>42</v>
      </c>
      <c r="B259" t="s">
        <v>2304</v>
      </c>
      <c r="C259" t="s">
        <v>66</v>
      </c>
      <c r="D259" s="97" t="e">
        <f>_xlfn.XLOOKUP(A259,[1]CPD_SOP_new!$A:$A,[1]CPD_SOP_new!#REF!,"not found",0 )</f>
        <v>#REF!</v>
      </c>
      <c r="E259" s="97" t="s">
        <v>112</v>
      </c>
      <c r="F259" t="s">
        <v>28</v>
      </c>
      <c r="G259" t="s">
        <v>28</v>
      </c>
      <c r="H259" t="s">
        <v>27</v>
      </c>
      <c r="I259" t="s">
        <v>28</v>
      </c>
      <c r="J259" t="s">
        <v>124</v>
      </c>
      <c r="K259" s="60" t="s">
        <v>419</v>
      </c>
      <c r="L259" t="s">
        <v>2345</v>
      </c>
      <c r="M259" s="100" t="str">
        <f t="shared" si="8"/>
        <v>CSR_XCP_Signals_Recorder_2025-12-15_11-06-59_TC42_3YO1R_CPD_NCAP3_3YO_1L_CPD.MF4.xz</v>
      </c>
      <c r="N259" s="59" t="str">
        <f t="shared" si="9"/>
        <v>_NCAP3_3YO_1L_CPD.MF4.xz</v>
      </c>
      <c r="O259" s="132" t="s">
        <v>102</v>
      </c>
      <c r="P259" s="132"/>
    </row>
    <row r="260" spans="1:16">
      <c r="A260" s="77">
        <v>42</v>
      </c>
      <c r="B260" t="s">
        <v>2304</v>
      </c>
      <c r="C260" t="s">
        <v>66</v>
      </c>
      <c r="D260" s="97" t="e">
        <f>_xlfn.XLOOKUP(A260,[1]CPD_SOP_new!$A:$A,[1]CPD_SOP_new!#REF!,"not found",0 )</f>
        <v>#REF!</v>
      </c>
      <c r="E260" s="97" t="s">
        <v>112</v>
      </c>
      <c r="F260" t="s">
        <v>28</v>
      </c>
      <c r="G260" t="s">
        <v>28</v>
      </c>
      <c r="H260" t="s">
        <v>27</v>
      </c>
      <c r="I260" t="s">
        <v>28</v>
      </c>
      <c r="J260" t="s">
        <v>124</v>
      </c>
      <c r="K260" s="60" t="s">
        <v>421</v>
      </c>
      <c r="L260" t="s">
        <v>2346</v>
      </c>
      <c r="M260" s="100" t="str">
        <f t="shared" si="8"/>
        <v>CSR_XCP_Signals_Recorder_2025-12-15_11-08-40_TC42_3YO1R_CPD_NCAP3_3YO_1L_CPD.MF4.xz</v>
      </c>
      <c r="N260" s="59" t="str">
        <f t="shared" si="9"/>
        <v>_NCAP3_3YO_1L_CPD.MF4.xz</v>
      </c>
      <c r="O260" s="132" t="s">
        <v>102</v>
      </c>
      <c r="P260" s="132"/>
    </row>
    <row r="261" spans="1:16">
      <c r="A261" s="77">
        <v>42</v>
      </c>
      <c r="B261" t="s">
        <v>2304</v>
      </c>
      <c r="C261" t="s">
        <v>66</v>
      </c>
      <c r="D261" s="97" t="e">
        <f>_xlfn.XLOOKUP(A261,[1]CPD_SOP_new!$A:$A,[1]CPD_SOP_new!#REF!,"not found",0 )</f>
        <v>#REF!</v>
      </c>
      <c r="E261" s="97" t="s">
        <v>112</v>
      </c>
      <c r="F261" t="s">
        <v>28</v>
      </c>
      <c r="G261" t="s">
        <v>28</v>
      </c>
      <c r="H261" t="s">
        <v>27</v>
      </c>
      <c r="I261" t="s">
        <v>28</v>
      </c>
      <c r="J261" t="s">
        <v>124</v>
      </c>
      <c r="K261" s="60" t="s">
        <v>422</v>
      </c>
      <c r="L261" s="60" t="s">
        <v>2347</v>
      </c>
      <c r="M261" s="100" t="str">
        <f t="shared" si="8"/>
        <v>CSR_XCP_Signals_Recorder_2025-12-15_11-10-23_TC42_3YO1R_CPD_NCAP3_3YO_1L_CPD.MF4.xz</v>
      </c>
      <c r="N261" s="59" t="str">
        <f t="shared" si="9"/>
        <v>_NCAP3_3YO_1L_CPD.MF4.xz</v>
      </c>
      <c r="O261" s="11" t="s">
        <v>102</v>
      </c>
      <c r="P261" s="132"/>
    </row>
    <row r="262" spans="1:16">
      <c r="A262" s="77">
        <v>42</v>
      </c>
      <c r="B262" t="s">
        <v>2304</v>
      </c>
      <c r="C262" t="s">
        <v>66</v>
      </c>
      <c r="D262" s="97" t="e">
        <f>_xlfn.XLOOKUP(A262,[1]CPD_SOP_new!$A:$A,[1]CPD_SOP_new!#REF!,"not found",0 )</f>
        <v>#REF!</v>
      </c>
      <c r="E262" s="97" t="s">
        <v>112</v>
      </c>
      <c r="F262" t="s">
        <v>28</v>
      </c>
      <c r="G262" t="s">
        <v>28</v>
      </c>
      <c r="H262" t="s">
        <v>27</v>
      </c>
      <c r="I262" t="s">
        <v>28</v>
      </c>
      <c r="J262" t="s">
        <v>124</v>
      </c>
      <c r="K262" s="60" t="s">
        <v>423</v>
      </c>
      <c r="L262" s="60" t="s">
        <v>2348</v>
      </c>
      <c r="M262" s="100" t="str">
        <f t="shared" si="8"/>
        <v>CSR_XCP_Signals_Recorder_2025-12-15_11-12-15_TC42_3YO1R_CPD_NCAP3_3YO_1L_CPD.MF4.xz</v>
      </c>
      <c r="N262" s="59" t="str">
        <f t="shared" si="9"/>
        <v>_NCAP3_3YO_1L_CPD.MF4.xz</v>
      </c>
      <c r="O262" s="11" t="s">
        <v>102</v>
      </c>
      <c r="P262" s="132"/>
    </row>
    <row r="263" spans="1:16">
      <c r="A263" s="77">
        <v>42</v>
      </c>
      <c r="B263" t="s">
        <v>2304</v>
      </c>
      <c r="C263" t="s">
        <v>66</v>
      </c>
      <c r="D263" s="97" t="e">
        <f>_xlfn.XLOOKUP(A263,[1]CPD_SOP_new!$A:$A,[1]CPD_SOP_new!#REF!,"not found",0 )</f>
        <v>#REF!</v>
      </c>
      <c r="E263" s="97" t="s">
        <v>112</v>
      </c>
      <c r="F263" t="s">
        <v>28</v>
      </c>
      <c r="G263" t="s">
        <v>28</v>
      </c>
      <c r="H263" t="s">
        <v>27</v>
      </c>
      <c r="I263" t="s">
        <v>28</v>
      </c>
      <c r="J263" t="s">
        <v>124</v>
      </c>
      <c r="K263" s="60" t="s">
        <v>424</v>
      </c>
      <c r="L263" s="60" t="s">
        <v>2349</v>
      </c>
      <c r="M263" s="100" t="str">
        <f t="shared" si="8"/>
        <v>CSR_XCP_Signals_Recorder_2025-12-15_11-13-56_TC42_3YO1R_CPD_NCAP3_3YO_1L_CPD.MF4.xz</v>
      </c>
      <c r="N263" s="59" t="str">
        <f t="shared" si="9"/>
        <v>_NCAP3_3YO_1L_CPD.MF4.xz</v>
      </c>
      <c r="O263" s="11" t="s">
        <v>102</v>
      </c>
      <c r="P263" s="132"/>
    </row>
    <row r="264" spans="1:16">
      <c r="A264" s="38">
        <v>43</v>
      </c>
      <c r="B264" t="s">
        <v>2304</v>
      </c>
      <c r="C264" t="s">
        <v>66</v>
      </c>
      <c r="D264" s="97" t="e">
        <f>_xlfn.XLOOKUP(A264,[1]CPD_SOP_new!$A:$A,[1]CPD_SOP_new!#REF!,"not found",0 )</f>
        <v>#REF!</v>
      </c>
      <c r="E264" s="97" t="s">
        <v>112</v>
      </c>
      <c r="F264" t="s">
        <v>28</v>
      </c>
      <c r="G264" t="s">
        <v>27</v>
      </c>
      <c r="H264" t="s">
        <v>27</v>
      </c>
      <c r="I264" t="s">
        <v>28</v>
      </c>
      <c r="J264" t="s">
        <v>124</v>
      </c>
      <c r="K264" t="s">
        <v>425</v>
      </c>
      <c r="L264" t="s">
        <v>2350</v>
      </c>
      <c r="M264" s="100" t="str">
        <f t="shared" si="8"/>
        <v>CPD_TC43_Try1_NCAP3_3YO_1L_CPD.MF4.xz</v>
      </c>
      <c r="N264" s="59" t="str">
        <f t="shared" si="9"/>
        <v>_NCAP3_3YO_1L_CPD.MF4.xz</v>
      </c>
      <c r="O264" t="s">
        <v>191</v>
      </c>
    </row>
    <row r="265" spans="1:16">
      <c r="A265" s="38">
        <v>43</v>
      </c>
      <c r="B265" t="s">
        <v>2304</v>
      </c>
      <c r="C265" t="s">
        <v>66</v>
      </c>
      <c r="D265" s="97" t="e">
        <f>_xlfn.XLOOKUP(A265,[1]CPD_SOP_new!$A:$A,[1]CPD_SOP_new!#REF!,"not found",0 )</f>
        <v>#REF!</v>
      </c>
      <c r="E265" s="97" t="s">
        <v>112</v>
      </c>
      <c r="F265" t="s">
        <v>28</v>
      </c>
      <c r="G265" t="s">
        <v>27</v>
      </c>
      <c r="H265" t="s">
        <v>27</v>
      </c>
      <c r="I265" t="s">
        <v>28</v>
      </c>
      <c r="J265" t="s">
        <v>124</v>
      </c>
      <c r="K265" t="s">
        <v>426</v>
      </c>
      <c r="L265" t="s">
        <v>2351</v>
      </c>
      <c r="M265" s="100" t="str">
        <f t="shared" si="8"/>
        <v>CPD_TC43_Try2_NCAP3_3YO_1L_CPD.MF4.xz</v>
      </c>
      <c r="N265" s="59" t="str">
        <f t="shared" si="9"/>
        <v>_NCAP3_3YO_1L_CPD.MF4.xz</v>
      </c>
      <c r="O265" t="s">
        <v>191</v>
      </c>
    </row>
    <row r="266" spans="1:16">
      <c r="A266" s="38">
        <v>43</v>
      </c>
      <c r="B266" t="s">
        <v>2304</v>
      </c>
      <c r="C266" t="s">
        <v>66</v>
      </c>
      <c r="D266" s="97" t="e">
        <f>_xlfn.XLOOKUP(A266,[1]CPD_SOP_new!$A:$A,[1]CPD_SOP_new!#REF!,"not found",0 )</f>
        <v>#REF!</v>
      </c>
      <c r="E266" s="97" t="s">
        <v>112</v>
      </c>
      <c r="F266" t="s">
        <v>28</v>
      </c>
      <c r="G266" t="s">
        <v>27</v>
      </c>
      <c r="H266" t="s">
        <v>27</v>
      </c>
      <c r="I266" t="s">
        <v>28</v>
      </c>
      <c r="J266" t="s">
        <v>124</v>
      </c>
      <c r="K266" t="s">
        <v>427</v>
      </c>
      <c r="L266" t="s">
        <v>2352</v>
      </c>
      <c r="M266" s="100" t="str">
        <f t="shared" si="8"/>
        <v>CPD_TC43_Try3_NCAP3_3YO_1L_CPD.MF4.xz</v>
      </c>
      <c r="N266" s="59" t="str">
        <f t="shared" si="9"/>
        <v>_NCAP3_3YO_1L_CPD.MF4.xz</v>
      </c>
      <c r="O266" t="s">
        <v>191</v>
      </c>
    </row>
    <row r="267" spans="1:16">
      <c r="A267" s="38">
        <v>43</v>
      </c>
      <c r="B267" t="s">
        <v>2304</v>
      </c>
      <c r="C267" t="s">
        <v>66</v>
      </c>
      <c r="D267" s="97" t="e">
        <f>_xlfn.XLOOKUP(A267,[1]CPD_SOP_new!$A:$A,[1]CPD_SOP_new!#REF!,"not found",0 )</f>
        <v>#REF!</v>
      </c>
      <c r="E267" s="97" t="s">
        <v>112</v>
      </c>
      <c r="F267" t="s">
        <v>28</v>
      </c>
      <c r="G267" t="s">
        <v>27</v>
      </c>
      <c r="H267" t="s">
        <v>27</v>
      </c>
      <c r="I267" t="s">
        <v>28</v>
      </c>
      <c r="J267" t="s">
        <v>124</v>
      </c>
      <c r="K267" t="s">
        <v>428</v>
      </c>
      <c r="L267" t="s">
        <v>2353</v>
      </c>
      <c r="M267" s="100" t="str">
        <f t="shared" si="8"/>
        <v>CPD_TC43_Try4_NCAP3_3YO_1L_CPD.MF4.xz</v>
      </c>
      <c r="N267" s="59" t="str">
        <f t="shared" si="9"/>
        <v>_NCAP3_3YO_1L_CPD.MF4.xz</v>
      </c>
      <c r="O267" t="s">
        <v>191</v>
      </c>
    </row>
    <row r="268" spans="1:16">
      <c r="A268" s="38">
        <v>43</v>
      </c>
      <c r="B268" t="s">
        <v>2304</v>
      </c>
      <c r="C268" t="s">
        <v>66</v>
      </c>
      <c r="D268" s="97" t="e">
        <f>_xlfn.XLOOKUP(A268,[1]CPD_SOP_new!$A:$A,[1]CPD_SOP_new!#REF!,"not found",0 )</f>
        <v>#REF!</v>
      </c>
      <c r="E268" s="97" t="s">
        <v>112</v>
      </c>
      <c r="F268" t="s">
        <v>28</v>
      </c>
      <c r="G268" t="s">
        <v>27</v>
      </c>
      <c r="H268" t="s">
        <v>27</v>
      </c>
      <c r="I268" t="s">
        <v>28</v>
      </c>
      <c r="J268" t="s">
        <v>124</v>
      </c>
      <c r="K268" t="s">
        <v>429</v>
      </c>
      <c r="L268" t="s">
        <v>2354</v>
      </c>
      <c r="M268" s="100" t="str">
        <f t="shared" si="8"/>
        <v>CPD_TC43_Try5_NCAP3_3YO_1L_CPD.MF4.xz</v>
      </c>
      <c r="N268" s="59" t="str">
        <f t="shared" si="9"/>
        <v>_NCAP3_3YO_1L_CPD.MF4.xz</v>
      </c>
      <c r="O268" t="s">
        <v>191</v>
      </c>
    </row>
    <row r="269" spans="1:16">
      <c r="A269" s="38">
        <v>44</v>
      </c>
      <c r="B269" t="s">
        <v>2304</v>
      </c>
      <c r="C269" t="s">
        <v>66</v>
      </c>
      <c r="D269" s="97" t="e">
        <f>_xlfn.XLOOKUP(A269,[1]CPD_SOP_new!$A:$A,[1]CPD_SOP_new!#REF!,"not found",0 )</f>
        <v>#REF!</v>
      </c>
      <c r="E269" s="97" t="s">
        <v>112</v>
      </c>
      <c r="F269" t="s">
        <v>27</v>
      </c>
      <c r="G269" t="s">
        <v>27</v>
      </c>
      <c r="H269" t="s">
        <v>27</v>
      </c>
      <c r="I269" t="s">
        <v>28</v>
      </c>
      <c r="J269" t="s">
        <v>124</v>
      </c>
      <c r="K269" t="s">
        <v>430</v>
      </c>
      <c r="L269" t="s">
        <v>2355</v>
      </c>
      <c r="M269" s="100" t="str">
        <f t="shared" si="8"/>
        <v>TC_44_Try1_NCAP3_3YO_1L_CPD.MF4.xz</v>
      </c>
      <c r="N269" s="59" t="str">
        <f t="shared" si="9"/>
        <v>_NCAP3_3YO_1L_CPD.MF4.xz</v>
      </c>
      <c r="O269" s="11" t="s">
        <v>380</v>
      </c>
      <c r="P269" s="132"/>
    </row>
    <row r="270" spans="1:16">
      <c r="A270" s="38">
        <v>44</v>
      </c>
      <c r="B270" t="s">
        <v>2304</v>
      </c>
      <c r="C270" t="s">
        <v>66</v>
      </c>
      <c r="D270" s="97" t="e">
        <f>_xlfn.XLOOKUP(A270,[1]CPD_SOP_new!$A:$A,[1]CPD_SOP_new!#REF!,"not found",0 )</f>
        <v>#REF!</v>
      </c>
      <c r="E270" s="97" t="s">
        <v>112</v>
      </c>
      <c r="F270" t="s">
        <v>27</v>
      </c>
      <c r="G270" t="s">
        <v>27</v>
      </c>
      <c r="H270" t="s">
        <v>27</v>
      </c>
      <c r="I270" t="s">
        <v>28</v>
      </c>
      <c r="J270" t="s">
        <v>124</v>
      </c>
      <c r="K270" t="s">
        <v>431</v>
      </c>
      <c r="L270" t="s">
        <v>2356</v>
      </c>
      <c r="M270" s="100" t="str">
        <f t="shared" si="8"/>
        <v>TC_44_Try2_NCAP3_3YO_1L_CPD.MF4.xz</v>
      </c>
      <c r="N270" s="59" t="str">
        <f t="shared" si="9"/>
        <v>_NCAP3_3YO_1L_CPD.MF4.xz</v>
      </c>
      <c r="O270" s="11" t="s">
        <v>380</v>
      </c>
      <c r="P270" s="132"/>
    </row>
    <row r="271" spans="1:16">
      <c r="A271" s="38">
        <v>44</v>
      </c>
      <c r="B271" t="s">
        <v>2304</v>
      </c>
      <c r="C271" t="s">
        <v>66</v>
      </c>
      <c r="D271" s="97" t="e">
        <f>_xlfn.XLOOKUP(A271,[1]CPD_SOP_new!$A:$A,[1]CPD_SOP_new!#REF!,"not found",0 )</f>
        <v>#REF!</v>
      </c>
      <c r="E271" s="97" t="s">
        <v>112</v>
      </c>
      <c r="F271" t="s">
        <v>27</v>
      </c>
      <c r="G271" t="s">
        <v>27</v>
      </c>
      <c r="H271" t="s">
        <v>27</v>
      </c>
      <c r="I271" t="s">
        <v>28</v>
      </c>
      <c r="J271" t="s">
        <v>124</v>
      </c>
      <c r="K271" t="s">
        <v>432</v>
      </c>
      <c r="L271" t="s">
        <v>2357</v>
      </c>
      <c r="M271" s="100" t="str">
        <f t="shared" si="8"/>
        <v>TC_44_Try3_NCAP3_3YO_1L_CPD.MF4.xz</v>
      </c>
      <c r="N271" s="59" t="str">
        <f t="shared" si="9"/>
        <v>_NCAP3_3YO_1L_CPD.MF4.xz</v>
      </c>
      <c r="O271" s="11" t="s">
        <v>380</v>
      </c>
      <c r="P271" s="132"/>
    </row>
    <row r="272" spans="1:16">
      <c r="A272" s="38">
        <v>45</v>
      </c>
      <c r="B272" t="s">
        <v>2304</v>
      </c>
      <c r="C272" t="s">
        <v>66</v>
      </c>
      <c r="D272" s="97" t="e">
        <f>_xlfn.XLOOKUP(A272,[1]CPD_SOP_new!$A:$A,[1]CPD_SOP_new!#REF!,"not found",0 )</f>
        <v>#REF!</v>
      </c>
      <c r="E272" s="97" t="s">
        <v>112</v>
      </c>
      <c r="F272" t="s">
        <v>27</v>
      </c>
      <c r="G272" t="s">
        <v>27</v>
      </c>
      <c r="H272" t="s">
        <v>27</v>
      </c>
      <c r="I272" t="s">
        <v>28</v>
      </c>
      <c r="J272" t="s">
        <v>124</v>
      </c>
      <c r="K272" t="s">
        <v>433</v>
      </c>
      <c r="L272" t="s">
        <v>2358</v>
      </c>
      <c r="M272" s="100" t="str">
        <f t="shared" si="8"/>
        <v>TC_45_Try1_NCAP3_3YO_1L_CPD.MF4.xz</v>
      </c>
      <c r="N272" s="59" t="str">
        <f t="shared" si="9"/>
        <v>_NCAP3_3YO_1L_CPD.MF4.xz</v>
      </c>
      <c r="O272" s="11" t="s">
        <v>380</v>
      </c>
      <c r="P272" s="132"/>
    </row>
    <row r="273" spans="1:16">
      <c r="A273" s="38">
        <v>45</v>
      </c>
      <c r="B273" t="s">
        <v>2304</v>
      </c>
      <c r="C273" t="s">
        <v>66</v>
      </c>
      <c r="D273" s="97" t="e">
        <f>_xlfn.XLOOKUP(A273,[1]CPD_SOP_new!$A:$A,[1]CPD_SOP_new!#REF!,"not found",0 )</f>
        <v>#REF!</v>
      </c>
      <c r="E273" s="97" t="s">
        <v>112</v>
      </c>
      <c r="F273" t="s">
        <v>27</v>
      </c>
      <c r="G273" t="s">
        <v>27</v>
      </c>
      <c r="H273" t="s">
        <v>27</v>
      </c>
      <c r="I273" t="s">
        <v>28</v>
      </c>
      <c r="J273" t="s">
        <v>124</v>
      </c>
      <c r="K273" t="s">
        <v>434</v>
      </c>
      <c r="L273" t="s">
        <v>2359</v>
      </c>
      <c r="M273" s="100" t="str">
        <f t="shared" si="8"/>
        <v>TC_45_Try2_NCAP3_3YO_1L_CPD.MF4.xz</v>
      </c>
      <c r="N273" s="59" t="str">
        <f t="shared" si="9"/>
        <v>_NCAP3_3YO_1L_CPD.MF4.xz</v>
      </c>
      <c r="O273" s="11" t="s">
        <v>380</v>
      </c>
      <c r="P273" s="132"/>
    </row>
    <row r="274" spans="1:16">
      <c r="A274" s="38">
        <v>45</v>
      </c>
      <c r="B274" t="s">
        <v>2304</v>
      </c>
      <c r="C274" t="s">
        <v>66</v>
      </c>
      <c r="D274" s="97" t="e">
        <f>_xlfn.XLOOKUP(A274,[1]CPD_SOP_new!$A:$A,[1]CPD_SOP_new!#REF!,"not found",0 )</f>
        <v>#REF!</v>
      </c>
      <c r="E274" s="97" t="s">
        <v>112</v>
      </c>
      <c r="F274" t="s">
        <v>27</v>
      </c>
      <c r="G274" t="s">
        <v>27</v>
      </c>
      <c r="H274" t="s">
        <v>27</v>
      </c>
      <c r="I274" t="s">
        <v>28</v>
      </c>
      <c r="J274" t="s">
        <v>124</v>
      </c>
      <c r="K274" t="s">
        <v>435</v>
      </c>
      <c r="L274" t="s">
        <v>2360</v>
      </c>
      <c r="M274" s="100" t="str">
        <f t="shared" si="8"/>
        <v>TC_45_Try3_NCAP3_3YO_1L_CPD.MF4.xz</v>
      </c>
      <c r="N274" s="59" t="str">
        <f t="shared" si="9"/>
        <v>_NCAP3_3YO_1L_CPD.MF4.xz</v>
      </c>
      <c r="O274" s="11" t="s">
        <v>380</v>
      </c>
      <c r="P274" s="132"/>
    </row>
    <row r="275" spans="1:16">
      <c r="A275" s="38">
        <v>46</v>
      </c>
      <c r="B275" t="s">
        <v>2304</v>
      </c>
      <c r="C275" t="s">
        <v>66</v>
      </c>
      <c r="D275" s="97" t="e">
        <f>_xlfn.XLOOKUP(A275,[1]CPD_SOP_new!$A:$A,[1]CPD_SOP_new!#REF!,"not found",0 )</f>
        <v>#REF!</v>
      </c>
      <c r="E275" s="97" t="s">
        <v>112</v>
      </c>
      <c r="F275" t="s">
        <v>27</v>
      </c>
      <c r="G275" t="s">
        <v>27</v>
      </c>
      <c r="H275" t="s">
        <v>27</v>
      </c>
      <c r="I275" t="s">
        <v>28</v>
      </c>
      <c r="J275" t="s">
        <v>124</v>
      </c>
      <c r="K275" t="s">
        <v>436</v>
      </c>
      <c r="L275" t="s">
        <v>2361</v>
      </c>
      <c r="M275" s="100" t="str">
        <f t="shared" si="8"/>
        <v>TC_46_Try1_NCAP3_3YO_1L_CPD.MF4.xz</v>
      </c>
      <c r="N275" s="59" t="str">
        <f t="shared" si="9"/>
        <v>_NCAP3_3YO_1L_CPD.MF4.xz</v>
      </c>
      <c r="O275" s="11" t="s">
        <v>380</v>
      </c>
      <c r="P275" s="132"/>
    </row>
    <row r="276" spans="1:16" s="137" customFormat="1">
      <c r="A276" s="79">
        <v>46</v>
      </c>
      <c r="B276" s="137" t="s">
        <v>2304</v>
      </c>
      <c r="C276" s="137" t="s">
        <v>66</v>
      </c>
      <c r="D276" s="97" t="e">
        <f>_xlfn.XLOOKUP(A276,[1]CPD_SOP_new!$A:$A,[1]CPD_SOP_new!#REF!,"not found",0 )</f>
        <v>#REF!</v>
      </c>
      <c r="E276" s="97" t="s">
        <v>112</v>
      </c>
      <c r="F276" s="137" t="s">
        <v>27</v>
      </c>
      <c r="G276" s="137" t="s">
        <v>27</v>
      </c>
      <c r="H276" s="137" t="s">
        <v>27</v>
      </c>
      <c r="I276" s="137" t="s">
        <v>27</v>
      </c>
      <c r="J276" s="90" t="s">
        <v>437</v>
      </c>
      <c r="K276" s="137" t="s">
        <v>438</v>
      </c>
      <c r="L276" s="137" t="s">
        <v>723</v>
      </c>
      <c r="M276" s="100" t="str">
        <f t="shared" si="8"/>
        <v>Wrong measurement</v>
      </c>
      <c r="N276" s="59" t="str">
        <f t="shared" si="9"/>
        <v>Wrong measurement</v>
      </c>
      <c r="O276" s="55" t="s">
        <v>380</v>
      </c>
      <c r="P276" s="135"/>
    </row>
    <row r="277" spans="1:16">
      <c r="A277" s="38">
        <v>46</v>
      </c>
      <c r="B277" t="s">
        <v>2304</v>
      </c>
      <c r="C277" t="s">
        <v>66</v>
      </c>
      <c r="D277" s="97" t="e">
        <f>_xlfn.XLOOKUP(A277,[1]CPD_SOP_new!$A:$A,[1]CPD_SOP_new!#REF!,"not found",0 )</f>
        <v>#REF!</v>
      </c>
      <c r="E277" s="97" t="s">
        <v>112</v>
      </c>
      <c r="F277" t="s">
        <v>27</v>
      </c>
      <c r="G277" t="s">
        <v>27</v>
      </c>
      <c r="H277" t="s">
        <v>27</v>
      </c>
      <c r="I277" t="s">
        <v>28</v>
      </c>
      <c r="J277" t="s">
        <v>124</v>
      </c>
      <c r="K277" t="s">
        <v>439</v>
      </c>
      <c r="L277" t="s">
        <v>2362</v>
      </c>
      <c r="M277" s="100" t="str">
        <f t="shared" si="8"/>
        <v>TC_46_Try3_NCAP3_3YO_1L_CPD.MF4.xz</v>
      </c>
      <c r="N277" s="59" t="str">
        <f t="shared" si="9"/>
        <v>_NCAP3_3YO_1L_CPD.MF4.xz</v>
      </c>
      <c r="O277" s="11" t="s">
        <v>380</v>
      </c>
      <c r="P277" s="132"/>
    </row>
    <row r="278" spans="1:16">
      <c r="A278" s="38">
        <v>47</v>
      </c>
      <c r="B278" t="s">
        <v>2304</v>
      </c>
      <c r="C278" t="s">
        <v>66</v>
      </c>
      <c r="D278" s="97" t="e">
        <f>_xlfn.XLOOKUP(A278,[1]CPD_SOP_new!$A:$A,[1]CPD_SOP_new!#REF!,"not found",0 )</f>
        <v>#REF!</v>
      </c>
      <c r="E278" s="97" t="s">
        <v>112</v>
      </c>
      <c r="F278" t="s">
        <v>28</v>
      </c>
      <c r="G278" t="s">
        <v>27</v>
      </c>
      <c r="H278" t="s">
        <v>27</v>
      </c>
      <c r="I278" t="s">
        <v>28</v>
      </c>
      <c r="J278" t="s">
        <v>124</v>
      </c>
      <c r="K278" t="s">
        <v>440</v>
      </c>
      <c r="L278" t="s">
        <v>2363</v>
      </c>
      <c r="M278" s="100" t="str">
        <f t="shared" si="8"/>
        <v>CSR_XCP_Signals_Recorder_2025-12-18_16-30-23_TC47_CPD_NCAP3_3YO_1L_CPD.MF4.xz</v>
      </c>
      <c r="N278" s="59" t="str">
        <f t="shared" si="9"/>
        <v>_NCAP3_3YO_1L_CPD.MF4.xz</v>
      </c>
      <c r="O278" s="11" t="s">
        <v>2364</v>
      </c>
      <c r="P278" s="132"/>
    </row>
    <row r="279" spans="1:16">
      <c r="A279" s="38">
        <v>47</v>
      </c>
      <c r="B279" t="s">
        <v>2304</v>
      </c>
      <c r="C279" t="s">
        <v>66</v>
      </c>
      <c r="D279" s="97" t="e">
        <f>_xlfn.XLOOKUP(A279,[1]CPD_SOP_new!$A:$A,[1]CPD_SOP_new!#REF!,"not found",0 )</f>
        <v>#REF!</v>
      </c>
      <c r="E279" s="97" t="s">
        <v>112</v>
      </c>
      <c r="F279" t="s">
        <v>28</v>
      </c>
      <c r="G279" t="s">
        <v>27</v>
      </c>
      <c r="H279" t="s">
        <v>27</v>
      </c>
      <c r="I279" t="s">
        <v>28</v>
      </c>
      <c r="J279" t="s">
        <v>124</v>
      </c>
      <c r="K279" t="s">
        <v>441</v>
      </c>
      <c r="L279" t="s">
        <v>2365</v>
      </c>
      <c r="M279" s="100" t="str">
        <f t="shared" si="8"/>
        <v>CSR_XCP_Signals_Recorder_2025-12-18_16-32-06_TC47_CPD_NCAP3_3YO_1L_CPD.MF4.xz</v>
      </c>
      <c r="N279" s="59" t="str">
        <f t="shared" si="9"/>
        <v>_NCAP3_3YO_1L_CPD.MF4.xz</v>
      </c>
      <c r="O279" s="11" t="s">
        <v>2364</v>
      </c>
      <c r="P279" s="132"/>
    </row>
    <row r="280" spans="1:16">
      <c r="A280" s="38">
        <v>47</v>
      </c>
      <c r="B280" t="s">
        <v>2304</v>
      </c>
      <c r="C280" t="s">
        <v>66</v>
      </c>
      <c r="D280" s="97" t="e">
        <f>_xlfn.XLOOKUP(A280,[1]CPD_SOP_new!$A:$A,[1]CPD_SOP_new!#REF!,"not found",0 )</f>
        <v>#REF!</v>
      </c>
      <c r="E280" s="97" t="s">
        <v>112</v>
      </c>
      <c r="F280" t="s">
        <v>28</v>
      </c>
      <c r="G280" t="s">
        <v>27</v>
      </c>
      <c r="H280" t="s">
        <v>27</v>
      </c>
      <c r="I280" t="s">
        <v>28</v>
      </c>
      <c r="J280" t="s">
        <v>124</v>
      </c>
      <c r="K280" t="s">
        <v>442</v>
      </c>
      <c r="L280" t="s">
        <v>2366</v>
      </c>
      <c r="M280" s="100" t="str">
        <f t="shared" si="8"/>
        <v>CSR_XCP_Signals_Recorder_2025-12-18_16-34-14_TC47_CPD_NCAP3_3YO_1L_CPD.MF4.xz</v>
      </c>
      <c r="N280" s="59" t="str">
        <f t="shared" si="9"/>
        <v>_NCAP3_3YO_1L_CPD.MF4.xz</v>
      </c>
      <c r="O280" s="11" t="s">
        <v>2364</v>
      </c>
      <c r="P280" s="132"/>
    </row>
    <row r="281" spans="1:16">
      <c r="A281" s="38">
        <v>47</v>
      </c>
      <c r="B281" t="s">
        <v>2304</v>
      </c>
      <c r="C281" t="s">
        <v>66</v>
      </c>
      <c r="D281" s="97" t="e">
        <f>_xlfn.XLOOKUP(A281,[1]CPD_SOP_new!$A:$A,[1]CPD_SOP_new!#REF!,"not found",0 )</f>
        <v>#REF!</v>
      </c>
      <c r="E281" s="97" t="s">
        <v>112</v>
      </c>
      <c r="F281" t="s">
        <v>28</v>
      </c>
      <c r="G281" t="s">
        <v>27</v>
      </c>
      <c r="H281" t="s">
        <v>27</v>
      </c>
      <c r="I281" t="s">
        <v>28</v>
      </c>
      <c r="J281" t="s">
        <v>124</v>
      </c>
      <c r="K281" t="s">
        <v>443</v>
      </c>
      <c r="L281" t="s">
        <v>2367</v>
      </c>
      <c r="M281" s="100" t="str">
        <f t="shared" si="8"/>
        <v>CSR_XCP_Signals_Recorder_2025-12-18_16-35-56_TC47_CPD_NCAP3_3YO_1L_CPD.MF4.xz</v>
      </c>
      <c r="N281" s="59" t="str">
        <f t="shared" si="9"/>
        <v>_NCAP3_3YO_1L_CPD.MF4.xz</v>
      </c>
      <c r="O281" s="11" t="s">
        <v>2364</v>
      </c>
      <c r="P281" s="132"/>
    </row>
    <row r="282" spans="1:16">
      <c r="A282" s="38">
        <v>47</v>
      </c>
      <c r="B282" t="s">
        <v>2304</v>
      </c>
      <c r="C282" t="s">
        <v>66</v>
      </c>
      <c r="D282" s="97" t="e">
        <f>_xlfn.XLOOKUP(A282,[1]CPD_SOP_new!$A:$A,[1]CPD_SOP_new!#REF!,"not found",0 )</f>
        <v>#REF!</v>
      </c>
      <c r="E282" s="97" t="s">
        <v>112</v>
      </c>
      <c r="F282" t="s">
        <v>28</v>
      </c>
      <c r="G282" t="s">
        <v>27</v>
      </c>
      <c r="H282" t="s">
        <v>27</v>
      </c>
      <c r="I282" t="s">
        <v>28</v>
      </c>
      <c r="J282" t="s">
        <v>124</v>
      </c>
      <c r="K282" t="s">
        <v>444</v>
      </c>
      <c r="L282" t="s">
        <v>2368</v>
      </c>
      <c r="M282" s="100" t="str">
        <f t="shared" si="8"/>
        <v>CSR_XCP_Signals_Recorder_2025-12-18_16-38-46_TC47_CPD_NCAP3_3YO_1L_CPD.MF4.xz</v>
      </c>
      <c r="N282" s="59" t="str">
        <f t="shared" si="9"/>
        <v>_NCAP3_3YO_1L_CPD.MF4.xz</v>
      </c>
      <c r="O282" s="11" t="s">
        <v>2364</v>
      </c>
      <c r="P282" s="132"/>
    </row>
    <row r="283" spans="1:16">
      <c r="A283" s="77">
        <v>48</v>
      </c>
      <c r="B283" t="s">
        <v>2304</v>
      </c>
      <c r="C283" t="s">
        <v>66</v>
      </c>
      <c r="D283" s="97" t="e">
        <f>_xlfn.XLOOKUP(A283,[1]CPD_SOP_new!$A:$A,[1]CPD_SOP_new!#REF!,"not found",0 )</f>
        <v>#REF!</v>
      </c>
      <c r="E283" s="97" t="str">
        <f>_xlfn.XLOOKUP(A283,[1]CPD_SOP_new!$A:$A,[1]CPD_SOP_new!$K:$K,"not found",0 )</f>
        <v>2R</v>
      </c>
      <c r="F283" t="s">
        <v>27</v>
      </c>
      <c r="G283" t="s">
        <v>28</v>
      </c>
      <c r="H283" t="s">
        <v>28</v>
      </c>
      <c r="I283" t="s">
        <v>28</v>
      </c>
      <c r="J283" t="s">
        <v>124</v>
      </c>
      <c r="K283" s="60" t="s">
        <v>445</v>
      </c>
      <c r="L283" s="60" t="s">
        <v>2369</v>
      </c>
      <c r="M283" s="100" t="str">
        <f t="shared" si="8"/>
        <v>TC48_Try_1_NCAP3_3YO_2R_CPD.MF4.xz</v>
      </c>
      <c r="N283" s="59" t="str">
        <f t="shared" si="9"/>
        <v>_NCAP3_3YO_2R_CPD.MF4.xz</v>
      </c>
      <c r="O283" s="66" t="s">
        <v>446</v>
      </c>
      <c r="P283" s="129"/>
    </row>
    <row r="284" spans="1:16">
      <c r="A284" s="77">
        <v>48</v>
      </c>
      <c r="B284" t="s">
        <v>2304</v>
      </c>
      <c r="C284" t="s">
        <v>66</v>
      </c>
      <c r="D284" s="97" t="e">
        <f>_xlfn.XLOOKUP(A284,[1]CPD_SOP_new!$A:$A,[1]CPD_SOP_new!#REF!,"not found",0 )</f>
        <v>#REF!</v>
      </c>
      <c r="E284" s="97" t="str">
        <f>_xlfn.XLOOKUP(A284,[1]CPD_SOP_new!$A:$A,[1]CPD_SOP_new!$K:$K,"not found",0 )</f>
        <v>2R</v>
      </c>
      <c r="F284" t="s">
        <v>27</v>
      </c>
      <c r="G284" t="s">
        <v>28</v>
      </c>
      <c r="H284" t="s">
        <v>28</v>
      </c>
      <c r="I284" t="s">
        <v>28</v>
      </c>
      <c r="J284" t="s">
        <v>124</v>
      </c>
      <c r="K284" s="60" t="s">
        <v>447</v>
      </c>
      <c r="L284" s="60" t="s">
        <v>2370</v>
      </c>
      <c r="M284" s="100" t="str">
        <f t="shared" si="8"/>
        <v>TC48_Try_2_NCAP3_3YO_2R_CPD.MF4.xz</v>
      </c>
      <c r="N284" s="59" t="str">
        <f t="shared" si="9"/>
        <v>_NCAP3_3YO_2R_CPD.MF4.xz</v>
      </c>
      <c r="O284" s="66" t="s">
        <v>446</v>
      </c>
      <c r="P284" s="129"/>
    </row>
    <row r="285" spans="1:16">
      <c r="A285" s="77">
        <v>48</v>
      </c>
      <c r="B285" t="s">
        <v>2304</v>
      </c>
      <c r="C285" t="s">
        <v>66</v>
      </c>
      <c r="D285" s="97" t="e">
        <f>_xlfn.XLOOKUP(A285,[1]CPD_SOP_new!$A:$A,[1]CPD_SOP_new!#REF!,"not found",0 )</f>
        <v>#REF!</v>
      </c>
      <c r="E285" s="97" t="str">
        <f>_xlfn.XLOOKUP(A285,[1]CPD_SOP_new!$A:$A,[1]CPD_SOP_new!$K:$K,"not found",0 )</f>
        <v>2R</v>
      </c>
      <c r="F285" t="s">
        <v>27</v>
      </c>
      <c r="G285" t="s">
        <v>28</v>
      </c>
      <c r="H285" t="s">
        <v>28</v>
      </c>
      <c r="I285" t="s">
        <v>28</v>
      </c>
      <c r="J285" t="s">
        <v>124</v>
      </c>
      <c r="K285" s="60" t="s">
        <v>448</v>
      </c>
      <c r="L285" s="60" t="s">
        <v>2371</v>
      </c>
      <c r="M285" s="100" t="str">
        <f t="shared" si="8"/>
        <v>TC48_Try_3_NCAP3_3YO_2R_CPD.MF4.xz</v>
      </c>
      <c r="N285" s="59" t="str">
        <f t="shared" si="9"/>
        <v>_NCAP3_3YO_2R_CPD.MF4.xz</v>
      </c>
      <c r="O285" s="66" t="s">
        <v>446</v>
      </c>
      <c r="P285" s="129"/>
    </row>
    <row r="286" spans="1:16" s="137" customFormat="1">
      <c r="A286" s="79">
        <v>49</v>
      </c>
      <c r="B286" s="137" t="s">
        <v>2304</v>
      </c>
      <c r="C286" s="137" t="s">
        <v>66</v>
      </c>
      <c r="D286" s="97" t="e">
        <f>_xlfn.XLOOKUP(A286,[1]CPD_SOP_new!$A:$A,[1]CPD_SOP_new!#REF!,"not found",0 )</f>
        <v>#REF!</v>
      </c>
      <c r="E286" s="97" t="str">
        <f>_xlfn.XLOOKUP(A286,[1]CPD_SOP_new!$A:$A,[1]CPD_SOP_new!$K:$K,"not found",0 )</f>
        <v>2L</v>
      </c>
      <c r="F286" s="137" t="s">
        <v>27</v>
      </c>
      <c r="G286" s="137" t="s">
        <v>27</v>
      </c>
      <c r="H286" s="137" t="s">
        <v>27</v>
      </c>
      <c r="I286" s="137" t="s">
        <v>27</v>
      </c>
      <c r="J286" s="137" t="s">
        <v>544</v>
      </c>
      <c r="K286" s="137" t="s">
        <v>852</v>
      </c>
      <c r="L286" s="137" t="s">
        <v>723</v>
      </c>
      <c r="M286" s="100" t="str">
        <f t="shared" si="8"/>
        <v>Wrong measurement</v>
      </c>
      <c r="N286" s="59" t="str">
        <f t="shared" si="9"/>
        <v>Wrong measurement</v>
      </c>
      <c r="O286" s="129" t="s">
        <v>853</v>
      </c>
      <c r="P286" s="129"/>
    </row>
    <row r="287" spans="1:16" s="137" customFormat="1">
      <c r="A287" s="79">
        <v>49</v>
      </c>
      <c r="B287" s="137" t="s">
        <v>2304</v>
      </c>
      <c r="C287" s="137" t="s">
        <v>66</v>
      </c>
      <c r="D287" s="97" t="e">
        <f>_xlfn.XLOOKUP(A287,[1]CPD_SOP_new!$A:$A,[1]CPD_SOP_new!#REF!,"not found",0 )</f>
        <v>#REF!</v>
      </c>
      <c r="E287" s="97" t="str">
        <f>_xlfn.XLOOKUP(A287,[1]CPD_SOP_new!$A:$A,[1]CPD_SOP_new!$K:$K,"not found",0 )</f>
        <v>2L</v>
      </c>
      <c r="F287" s="137" t="s">
        <v>27</v>
      </c>
      <c r="G287" s="137" t="s">
        <v>27</v>
      </c>
      <c r="H287" s="137" t="s">
        <v>27</v>
      </c>
      <c r="I287" s="137" t="s">
        <v>27</v>
      </c>
      <c r="J287" s="137" t="s">
        <v>544</v>
      </c>
      <c r="K287" s="137" t="s">
        <v>854</v>
      </c>
      <c r="L287" s="137" t="s">
        <v>723</v>
      </c>
      <c r="M287" s="100" t="str">
        <f t="shared" si="8"/>
        <v>Wrong measurement</v>
      </c>
      <c r="N287" s="59" t="str">
        <f t="shared" si="9"/>
        <v>Wrong measurement</v>
      </c>
      <c r="O287" s="129" t="s">
        <v>853</v>
      </c>
      <c r="P287" s="129"/>
    </row>
    <row r="288" spans="1:16" s="137" customFormat="1">
      <c r="A288" s="79">
        <v>49</v>
      </c>
      <c r="B288" s="137" t="s">
        <v>2304</v>
      </c>
      <c r="C288" s="137" t="s">
        <v>66</v>
      </c>
      <c r="D288" s="97" t="e">
        <f>_xlfn.XLOOKUP(A288,[1]CPD_SOP_new!$A:$A,[1]CPD_SOP_new!#REF!,"not found",0 )</f>
        <v>#REF!</v>
      </c>
      <c r="E288" s="97" t="str">
        <f>_xlfn.XLOOKUP(A288,[1]CPD_SOP_new!$A:$A,[1]CPD_SOP_new!$K:$K,"not found",0 )</f>
        <v>2L</v>
      </c>
      <c r="F288" s="137" t="s">
        <v>27</v>
      </c>
      <c r="G288" s="137" t="s">
        <v>27</v>
      </c>
      <c r="H288" s="137" t="s">
        <v>27</v>
      </c>
      <c r="I288" s="137" t="s">
        <v>27</v>
      </c>
      <c r="J288" s="137" t="s">
        <v>544</v>
      </c>
      <c r="K288" s="137" t="s">
        <v>855</v>
      </c>
      <c r="L288" s="137" t="s">
        <v>723</v>
      </c>
      <c r="M288" s="100" t="str">
        <f t="shared" si="8"/>
        <v>Wrong measurement</v>
      </c>
      <c r="N288" s="59" t="str">
        <f t="shared" si="9"/>
        <v>Wrong measurement</v>
      </c>
      <c r="O288" s="129" t="s">
        <v>853</v>
      </c>
      <c r="P288" s="129"/>
    </row>
    <row r="289" spans="1:21">
      <c r="A289" s="38">
        <v>49</v>
      </c>
      <c r="B289" t="s">
        <v>2304</v>
      </c>
      <c r="C289" t="s">
        <v>66</v>
      </c>
      <c r="D289" s="97" t="e">
        <f>_xlfn.XLOOKUP(A289,[1]CPD_SOP_new!$A:$A,[1]CPD_SOP_new!#REF!,"not found",0 )</f>
        <v>#REF!</v>
      </c>
      <c r="E289" s="97" t="str">
        <f>_xlfn.XLOOKUP(A289,[1]CPD_SOP_new!$A:$A,[1]CPD_SOP_new!$K:$K,"not found",0 )</f>
        <v>2L</v>
      </c>
      <c r="F289" t="s">
        <v>27</v>
      </c>
      <c r="G289" t="s">
        <v>27</v>
      </c>
      <c r="H289" t="s">
        <v>27</v>
      </c>
      <c r="I289" t="s">
        <v>28</v>
      </c>
      <c r="J289" t="s">
        <v>124</v>
      </c>
      <c r="K289" t="s">
        <v>452</v>
      </c>
      <c r="L289" t="s">
        <v>2372</v>
      </c>
      <c r="M289" s="100" t="str">
        <f t="shared" si="8"/>
        <v>TC49_Try_1_NCAP3_3YO_2L_CPD.MF4.xz</v>
      </c>
      <c r="N289" s="59" t="str">
        <f t="shared" si="9"/>
        <v>_NCAP3_3YO_2L_CPD.MF4.xz</v>
      </c>
      <c r="O289" s="66" t="s">
        <v>446</v>
      </c>
      <c r="P289" s="129"/>
    </row>
    <row r="290" spans="1:21">
      <c r="A290" s="38">
        <v>49</v>
      </c>
      <c r="B290" t="s">
        <v>2304</v>
      </c>
      <c r="C290" t="s">
        <v>66</v>
      </c>
      <c r="D290" s="97" t="e">
        <f>_xlfn.XLOOKUP(A290,[1]CPD_SOP_new!$A:$A,[1]CPD_SOP_new!#REF!,"not found",0 )</f>
        <v>#REF!</v>
      </c>
      <c r="E290" s="97" t="str">
        <f>_xlfn.XLOOKUP(A290,[1]CPD_SOP_new!$A:$A,[1]CPD_SOP_new!$K:$K,"not found",0 )</f>
        <v>2L</v>
      </c>
      <c r="F290" t="s">
        <v>27</v>
      </c>
      <c r="G290" t="s">
        <v>27</v>
      </c>
      <c r="H290" t="s">
        <v>27</v>
      </c>
      <c r="I290" t="s">
        <v>28</v>
      </c>
      <c r="J290" t="s">
        <v>124</v>
      </c>
      <c r="K290" t="s">
        <v>453</v>
      </c>
      <c r="L290" t="s">
        <v>2373</v>
      </c>
      <c r="M290" s="100" t="str">
        <f t="shared" si="8"/>
        <v>TC49_Try_2_NCAP3_3YO_2L_CPD.MF4.xz</v>
      </c>
      <c r="N290" s="59" t="str">
        <f t="shared" si="9"/>
        <v>_NCAP3_3YO_2L_CPD.MF4.xz</v>
      </c>
      <c r="O290" s="66" t="s">
        <v>446</v>
      </c>
      <c r="P290" s="129"/>
    </row>
    <row r="291" spans="1:21">
      <c r="A291" s="38">
        <v>49</v>
      </c>
      <c r="B291" t="s">
        <v>2304</v>
      </c>
      <c r="C291" t="s">
        <v>66</v>
      </c>
      <c r="D291" s="97" t="e">
        <f>_xlfn.XLOOKUP(A291,[1]CPD_SOP_new!$A:$A,[1]CPD_SOP_new!#REF!,"not found",0 )</f>
        <v>#REF!</v>
      </c>
      <c r="E291" s="97" t="str">
        <f>_xlfn.XLOOKUP(A291,[1]CPD_SOP_new!$A:$A,[1]CPD_SOP_new!$K:$K,"not found",0 )</f>
        <v>2L</v>
      </c>
      <c r="F291" t="s">
        <v>27</v>
      </c>
      <c r="G291" t="s">
        <v>27</v>
      </c>
      <c r="H291" t="s">
        <v>27</v>
      </c>
      <c r="I291" t="s">
        <v>28</v>
      </c>
      <c r="J291" t="s">
        <v>124</v>
      </c>
      <c r="K291" t="s">
        <v>454</v>
      </c>
      <c r="L291" t="s">
        <v>2374</v>
      </c>
      <c r="M291" s="100" t="str">
        <f t="shared" si="8"/>
        <v>TC49_Try_3_NCAP3_3YO_2L_CPD.MF4.xz</v>
      </c>
      <c r="N291" s="59" t="str">
        <f t="shared" si="9"/>
        <v>_NCAP3_3YO_2L_CPD.MF4.xz</v>
      </c>
      <c r="O291" s="66" t="s">
        <v>446</v>
      </c>
      <c r="P291" s="129"/>
    </row>
    <row r="292" spans="1:21">
      <c r="A292" s="38">
        <v>50</v>
      </c>
      <c r="B292" t="s">
        <v>2304</v>
      </c>
      <c r="C292" t="s">
        <v>66</v>
      </c>
      <c r="D292" s="97" t="e">
        <f>_xlfn.XLOOKUP(A292,[1]CPD_SOP_new!$A:$A,[1]CPD_SOP_new!#REF!,"not found",0 )</f>
        <v>#REF!</v>
      </c>
      <c r="E292" s="97" t="str">
        <f>_xlfn.XLOOKUP(A292,[1]CPD_SOP_new!$A:$A,[1]CPD_SOP_new!$K:$K,"not found",0 )</f>
        <v>2C</v>
      </c>
      <c r="F292" t="s">
        <v>27</v>
      </c>
      <c r="G292" t="s">
        <v>27</v>
      </c>
      <c r="H292" t="s">
        <v>27</v>
      </c>
      <c r="I292" t="s">
        <v>28</v>
      </c>
      <c r="J292" t="s">
        <v>124</v>
      </c>
      <c r="K292" t="s">
        <v>2375</v>
      </c>
      <c r="L292" t="s">
        <v>2376</v>
      </c>
      <c r="M292" s="100" t="str">
        <f t="shared" si="8"/>
        <v>MMC4.1.2/Validation/2025_12_02/ChildSleep/ncap3/TC_50_Try1_NCAP3_3YO_2C_CPD.MF4.xz</v>
      </c>
      <c r="N292" s="59" t="str">
        <f t="shared" si="9"/>
        <v>_NCAP3_3YO_2C_CPD.MF4.xz</v>
      </c>
      <c r="O292" s="11" t="s">
        <v>380</v>
      </c>
      <c r="P292" s="132"/>
    </row>
    <row r="293" spans="1:21">
      <c r="A293" s="38">
        <v>50</v>
      </c>
      <c r="B293" t="s">
        <v>2304</v>
      </c>
      <c r="C293" t="s">
        <v>66</v>
      </c>
      <c r="D293" s="97" t="e">
        <f>_xlfn.XLOOKUP(A293,[1]CPD_SOP_new!$A:$A,[1]CPD_SOP_new!#REF!,"not found",0 )</f>
        <v>#REF!</v>
      </c>
      <c r="E293" s="97" t="str">
        <f>_xlfn.XLOOKUP(A293,[1]CPD_SOP_new!$A:$A,[1]CPD_SOP_new!$K:$K,"not found",0 )</f>
        <v>2C</v>
      </c>
      <c r="F293" t="s">
        <v>27</v>
      </c>
      <c r="G293" t="s">
        <v>27</v>
      </c>
      <c r="H293" t="s">
        <v>27</v>
      </c>
      <c r="I293" t="s">
        <v>28</v>
      </c>
      <c r="J293" t="s">
        <v>124</v>
      </c>
      <c r="K293" t="s">
        <v>2377</v>
      </c>
      <c r="L293" t="s">
        <v>2378</v>
      </c>
      <c r="M293" s="100" t="str">
        <f t="shared" si="8"/>
        <v>MMC4.1.2/Validation/2025_12_02/ChildSleep/ncap3/TC_50_Try2_NCAP3_3YO_2C_CPD.MF4.xz</v>
      </c>
      <c r="N293" s="59" t="str">
        <f t="shared" si="9"/>
        <v>_NCAP3_3YO_2C_CPD.MF4.xz</v>
      </c>
      <c r="O293" s="11" t="s">
        <v>380</v>
      </c>
      <c r="P293" s="132"/>
    </row>
    <row r="294" spans="1:21">
      <c r="A294" s="38">
        <v>50</v>
      </c>
      <c r="B294" t="s">
        <v>2304</v>
      </c>
      <c r="C294" t="s">
        <v>66</v>
      </c>
      <c r="D294" s="97" t="e">
        <f>_xlfn.XLOOKUP(A294,[1]CPD_SOP_new!$A:$A,[1]CPD_SOP_new!#REF!,"not found",0 )</f>
        <v>#REF!</v>
      </c>
      <c r="E294" s="97" t="str">
        <f>_xlfn.XLOOKUP(A294,[1]CPD_SOP_new!$A:$A,[1]CPD_SOP_new!$K:$K,"not found",0 )</f>
        <v>2C</v>
      </c>
      <c r="F294" t="s">
        <v>27</v>
      </c>
      <c r="G294" t="s">
        <v>27</v>
      </c>
      <c r="H294" t="s">
        <v>27</v>
      </c>
      <c r="I294" t="s">
        <v>28</v>
      </c>
      <c r="J294" t="s">
        <v>124</v>
      </c>
      <c r="K294" t="s">
        <v>2379</v>
      </c>
      <c r="L294" t="s">
        <v>2380</v>
      </c>
      <c r="M294" s="100" t="str">
        <f t="shared" si="8"/>
        <v>MMC4.1.2/Validation/2025_12_02/ChildSleep/ncap3/TC_50_Try3_NCAP3_3YO_2C_CPD.MF4.xz</v>
      </c>
      <c r="N294" s="59" t="str">
        <f t="shared" si="9"/>
        <v>_NCAP3_3YO_2C_CPD.MF4.xz</v>
      </c>
      <c r="O294" s="11" t="s">
        <v>380</v>
      </c>
      <c r="P294" s="132"/>
    </row>
    <row r="295" spans="1:21">
      <c r="A295" s="38">
        <v>50</v>
      </c>
      <c r="B295" t="s">
        <v>2304</v>
      </c>
      <c r="C295" t="s">
        <v>66</v>
      </c>
      <c r="D295" s="97" t="e">
        <f>_xlfn.XLOOKUP(A295,[1]CPD_SOP_new!$A:$A,[1]CPD_SOP_new!#REF!,"not found",0 )</f>
        <v>#REF!</v>
      </c>
      <c r="E295" s="97" t="str">
        <f>_xlfn.XLOOKUP(A295,[1]CPD_SOP_new!$A:$A,[1]CPD_SOP_new!$K:$K,"not found",0 )</f>
        <v>2C</v>
      </c>
      <c r="F295" t="s">
        <v>27</v>
      </c>
      <c r="G295" t="s">
        <v>27</v>
      </c>
      <c r="H295" t="s">
        <v>27</v>
      </c>
      <c r="I295" t="s">
        <v>28</v>
      </c>
      <c r="J295" t="s">
        <v>124</v>
      </c>
      <c r="K295" t="s">
        <v>2381</v>
      </c>
      <c r="L295" t="s">
        <v>2382</v>
      </c>
      <c r="M295" s="100" t="str">
        <f t="shared" si="8"/>
        <v>MMC5.0.2/5K457MG57/SmokeTest/ncap3/SmokeTest_CPD_TC50_NCAP3_3YO_2C_CPD.MF4.xz</v>
      </c>
      <c r="N295" s="59" t="str">
        <f t="shared" si="9"/>
        <v>_NCAP3_3YO_2C_CPD.MF4.xz</v>
      </c>
      <c r="O295" s="11" t="s">
        <v>380</v>
      </c>
      <c r="P295" s="132"/>
    </row>
    <row r="296" spans="1:21">
      <c r="A296" s="77">
        <v>51</v>
      </c>
      <c r="B296" t="s">
        <v>2304</v>
      </c>
      <c r="C296" t="s">
        <v>66</v>
      </c>
      <c r="D296" s="97" t="e">
        <f>_xlfn.XLOOKUP(A296,[1]CPD_SOP_new!$A:$A,[1]CPD_SOP_new!#REF!,"not found",0 )</f>
        <v>#REF!</v>
      </c>
      <c r="E296" s="97" t="str">
        <f>_xlfn.XLOOKUP(A296,[1]CPD_SOP_new!$A:$A,[1]CPD_SOP_new!$K:$K,"not found",0 )</f>
        <v>2C</v>
      </c>
      <c r="F296" t="s">
        <v>28</v>
      </c>
      <c r="G296" t="s">
        <v>28</v>
      </c>
      <c r="H296" t="s">
        <v>28</v>
      </c>
      <c r="I296" t="s">
        <v>28</v>
      </c>
      <c r="J296" t="s">
        <v>124</v>
      </c>
      <c r="K296" s="60" t="s">
        <v>460</v>
      </c>
      <c r="L296" t="s">
        <v>2383</v>
      </c>
      <c r="M296" s="100" t="str">
        <f t="shared" si="8"/>
        <v>CSR_XCP_Signals_Recorder_2025-12-15_11-32-44_TC51_3YO2C_CPD_NCAP3_3YO_2C_CPD.MF4.xz</v>
      </c>
      <c r="N296" s="59" t="str">
        <f t="shared" si="9"/>
        <v>_NCAP3_3YO_2C_CPD.MF4.xz</v>
      </c>
      <c r="O296" s="1" t="s">
        <v>102</v>
      </c>
      <c r="P296" s="1"/>
    </row>
    <row r="297" spans="1:21">
      <c r="A297" s="77">
        <v>51</v>
      </c>
      <c r="B297" t="s">
        <v>2304</v>
      </c>
      <c r="C297" t="s">
        <v>66</v>
      </c>
      <c r="D297" s="97" t="e">
        <f>_xlfn.XLOOKUP(A297,[1]CPD_SOP_new!$A:$A,[1]CPD_SOP_new!#REF!,"not found",0 )</f>
        <v>#REF!</v>
      </c>
      <c r="E297" s="97" t="str">
        <f>_xlfn.XLOOKUP(A297,[1]CPD_SOP_new!$A:$A,[1]CPD_SOP_new!$K:$K,"not found",0 )</f>
        <v>2C</v>
      </c>
      <c r="F297" t="s">
        <v>28</v>
      </c>
      <c r="G297" t="s">
        <v>28</v>
      </c>
      <c r="H297" t="s">
        <v>28</v>
      </c>
      <c r="I297" t="s">
        <v>28</v>
      </c>
      <c r="J297" t="s">
        <v>124</v>
      </c>
      <c r="K297" s="60" t="s">
        <v>462</v>
      </c>
      <c r="L297" t="s">
        <v>2384</v>
      </c>
      <c r="M297" s="100" t="str">
        <f t="shared" si="8"/>
        <v>CSR_XCP_Signals_Recorder_2025-12-15_11-34-50_TC51_3YO2C_CPD_NCAP3_3YO_2C_CPD.MF4.xz</v>
      </c>
      <c r="N297" s="59" t="str">
        <f t="shared" si="9"/>
        <v>_NCAP3_3YO_2C_CPD.MF4.xz</v>
      </c>
      <c r="O297" s="1" t="s">
        <v>102</v>
      </c>
      <c r="P297" s="1"/>
    </row>
    <row r="298" spans="1:21">
      <c r="A298" s="77">
        <v>51</v>
      </c>
      <c r="B298" t="s">
        <v>2304</v>
      </c>
      <c r="C298" t="s">
        <v>66</v>
      </c>
      <c r="D298" s="97" t="e">
        <f>_xlfn.XLOOKUP(A298,[1]CPD_SOP_new!$A:$A,[1]CPD_SOP_new!#REF!,"not found",0 )</f>
        <v>#REF!</v>
      </c>
      <c r="E298" s="97" t="str">
        <f>_xlfn.XLOOKUP(A298,[1]CPD_SOP_new!$A:$A,[1]CPD_SOP_new!$K:$K,"not found",0 )</f>
        <v>2C</v>
      </c>
      <c r="F298" t="s">
        <v>28</v>
      </c>
      <c r="G298" t="s">
        <v>28</v>
      </c>
      <c r="H298" t="s">
        <v>28</v>
      </c>
      <c r="I298" t="s">
        <v>28</v>
      </c>
      <c r="J298" t="s">
        <v>124</v>
      </c>
      <c r="K298" t="s">
        <v>463</v>
      </c>
      <c r="L298" t="s">
        <v>2385</v>
      </c>
      <c r="M298" s="100" t="str">
        <f t="shared" si="8"/>
        <v>CSR_XCP_Signals_Recorder_2025-12-15_11-36-29_TC51_3YO2C_CPD_NCAP3_3YO_2C_CPD.MF4.xz</v>
      </c>
      <c r="N298" s="59" t="str">
        <f t="shared" si="9"/>
        <v>_NCAP3_3YO_2C_CPD.MF4.xz</v>
      </c>
      <c r="O298" s="1" t="s">
        <v>102</v>
      </c>
      <c r="P298" s="1"/>
    </row>
    <row r="299" spans="1:21">
      <c r="A299" s="77">
        <v>51</v>
      </c>
      <c r="B299" t="s">
        <v>2304</v>
      </c>
      <c r="C299" t="s">
        <v>66</v>
      </c>
      <c r="D299" s="97" t="e">
        <f>_xlfn.XLOOKUP(A299,[1]CPD_SOP_new!$A:$A,[1]CPD_SOP_new!#REF!,"not found",0 )</f>
        <v>#REF!</v>
      </c>
      <c r="E299" s="97" t="str">
        <f>_xlfn.XLOOKUP(A299,[1]CPD_SOP_new!$A:$A,[1]CPD_SOP_new!$K:$K,"not found",0 )</f>
        <v>2C</v>
      </c>
      <c r="F299" t="s">
        <v>28</v>
      </c>
      <c r="G299" t="s">
        <v>28</v>
      </c>
      <c r="H299" t="s">
        <v>28</v>
      </c>
      <c r="I299" t="s">
        <v>28</v>
      </c>
      <c r="J299" t="s">
        <v>124</v>
      </c>
      <c r="K299" t="s">
        <v>464</v>
      </c>
      <c r="L299" t="s">
        <v>2386</v>
      </c>
      <c r="M299" s="100" t="str">
        <f t="shared" si="8"/>
        <v>CSR_XCP_Signals_Recorder_2025-12-15_11-38-04_TC51_3YO2C_CPD_NCAP3_3YO_2C_CPD.MF4.xz</v>
      </c>
      <c r="N299" s="59" t="str">
        <f t="shared" si="9"/>
        <v>_NCAP3_3YO_2C_CPD.MF4.xz</v>
      </c>
      <c r="O299" s="1" t="s">
        <v>102</v>
      </c>
      <c r="P299" s="1"/>
    </row>
    <row r="300" spans="1:21">
      <c r="A300" s="77">
        <v>51</v>
      </c>
      <c r="B300" t="s">
        <v>2304</v>
      </c>
      <c r="C300" t="s">
        <v>66</v>
      </c>
      <c r="D300" s="97" t="e">
        <f>_xlfn.XLOOKUP(A300,[1]CPD_SOP_new!$A:$A,[1]CPD_SOP_new!#REF!,"not found",0 )</f>
        <v>#REF!</v>
      </c>
      <c r="E300" s="97" t="str">
        <f>_xlfn.XLOOKUP(A300,[1]CPD_SOP_new!$A:$A,[1]CPD_SOP_new!$K:$K,"not found",0 )</f>
        <v>2C</v>
      </c>
      <c r="F300" t="s">
        <v>28</v>
      </c>
      <c r="G300" t="s">
        <v>28</v>
      </c>
      <c r="H300" t="s">
        <v>28</v>
      </c>
      <c r="I300" t="s">
        <v>28</v>
      </c>
      <c r="J300" t="s">
        <v>124</v>
      </c>
      <c r="K300" t="s">
        <v>465</v>
      </c>
      <c r="L300" t="s">
        <v>2387</v>
      </c>
      <c r="M300" s="100" t="str">
        <f t="shared" si="8"/>
        <v>CSR_XCP_Signals_Recorder_2025-12-15_11-39-49_TC51_3YO2C_CPD_NCAP3_3YO_2C_CPD.MF4.xz</v>
      </c>
      <c r="N300" s="59" t="str">
        <f t="shared" si="9"/>
        <v>_NCAP3_3YO_2C_CPD.MF4.xz</v>
      </c>
      <c r="O300" s="1" t="s">
        <v>102</v>
      </c>
      <c r="P300" s="1"/>
    </row>
    <row r="301" spans="1:21" s="130" customFormat="1">
      <c r="A301" s="78">
        <v>51</v>
      </c>
      <c r="B301" s="130" t="s">
        <v>2304</v>
      </c>
      <c r="C301" s="130" t="s">
        <v>66</v>
      </c>
      <c r="D301" s="97" t="e">
        <f>_xlfn.XLOOKUP(A301,[1]CPD_SOP_new!$A:$A,[1]CPD_SOP_new!#REF!,"not found",0 )</f>
        <v>#REF!</v>
      </c>
      <c r="E301" s="97" t="str">
        <f>_xlfn.XLOOKUP(A301,[1]CPD_SOP_new!$A:$A,[1]CPD_SOP_new!$K:$K,"not found",0 )</f>
        <v>2C</v>
      </c>
      <c r="F301" s="130" t="s">
        <v>27</v>
      </c>
      <c r="G301" s="130" t="s">
        <v>28</v>
      </c>
      <c r="H301" s="130" t="s">
        <v>28</v>
      </c>
      <c r="I301" s="130" t="s">
        <v>27</v>
      </c>
      <c r="J301" s="137" t="s">
        <v>68</v>
      </c>
      <c r="K301" s="136" t="s">
        <v>466</v>
      </c>
      <c r="L301" s="136" t="s">
        <v>723</v>
      </c>
      <c r="M301" s="100" t="str">
        <f t="shared" si="8"/>
        <v>Wrong measurement</v>
      </c>
      <c r="N301" s="59" t="str">
        <f t="shared" si="9"/>
        <v>Wrong measurement</v>
      </c>
      <c r="O301" s="131" t="s">
        <v>41</v>
      </c>
      <c r="P301" s="131"/>
    </row>
    <row r="302" spans="1:21" s="130" customFormat="1">
      <c r="A302" s="78">
        <v>51</v>
      </c>
      <c r="B302" s="130" t="s">
        <v>2304</v>
      </c>
      <c r="C302" s="130" t="s">
        <v>66</v>
      </c>
      <c r="D302" s="97" t="e">
        <f>_xlfn.XLOOKUP(A302,[1]CPD_SOP_new!$A:$A,[1]CPD_SOP_new!#REF!,"not found",0 )</f>
        <v>#REF!</v>
      </c>
      <c r="E302" s="97" t="str">
        <f>_xlfn.XLOOKUP(A302,[1]CPD_SOP_new!$A:$A,[1]CPD_SOP_new!$K:$K,"not found",0 )</f>
        <v>2C</v>
      </c>
      <c r="F302" s="130" t="s">
        <v>27</v>
      </c>
      <c r="G302" s="130" t="s">
        <v>28</v>
      </c>
      <c r="H302" s="130" t="s">
        <v>28</v>
      </c>
      <c r="I302" s="130" t="s">
        <v>27</v>
      </c>
      <c r="J302" s="130" t="s">
        <v>68</v>
      </c>
      <c r="K302" s="62" t="s">
        <v>453</v>
      </c>
      <c r="L302" s="136" t="s">
        <v>723</v>
      </c>
      <c r="M302" s="100" t="str">
        <f t="shared" si="8"/>
        <v>Wrong measurement</v>
      </c>
      <c r="N302" s="59" t="str">
        <f t="shared" si="9"/>
        <v>Wrong measurement</v>
      </c>
      <c r="O302" s="63" t="s">
        <v>64</v>
      </c>
      <c r="P302" s="63"/>
    </row>
    <row r="303" spans="1:21">
      <c r="A303" s="77">
        <v>51</v>
      </c>
      <c r="B303" t="s">
        <v>2304</v>
      </c>
      <c r="C303" t="s">
        <v>66</v>
      </c>
      <c r="D303" s="97" t="e">
        <f>_xlfn.XLOOKUP(A303,[1]CPD_SOP_new!$A:$A,[1]CPD_SOP_new!#REF!,"not found",0 )</f>
        <v>#REF!</v>
      </c>
      <c r="E303" s="97" t="str">
        <f>_xlfn.XLOOKUP(A303,[1]CPD_SOP_new!$A:$A,[1]CPD_SOP_new!$K:$K,"not found",0 )</f>
        <v>2C</v>
      </c>
      <c r="F303" t="s">
        <v>28</v>
      </c>
      <c r="G303" t="s">
        <v>28</v>
      </c>
      <c r="H303" t="s">
        <v>28</v>
      </c>
      <c r="I303" t="s">
        <v>28</v>
      </c>
      <c r="J303" t="s">
        <v>124</v>
      </c>
      <c r="K303" s="60" t="s">
        <v>467</v>
      </c>
      <c r="L303" t="s">
        <v>2388</v>
      </c>
      <c r="M303" s="100" t="str">
        <f t="shared" si="8"/>
        <v>CSR_XCP_Signals_Recorder_2026-01-29_16-10-35_TC51_NCAP3_3YO_2C_CPD.MF4.xz</v>
      </c>
      <c r="N303" s="59" t="str">
        <f t="shared" si="9"/>
        <v>_NCAP3_3YO_2C_CPD.MF4.xz</v>
      </c>
      <c r="O303" t="s">
        <v>213</v>
      </c>
      <c r="Q303" t="s">
        <v>124</v>
      </c>
      <c r="R303" t="s">
        <v>29</v>
      </c>
      <c r="S303">
        <v>1</v>
      </c>
      <c r="T303">
        <v>0</v>
      </c>
      <c r="U303">
        <v>0</v>
      </c>
    </row>
    <row r="304" spans="1:21">
      <c r="A304" s="77">
        <v>51</v>
      </c>
      <c r="B304" t="s">
        <v>2304</v>
      </c>
      <c r="C304" t="s">
        <v>66</v>
      </c>
      <c r="D304" s="97" t="e">
        <f>_xlfn.XLOOKUP(A304,[1]CPD_SOP_new!$A:$A,[1]CPD_SOP_new!#REF!,"not found",0 )</f>
        <v>#REF!</v>
      </c>
      <c r="E304" s="97" t="str">
        <f>_xlfn.XLOOKUP(A304,[1]CPD_SOP_new!$A:$A,[1]CPD_SOP_new!$K:$K,"not found",0 )</f>
        <v>2C</v>
      </c>
      <c r="F304" t="s">
        <v>28</v>
      </c>
      <c r="G304" t="s">
        <v>28</v>
      </c>
      <c r="H304" t="s">
        <v>28</v>
      </c>
      <c r="I304" t="s">
        <v>28</v>
      </c>
      <c r="J304" t="s">
        <v>124</v>
      </c>
      <c r="K304" s="60" t="s">
        <v>469</v>
      </c>
      <c r="L304" t="s">
        <v>2389</v>
      </c>
      <c r="M304" s="100" t="str">
        <f t="shared" si="8"/>
        <v>CSR_XCP_Signals_Recorder_2026-01-29_16-12-21_TC51_NCAP3_3YO_2C_CPD.MF4.xz</v>
      </c>
      <c r="N304" s="59" t="str">
        <f t="shared" si="9"/>
        <v>_NCAP3_3YO_2C_CPD.MF4.xz</v>
      </c>
      <c r="O304" t="s">
        <v>213</v>
      </c>
      <c r="Q304" t="s">
        <v>124</v>
      </c>
      <c r="R304" t="s">
        <v>29</v>
      </c>
      <c r="S304">
        <v>1</v>
      </c>
      <c r="T304">
        <v>0</v>
      </c>
      <c r="U304">
        <v>0</v>
      </c>
    </row>
    <row r="305" spans="1:21">
      <c r="A305" s="77">
        <v>51</v>
      </c>
      <c r="B305" t="s">
        <v>2304</v>
      </c>
      <c r="C305" t="s">
        <v>66</v>
      </c>
      <c r="D305" s="97" t="e">
        <f>_xlfn.XLOOKUP(A305,[1]CPD_SOP_new!$A:$A,[1]CPD_SOP_new!#REF!,"not found",0 )</f>
        <v>#REF!</v>
      </c>
      <c r="E305" s="97" t="str">
        <f>_xlfn.XLOOKUP(A305,[1]CPD_SOP_new!$A:$A,[1]CPD_SOP_new!$K:$K,"not found",0 )</f>
        <v>2C</v>
      </c>
      <c r="F305" t="s">
        <v>28</v>
      </c>
      <c r="G305" t="s">
        <v>28</v>
      </c>
      <c r="H305" t="s">
        <v>28</v>
      </c>
      <c r="I305" t="s">
        <v>28</v>
      </c>
      <c r="J305" t="s">
        <v>124</v>
      </c>
      <c r="K305" s="60" t="s">
        <v>470</v>
      </c>
      <c r="L305" t="s">
        <v>2390</v>
      </c>
      <c r="M305" s="100" t="str">
        <f t="shared" si="8"/>
        <v>CSR_XCP_Signals_Recorder_2026-01-29_16-13-52_TC51_NCAP3_3YO_2C_CPD.MF4.xz</v>
      </c>
      <c r="N305" s="59" t="str">
        <f t="shared" si="9"/>
        <v>_NCAP3_3YO_2C_CPD.MF4.xz</v>
      </c>
      <c r="O305" t="s">
        <v>213</v>
      </c>
      <c r="Q305" t="s">
        <v>124</v>
      </c>
      <c r="R305" t="s">
        <v>29</v>
      </c>
      <c r="S305">
        <v>1</v>
      </c>
      <c r="T305">
        <v>0</v>
      </c>
      <c r="U305">
        <v>0</v>
      </c>
    </row>
    <row r="306" spans="1:21">
      <c r="A306" s="38">
        <v>52</v>
      </c>
      <c r="B306" t="s">
        <v>2304</v>
      </c>
      <c r="C306" t="s">
        <v>66</v>
      </c>
      <c r="D306" s="97" t="e">
        <f>_xlfn.XLOOKUP(A306,[1]CPD_SOP_new!$A:$A,[1]CPD_SOP_new!#REF!,"not found",0 )</f>
        <v>#REF!</v>
      </c>
      <c r="E306" s="97" t="str">
        <f>_xlfn.XLOOKUP(A306,[1]CPD_SOP_new!$A:$A,[1]CPD_SOP_new!$K:$K,"not found",0 )</f>
        <v>2C</v>
      </c>
      <c r="F306" t="s">
        <v>27</v>
      </c>
      <c r="G306" t="s">
        <v>27</v>
      </c>
      <c r="H306" t="s">
        <v>27</v>
      </c>
      <c r="I306" t="s">
        <v>28</v>
      </c>
      <c r="J306" t="s">
        <v>124</v>
      </c>
      <c r="K306" t="s">
        <v>471</v>
      </c>
      <c r="L306" t="s">
        <v>2391</v>
      </c>
      <c r="M306" s="100" t="str">
        <f t="shared" si="8"/>
        <v>TC_52_Try1_NCAP3_3YO_2C_CPD.MF4.xz</v>
      </c>
      <c r="N306" s="59" t="str">
        <f t="shared" si="9"/>
        <v>_NCAP3_3YO_2C_CPD.MF4.xz</v>
      </c>
      <c r="O306" t="s">
        <v>371</v>
      </c>
    </row>
    <row r="307" spans="1:21">
      <c r="A307" s="38">
        <v>52</v>
      </c>
      <c r="B307" t="s">
        <v>2304</v>
      </c>
      <c r="C307" t="s">
        <v>66</v>
      </c>
      <c r="D307" s="97" t="e">
        <f>_xlfn.XLOOKUP(A307,[1]CPD_SOP_new!$A:$A,[1]CPD_SOP_new!#REF!,"not found",0 )</f>
        <v>#REF!</v>
      </c>
      <c r="E307" s="97" t="str">
        <f>_xlfn.XLOOKUP(A307,[1]CPD_SOP_new!$A:$A,[1]CPD_SOP_new!$K:$K,"not found",0 )</f>
        <v>2C</v>
      </c>
      <c r="F307" t="s">
        <v>27</v>
      </c>
      <c r="G307" t="s">
        <v>27</v>
      </c>
      <c r="H307" t="s">
        <v>27</v>
      </c>
      <c r="I307" t="s">
        <v>28</v>
      </c>
      <c r="J307" t="s">
        <v>124</v>
      </c>
      <c r="K307" t="s">
        <v>472</v>
      </c>
      <c r="L307" t="s">
        <v>2392</v>
      </c>
      <c r="M307" s="100" t="str">
        <f t="shared" si="8"/>
        <v>TC_52_Try2_NCAP3_3YO_2C_CPD.MF4.xz</v>
      </c>
      <c r="N307" s="59" t="str">
        <f t="shared" si="9"/>
        <v>_NCAP3_3YO_2C_CPD.MF4.xz</v>
      </c>
      <c r="O307" t="s">
        <v>371</v>
      </c>
    </row>
    <row r="308" spans="1:21" s="137" customFormat="1">
      <c r="A308" s="79">
        <v>52</v>
      </c>
      <c r="B308" s="137" t="s">
        <v>2304</v>
      </c>
      <c r="C308" s="137" t="s">
        <v>66</v>
      </c>
      <c r="D308" s="97" t="e">
        <f>_xlfn.XLOOKUP(A308,[1]CPD_SOP_new!$A:$A,[1]CPD_SOP_new!#REF!,"not found",0 )</f>
        <v>#REF!</v>
      </c>
      <c r="E308" s="97" t="str">
        <f>_xlfn.XLOOKUP(A308,[1]CPD_SOP_new!$A:$A,[1]CPD_SOP_new!$K:$K,"not found",0 )</f>
        <v>2C</v>
      </c>
      <c r="F308" s="137" t="s">
        <v>27</v>
      </c>
      <c r="G308" s="137" t="s">
        <v>27</v>
      </c>
      <c r="H308" s="137" t="s">
        <v>27</v>
      </c>
      <c r="I308" s="137" t="s">
        <v>27</v>
      </c>
      <c r="J308" s="90" t="s">
        <v>437</v>
      </c>
      <c r="K308" s="137" t="s">
        <v>473</v>
      </c>
      <c r="L308" s="137" t="s">
        <v>723</v>
      </c>
      <c r="M308" s="100" t="str">
        <f t="shared" si="8"/>
        <v>Wrong measurement</v>
      </c>
      <c r="N308" s="59" t="str">
        <f t="shared" si="9"/>
        <v>Wrong measurement</v>
      </c>
      <c r="O308" s="137" t="s">
        <v>371</v>
      </c>
    </row>
    <row r="309" spans="1:21">
      <c r="A309" s="38">
        <v>53</v>
      </c>
      <c r="B309" t="s">
        <v>2304</v>
      </c>
      <c r="C309" t="s">
        <v>66</v>
      </c>
      <c r="D309" s="97" t="e">
        <f>_xlfn.XLOOKUP(A309,[1]CPD_SOP_new!$A:$A,[1]CPD_SOP_new!#REF!,"not found",0 )</f>
        <v>#REF!</v>
      </c>
      <c r="E309" s="97" t="str">
        <f>_xlfn.XLOOKUP(A309,[1]CPD_SOP_new!$A:$A,[1]CPD_SOP_new!$K:$K,"not found",0 )</f>
        <v>2C</v>
      </c>
      <c r="F309" t="s">
        <v>27</v>
      </c>
      <c r="G309" t="s">
        <v>27</v>
      </c>
      <c r="H309" t="s">
        <v>27</v>
      </c>
      <c r="I309" t="s">
        <v>28</v>
      </c>
      <c r="J309" t="s">
        <v>124</v>
      </c>
      <c r="K309" t="s">
        <v>474</v>
      </c>
      <c r="L309" t="s">
        <v>2393</v>
      </c>
      <c r="M309" s="100" t="str">
        <f t="shared" si="8"/>
        <v>TC53_Try_1_NCAP3_3YO_2C_CPD.MF4.xz</v>
      </c>
      <c r="N309" s="59" t="str">
        <f t="shared" si="9"/>
        <v>_NCAP3_3YO_2C_CPD.MF4.xz</v>
      </c>
      <c r="O309" t="s">
        <v>475</v>
      </c>
    </row>
    <row r="310" spans="1:21">
      <c r="A310" s="38">
        <v>53</v>
      </c>
      <c r="B310" t="s">
        <v>2304</v>
      </c>
      <c r="C310" t="s">
        <v>66</v>
      </c>
      <c r="D310" s="97" t="e">
        <f>_xlfn.XLOOKUP(A310,[1]CPD_SOP_new!$A:$A,[1]CPD_SOP_new!#REF!,"not found",0 )</f>
        <v>#REF!</v>
      </c>
      <c r="E310" s="97" t="str">
        <f>_xlfn.XLOOKUP(A310,[1]CPD_SOP_new!$A:$A,[1]CPD_SOP_new!$K:$K,"not found",0 )</f>
        <v>2C</v>
      </c>
      <c r="F310" t="s">
        <v>27</v>
      </c>
      <c r="G310" t="s">
        <v>27</v>
      </c>
      <c r="H310" t="s">
        <v>27</v>
      </c>
      <c r="I310" t="s">
        <v>28</v>
      </c>
      <c r="J310" t="s">
        <v>124</v>
      </c>
      <c r="K310" t="s">
        <v>476</v>
      </c>
      <c r="L310" t="s">
        <v>2394</v>
      </c>
      <c r="M310" s="100" t="str">
        <f t="shared" si="8"/>
        <v>TC53_Try_2_NCAP3_3YO_2C_CPD.MF4.xz</v>
      </c>
      <c r="N310" s="59" t="str">
        <f t="shared" si="9"/>
        <v>_NCAP3_3YO_2C_CPD.MF4.xz</v>
      </c>
      <c r="O310" t="s">
        <v>475</v>
      </c>
    </row>
    <row r="311" spans="1:21">
      <c r="A311" s="38">
        <v>53</v>
      </c>
      <c r="B311" t="s">
        <v>2304</v>
      </c>
      <c r="C311" t="s">
        <v>66</v>
      </c>
      <c r="D311" s="97" t="e">
        <f>_xlfn.XLOOKUP(A311,[1]CPD_SOP_new!$A:$A,[1]CPD_SOP_new!#REF!,"not found",0 )</f>
        <v>#REF!</v>
      </c>
      <c r="E311" s="97" t="str">
        <f>_xlfn.XLOOKUP(A311,[1]CPD_SOP_new!$A:$A,[1]CPD_SOP_new!$K:$K,"not found",0 )</f>
        <v>2C</v>
      </c>
      <c r="F311" t="s">
        <v>27</v>
      </c>
      <c r="G311" t="s">
        <v>27</v>
      </c>
      <c r="H311" t="s">
        <v>27</v>
      </c>
      <c r="I311" t="s">
        <v>28</v>
      </c>
      <c r="J311" t="s">
        <v>124</v>
      </c>
      <c r="K311" t="s">
        <v>477</v>
      </c>
      <c r="L311" t="s">
        <v>2395</v>
      </c>
      <c r="M311" s="100" t="str">
        <f t="shared" si="8"/>
        <v>TC53_Try_3_NCAP3_3YO_2C_CPD.MF4.xz</v>
      </c>
      <c r="N311" s="59" t="str">
        <f t="shared" si="9"/>
        <v>_NCAP3_3YO_2C_CPD.MF4.xz</v>
      </c>
      <c r="O311" t="s">
        <v>475</v>
      </c>
    </row>
    <row r="312" spans="1:21">
      <c r="A312" s="38">
        <v>54</v>
      </c>
      <c r="B312" t="s">
        <v>2304</v>
      </c>
      <c r="C312" t="s">
        <v>66</v>
      </c>
      <c r="D312" s="97" t="e">
        <f>_xlfn.XLOOKUP(A312,[1]CPD_SOP_new!$A:$A,[1]CPD_SOP_new!#REF!,"not found",0 )</f>
        <v>#REF!</v>
      </c>
      <c r="E312" s="97" t="str">
        <f>_xlfn.XLOOKUP(A312,[1]CPD_SOP_new!$A:$A,[1]CPD_SOP_new!$K:$K,"not found",0 )</f>
        <v>3R</v>
      </c>
      <c r="F312" t="s">
        <v>28</v>
      </c>
      <c r="G312" t="s">
        <v>27</v>
      </c>
      <c r="H312" t="s">
        <v>27</v>
      </c>
      <c r="I312" t="s">
        <v>28</v>
      </c>
      <c r="J312" t="s">
        <v>124</v>
      </c>
      <c r="K312" t="s">
        <v>478</v>
      </c>
      <c r="L312" t="s">
        <v>2396</v>
      </c>
      <c r="M312" s="100" t="str">
        <f t="shared" si="8"/>
        <v>CSR_XCP_Signals_Recorder_2025-12-18_17-02-49_TC54_CPD_NCAP3_3YO_3R_CPD.MF4.xz</v>
      </c>
      <c r="N312" s="59" t="str">
        <f t="shared" si="9"/>
        <v>_NCAP3_3YO_3R_CPD.MF4.xz</v>
      </c>
      <c r="O312" s="131" t="s">
        <v>202</v>
      </c>
      <c r="P312" s="131"/>
    </row>
    <row r="313" spans="1:21">
      <c r="A313" s="38">
        <v>54</v>
      </c>
      <c r="B313" t="s">
        <v>2304</v>
      </c>
      <c r="C313" t="s">
        <v>66</v>
      </c>
      <c r="D313" s="97" t="e">
        <f>_xlfn.XLOOKUP(A313,[1]CPD_SOP_new!$A:$A,[1]CPD_SOP_new!#REF!,"not found",0 )</f>
        <v>#REF!</v>
      </c>
      <c r="E313" s="97" t="str">
        <f>_xlfn.XLOOKUP(A313,[1]CPD_SOP_new!$A:$A,[1]CPD_SOP_new!$K:$K,"not found",0 )</f>
        <v>3R</v>
      </c>
      <c r="F313" t="s">
        <v>28</v>
      </c>
      <c r="G313" t="s">
        <v>27</v>
      </c>
      <c r="H313" t="s">
        <v>27</v>
      </c>
      <c r="I313" t="s">
        <v>28</v>
      </c>
      <c r="J313" t="s">
        <v>124</v>
      </c>
      <c r="K313" t="s">
        <v>479</v>
      </c>
      <c r="L313" t="s">
        <v>2397</v>
      </c>
      <c r="M313" s="100" t="str">
        <f t="shared" si="8"/>
        <v>CSR_XCP_Signals_Recorder_2025-12-18_17-04-21_TC54_CPD_NCAP3_3YO_3R_CPD.MF4.xz</v>
      </c>
      <c r="N313" s="59" t="str">
        <f t="shared" si="9"/>
        <v>_NCAP3_3YO_3R_CPD.MF4.xz</v>
      </c>
      <c r="O313" s="131" t="s">
        <v>202</v>
      </c>
      <c r="P313" s="131"/>
    </row>
    <row r="314" spans="1:21">
      <c r="A314" s="38">
        <v>54</v>
      </c>
      <c r="B314" t="s">
        <v>2304</v>
      </c>
      <c r="C314" t="s">
        <v>66</v>
      </c>
      <c r="D314" s="97" t="e">
        <f>_xlfn.XLOOKUP(A314,[1]CPD_SOP_new!$A:$A,[1]CPD_SOP_new!#REF!,"not found",0 )</f>
        <v>#REF!</v>
      </c>
      <c r="E314" s="97" t="str">
        <f>_xlfn.XLOOKUP(A314,[1]CPD_SOP_new!$A:$A,[1]CPD_SOP_new!$K:$K,"not found",0 )</f>
        <v>3R</v>
      </c>
      <c r="F314" t="s">
        <v>28</v>
      </c>
      <c r="G314" t="s">
        <v>27</v>
      </c>
      <c r="H314" t="s">
        <v>27</v>
      </c>
      <c r="I314" t="s">
        <v>28</v>
      </c>
      <c r="J314" t="s">
        <v>124</v>
      </c>
      <c r="K314" t="s">
        <v>480</v>
      </c>
      <c r="L314" t="s">
        <v>2398</v>
      </c>
      <c r="M314" s="100" t="str">
        <f t="shared" si="8"/>
        <v>CSR_XCP_Signals_Recorder_2025-12-18_17-05-54_TC54_CPD_NCAP3_3YO_3R_CPD.MF4.xz</v>
      </c>
      <c r="N314" s="59" t="str">
        <f t="shared" si="9"/>
        <v>_NCAP3_3YO_3R_CPD.MF4.xz</v>
      </c>
      <c r="O314" s="131" t="s">
        <v>202</v>
      </c>
      <c r="P314" s="131"/>
    </row>
    <row r="315" spans="1:21">
      <c r="A315" s="38">
        <v>54</v>
      </c>
      <c r="B315" t="s">
        <v>2304</v>
      </c>
      <c r="C315" t="s">
        <v>66</v>
      </c>
      <c r="D315" s="97" t="e">
        <f>_xlfn.XLOOKUP(A315,[1]CPD_SOP_new!$A:$A,[1]CPD_SOP_new!#REF!,"not found",0 )</f>
        <v>#REF!</v>
      </c>
      <c r="E315" s="97" t="str">
        <f>_xlfn.XLOOKUP(A315,[1]CPD_SOP_new!$A:$A,[1]CPD_SOP_new!$K:$K,"not found",0 )</f>
        <v>3R</v>
      </c>
      <c r="F315" t="s">
        <v>28</v>
      </c>
      <c r="G315" t="s">
        <v>27</v>
      </c>
      <c r="H315" t="s">
        <v>27</v>
      </c>
      <c r="I315" t="s">
        <v>28</v>
      </c>
      <c r="J315" t="s">
        <v>124</v>
      </c>
      <c r="K315" t="s">
        <v>481</v>
      </c>
      <c r="L315" t="s">
        <v>2399</v>
      </c>
      <c r="M315" s="100" t="str">
        <f t="shared" si="8"/>
        <v>CSR_XCP_Signals_Recorder_2025-12-18_17-15-22_TC54_CPD_NCAP3_3YO_3R_CPD.MF4.xz</v>
      </c>
      <c r="N315" s="59" t="str">
        <f t="shared" si="9"/>
        <v>_NCAP3_3YO_3R_CPD.MF4.xz</v>
      </c>
      <c r="O315" s="131" t="s">
        <v>202</v>
      </c>
      <c r="P315" s="131"/>
    </row>
    <row r="316" spans="1:21">
      <c r="A316" s="38">
        <v>54</v>
      </c>
      <c r="B316" t="s">
        <v>2304</v>
      </c>
      <c r="C316" t="s">
        <v>66</v>
      </c>
      <c r="D316" s="97" t="e">
        <f>_xlfn.XLOOKUP(A316,[1]CPD_SOP_new!$A:$A,[1]CPD_SOP_new!#REF!,"not found",0 )</f>
        <v>#REF!</v>
      </c>
      <c r="E316" s="97" t="str">
        <f>_xlfn.XLOOKUP(A316,[1]CPD_SOP_new!$A:$A,[1]CPD_SOP_new!$K:$K,"not found",0 )</f>
        <v>3R</v>
      </c>
      <c r="F316" t="s">
        <v>28</v>
      </c>
      <c r="G316" t="s">
        <v>27</v>
      </c>
      <c r="H316" t="s">
        <v>27</v>
      </c>
      <c r="I316" t="s">
        <v>28</v>
      </c>
      <c r="J316" t="s">
        <v>124</v>
      </c>
      <c r="K316" t="s">
        <v>482</v>
      </c>
      <c r="L316" t="s">
        <v>2400</v>
      </c>
      <c r="M316" s="100" t="str">
        <f t="shared" si="8"/>
        <v>CSR_XCP_Signals_Recorder_2025-12-18_17-16-57_TC54_CPD_NCAP3_3YO_3R_CPD.MF4.xz</v>
      </c>
      <c r="N316" s="59" t="str">
        <f t="shared" si="9"/>
        <v>_NCAP3_3YO_3R_CPD.MF4.xz</v>
      </c>
      <c r="O316" s="131" t="s">
        <v>202</v>
      </c>
      <c r="P316" s="131"/>
    </row>
    <row r="317" spans="1:21">
      <c r="A317" s="38">
        <v>55</v>
      </c>
      <c r="B317" t="s">
        <v>2304</v>
      </c>
      <c r="C317" t="s">
        <v>66</v>
      </c>
      <c r="D317" s="97" t="e">
        <f>_xlfn.XLOOKUP(A317,[1]CPD_SOP_new!$A:$A,[1]CPD_SOP_new!#REF!,"not found",0 )</f>
        <v>#REF!</v>
      </c>
      <c r="E317" s="97" t="str">
        <f>_xlfn.XLOOKUP(A317,[1]CPD_SOP_new!$A:$A,[1]CPD_SOP_new!$K:$K,"not found",0 )</f>
        <v>3L</v>
      </c>
      <c r="F317" t="s">
        <v>28</v>
      </c>
      <c r="G317" t="s">
        <v>27</v>
      </c>
      <c r="H317" t="s">
        <v>27</v>
      </c>
      <c r="I317" t="s">
        <v>28</v>
      </c>
      <c r="J317" t="s">
        <v>124</v>
      </c>
      <c r="K317" t="s">
        <v>483</v>
      </c>
      <c r="L317" t="s">
        <v>2401</v>
      </c>
      <c r="M317" s="100" t="str">
        <f t="shared" si="8"/>
        <v>CSR_XCP_Signals_Recorder_2025-12-17_14-13-57_TC55_3YO3L_CPD_NCAP3_3YO_3L_CPD.MF4.xz</v>
      </c>
      <c r="N317" s="59" t="str">
        <f t="shared" si="9"/>
        <v>_NCAP3_3YO_3L_CPD.MF4.xz</v>
      </c>
      <c r="O317" s="129" t="s">
        <v>102</v>
      </c>
      <c r="P317" s="129"/>
    </row>
    <row r="318" spans="1:21">
      <c r="A318" s="38">
        <v>55</v>
      </c>
      <c r="B318" t="s">
        <v>2304</v>
      </c>
      <c r="C318" t="s">
        <v>66</v>
      </c>
      <c r="D318" s="97" t="e">
        <f>_xlfn.XLOOKUP(A318,[1]CPD_SOP_new!$A:$A,[1]CPD_SOP_new!#REF!,"not found",0 )</f>
        <v>#REF!</v>
      </c>
      <c r="E318" s="97" t="str">
        <f>_xlfn.XLOOKUP(A318,[1]CPD_SOP_new!$A:$A,[1]CPD_SOP_new!$K:$K,"not found",0 )</f>
        <v>3L</v>
      </c>
      <c r="F318" t="s">
        <v>28</v>
      </c>
      <c r="G318" t="s">
        <v>27</v>
      </c>
      <c r="H318" t="s">
        <v>27</v>
      </c>
      <c r="I318" t="s">
        <v>28</v>
      </c>
      <c r="J318" t="s">
        <v>124</v>
      </c>
      <c r="K318" t="s">
        <v>484</v>
      </c>
      <c r="L318" t="s">
        <v>2402</v>
      </c>
      <c r="M318" s="100" t="str">
        <f t="shared" si="8"/>
        <v>CSR_XCP_Signals_Recorder_2025-12-17_14-15-22_TC55_3YO3L_CPD_NCAP3_3YO_3L_CPD.MF4.xz</v>
      </c>
      <c r="N318" s="59" t="str">
        <f t="shared" si="9"/>
        <v>_NCAP3_3YO_3L_CPD.MF4.xz</v>
      </c>
      <c r="O318" s="129" t="s">
        <v>102</v>
      </c>
      <c r="P318" s="129"/>
    </row>
    <row r="319" spans="1:21">
      <c r="A319" s="38">
        <v>55</v>
      </c>
      <c r="B319" t="s">
        <v>2304</v>
      </c>
      <c r="C319" t="s">
        <v>66</v>
      </c>
      <c r="D319" s="97" t="e">
        <f>_xlfn.XLOOKUP(A319,[1]CPD_SOP_new!$A:$A,[1]CPD_SOP_new!#REF!,"not found",0 )</f>
        <v>#REF!</v>
      </c>
      <c r="E319" s="97" t="str">
        <f>_xlfn.XLOOKUP(A319,[1]CPD_SOP_new!$A:$A,[1]CPD_SOP_new!$K:$K,"not found",0 )</f>
        <v>3L</v>
      </c>
      <c r="F319" t="s">
        <v>28</v>
      </c>
      <c r="G319" t="s">
        <v>27</v>
      </c>
      <c r="H319" t="s">
        <v>27</v>
      </c>
      <c r="I319" t="s">
        <v>28</v>
      </c>
      <c r="J319" t="s">
        <v>124</v>
      </c>
      <c r="K319" t="s">
        <v>485</v>
      </c>
      <c r="L319" t="s">
        <v>2403</v>
      </c>
      <c r="M319" s="100" t="str">
        <f t="shared" si="8"/>
        <v>CSR_XCP_Signals_Recorder_2025-12-17_14-17-27_TC55_3YO3L_CPD_NCAP3_3YO_3L_CPD.MF4.xz</v>
      </c>
      <c r="N319" s="59" t="str">
        <f t="shared" si="9"/>
        <v>_NCAP3_3YO_3L_CPD.MF4.xz</v>
      </c>
      <c r="O319" s="129" t="s">
        <v>102</v>
      </c>
      <c r="P319" s="129"/>
    </row>
    <row r="320" spans="1:21">
      <c r="A320" s="38">
        <v>55</v>
      </c>
      <c r="B320" t="s">
        <v>2304</v>
      </c>
      <c r="C320" t="s">
        <v>66</v>
      </c>
      <c r="D320" s="97" t="e">
        <f>_xlfn.XLOOKUP(A320,[1]CPD_SOP_new!$A:$A,[1]CPD_SOP_new!#REF!,"not found",0 )</f>
        <v>#REF!</v>
      </c>
      <c r="E320" s="97" t="str">
        <f>_xlfn.XLOOKUP(A320,[1]CPD_SOP_new!$A:$A,[1]CPD_SOP_new!$K:$K,"not found",0 )</f>
        <v>3L</v>
      </c>
      <c r="F320" t="s">
        <v>28</v>
      </c>
      <c r="G320" t="s">
        <v>27</v>
      </c>
      <c r="H320" t="s">
        <v>27</v>
      </c>
      <c r="I320" t="s">
        <v>28</v>
      </c>
      <c r="J320" t="s">
        <v>124</v>
      </c>
      <c r="K320" t="s">
        <v>486</v>
      </c>
      <c r="L320" t="s">
        <v>2404</v>
      </c>
      <c r="M320" s="100" t="str">
        <f t="shared" si="8"/>
        <v>CSR_XCP_Signals_Recorder_2025-12-17_14-18-54_TC55_3YO3L_CPD_NCAP3_3YO_3L_CPD.MF4.xz</v>
      </c>
      <c r="N320" s="59" t="str">
        <f t="shared" si="9"/>
        <v>_NCAP3_3YO_3L_CPD.MF4.xz</v>
      </c>
      <c r="O320" s="129" t="s">
        <v>102</v>
      </c>
      <c r="P320" s="129"/>
    </row>
    <row r="321" spans="1:16">
      <c r="A321" s="38">
        <v>55</v>
      </c>
      <c r="B321" t="s">
        <v>2304</v>
      </c>
      <c r="C321" t="s">
        <v>66</v>
      </c>
      <c r="D321" s="97" t="e">
        <f>_xlfn.XLOOKUP(A321,[1]CPD_SOP_new!$A:$A,[1]CPD_SOP_new!#REF!,"not found",0 )</f>
        <v>#REF!</v>
      </c>
      <c r="E321" s="97" t="str">
        <f>_xlfn.XLOOKUP(A321,[1]CPD_SOP_new!$A:$A,[1]CPD_SOP_new!$K:$K,"not found",0 )</f>
        <v>3L</v>
      </c>
      <c r="F321" t="s">
        <v>28</v>
      </c>
      <c r="G321" t="s">
        <v>27</v>
      </c>
      <c r="H321" t="s">
        <v>27</v>
      </c>
      <c r="I321" t="s">
        <v>28</v>
      </c>
      <c r="J321" t="s">
        <v>124</v>
      </c>
      <c r="K321" t="s">
        <v>487</v>
      </c>
      <c r="L321" t="s">
        <v>2405</v>
      </c>
      <c r="M321" s="100" t="str">
        <f t="shared" si="8"/>
        <v>CSR_XCP_Signals_Recorder_2025-12-17_14-20-27_TC55_3YO3L_CPD_NCAP3_3YO_3L_CPD.MF4.xz</v>
      </c>
      <c r="N321" s="59" t="str">
        <f t="shared" si="9"/>
        <v>_NCAP3_3YO_3L_CPD.MF4.xz</v>
      </c>
      <c r="O321" s="129" t="s">
        <v>102</v>
      </c>
      <c r="P321" s="129"/>
    </row>
    <row r="322" spans="1:16" s="130" customFormat="1">
      <c r="A322" s="78">
        <v>56</v>
      </c>
      <c r="B322" s="130" t="s">
        <v>2304</v>
      </c>
      <c r="C322" s="130" t="s">
        <v>66</v>
      </c>
      <c r="D322" s="97" t="e">
        <f>_xlfn.XLOOKUP(A322,[1]CPD_SOP_new!$A:$A,[1]CPD_SOP_new!#REF!,"not found",0 )</f>
        <v>#REF!</v>
      </c>
      <c r="E322" s="97" t="str">
        <f>_xlfn.XLOOKUP(A322,[1]CPD_SOP_new!$A:$A,[1]CPD_SOP_new!$K:$K,"not found",0 )</f>
        <v>F1D</v>
      </c>
      <c r="F322" s="130" t="s">
        <v>27</v>
      </c>
      <c r="G322" s="130" t="s">
        <v>28</v>
      </c>
      <c r="H322" s="130" t="s">
        <v>28</v>
      </c>
      <c r="I322" s="130" t="s">
        <v>27</v>
      </c>
      <c r="J322" s="137" t="s">
        <v>68</v>
      </c>
      <c r="K322" s="130" t="s">
        <v>490</v>
      </c>
      <c r="L322" s="130" t="s">
        <v>723</v>
      </c>
      <c r="M322" s="100" t="str">
        <f t="shared" ref="M322:M385" si="10">IF(NOT(N322="Wrong measurement"),SUBSTITUTE(K322,".MF4.xz",N322),"Wrong measurement")</f>
        <v>Wrong measurement</v>
      </c>
      <c r="N322" s="59" t="str">
        <f t="shared" ref="N322:N385" si="11">IF(I322="Y",("_"&amp;B322 &amp;"_"&amp; IF(C322="","",C322)&amp;"_"&amp;E322&amp;"_CPD.MF4.xz"),"Wrong measurement")</f>
        <v>Wrong measurement</v>
      </c>
      <c r="O322" s="131" t="s">
        <v>446</v>
      </c>
      <c r="P322" s="131"/>
    </row>
    <row r="323" spans="1:16" s="130" customFormat="1">
      <c r="A323" s="78">
        <v>56</v>
      </c>
      <c r="B323" s="130" t="s">
        <v>2304</v>
      </c>
      <c r="C323" s="130" t="s">
        <v>66</v>
      </c>
      <c r="D323" s="97" t="e">
        <f>_xlfn.XLOOKUP(A323,[1]CPD_SOP_new!$A:$A,[1]CPD_SOP_new!#REF!,"not found",0 )</f>
        <v>#REF!</v>
      </c>
      <c r="E323" s="97" t="str">
        <f>_xlfn.XLOOKUP(A323,[1]CPD_SOP_new!$A:$A,[1]CPD_SOP_new!$K:$K,"not found",0 )</f>
        <v>F1D</v>
      </c>
      <c r="F323" s="130" t="s">
        <v>27</v>
      </c>
      <c r="G323" s="130" t="s">
        <v>28</v>
      </c>
      <c r="H323" s="130" t="s">
        <v>28</v>
      </c>
      <c r="I323" s="130" t="s">
        <v>27</v>
      </c>
      <c r="J323" s="137" t="s">
        <v>68</v>
      </c>
      <c r="K323" s="130" t="s">
        <v>491</v>
      </c>
      <c r="L323" s="130" t="s">
        <v>723</v>
      </c>
      <c r="M323" s="100" t="str">
        <f t="shared" si="10"/>
        <v>Wrong measurement</v>
      </c>
      <c r="N323" s="59" t="str">
        <f t="shared" si="11"/>
        <v>Wrong measurement</v>
      </c>
      <c r="O323" s="131" t="s">
        <v>446</v>
      </c>
      <c r="P323" s="131"/>
    </row>
    <row r="324" spans="1:16" s="130" customFormat="1">
      <c r="A324" s="78">
        <v>56</v>
      </c>
      <c r="B324" s="130" t="s">
        <v>2304</v>
      </c>
      <c r="C324" s="130" t="s">
        <v>66</v>
      </c>
      <c r="D324" s="97" t="e">
        <f>_xlfn.XLOOKUP(A324,[1]CPD_SOP_new!$A:$A,[1]CPD_SOP_new!#REF!,"not found",0 )</f>
        <v>#REF!</v>
      </c>
      <c r="E324" s="97" t="str">
        <f>_xlfn.XLOOKUP(A324,[1]CPD_SOP_new!$A:$A,[1]CPD_SOP_new!$K:$K,"not found",0 )</f>
        <v>F1D</v>
      </c>
      <c r="F324" s="130" t="s">
        <v>27</v>
      </c>
      <c r="G324" s="130" t="s">
        <v>28</v>
      </c>
      <c r="H324" s="130" t="s">
        <v>28</v>
      </c>
      <c r="I324" s="130" t="s">
        <v>27</v>
      </c>
      <c r="J324" s="137" t="s">
        <v>68</v>
      </c>
      <c r="K324" s="130" t="s">
        <v>492</v>
      </c>
      <c r="L324" s="130" t="s">
        <v>723</v>
      </c>
      <c r="M324" s="100" t="str">
        <f t="shared" si="10"/>
        <v>Wrong measurement</v>
      </c>
      <c r="N324" s="59" t="str">
        <f t="shared" si="11"/>
        <v>Wrong measurement</v>
      </c>
      <c r="O324" s="131" t="s">
        <v>446</v>
      </c>
      <c r="P324" s="131"/>
    </row>
    <row r="325" spans="1:16" s="130" customFormat="1">
      <c r="A325" s="78">
        <v>56</v>
      </c>
      <c r="B325" s="130" t="s">
        <v>2304</v>
      </c>
      <c r="C325" s="130" t="s">
        <v>66</v>
      </c>
      <c r="D325" s="97" t="e">
        <f>_xlfn.XLOOKUP(A325,[1]CPD_SOP_new!$A:$A,[1]CPD_SOP_new!#REF!,"not found",0 )</f>
        <v>#REF!</v>
      </c>
      <c r="E325" s="97" t="str">
        <f>_xlfn.XLOOKUP(A325,[1]CPD_SOP_new!$A:$A,[1]CPD_SOP_new!$K:$K,"not found",0 )</f>
        <v>F1D</v>
      </c>
      <c r="F325" s="130" t="s">
        <v>27</v>
      </c>
      <c r="G325" s="130" t="s">
        <v>28</v>
      </c>
      <c r="H325" s="130" t="s">
        <v>28</v>
      </c>
      <c r="I325" s="130" t="s">
        <v>27</v>
      </c>
      <c r="J325" s="137" t="s">
        <v>68</v>
      </c>
      <c r="K325" s="136" t="s">
        <v>493</v>
      </c>
      <c r="L325" s="136" t="s">
        <v>723</v>
      </c>
      <c r="M325" s="100" t="str">
        <f t="shared" si="10"/>
        <v>Wrong measurement</v>
      </c>
      <c r="N325" s="59" t="str">
        <f t="shared" si="11"/>
        <v>Wrong measurement</v>
      </c>
      <c r="O325" s="131" t="s">
        <v>202</v>
      </c>
      <c r="P325" s="131"/>
    </row>
    <row r="326" spans="1:16" s="130" customFormat="1">
      <c r="A326" s="78">
        <v>56</v>
      </c>
      <c r="B326" s="130" t="s">
        <v>2304</v>
      </c>
      <c r="C326" s="130" t="s">
        <v>66</v>
      </c>
      <c r="D326" s="97" t="e">
        <f>_xlfn.XLOOKUP(A326,[1]CPD_SOP_new!$A:$A,[1]CPD_SOP_new!#REF!,"not found",0 )</f>
        <v>#REF!</v>
      </c>
      <c r="E326" s="97" t="str">
        <f>_xlfn.XLOOKUP(A326,[1]CPD_SOP_new!$A:$A,[1]CPD_SOP_new!$K:$K,"not found",0 )</f>
        <v>F1D</v>
      </c>
      <c r="F326" s="130" t="s">
        <v>27</v>
      </c>
      <c r="G326" s="130" t="s">
        <v>28</v>
      </c>
      <c r="H326" s="130" t="s">
        <v>28</v>
      </c>
      <c r="I326" s="130" t="s">
        <v>27</v>
      </c>
      <c r="J326" s="137" t="s">
        <v>68</v>
      </c>
      <c r="K326" s="136" t="s">
        <v>494</v>
      </c>
      <c r="L326" s="136" t="s">
        <v>723</v>
      </c>
      <c r="M326" s="100" t="str">
        <f t="shared" si="10"/>
        <v>Wrong measurement</v>
      </c>
      <c r="N326" s="59" t="str">
        <f t="shared" si="11"/>
        <v>Wrong measurement</v>
      </c>
      <c r="O326" s="131" t="s">
        <v>202</v>
      </c>
      <c r="P326" s="131"/>
    </row>
    <row r="327" spans="1:16" s="130" customFormat="1">
      <c r="A327" s="78">
        <v>56</v>
      </c>
      <c r="B327" s="130" t="s">
        <v>2304</v>
      </c>
      <c r="C327" s="130" t="s">
        <v>66</v>
      </c>
      <c r="D327" s="97" t="e">
        <f>_xlfn.XLOOKUP(A327,[1]CPD_SOP_new!$A:$A,[1]CPD_SOP_new!#REF!,"not found",0 )</f>
        <v>#REF!</v>
      </c>
      <c r="E327" s="97" t="str">
        <f>_xlfn.XLOOKUP(A327,[1]CPD_SOP_new!$A:$A,[1]CPD_SOP_new!$K:$K,"not found",0 )</f>
        <v>F1D</v>
      </c>
      <c r="F327" s="130" t="s">
        <v>27</v>
      </c>
      <c r="G327" s="130" t="s">
        <v>28</v>
      </c>
      <c r="H327" s="130" t="s">
        <v>28</v>
      </c>
      <c r="I327" s="130" t="s">
        <v>27</v>
      </c>
      <c r="J327" s="137" t="s">
        <v>68</v>
      </c>
      <c r="K327" s="62" t="s">
        <v>495</v>
      </c>
      <c r="L327" s="136" t="s">
        <v>723</v>
      </c>
      <c r="M327" s="100" t="str">
        <f t="shared" si="10"/>
        <v>Wrong measurement</v>
      </c>
      <c r="N327" s="59" t="str">
        <f t="shared" si="11"/>
        <v>Wrong measurement</v>
      </c>
      <c r="O327" s="131" t="s">
        <v>202</v>
      </c>
      <c r="P327" s="131"/>
    </row>
    <row r="328" spans="1:16">
      <c r="A328" s="77">
        <v>56</v>
      </c>
      <c r="B328" t="s">
        <v>2304</v>
      </c>
      <c r="C328" t="s">
        <v>66</v>
      </c>
      <c r="D328" s="97" t="e">
        <f>_xlfn.XLOOKUP(A328,[1]CPD_SOP_new!$A:$A,[1]CPD_SOP_new!#REF!,"not found",0 )</f>
        <v>#REF!</v>
      </c>
      <c r="E328" s="97" t="str">
        <f>_xlfn.XLOOKUP(A328,[1]CPD_SOP_new!$A:$A,[1]CPD_SOP_new!$K:$K,"not found",0 )</f>
        <v>F1D</v>
      </c>
      <c r="F328" t="s">
        <v>28</v>
      </c>
      <c r="G328" t="s">
        <v>28</v>
      </c>
      <c r="H328" t="s">
        <v>28</v>
      </c>
      <c r="I328" t="s">
        <v>28</v>
      </c>
      <c r="J328" t="s">
        <v>124</v>
      </c>
      <c r="K328" s="11" t="s">
        <v>496</v>
      </c>
      <c r="L328" s="132" t="s">
        <v>2406</v>
      </c>
      <c r="M328" s="100" t="str">
        <f t="shared" si="10"/>
        <v>CPD_TC56_Try1_NCAP3_3YO_F1D_CPD.MF4.xz</v>
      </c>
      <c r="N328" s="59" t="str">
        <f t="shared" si="11"/>
        <v>_NCAP3_3YO_F1D_CPD.MF4.xz</v>
      </c>
      <c r="O328" s="129" t="s">
        <v>86</v>
      </c>
      <c r="P328" s="129"/>
    </row>
    <row r="329" spans="1:16">
      <c r="A329" s="77">
        <v>56</v>
      </c>
      <c r="B329" t="s">
        <v>2304</v>
      </c>
      <c r="C329" t="s">
        <v>66</v>
      </c>
      <c r="D329" s="97" t="e">
        <f>_xlfn.XLOOKUP(A329,[1]CPD_SOP_new!$A:$A,[1]CPD_SOP_new!#REF!,"not found",0 )</f>
        <v>#REF!</v>
      </c>
      <c r="E329" s="97" t="str">
        <f>_xlfn.XLOOKUP(A329,[1]CPD_SOP_new!$A:$A,[1]CPD_SOP_new!$K:$K,"not found",0 )</f>
        <v>F1D</v>
      </c>
      <c r="F329" t="s">
        <v>28</v>
      </c>
      <c r="G329" t="s">
        <v>28</v>
      </c>
      <c r="H329" t="s">
        <v>28</v>
      </c>
      <c r="I329" t="s">
        <v>28</v>
      </c>
      <c r="J329" t="s">
        <v>124</v>
      </c>
      <c r="K329" s="11" t="s">
        <v>498</v>
      </c>
      <c r="L329" s="132" t="s">
        <v>2407</v>
      </c>
      <c r="M329" s="100" t="str">
        <f t="shared" si="10"/>
        <v>CPD_TC56_Try2_NCAP3_3YO_F1D_CPD.MF4.xz</v>
      </c>
      <c r="N329" s="59" t="str">
        <f t="shared" si="11"/>
        <v>_NCAP3_3YO_F1D_CPD.MF4.xz</v>
      </c>
      <c r="O329" s="129" t="s">
        <v>86</v>
      </c>
      <c r="P329" s="129"/>
    </row>
    <row r="330" spans="1:16">
      <c r="A330" s="77">
        <v>56</v>
      </c>
      <c r="B330" t="s">
        <v>2304</v>
      </c>
      <c r="C330" t="s">
        <v>66</v>
      </c>
      <c r="D330" s="97" t="e">
        <f>_xlfn.XLOOKUP(A330,[1]CPD_SOP_new!$A:$A,[1]CPD_SOP_new!#REF!,"not found",0 )</f>
        <v>#REF!</v>
      </c>
      <c r="E330" s="97" t="str">
        <f>_xlfn.XLOOKUP(A330,[1]CPD_SOP_new!$A:$A,[1]CPD_SOP_new!$K:$K,"not found",0 )</f>
        <v>F1D</v>
      </c>
      <c r="F330" t="s">
        <v>28</v>
      </c>
      <c r="G330" t="s">
        <v>28</v>
      </c>
      <c r="H330" t="s">
        <v>28</v>
      </c>
      <c r="I330" t="s">
        <v>28</v>
      </c>
      <c r="J330" t="s">
        <v>124</v>
      </c>
      <c r="K330" s="11" t="s">
        <v>499</v>
      </c>
      <c r="L330" s="132" t="s">
        <v>2408</v>
      </c>
      <c r="M330" s="100" t="str">
        <f t="shared" si="10"/>
        <v>CPD_TC56_Try3_NCAP3_3YO_F1D_CPD.MF4.xz</v>
      </c>
      <c r="N330" s="59" t="str">
        <f t="shared" si="11"/>
        <v>_NCAP3_3YO_F1D_CPD.MF4.xz</v>
      </c>
      <c r="O330" s="129" t="s">
        <v>86</v>
      </c>
      <c r="P330" s="129"/>
    </row>
    <row r="331" spans="1:16">
      <c r="A331" s="77">
        <v>56</v>
      </c>
      <c r="B331" t="s">
        <v>2304</v>
      </c>
      <c r="C331" t="s">
        <v>66</v>
      </c>
      <c r="D331" s="97" t="e">
        <f>_xlfn.XLOOKUP(A331,[1]CPD_SOP_new!$A:$A,[1]CPD_SOP_new!#REF!,"not found",0 )</f>
        <v>#REF!</v>
      </c>
      <c r="E331" s="97" t="str">
        <f>_xlfn.XLOOKUP(A331,[1]CPD_SOP_new!$A:$A,[1]CPD_SOP_new!$K:$K,"not found",0 )</f>
        <v>F1D</v>
      </c>
      <c r="F331" t="s">
        <v>28</v>
      </c>
      <c r="G331" t="s">
        <v>28</v>
      </c>
      <c r="H331" t="s">
        <v>28</v>
      </c>
      <c r="I331" t="s">
        <v>28</v>
      </c>
      <c r="J331" t="s">
        <v>124</v>
      </c>
      <c r="K331" s="11" t="s">
        <v>500</v>
      </c>
      <c r="L331" s="132" t="s">
        <v>2409</v>
      </c>
      <c r="M331" s="100" t="str">
        <f t="shared" si="10"/>
        <v>CPD_TC56_Try4_NCAP3_3YO_F1D_CPD.MF4.xz</v>
      </c>
      <c r="N331" s="59" t="str">
        <f t="shared" si="11"/>
        <v>_NCAP3_3YO_F1D_CPD.MF4.xz</v>
      </c>
      <c r="O331" s="129" t="s">
        <v>86</v>
      </c>
      <c r="P331" s="129"/>
    </row>
    <row r="332" spans="1:16">
      <c r="A332" s="77">
        <v>56</v>
      </c>
      <c r="B332" t="s">
        <v>2304</v>
      </c>
      <c r="C332" t="s">
        <v>66</v>
      </c>
      <c r="D332" s="97" t="e">
        <f>_xlfn.XLOOKUP(A332,[1]CPD_SOP_new!$A:$A,[1]CPD_SOP_new!#REF!,"not found",0 )</f>
        <v>#REF!</v>
      </c>
      <c r="E332" s="97" t="str">
        <f>_xlfn.XLOOKUP(A332,[1]CPD_SOP_new!$A:$A,[1]CPD_SOP_new!$K:$K,"not found",0 )</f>
        <v>F1D</v>
      </c>
      <c r="F332" t="s">
        <v>28</v>
      </c>
      <c r="G332" t="s">
        <v>28</v>
      </c>
      <c r="H332" t="s">
        <v>28</v>
      </c>
      <c r="I332" t="s">
        <v>28</v>
      </c>
      <c r="J332" t="s">
        <v>124</v>
      </c>
      <c r="K332" s="132" t="s">
        <v>501</v>
      </c>
      <c r="L332" s="132" t="s">
        <v>2410</v>
      </c>
      <c r="M332" s="100" t="str">
        <f t="shared" si="10"/>
        <v>CPD_TC56_Try5_NCAP3_3YO_F1D_CPD.MF4.xz</v>
      </c>
      <c r="N332" s="59" t="str">
        <f t="shared" si="11"/>
        <v>_NCAP3_3YO_F1D_CPD.MF4.xz</v>
      </c>
      <c r="O332" s="129" t="s">
        <v>86</v>
      </c>
      <c r="P332" s="129"/>
    </row>
    <row r="333" spans="1:16">
      <c r="A333" s="77">
        <v>56</v>
      </c>
      <c r="B333" t="s">
        <v>2304</v>
      </c>
      <c r="C333" t="s">
        <v>66</v>
      </c>
      <c r="D333" s="97" t="e">
        <f>_xlfn.XLOOKUP(A333,[1]CPD_SOP_new!$A:$A,[1]CPD_SOP_new!#REF!,"not found",0 )</f>
        <v>#REF!</v>
      </c>
      <c r="E333" s="97" t="str">
        <f>_xlfn.XLOOKUP(A333,[1]CPD_SOP_new!$A:$A,[1]CPD_SOP_new!$K:$K,"not found",0 )</f>
        <v>F1D</v>
      </c>
      <c r="F333" t="s">
        <v>28</v>
      </c>
      <c r="G333" t="s">
        <v>28</v>
      </c>
      <c r="H333" t="s">
        <v>28</v>
      </c>
      <c r="I333" t="s">
        <v>28</v>
      </c>
      <c r="J333" t="s">
        <v>124</v>
      </c>
      <c r="K333" t="s">
        <v>502</v>
      </c>
      <c r="L333" t="s">
        <v>2411</v>
      </c>
      <c r="M333" s="100" t="str">
        <f t="shared" si="10"/>
        <v>CSR_XCP_Signals_Recorder_2026-01-20_09-53-27_CPD_TC56_Try5_NCAP3_3YO_F1D_CPD.MF4.xz</v>
      </c>
      <c r="N333" s="59" t="str">
        <f t="shared" si="11"/>
        <v>_NCAP3_3YO_F1D_CPD.MF4.xz</v>
      </c>
      <c r="O333" t="s">
        <v>86</v>
      </c>
    </row>
    <row r="334" spans="1:16" s="130" customFormat="1">
      <c r="A334" s="78">
        <v>56</v>
      </c>
      <c r="B334" s="130" t="s">
        <v>2304</v>
      </c>
      <c r="C334" s="130" t="s">
        <v>66</v>
      </c>
      <c r="D334" s="97" t="e">
        <f>_xlfn.XLOOKUP(A334,[1]CPD_SOP_new!$A:$A,[1]CPD_SOP_new!#REF!,"not found",0 )</f>
        <v>#REF!</v>
      </c>
      <c r="E334" s="97" t="str">
        <f>_xlfn.XLOOKUP(A334,[1]CPD_SOP_new!$A:$A,[1]CPD_SOP_new!$K:$K,"not found",0 )</f>
        <v>F1D</v>
      </c>
      <c r="F334" s="130" t="s">
        <v>28</v>
      </c>
      <c r="G334" s="130" t="s">
        <v>28</v>
      </c>
      <c r="H334" s="130" t="s">
        <v>28</v>
      </c>
      <c r="I334" s="130" t="s">
        <v>27</v>
      </c>
      <c r="J334" s="130" t="s">
        <v>503</v>
      </c>
      <c r="K334" s="130" t="s">
        <v>504</v>
      </c>
      <c r="L334" s="130" t="s">
        <v>723</v>
      </c>
      <c r="M334" s="100" t="str">
        <f t="shared" si="10"/>
        <v>Wrong measurement</v>
      </c>
      <c r="N334" s="59" t="str">
        <f t="shared" si="11"/>
        <v>Wrong measurement</v>
      </c>
      <c r="O334" s="130" t="s">
        <v>86</v>
      </c>
    </row>
    <row r="335" spans="1:16">
      <c r="A335" s="77">
        <v>56</v>
      </c>
      <c r="B335" t="s">
        <v>2304</v>
      </c>
      <c r="C335" t="s">
        <v>66</v>
      </c>
      <c r="D335" s="97" t="e">
        <f>_xlfn.XLOOKUP(A335,[1]CPD_SOP_new!$A:$A,[1]CPD_SOP_new!#REF!,"not found",0 )</f>
        <v>#REF!</v>
      </c>
      <c r="E335" s="97" t="str">
        <f>_xlfn.XLOOKUP(A335,[1]CPD_SOP_new!$A:$A,[1]CPD_SOP_new!$K:$K,"not found",0 )</f>
        <v>F1D</v>
      </c>
      <c r="F335" t="s">
        <v>28</v>
      </c>
      <c r="G335" t="s">
        <v>28</v>
      </c>
      <c r="H335" t="s">
        <v>28</v>
      </c>
      <c r="I335" t="s">
        <v>28</v>
      </c>
      <c r="J335" t="s">
        <v>124</v>
      </c>
      <c r="K335" t="s">
        <v>505</v>
      </c>
      <c r="L335" t="s">
        <v>2412</v>
      </c>
      <c r="M335" s="100" t="str">
        <f t="shared" si="10"/>
        <v>CSR_XCP_Signals_Recorder_2026-01-20_09-48-47_CPD_TC56_Try2_NCAP3_3YO_F1D_CPD.MF4.xz</v>
      </c>
      <c r="N335" s="59" t="str">
        <f t="shared" si="11"/>
        <v>_NCAP3_3YO_F1D_CPD.MF4.xz</v>
      </c>
      <c r="O335" t="s">
        <v>86</v>
      </c>
    </row>
    <row r="336" spans="1:16">
      <c r="A336" s="77">
        <v>56</v>
      </c>
      <c r="B336" t="s">
        <v>2304</v>
      </c>
      <c r="C336" t="s">
        <v>66</v>
      </c>
      <c r="D336" s="97" t="e">
        <f>_xlfn.XLOOKUP(A336,[1]CPD_SOP_new!$A:$A,[1]CPD_SOP_new!#REF!,"not found",0 )</f>
        <v>#REF!</v>
      </c>
      <c r="E336" s="97" t="str">
        <f>_xlfn.XLOOKUP(A336,[1]CPD_SOP_new!$A:$A,[1]CPD_SOP_new!$K:$K,"not found",0 )</f>
        <v>F1D</v>
      </c>
      <c r="F336" t="s">
        <v>28</v>
      </c>
      <c r="G336" t="s">
        <v>28</v>
      </c>
      <c r="H336" t="s">
        <v>28</v>
      </c>
      <c r="I336" t="s">
        <v>28</v>
      </c>
      <c r="J336" t="s">
        <v>124</v>
      </c>
      <c r="K336" t="s">
        <v>506</v>
      </c>
      <c r="L336" t="s">
        <v>2413</v>
      </c>
      <c r="M336" s="100" t="str">
        <f t="shared" si="10"/>
        <v>CSR_XCP_Signals_Recorder_2026-01-20_09-50-16_CPD_TC56_Try3_NCAP3_3YO_F1D_CPD.MF4.xz</v>
      </c>
      <c r="N336" s="59" t="str">
        <f t="shared" si="11"/>
        <v>_NCAP3_3YO_F1D_CPD.MF4.xz</v>
      </c>
      <c r="O336" t="s">
        <v>86</v>
      </c>
    </row>
    <row r="337" spans="1:21">
      <c r="A337" s="77">
        <v>56</v>
      </c>
      <c r="B337" t="s">
        <v>2304</v>
      </c>
      <c r="C337" t="s">
        <v>66</v>
      </c>
      <c r="D337" s="97" t="e">
        <f>_xlfn.XLOOKUP(A337,[1]CPD_SOP_new!$A:$A,[1]CPD_SOP_new!#REF!,"not found",0 )</f>
        <v>#REF!</v>
      </c>
      <c r="E337" s="97" t="str">
        <f>_xlfn.XLOOKUP(A337,[1]CPD_SOP_new!$A:$A,[1]CPD_SOP_new!$K:$K,"not found",0 )</f>
        <v>F1D</v>
      </c>
      <c r="F337" t="s">
        <v>28</v>
      </c>
      <c r="G337" t="s">
        <v>28</v>
      </c>
      <c r="H337" t="s">
        <v>28</v>
      </c>
      <c r="I337" t="s">
        <v>28</v>
      </c>
      <c r="J337" t="s">
        <v>124</v>
      </c>
      <c r="K337" t="s">
        <v>507</v>
      </c>
      <c r="L337" t="s">
        <v>2414</v>
      </c>
      <c r="M337" s="100" t="str">
        <f t="shared" si="10"/>
        <v>CSR_XCP_Signals_Recorder_2026-01-20_09-51-41_CPD_TC56_Try4_NCAP3_3YO_F1D_CPD.MF4.xz</v>
      </c>
      <c r="N337" s="59" t="str">
        <f t="shared" si="11"/>
        <v>_NCAP3_3YO_F1D_CPD.MF4.xz</v>
      </c>
      <c r="O337" t="s">
        <v>86</v>
      </c>
    </row>
    <row r="338" spans="1:21" s="130" customFormat="1">
      <c r="A338" s="78">
        <v>57</v>
      </c>
      <c r="B338" s="130" t="s">
        <v>2304</v>
      </c>
      <c r="C338" s="130" t="s">
        <v>66</v>
      </c>
      <c r="D338" s="97" t="e">
        <f>_xlfn.XLOOKUP(A338,[1]CPD_SOP_new!$A:$A,[1]CPD_SOP_new!#REF!,"not found",0 )</f>
        <v>#REF!</v>
      </c>
      <c r="E338" s="97" t="str">
        <f>_xlfn.XLOOKUP(A338,[1]CPD_SOP_new!$A:$A,[1]CPD_SOP_new!$K:$K,"not found",0 )</f>
        <v>F1P</v>
      </c>
      <c r="F338" s="130" t="s">
        <v>27</v>
      </c>
      <c r="G338" s="130" t="s">
        <v>28</v>
      </c>
      <c r="H338" s="130" t="s">
        <v>28</v>
      </c>
      <c r="I338" s="130" t="s">
        <v>27</v>
      </c>
      <c r="J338" s="137" t="s">
        <v>68</v>
      </c>
      <c r="K338" s="130" t="s">
        <v>509</v>
      </c>
      <c r="L338" s="130" t="s">
        <v>723</v>
      </c>
      <c r="M338" s="100" t="str">
        <f t="shared" si="10"/>
        <v>Wrong measurement</v>
      </c>
      <c r="N338" s="59" t="str">
        <f t="shared" si="11"/>
        <v>Wrong measurement</v>
      </c>
      <c r="O338" s="131" t="s">
        <v>446</v>
      </c>
      <c r="P338" s="131"/>
    </row>
    <row r="339" spans="1:21" s="130" customFormat="1">
      <c r="A339" s="78">
        <v>57</v>
      </c>
      <c r="B339" s="130" t="s">
        <v>2304</v>
      </c>
      <c r="C339" s="130" t="s">
        <v>66</v>
      </c>
      <c r="D339" s="97" t="e">
        <f>_xlfn.XLOOKUP(A339,[1]CPD_SOP_new!$A:$A,[1]CPD_SOP_new!#REF!,"not found",0 )</f>
        <v>#REF!</v>
      </c>
      <c r="E339" s="97" t="str">
        <f>_xlfn.XLOOKUP(A339,[1]CPD_SOP_new!$A:$A,[1]CPD_SOP_new!$K:$K,"not found",0 )</f>
        <v>F1P</v>
      </c>
      <c r="F339" s="130" t="s">
        <v>27</v>
      </c>
      <c r="G339" s="130" t="s">
        <v>28</v>
      </c>
      <c r="H339" s="130" t="s">
        <v>28</v>
      </c>
      <c r="I339" s="130" t="s">
        <v>27</v>
      </c>
      <c r="J339" s="137" t="s">
        <v>68</v>
      </c>
      <c r="K339" s="130" t="s">
        <v>510</v>
      </c>
      <c r="L339" s="130" t="s">
        <v>723</v>
      </c>
      <c r="M339" s="100" t="str">
        <f t="shared" si="10"/>
        <v>Wrong measurement</v>
      </c>
      <c r="N339" s="59" t="str">
        <f t="shared" si="11"/>
        <v>Wrong measurement</v>
      </c>
      <c r="O339" s="131" t="s">
        <v>446</v>
      </c>
      <c r="P339" s="131"/>
    </row>
    <row r="340" spans="1:21" s="130" customFormat="1">
      <c r="A340" s="78">
        <v>57</v>
      </c>
      <c r="B340" s="130" t="s">
        <v>2304</v>
      </c>
      <c r="C340" s="130" t="s">
        <v>66</v>
      </c>
      <c r="D340" s="97" t="e">
        <f>_xlfn.XLOOKUP(A340,[1]CPD_SOP_new!$A:$A,[1]CPD_SOP_new!#REF!,"not found",0 )</f>
        <v>#REF!</v>
      </c>
      <c r="E340" s="97" t="str">
        <f>_xlfn.XLOOKUP(A340,[1]CPD_SOP_new!$A:$A,[1]CPD_SOP_new!$K:$K,"not found",0 )</f>
        <v>F1P</v>
      </c>
      <c r="F340" s="130" t="s">
        <v>27</v>
      </c>
      <c r="G340" s="130" t="s">
        <v>28</v>
      </c>
      <c r="H340" s="130" t="s">
        <v>28</v>
      </c>
      <c r="I340" s="130" t="s">
        <v>27</v>
      </c>
      <c r="J340" s="137" t="s">
        <v>68</v>
      </c>
      <c r="K340" s="130" t="s">
        <v>511</v>
      </c>
      <c r="L340" s="130" t="s">
        <v>723</v>
      </c>
      <c r="M340" s="100" t="str">
        <f t="shared" si="10"/>
        <v>Wrong measurement</v>
      </c>
      <c r="N340" s="59" t="str">
        <f t="shared" si="11"/>
        <v>Wrong measurement</v>
      </c>
      <c r="O340" s="131" t="s">
        <v>446</v>
      </c>
      <c r="P340" s="131"/>
    </row>
    <row r="341" spans="1:21">
      <c r="A341" s="77">
        <v>57</v>
      </c>
      <c r="B341" t="s">
        <v>2304</v>
      </c>
      <c r="C341" t="s">
        <v>66</v>
      </c>
      <c r="D341" s="97" t="e">
        <f>_xlfn.XLOOKUP(A341,[1]CPD_SOP_new!$A:$A,[1]CPD_SOP_new!#REF!,"not found",0 )</f>
        <v>#REF!</v>
      </c>
      <c r="E341" s="97" t="str">
        <f>_xlfn.XLOOKUP(A341,[1]CPD_SOP_new!$A:$A,[1]CPD_SOP_new!$K:$K,"not found",0 )</f>
        <v>F1P</v>
      </c>
      <c r="F341" t="s">
        <v>28</v>
      </c>
      <c r="G341" t="s">
        <v>28</v>
      </c>
      <c r="H341" t="s">
        <v>28</v>
      </c>
      <c r="I341" t="s">
        <v>28</v>
      </c>
      <c r="J341" t="s">
        <v>124</v>
      </c>
      <c r="K341" s="132" t="s">
        <v>512</v>
      </c>
      <c r="L341" s="132" t="s">
        <v>2415</v>
      </c>
      <c r="M341" s="100" t="str">
        <f t="shared" si="10"/>
        <v>CPD_TC57_Try1_NCAP3_3YO_F1P_CPD.MF4.xz</v>
      </c>
      <c r="N341" s="59" t="str">
        <f t="shared" si="11"/>
        <v>_NCAP3_3YO_F1P_CPD.MF4.xz</v>
      </c>
      <c r="O341" s="129" t="s">
        <v>86</v>
      </c>
      <c r="P341" s="129"/>
    </row>
    <row r="342" spans="1:21">
      <c r="A342" s="77">
        <v>57</v>
      </c>
      <c r="B342" t="s">
        <v>2304</v>
      </c>
      <c r="C342" t="s">
        <v>66</v>
      </c>
      <c r="D342" s="97" t="e">
        <f>_xlfn.XLOOKUP(A342,[1]CPD_SOP_new!$A:$A,[1]CPD_SOP_new!#REF!,"not found",0 )</f>
        <v>#REF!</v>
      </c>
      <c r="E342" s="97" t="str">
        <f>_xlfn.XLOOKUP(A342,[1]CPD_SOP_new!$A:$A,[1]CPD_SOP_new!$K:$K,"not found",0 )</f>
        <v>F1P</v>
      </c>
      <c r="F342" t="s">
        <v>28</v>
      </c>
      <c r="G342" t="s">
        <v>28</v>
      </c>
      <c r="H342" t="s">
        <v>28</v>
      </c>
      <c r="I342" t="s">
        <v>28</v>
      </c>
      <c r="J342" t="s">
        <v>124</v>
      </c>
      <c r="K342" s="132" t="s">
        <v>514</v>
      </c>
      <c r="L342" s="132" t="s">
        <v>2416</v>
      </c>
      <c r="M342" s="100" t="str">
        <f t="shared" si="10"/>
        <v>CPD_TC57_Try2_NCAP3_3YO_F1P_CPD.MF4.xz</v>
      </c>
      <c r="N342" s="59" t="str">
        <f t="shared" si="11"/>
        <v>_NCAP3_3YO_F1P_CPD.MF4.xz</v>
      </c>
      <c r="O342" s="129" t="s">
        <v>86</v>
      </c>
      <c r="P342" s="129"/>
    </row>
    <row r="343" spans="1:21">
      <c r="A343" s="77">
        <v>57</v>
      </c>
      <c r="B343" t="s">
        <v>2304</v>
      </c>
      <c r="C343" t="s">
        <v>66</v>
      </c>
      <c r="D343" s="97" t="e">
        <f>_xlfn.XLOOKUP(A343,[1]CPD_SOP_new!$A:$A,[1]CPD_SOP_new!#REF!,"not found",0 )</f>
        <v>#REF!</v>
      </c>
      <c r="E343" s="97" t="str">
        <f>_xlfn.XLOOKUP(A343,[1]CPD_SOP_new!$A:$A,[1]CPD_SOP_new!$K:$K,"not found",0 )</f>
        <v>F1P</v>
      </c>
      <c r="F343" t="s">
        <v>28</v>
      </c>
      <c r="G343" t="s">
        <v>28</v>
      </c>
      <c r="H343" t="s">
        <v>28</v>
      </c>
      <c r="I343" t="s">
        <v>28</v>
      </c>
      <c r="J343" t="s">
        <v>124</v>
      </c>
      <c r="K343" s="132" t="s">
        <v>515</v>
      </c>
      <c r="L343" s="132" t="s">
        <v>2417</v>
      </c>
      <c r="M343" s="100" t="str">
        <f t="shared" si="10"/>
        <v>CPD_TC57_Try3_NCAP3_3YO_F1P_CPD.MF4.xz</v>
      </c>
      <c r="N343" s="59" t="str">
        <f t="shared" si="11"/>
        <v>_NCAP3_3YO_F1P_CPD.MF4.xz</v>
      </c>
      <c r="O343" s="129" t="s">
        <v>86</v>
      </c>
      <c r="P343" s="129"/>
    </row>
    <row r="344" spans="1:21">
      <c r="A344" s="77">
        <v>57</v>
      </c>
      <c r="B344" t="s">
        <v>2304</v>
      </c>
      <c r="C344" t="s">
        <v>66</v>
      </c>
      <c r="D344" s="97" t="e">
        <f>_xlfn.XLOOKUP(A344,[1]CPD_SOP_new!$A:$A,[1]CPD_SOP_new!#REF!,"not found",0 )</f>
        <v>#REF!</v>
      </c>
      <c r="E344" s="97" t="str">
        <f>_xlfn.XLOOKUP(A344,[1]CPD_SOP_new!$A:$A,[1]CPD_SOP_new!$K:$K,"not found",0 )</f>
        <v>F1P</v>
      </c>
      <c r="F344" t="s">
        <v>28</v>
      </c>
      <c r="G344" t="s">
        <v>28</v>
      </c>
      <c r="H344" t="s">
        <v>28</v>
      </c>
      <c r="I344" t="s">
        <v>28</v>
      </c>
      <c r="J344" t="s">
        <v>124</v>
      </c>
      <c r="K344" s="132" t="s">
        <v>516</v>
      </c>
      <c r="L344" s="132" t="s">
        <v>2418</v>
      </c>
      <c r="M344" s="100" t="str">
        <f t="shared" si="10"/>
        <v>CPD_TC57_Try4_NCAP3_3YO_F1P_CPD.MF4.xz</v>
      </c>
      <c r="N344" s="59" t="str">
        <f t="shared" si="11"/>
        <v>_NCAP3_3YO_F1P_CPD.MF4.xz</v>
      </c>
      <c r="O344" s="129" t="s">
        <v>86</v>
      </c>
      <c r="P344" s="129"/>
    </row>
    <row r="345" spans="1:21">
      <c r="A345" s="77">
        <v>57</v>
      </c>
      <c r="B345" t="s">
        <v>2304</v>
      </c>
      <c r="C345" t="s">
        <v>66</v>
      </c>
      <c r="D345" s="97" t="e">
        <f>_xlfn.XLOOKUP(A345,[1]CPD_SOP_new!$A:$A,[1]CPD_SOP_new!#REF!,"not found",0 )</f>
        <v>#REF!</v>
      </c>
      <c r="E345" s="97" t="str">
        <f>_xlfn.XLOOKUP(A345,[1]CPD_SOP_new!$A:$A,[1]CPD_SOP_new!$K:$K,"not found",0 )</f>
        <v>F1P</v>
      </c>
      <c r="F345" t="s">
        <v>28</v>
      </c>
      <c r="G345" t="s">
        <v>28</v>
      </c>
      <c r="H345" t="s">
        <v>28</v>
      </c>
      <c r="I345" t="s">
        <v>28</v>
      </c>
      <c r="J345" t="s">
        <v>124</v>
      </c>
      <c r="K345" s="132" t="s">
        <v>517</v>
      </c>
      <c r="L345" s="132" t="s">
        <v>2419</v>
      </c>
      <c r="M345" s="100" t="str">
        <f t="shared" si="10"/>
        <v>CPD_TC57_Try5_NCAP3_3YO_F1P_CPD.MF4.xz</v>
      </c>
      <c r="N345" s="59" t="str">
        <f t="shared" si="11"/>
        <v>_NCAP3_3YO_F1P_CPD.MF4.xz</v>
      </c>
      <c r="O345" s="129" t="s">
        <v>86</v>
      </c>
      <c r="P345" s="129"/>
    </row>
    <row r="346" spans="1:21" s="130" customFormat="1">
      <c r="A346" s="78">
        <v>57</v>
      </c>
      <c r="B346" s="130" t="s">
        <v>2304</v>
      </c>
      <c r="C346" s="130" t="s">
        <v>66</v>
      </c>
      <c r="D346" s="97" t="e">
        <f>_xlfn.XLOOKUP(A346,[1]CPD_SOP_new!$A:$A,[1]CPD_SOP_new!#REF!,"not found",0 )</f>
        <v>#REF!</v>
      </c>
      <c r="E346" s="97" t="str">
        <f>_xlfn.XLOOKUP(A346,[1]CPD_SOP_new!$A:$A,[1]CPD_SOP_new!$K:$K,"not found",0 )</f>
        <v>F1P</v>
      </c>
      <c r="F346" s="130" t="s">
        <v>28</v>
      </c>
      <c r="G346" s="130" t="s">
        <v>28</v>
      </c>
      <c r="H346" s="130" t="s">
        <v>28</v>
      </c>
      <c r="I346" s="130" t="s">
        <v>27</v>
      </c>
      <c r="J346" s="137" t="s">
        <v>518</v>
      </c>
      <c r="K346" s="136" t="s">
        <v>519</v>
      </c>
      <c r="L346" s="136" t="s">
        <v>723</v>
      </c>
      <c r="M346" s="100" t="str">
        <f t="shared" si="10"/>
        <v>Wrong measurement</v>
      </c>
      <c r="N346" s="59" t="str">
        <f t="shared" si="11"/>
        <v>Wrong measurement</v>
      </c>
      <c r="O346" s="131" t="s">
        <v>202</v>
      </c>
      <c r="P346" s="131"/>
    </row>
    <row r="347" spans="1:21" s="130" customFormat="1">
      <c r="A347" s="78">
        <v>57</v>
      </c>
      <c r="B347" s="130" t="s">
        <v>2304</v>
      </c>
      <c r="C347" s="130" t="s">
        <v>66</v>
      </c>
      <c r="D347" s="97" t="e">
        <f>_xlfn.XLOOKUP(A347,[1]CPD_SOP_new!$A:$A,[1]CPD_SOP_new!#REF!,"not found",0 )</f>
        <v>#REF!</v>
      </c>
      <c r="E347" s="97" t="str">
        <f>_xlfn.XLOOKUP(A347,[1]CPD_SOP_new!$A:$A,[1]CPD_SOP_new!$K:$K,"not found",0 )</f>
        <v>F1P</v>
      </c>
      <c r="F347" s="130" t="s">
        <v>28</v>
      </c>
      <c r="G347" s="130" t="s">
        <v>28</v>
      </c>
      <c r="H347" s="130" t="s">
        <v>28</v>
      </c>
      <c r="I347" s="130" t="s">
        <v>27</v>
      </c>
      <c r="J347" s="137" t="s">
        <v>518</v>
      </c>
      <c r="K347" s="136" t="s">
        <v>520</v>
      </c>
      <c r="L347" s="136" t="s">
        <v>723</v>
      </c>
      <c r="M347" s="100" t="str">
        <f t="shared" si="10"/>
        <v>Wrong measurement</v>
      </c>
      <c r="N347" s="59" t="str">
        <f t="shared" si="11"/>
        <v>Wrong measurement</v>
      </c>
      <c r="O347" s="131" t="s">
        <v>202</v>
      </c>
      <c r="P347" s="131"/>
    </row>
    <row r="348" spans="1:21" s="130" customFormat="1">
      <c r="A348" s="78">
        <v>57</v>
      </c>
      <c r="B348" s="130" t="s">
        <v>2304</v>
      </c>
      <c r="C348" s="130" t="s">
        <v>66</v>
      </c>
      <c r="D348" s="97" t="e">
        <f>_xlfn.XLOOKUP(A348,[1]CPD_SOP_new!$A:$A,[1]CPD_SOP_new!#REF!,"not found",0 )</f>
        <v>#REF!</v>
      </c>
      <c r="E348" s="97" t="str">
        <f>_xlfn.XLOOKUP(A348,[1]CPD_SOP_new!$A:$A,[1]CPD_SOP_new!$K:$K,"not found",0 )</f>
        <v>F1P</v>
      </c>
      <c r="F348" s="130" t="s">
        <v>28</v>
      </c>
      <c r="G348" s="130" t="s">
        <v>28</v>
      </c>
      <c r="H348" s="130" t="s">
        <v>28</v>
      </c>
      <c r="I348" s="130" t="s">
        <v>27</v>
      </c>
      <c r="J348" s="137" t="s">
        <v>518</v>
      </c>
      <c r="K348" s="136" t="s">
        <v>521</v>
      </c>
      <c r="L348" s="136" t="s">
        <v>723</v>
      </c>
      <c r="M348" s="100" t="str">
        <f t="shared" si="10"/>
        <v>Wrong measurement</v>
      </c>
      <c r="N348" s="59" t="str">
        <f t="shared" si="11"/>
        <v>Wrong measurement</v>
      </c>
      <c r="O348" s="131" t="s">
        <v>202</v>
      </c>
      <c r="P348" s="131"/>
    </row>
    <row r="349" spans="1:21" s="130" customFormat="1">
      <c r="A349" s="78">
        <v>57</v>
      </c>
      <c r="B349" s="130" t="s">
        <v>2304</v>
      </c>
      <c r="C349" s="130" t="s">
        <v>66</v>
      </c>
      <c r="D349" s="97" t="e">
        <f>_xlfn.XLOOKUP(A349,[1]CPD_SOP_new!$A:$A,[1]CPD_SOP_new!#REF!,"not found",0 )</f>
        <v>#REF!</v>
      </c>
      <c r="E349" s="97" t="str">
        <f>_xlfn.XLOOKUP(A349,[1]CPD_SOP_new!$A:$A,[1]CPD_SOP_new!$K:$K,"not found",0 )</f>
        <v>F1P</v>
      </c>
      <c r="F349" s="130" t="s">
        <v>28</v>
      </c>
      <c r="G349" s="130" t="s">
        <v>28</v>
      </c>
      <c r="H349" s="130" t="s">
        <v>28</v>
      </c>
      <c r="I349" s="130" t="s">
        <v>27</v>
      </c>
      <c r="J349" s="137" t="s">
        <v>518</v>
      </c>
      <c r="K349" s="136" t="s">
        <v>522</v>
      </c>
      <c r="L349" s="136" t="s">
        <v>723</v>
      </c>
      <c r="M349" s="100" t="str">
        <f t="shared" si="10"/>
        <v>Wrong measurement</v>
      </c>
      <c r="N349" s="59" t="str">
        <f t="shared" si="11"/>
        <v>Wrong measurement</v>
      </c>
      <c r="O349" s="131" t="s">
        <v>202</v>
      </c>
      <c r="P349" s="131"/>
    </row>
    <row r="350" spans="1:21" s="130" customFormat="1">
      <c r="A350" s="78">
        <v>57</v>
      </c>
      <c r="B350" s="130" t="s">
        <v>2304</v>
      </c>
      <c r="C350" s="130" t="s">
        <v>66</v>
      </c>
      <c r="D350" s="97" t="e">
        <f>_xlfn.XLOOKUP(A350,[1]CPD_SOP_new!$A:$A,[1]CPD_SOP_new!#REF!,"not found",0 )</f>
        <v>#REF!</v>
      </c>
      <c r="E350" s="97" t="str">
        <f>_xlfn.XLOOKUP(A350,[1]CPD_SOP_new!$A:$A,[1]CPD_SOP_new!$K:$K,"not found",0 )</f>
        <v>F1P</v>
      </c>
      <c r="F350" s="130" t="s">
        <v>28</v>
      </c>
      <c r="G350" s="130" t="s">
        <v>28</v>
      </c>
      <c r="H350" s="130" t="s">
        <v>28</v>
      </c>
      <c r="I350" s="130" t="s">
        <v>27</v>
      </c>
      <c r="J350" s="137" t="s">
        <v>518</v>
      </c>
      <c r="K350" s="136" t="s">
        <v>523</v>
      </c>
      <c r="L350" s="136" t="s">
        <v>723</v>
      </c>
      <c r="M350" s="100" t="str">
        <f t="shared" si="10"/>
        <v>Wrong measurement</v>
      </c>
      <c r="N350" s="59" t="str">
        <f t="shared" si="11"/>
        <v>Wrong measurement</v>
      </c>
      <c r="O350" s="131" t="s">
        <v>202</v>
      </c>
      <c r="P350" s="131"/>
    </row>
    <row r="351" spans="1:21">
      <c r="A351" s="77">
        <v>57</v>
      </c>
      <c r="B351" t="s">
        <v>2304</v>
      </c>
      <c r="C351" t="s">
        <v>66</v>
      </c>
      <c r="D351" s="97" t="e">
        <f>_xlfn.XLOOKUP(A351,[1]CPD_SOP_new!$A:$A,[1]CPD_SOP_new!#REF!,"not found",0 )</f>
        <v>#REF!</v>
      </c>
      <c r="E351" s="97" t="str">
        <f>_xlfn.XLOOKUP(A351,[1]CPD_SOP_new!$A:$A,[1]CPD_SOP_new!$K:$K,"not found",0 )</f>
        <v>F1P</v>
      </c>
      <c r="F351" t="s">
        <v>28</v>
      </c>
      <c r="G351" t="s">
        <v>28</v>
      </c>
      <c r="H351" t="s">
        <v>28</v>
      </c>
      <c r="I351" t="s">
        <v>28</v>
      </c>
      <c r="J351" t="s">
        <v>124</v>
      </c>
      <c r="K351" t="s">
        <v>524</v>
      </c>
      <c r="L351" t="s">
        <v>2420</v>
      </c>
      <c r="M351" s="100" t="str">
        <f t="shared" si="10"/>
        <v>CSR_XCP_Signals_Recorder_2026-01-29_16-22-22_TC57_NCAP3_3YO_F1P_CPD.MF4.xz</v>
      </c>
      <c r="N351" s="59" t="str">
        <f t="shared" si="11"/>
        <v>_NCAP3_3YO_F1P_CPD.MF4.xz</v>
      </c>
      <c r="O351" t="s">
        <v>213</v>
      </c>
      <c r="Q351" t="s">
        <v>124</v>
      </c>
      <c r="R351" t="s">
        <v>29</v>
      </c>
      <c r="S351">
        <v>1</v>
      </c>
      <c r="T351">
        <v>0</v>
      </c>
      <c r="U351">
        <v>0</v>
      </c>
    </row>
    <row r="352" spans="1:21">
      <c r="A352" s="77">
        <v>57</v>
      </c>
      <c r="B352" t="s">
        <v>2304</v>
      </c>
      <c r="C352" t="s">
        <v>66</v>
      </c>
      <c r="D352" s="97" t="e">
        <f>_xlfn.XLOOKUP(A352,[1]CPD_SOP_new!$A:$A,[1]CPD_SOP_new!#REF!,"not found",0 )</f>
        <v>#REF!</v>
      </c>
      <c r="E352" s="97" t="str">
        <f>_xlfn.XLOOKUP(A352,[1]CPD_SOP_new!$A:$A,[1]CPD_SOP_new!$K:$K,"not found",0 )</f>
        <v>F1P</v>
      </c>
      <c r="F352" t="s">
        <v>28</v>
      </c>
      <c r="G352" t="s">
        <v>28</v>
      </c>
      <c r="H352" t="s">
        <v>28</v>
      </c>
      <c r="I352" t="s">
        <v>28</v>
      </c>
      <c r="J352" t="s">
        <v>124</v>
      </c>
      <c r="K352" t="s">
        <v>525</v>
      </c>
      <c r="L352" t="s">
        <v>2421</v>
      </c>
      <c r="M352" s="100" t="str">
        <f t="shared" si="10"/>
        <v>CSR_XCP_Signals_Recorder_2026-01-29_16-24-52_TC57_NCAP3_3YO_F1P_CPD.MF4.xz</v>
      </c>
      <c r="N352" s="59" t="str">
        <f t="shared" si="11"/>
        <v>_NCAP3_3YO_F1P_CPD.MF4.xz</v>
      </c>
      <c r="O352" t="s">
        <v>213</v>
      </c>
      <c r="Q352" t="s">
        <v>124</v>
      </c>
      <c r="R352" t="s">
        <v>29</v>
      </c>
      <c r="S352">
        <v>1</v>
      </c>
      <c r="T352">
        <v>0</v>
      </c>
      <c r="U352">
        <v>0</v>
      </c>
    </row>
    <row r="353" spans="1:21">
      <c r="A353" s="77">
        <v>57</v>
      </c>
      <c r="B353" t="s">
        <v>2304</v>
      </c>
      <c r="C353" t="s">
        <v>66</v>
      </c>
      <c r="D353" s="97" t="e">
        <f>_xlfn.XLOOKUP(A353,[1]CPD_SOP_new!$A:$A,[1]CPD_SOP_new!#REF!,"not found",0 )</f>
        <v>#REF!</v>
      </c>
      <c r="E353" s="97" t="str">
        <f>_xlfn.XLOOKUP(A353,[1]CPD_SOP_new!$A:$A,[1]CPD_SOP_new!$K:$K,"not found",0 )</f>
        <v>F1P</v>
      </c>
      <c r="F353" t="s">
        <v>28</v>
      </c>
      <c r="G353" t="s">
        <v>28</v>
      </c>
      <c r="H353" t="s">
        <v>28</v>
      </c>
      <c r="I353" t="s">
        <v>28</v>
      </c>
      <c r="J353" t="s">
        <v>124</v>
      </c>
      <c r="K353" t="s">
        <v>526</v>
      </c>
      <c r="L353" t="s">
        <v>2422</v>
      </c>
      <c r="M353" s="100" t="str">
        <f t="shared" si="10"/>
        <v>CSR_XCP_Signals_Recorder_2026-01-29_16-26-15_TC57_NCAP3_3YO_F1P_CPD.MF4.xz</v>
      </c>
      <c r="N353" s="59" t="str">
        <f t="shared" si="11"/>
        <v>_NCAP3_3YO_F1P_CPD.MF4.xz</v>
      </c>
      <c r="O353" t="s">
        <v>213</v>
      </c>
      <c r="Q353" t="s">
        <v>124</v>
      </c>
      <c r="R353" t="s">
        <v>29</v>
      </c>
      <c r="S353">
        <v>1</v>
      </c>
      <c r="T353">
        <v>0</v>
      </c>
      <c r="U353">
        <v>0</v>
      </c>
    </row>
    <row r="354" spans="1:21" s="130" customFormat="1">
      <c r="A354" s="78">
        <v>58</v>
      </c>
      <c r="B354" s="130" t="s">
        <v>2304</v>
      </c>
      <c r="C354" s="130" t="s">
        <v>66</v>
      </c>
      <c r="D354" s="97" t="e">
        <f>_xlfn.XLOOKUP(A354,[1]CPD_SOP_new!$A:$A,[1]CPD_SOP_new!#REF!,"not found",0 )</f>
        <v>#REF!</v>
      </c>
      <c r="E354" s="97" t="str">
        <f>_xlfn.XLOOKUP(A354,[1]CPD_SOP_new!$A:$A,[1]CPD_SOP_new!$K:$K,"not found",0 )</f>
        <v>F1P</v>
      </c>
      <c r="F354" s="130" t="s">
        <v>27</v>
      </c>
      <c r="G354" s="130" t="s">
        <v>28</v>
      </c>
      <c r="H354" s="130" t="s">
        <v>28</v>
      </c>
      <c r="I354" s="130" t="s">
        <v>27</v>
      </c>
      <c r="J354" s="137" t="s">
        <v>68</v>
      </c>
      <c r="K354" s="61" t="s">
        <v>527</v>
      </c>
      <c r="L354" s="130" t="s">
        <v>723</v>
      </c>
      <c r="M354" s="100" t="str">
        <f t="shared" si="10"/>
        <v>Wrong measurement</v>
      </c>
      <c r="N354" s="59" t="str">
        <f t="shared" si="11"/>
        <v>Wrong measurement</v>
      </c>
      <c r="O354" s="131" t="s">
        <v>446</v>
      </c>
      <c r="P354" s="131"/>
    </row>
    <row r="355" spans="1:21" s="130" customFormat="1">
      <c r="A355" s="78">
        <v>58</v>
      </c>
      <c r="B355" s="130" t="s">
        <v>2304</v>
      </c>
      <c r="C355" s="130" t="s">
        <v>66</v>
      </c>
      <c r="D355" s="97" t="e">
        <f>_xlfn.XLOOKUP(A355,[1]CPD_SOP_new!$A:$A,[1]CPD_SOP_new!#REF!,"not found",0 )</f>
        <v>#REF!</v>
      </c>
      <c r="E355" s="97" t="str">
        <f>_xlfn.XLOOKUP(A355,[1]CPD_SOP_new!$A:$A,[1]CPD_SOP_new!$K:$K,"not found",0 )</f>
        <v>F1P</v>
      </c>
      <c r="F355" s="130" t="s">
        <v>27</v>
      </c>
      <c r="G355" s="130" t="s">
        <v>28</v>
      </c>
      <c r="H355" s="130" t="s">
        <v>28</v>
      </c>
      <c r="I355" s="130" t="s">
        <v>27</v>
      </c>
      <c r="J355" s="137" t="s">
        <v>68</v>
      </c>
      <c r="K355" s="130" t="s">
        <v>528</v>
      </c>
      <c r="L355" s="130" t="s">
        <v>723</v>
      </c>
      <c r="M355" s="100" t="str">
        <f t="shared" si="10"/>
        <v>Wrong measurement</v>
      </c>
      <c r="N355" s="59" t="str">
        <f t="shared" si="11"/>
        <v>Wrong measurement</v>
      </c>
      <c r="O355" s="131" t="s">
        <v>446</v>
      </c>
      <c r="P355" s="131"/>
    </row>
    <row r="356" spans="1:21" s="130" customFormat="1">
      <c r="A356" s="78">
        <v>58</v>
      </c>
      <c r="B356" s="130" t="s">
        <v>2304</v>
      </c>
      <c r="C356" s="130" t="s">
        <v>66</v>
      </c>
      <c r="D356" s="97" t="e">
        <f>_xlfn.XLOOKUP(A356,[1]CPD_SOP_new!$A:$A,[1]CPD_SOP_new!#REF!,"not found",0 )</f>
        <v>#REF!</v>
      </c>
      <c r="E356" s="97" t="str">
        <f>_xlfn.XLOOKUP(A356,[1]CPD_SOP_new!$A:$A,[1]CPD_SOP_new!$K:$K,"not found",0 )</f>
        <v>F1P</v>
      </c>
      <c r="F356" s="130" t="s">
        <v>27</v>
      </c>
      <c r="G356" s="130" t="s">
        <v>28</v>
      </c>
      <c r="H356" s="130" t="s">
        <v>28</v>
      </c>
      <c r="I356" s="130" t="s">
        <v>27</v>
      </c>
      <c r="J356" s="137" t="s">
        <v>68</v>
      </c>
      <c r="K356" s="130" t="s">
        <v>529</v>
      </c>
      <c r="L356" s="130" t="s">
        <v>723</v>
      </c>
      <c r="M356" s="100" t="str">
        <f t="shared" si="10"/>
        <v>Wrong measurement</v>
      </c>
      <c r="N356" s="59" t="str">
        <f t="shared" si="11"/>
        <v>Wrong measurement</v>
      </c>
      <c r="O356" s="131" t="s">
        <v>446</v>
      </c>
      <c r="P356" s="131"/>
    </row>
    <row r="357" spans="1:21">
      <c r="A357" s="77">
        <v>58</v>
      </c>
      <c r="B357" t="s">
        <v>2304</v>
      </c>
      <c r="C357" t="s">
        <v>66</v>
      </c>
      <c r="D357" s="97" t="e">
        <f>_xlfn.XLOOKUP(A357,[1]CPD_SOP_new!$A:$A,[1]CPD_SOP_new!#REF!,"not found",0 )</f>
        <v>#REF!</v>
      </c>
      <c r="E357" s="97" t="str">
        <f>_xlfn.XLOOKUP(A357,[1]CPD_SOP_new!$A:$A,[1]CPD_SOP_new!$K:$K,"not found",0 )</f>
        <v>F1P</v>
      </c>
      <c r="F357" t="s">
        <v>28</v>
      </c>
      <c r="G357" t="s">
        <v>28</v>
      </c>
      <c r="H357" t="s">
        <v>28</v>
      </c>
      <c r="I357" t="s">
        <v>28</v>
      </c>
      <c r="J357" t="s">
        <v>124</v>
      </c>
      <c r="K357" s="132" t="s">
        <v>530</v>
      </c>
      <c r="L357" s="132" t="s">
        <v>2423</v>
      </c>
      <c r="M357" s="100" t="str">
        <f t="shared" si="10"/>
        <v>CPD_TC58_Try1_NCAP3_3YO_F1P_CPD.MF4.xz</v>
      </c>
      <c r="N357" s="59" t="str">
        <f t="shared" si="11"/>
        <v>_NCAP3_3YO_F1P_CPD.MF4.xz</v>
      </c>
      <c r="O357" s="129" t="s">
        <v>86</v>
      </c>
      <c r="P357" s="129"/>
    </row>
    <row r="358" spans="1:21">
      <c r="A358" s="77">
        <v>58</v>
      </c>
      <c r="B358" t="s">
        <v>2304</v>
      </c>
      <c r="C358" t="s">
        <v>66</v>
      </c>
      <c r="D358" s="97" t="e">
        <f>_xlfn.XLOOKUP(A358,[1]CPD_SOP_new!$A:$A,[1]CPD_SOP_new!#REF!,"not found",0 )</f>
        <v>#REF!</v>
      </c>
      <c r="E358" s="97" t="str">
        <f>_xlfn.XLOOKUP(A358,[1]CPD_SOP_new!$A:$A,[1]CPD_SOP_new!$K:$K,"not found",0 )</f>
        <v>F1P</v>
      </c>
      <c r="F358" t="s">
        <v>28</v>
      </c>
      <c r="G358" t="s">
        <v>28</v>
      </c>
      <c r="H358" t="s">
        <v>28</v>
      </c>
      <c r="I358" t="s">
        <v>28</v>
      </c>
      <c r="J358" t="s">
        <v>124</v>
      </c>
      <c r="K358" s="132" t="s">
        <v>532</v>
      </c>
      <c r="L358" s="132" t="s">
        <v>2424</v>
      </c>
      <c r="M358" s="100" t="str">
        <f t="shared" si="10"/>
        <v>CPD_TC58_Try2_NCAP3_3YO_F1P_CPD.MF4.xz</v>
      </c>
      <c r="N358" s="59" t="str">
        <f t="shared" si="11"/>
        <v>_NCAP3_3YO_F1P_CPD.MF4.xz</v>
      </c>
      <c r="O358" s="129" t="s">
        <v>86</v>
      </c>
      <c r="P358" s="129"/>
    </row>
    <row r="359" spans="1:21">
      <c r="A359" s="77">
        <v>58</v>
      </c>
      <c r="B359" t="s">
        <v>2304</v>
      </c>
      <c r="C359" t="s">
        <v>66</v>
      </c>
      <c r="D359" s="97" t="e">
        <f>_xlfn.XLOOKUP(A359,[1]CPD_SOP_new!$A:$A,[1]CPD_SOP_new!#REF!,"not found",0 )</f>
        <v>#REF!</v>
      </c>
      <c r="E359" s="97" t="str">
        <f>_xlfn.XLOOKUP(A359,[1]CPD_SOP_new!$A:$A,[1]CPD_SOP_new!$K:$K,"not found",0 )</f>
        <v>F1P</v>
      </c>
      <c r="F359" t="s">
        <v>28</v>
      </c>
      <c r="G359" t="s">
        <v>28</v>
      </c>
      <c r="H359" t="s">
        <v>28</v>
      </c>
      <c r="I359" t="s">
        <v>28</v>
      </c>
      <c r="J359" t="s">
        <v>124</v>
      </c>
      <c r="K359" s="132" t="s">
        <v>533</v>
      </c>
      <c r="L359" s="132" t="s">
        <v>2425</v>
      </c>
      <c r="M359" s="100" t="str">
        <f t="shared" si="10"/>
        <v>CPD_TC58_Try3_NCAP3_3YO_F1P_CPD.MF4.xz</v>
      </c>
      <c r="N359" s="59" t="str">
        <f t="shared" si="11"/>
        <v>_NCAP3_3YO_F1P_CPD.MF4.xz</v>
      </c>
      <c r="O359" s="129" t="s">
        <v>86</v>
      </c>
      <c r="P359" s="129"/>
    </row>
    <row r="360" spans="1:21">
      <c r="A360" s="77">
        <v>58</v>
      </c>
      <c r="B360" t="s">
        <v>2304</v>
      </c>
      <c r="C360" t="s">
        <v>66</v>
      </c>
      <c r="D360" s="97" t="e">
        <f>_xlfn.XLOOKUP(A360,[1]CPD_SOP_new!$A:$A,[1]CPD_SOP_new!#REF!,"not found",0 )</f>
        <v>#REF!</v>
      </c>
      <c r="E360" s="97" t="str">
        <f>_xlfn.XLOOKUP(A360,[1]CPD_SOP_new!$A:$A,[1]CPD_SOP_new!$K:$K,"not found",0 )</f>
        <v>F1P</v>
      </c>
      <c r="F360" t="s">
        <v>28</v>
      </c>
      <c r="G360" t="s">
        <v>28</v>
      </c>
      <c r="H360" t="s">
        <v>28</v>
      </c>
      <c r="I360" t="s">
        <v>28</v>
      </c>
      <c r="J360" t="s">
        <v>124</v>
      </c>
      <c r="K360" s="132" t="s">
        <v>534</v>
      </c>
      <c r="L360" s="132" t="s">
        <v>2426</v>
      </c>
      <c r="M360" s="100" t="str">
        <f t="shared" si="10"/>
        <v>CPD_TC58_Try4_NCAP3_3YO_F1P_CPD.MF4.xz</v>
      </c>
      <c r="N360" s="59" t="str">
        <f t="shared" si="11"/>
        <v>_NCAP3_3YO_F1P_CPD.MF4.xz</v>
      </c>
      <c r="O360" s="129" t="s">
        <v>86</v>
      </c>
      <c r="P360" s="129"/>
    </row>
    <row r="361" spans="1:21">
      <c r="A361" s="77">
        <v>58</v>
      </c>
      <c r="B361" t="s">
        <v>2304</v>
      </c>
      <c r="C361" t="s">
        <v>66</v>
      </c>
      <c r="D361" s="97" t="e">
        <f>_xlfn.XLOOKUP(A361,[1]CPD_SOP_new!$A:$A,[1]CPD_SOP_new!#REF!,"not found",0 )</f>
        <v>#REF!</v>
      </c>
      <c r="E361" s="97" t="str">
        <f>_xlfn.XLOOKUP(A361,[1]CPD_SOP_new!$A:$A,[1]CPD_SOP_new!$K:$K,"not found",0 )</f>
        <v>F1P</v>
      </c>
      <c r="F361" t="s">
        <v>28</v>
      </c>
      <c r="G361" t="s">
        <v>28</v>
      </c>
      <c r="H361" t="s">
        <v>28</v>
      </c>
      <c r="I361" t="s">
        <v>28</v>
      </c>
      <c r="J361" t="s">
        <v>124</v>
      </c>
      <c r="K361" s="132" t="s">
        <v>535</v>
      </c>
      <c r="L361" s="132" t="s">
        <v>2427</v>
      </c>
      <c r="M361" s="100" t="str">
        <f t="shared" si="10"/>
        <v>CPD_TC58_Try5_NCAP3_3YO_F1P_CPD.MF4.xz</v>
      </c>
      <c r="N361" s="59" t="str">
        <f t="shared" si="11"/>
        <v>_NCAP3_3YO_F1P_CPD.MF4.xz</v>
      </c>
      <c r="O361" s="129" t="s">
        <v>86</v>
      </c>
      <c r="P361" s="129"/>
    </row>
    <row r="362" spans="1:21">
      <c r="A362" s="38">
        <v>59</v>
      </c>
      <c r="B362" t="s">
        <v>2304</v>
      </c>
      <c r="C362" t="s">
        <v>66</v>
      </c>
      <c r="D362" s="97" t="e">
        <f>_xlfn.XLOOKUP(A362,[1]CPD_SOP_new!$A:$A,[1]CPD_SOP_new!#REF!,"not found",0 )</f>
        <v>#REF!</v>
      </c>
      <c r="E362" s="97" t="str">
        <f>_xlfn.XLOOKUP(A362,[1]CPD_SOP_new!$A:$A,[1]CPD_SOP_new!$K:$K,"not found",0 )</f>
        <v>F2R</v>
      </c>
      <c r="F362" t="s">
        <v>27</v>
      </c>
      <c r="G362" t="s">
        <v>27</v>
      </c>
      <c r="H362" t="s">
        <v>27</v>
      </c>
      <c r="I362" t="s">
        <v>28</v>
      </c>
      <c r="J362" t="s">
        <v>124</v>
      </c>
      <c r="K362" t="s">
        <v>537</v>
      </c>
      <c r="L362" t="s">
        <v>2428</v>
      </c>
      <c r="M362" s="100" t="str">
        <f t="shared" si="10"/>
        <v>TC59_Try_1_NCAP3_3YO_F2R_CPD.MF4.xz</v>
      </c>
      <c r="N362" s="59" t="str">
        <f t="shared" si="11"/>
        <v>_NCAP3_3YO_F2R_CPD.MF4.xz</v>
      </c>
      <c r="O362" s="129" t="s">
        <v>475</v>
      </c>
      <c r="P362" s="129"/>
    </row>
    <row r="363" spans="1:21">
      <c r="A363" s="38">
        <v>59</v>
      </c>
      <c r="B363" t="s">
        <v>2304</v>
      </c>
      <c r="C363" t="s">
        <v>66</v>
      </c>
      <c r="D363" s="97" t="e">
        <f>_xlfn.XLOOKUP(A363,[1]CPD_SOP_new!$A:$A,[1]CPD_SOP_new!#REF!,"not found",0 )</f>
        <v>#REF!</v>
      </c>
      <c r="E363" s="97" t="str">
        <f>_xlfn.XLOOKUP(A363,[1]CPD_SOP_new!$A:$A,[1]CPD_SOP_new!$K:$K,"not found",0 )</f>
        <v>F2R</v>
      </c>
      <c r="F363" t="s">
        <v>27</v>
      </c>
      <c r="G363" t="s">
        <v>27</v>
      </c>
      <c r="H363" t="s">
        <v>27</v>
      </c>
      <c r="I363" t="s">
        <v>28</v>
      </c>
      <c r="J363" t="s">
        <v>124</v>
      </c>
      <c r="K363" t="s">
        <v>538</v>
      </c>
      <c r="L363" t="s">
        <v>2429</v>
      </c>
      <c r="M363" s="100" t="str">
        <f t="shared" si="10"/>
        <v>TC59_Try_2_NCAP3_3YO_F2R_CPD.MF4.xz</v>
      </c>
      <c r="N363" s="59" t="str">
        <f t="shared" si="11"/>
        <v>_NCAP3_3YO_F2R_CPD.MF4.xz</v>
      </c>
      <c r="O363" s="129" t="s">
        <v>475</v>
      </c>
      <c r="P363" s="129"/>
    </row>
    <row r="364" spans="1:21">
      <c r="A364" s="38">
        <v>59</v>
      </c>
      <c r="B364" t="s">
        <v>2304</v>
      </c>
      <c r="C364" t="s">
        <v>66</v>
      </c>
      <c r="D364" s="97" t="e">
        <f>_xlfn.XLOOKUP(A364,[1]CPD_SOP_new!$A:$A,[1]CPD_SOP_new!#REF!,"not found",0 )</f>
        <v>#REF!</v>
      </c>
      <c r="E364" s="97" t="str">
        <f>_xlfn.XLOOKUP(A364,[1]CPD_SOP_new!$A:$A,[1]CPD_SOP_new!$K:$K,"not found",0 )</f>
        <v>F2R</v>
      </c>
      <c r="F364" t="s">
        <v>27</v>
      </c>
      <c r="G364" t="s">
        <v>27</v>
      </c>
      <c r="H364" t="s">
        <v>27</v>
      </c>
      <c r="I364" t="s">
        <v>28</v>
      </c>
      <c r="J364" t="s">
        <v>124</v>
      </c>
      <c r="K364" t="s">
        <v>539</v>
      </c>
      <c r="L364" t="s">
        <v>2430</v>
      </c>
      <c r="M364" s="100" t="str">
        <f t="shared" si="10"/>
        <v>TC59_Try_3_NCAP3_3YO_F2R_CPD.MF4.xz</v>
      </c>
      <c r="N364" s="59" t="str">
        <f t="shared" si="11"/>
        <v>_NCAP3_3YO_F2R_CPD.MF4.xz</v>
      </c>
      <c r="O364" s="129" t="s">
        <v>475</v>
      </c>
      <c r="P364" s="129"/>
    </row>
    <row r="365" spans="1:21">
      <c r="A365" s="38">
        <v>60</v>
      </c>
      <c r="B365" t="s">
        <v>2304</v>
      </c>
      <c r="C365" t="s">
        <v>66</v>
      </c>
      <c r="D365" s="97" t="e">
        <f>_xlfn.XLOOKUP(A365,[1]CPD_SOP_new!$A:$A,[1]CPD_SOP_new!#REF!,"not found",0 )</f>
        <v>#REF!</v>
      </c>
      <c r="E365" s="97" t="str">
        <f>_xlfn.XLOOKUP(A365,[1]CPD_SOP_new!$A:$A,[1]CPD_SOP_new!$K:$K,"not found",0 )</f>
        <v>F2L</v>
      </c>
      <c r="F365" t="s">
        <v>27</v>
      </c>
      <c r="G365" t="s">
        <v>27</v>
      </c>
      <c r="H365" t="s">
        <v>27</v>
      </c>
      <c r="I365" t="s">
        <v>28</v>
      </c>
      <c r="J365" t="s">
        <v>124</v>
      </c>
      <c r="K365" t="s">
        <v>540</v>
      </c>
      <c r="L365" t="s">
        <v>2431</v>
      </c>
      <c r="M365" s="100" t="str">
        <f t="shared" si="10"/>
        <v>TC60_Try_1_NCAP3_3YO_F2L_CPD.MF4.xz</v>
      </c>
      <c r="N365" s="59" t="str">
        <f t="shared" si="11"/>
        <v>_NCAP3_3YO_F2L_CPD.MF4.xz</v>
      </c>
      <c r="O365" s="129" t="s">
        <v>475</v>
      </c>
      <c r="P365" s="129"/>
    </row>
    <row r="366" spans="1:21">
      <c r="A366" s="38">
        <v>60</v>
      </c>
      <c r="B366" t="s">
        <v>2304</v>
      </c>
      <c r="C366" t="s">
        <v>66</v>
      </c>
      <c r="D366" s="97" t="e">
        <f>_xlfn.XLOOKUP(A366,[1]CPD_SOP_new!$A:$A,[1]CPD_SOP_new!#REF!,"not found",0 )</f>
        <v>#REF!</v>
      </c>
      <c r="E366" s="97" t="str">
        <f>_xlfn.XLOOKUP(A366,[1]CPD_SOP_new!$A:$A,[1]CPD_SOP_new!$K:$K,"not found",0 )</f>
        <v>F2L</v>
      </c>
      <c r="F366" t="s">
        <v>27</v>
      </c>
      <c r="G366" t="s">
        <v>27</v>
      </c>
      <c r="H366" t="s">
        <v>27</v>
      </c>
      <c r="I366" t="s">
        <v>28</v>
      </c>
      <c r="J366" t="s">
        <v>124</v>
      </c>
      <c r="K366" t="s">
        <v>541</v>
      </c>
      <c r="L366" t="s">
        <v>2432</v>
      </c>
      <c r="M366" s="100" t="str">
        <f t="shared" si="10"/>
        <v>TC60_Try_2_NCAP3_3YO_F2L_CPD.MF4.xz</v>
      </c>
      <c r="N366" s="59" t="str">
        <f t="shared" si="11"/>
        <v>_NCAP3_3YO_F2L_CPD.MF4.xz</v>
      </c>
      <c r="O366" s="129" t="s">
        <v>475</v>
      </c>
      <c r="P366" s="129"/>
    </row>
    <row r="367" spans="1:21">
      <c r="A367" s="38">
        <v>60</v>
      </c>
      <c r="B367" t="s">
        <v>2304</v>
      </c>
      <c r="C367" t="s">
        <v>66</v>
      </c>
      <c r="D367" s="97" t="e">
        <f>_xlfn.XLOOKUP(A367,[1]CPD_SOP_new!$A:$A,[1]CPD_SOP_new!#REF!,"not found",0 )</f>
        <v>#REF!</v>
      </c>
      <c r="E367" s="97" t="str">
        <f>_xlfn.XLOOKUP(A367,[1]CPD_SOP_new!$A:$A,[1]CPD_SOP_new!$K:$K,"not found",0 )</f>
        <v>F2L</v>
      </c>
      <c r="F367" t="s">
        <v>27</v>
      </c>
      <c r="G367" t="s">
        <v>27</v>
      </c>
      <c r="H367" t="s">
        <v>27</v>
      </c>
      <c r="I367" t="s">
        <v>28</v>
      </c>
      <c r="J367" t="s">
        <v>124</v>
      </c>
      <c r="K367" t="s">
        <v>542</v>
      </c>
      <c r="L367" t="s">
        <v>2433</v>
      </c>
      <c r="M367" s="100" t="str">
        <f t="shared" si="10"/>
        <v>TC60_Try_3_NCAP3_3YO_F2L_CPD.MF4.xz</v>
      </c>
      <c r="N367" s="59" t="str">
        <f t="shared" si="11"/>
        <v>_NCAP3_3YO_F2L_CPD.MF4.xz</v>
      </c>
      <c r="O367" s="129" t="s">
        <v>475</v>
      </c>
      <c r="P367" s="129"/>
    </row>
    <row r="368" spans="1:21" s="130" customFormat="1">
      <c r="A368" s="78">
        <v>61</v>
      </c>
      <c r="B368" s="130" t="s">
        <v>2304</v>
      </c>
      <c r="C368" s="130" t="s">
        <v>66</v>
      </c>
      <c r="D368" s="97" t="e">
        <f>_xlfn.XLOOKUP(A368,[1]CPD_SOP_new!$A:$A,[1]CPD_SOP_new!#REF!,"not found",0 )</f>
        <v>#REF!</v>
      </c>
      <c r="E368" s="97" t="str">
        <f>_xlfn.XLOOKUP(A368,[1]CPD_SOP_new!$A:$A,[1]CPD_SOP_new!$K:$K,"not found",0 )</f>
        <v>F2C</v>
      </c>
      <c r="F368" s="130" t="s">
        <v>27</v>
      </c>
      <c r="G368" s="130" t="s">
        <v>27</v>
      </c>
      <c r="H368" s="130" t="s">
        <v>27</v>
      </c>
      <c r="I368" s="130" t="s">
        <v>27</v>
      </c>
      <c r="J368" s="137" t="s">
        <v>544</v>
      </c>
      <c r="K368" s="130" t="s">
        <v>545</v>
      </c>
      <c r="L368" s="130" t="s">
        <v>723</v>
      </c>
      <c r="M368" s="100" t="str">
        <f t="shared" si="10"/>
        <v>Wrong measurement</v>
      </c>
      <c r="N368" s="59" t="str">
        <f t="shared" si="11"/>
        <v>Wrong measurement</v>
      </c>
      <c r="O368" s="130" t="s">
        <v>546</v>
      </c>
    </row>
    <row r="369" spans="1:21" s="130" customFormat="1">
      <c r="A369" s="78">
        <v>61</v>
      </c>
      <c r="B369" s="130" t="s">
        <v>2304</v>
      </c>
      <c r="C369" s="130" t="s">
        <v>66</v>
      </c>
      <c r="D369" s="97" t="e">
        <f>_xlfn.XLOOKUP(A369,[1]CPD_SOP_new!$A:$A,[1]CPD_SOP_new!#REF!,"not found",0 )</f>
        <v>#REF!</v>
      </c>
      <c r="E369" s="97" t="str">
        <f>_xlfn.XLOOKUP(A369,[1]CPD_SOP_new!$A:$A,[1]CPD_SOP_new!$K:$K,"not found",0 )</f>
        <v>F2C</v>
      </c>
      <c r="F369" s="130" t="s">
        <v>27</v>
      </c>
      <c r="G369" s="130" t="s">
        <v>27</v>
      </c>
      <c r="H369" s="130" t="s">
        <v>27</v>
      </c>
      <c r="I369" s="130" t="s">
        <v>27</v>
      </c>
      <c r="J369" s="137" t="s">
        <v>544</v>
      </c>
      <c r="K369" s="130" t="s">
        <v>547</v>
      </c>
      <c r="L369" s="130" t="s">
        <v>723</v>
      </c>
      <c r="M369" s="100" t="str">
        <f t="shared" si="10"/>
        <v>Wrong measurement</v>
      </c>
      <c r="N369" s="59" t="str">
        <f t="shared" si="11"/>
        <v>Wrong measurement</v>
      </c>
      <c r="O369" s="130" t="s">
        <v>546</v>
      </c>
    </row>
    <row r="370" spans="1:21" s="130" customFormat="1">
      <c r="A370" s="78">
        <v>61</v>
      </c>
      <c r="B370" s="130" t="s">
        <v>2304</v>
      </c>
      <c r="C370" s="130" t="s">
        <v>66</v>
      </c>
      <c r="D370" s="97" t="e">
        <f>_xlfn.XLOOKUP(A370,[1]CPD_SOP_new!$A:$A,[1]CPD_SOP_new!#REF!,"not found",0 )</f>
        <v>#REF!</v>
      </c>
      <c r="E370" s="97" t="str">
        <f>_xlfn.XLOOKUP(A370,[1]CPD_SOP_new!$A:$A,[1]CPD_SOP_new!$K:$K,"not found",0 )</f>
        <v>F2C</v>
      </c>
      <c r="F370" s="130" t="s">
        <v>27</v>
      </c>
      <c r="G370" s="130" t="s">
        <v>27</v>
      </c>
      <c r="H370" s="130" t="s">
        <v>27</v>
      </c>
      <c r="I370" s="130" t="s">
        <v>27</v>
      </c>
      <c r="J370" s="137" t="s">
        <v>544</v>
      </c>
      <c r="K370" s="130" t="s">
        <v>548</v>
      </c>
      <c r="L370" s="130" t="s">
        <v>723</v>
      </c>
      <c r="M370" s="100" t="str">
        <f t="shared" si="10"/>
        <v>Wrong measurement</v>
      </c>
      <c r="N370" s="59" t="str">
        <f t="shared" si="11"/>
        <v>Wrong measurement</v>
      </c>
      <c r="O370" s="130" t="s">
        <v>546</v>
      </c>
    </row>
    <row r="371" spans="1:21">
      <c r="A371" s="38">
        <v>61</v>
      </c>
      <c r="B371" t="s">
        <v>2304</v>
      </c>
      <c r="C371" t="s">
        <v>66</v>
      </c>
      <c r="D371" s="97" t="e">
        <f>_xlfn.XLOOKUP(A371,[1]CPD_SOP_new!$A:$A,[1]CPD_SOP_new!#REF!,"not found",0 )</f>
        <v>#REF!</v>
      </c>
      <c r="E371" s="97" t="str">
        <f>_xlfn.XLOOKUP(A371,[1]CPD_SOP_new!$A:$A,[1]CPD_SOP_new!$K:$K,"not found",0 )</f>
        <v>F2C</v>
      </c>
      <c r="F371" t="s">
        <v>27</v>
      </c>
      <c r="G371" t="s">
        <v>27</v>
      </c>
      <c r="H371" t="s">
        <v>27</v>
      </c>
      <c r="I371" t="s">
        <v>28</v>
      </c>
      <c r="J371" t="s">
        <v>124</v>
      </c>
      <c r="K371" t="s">
        <v>549</v>
      </c>
      <c r="L371" t="s">
        <v>2434</v>
      </c>
      <c r="M371" s="100" t="str">
        <f t="shared" si="10"/>
        <v>TC_61_Try1_NCAP3_3YO_F2C_CPD.MF4.xz</v>
      </c>
      <c r="N371" s="59" t="str">
        <f t="shared" si="11"/>
        <v>_NCAP3_3YO_F2C_CPD.MF4.xz</v>
      </c>
      <c r="O371" s="129" t="s">
        <v>380</v>
      </c>
      <c r="P371" s="129"/>
    </row>
    <row r="372" spans="1:21">
      <c r="A372" s="38">
        <v>61</v>
      </c>
      <c r="B372" t="s">
        <v>2304</v>
      </c>
      <c r="C372" t="s">
        <v>66</v>
      </c>
      <c r="D372" s="97" t="e">
        <f>_xlfn.XLOOKUP(A372,[1]CPD_SOP_new!$A:$A,[1]CPD_SOP_new!#REF!,"not found",0 )</f>
        <v>#REF!</v>
      </c>
      <c r="E372" s="97" t="str">
        <f>_xlfn.XLOOKUP(A372,[1]CPD_SOP_new!$A:$A,[1]CPD_SOP_new!$K:$K,"not found",0 )</f>
        <v>F2C</v>
      </c>
      <c r="F372" t="s">
        <v>27</v>
      </c>
      <c r="G372" t="s">
        <v>27</v>
      </c>
      <c r="H372" t="s">
        <v>27</v>
      </c>
      <c r="I372" t="s">
        <v>28</v>
      </c>
      <c r="J372" t="s">
        <v>124</v>
      </c>
      <c r="K372" t="s">
        <v>550</v>
      </c>
      <c r="L372" t="s">
        <v>2435</v>
      </c>
      <c r="M372" s="100" t="str">
        <f t="shared" si="10"/>
        <v>TC_61_Try2_NCAP3_3YO_F2C_CPD.MF4.xz</v>
      </c>
      <c r="N372" s="59" t="str">
        <f t="shared" si="11"/>
        <v>_NCAP3_3YO_F2C_CPD.MF4.xz</v>
      </c>
      <c r="O372" s="129" t="s">
        <v>380</v>
      </c>
      <c r="P372" s="129"/>
    </row>
    <row r="373" spans="1:21">
      <c r="A373" s="38">
        <v>61</v>
      </c>
      <c r="B373" t="s">
        <v>2304</v>
      </c>
      <c r="C373" t="s">
        <v>66</v>
      </c>
      <c r="D373" s="97" t="e">
        <f>_xlfn.XLOOKUP(A373,[1]CPD_SOP_new!$A:$A,[1]CPD_SOP_new!#REF!,"not found",0 )</f>
        <v>#REF!</v>
      </c>
      <c r="E373" s="97" t="str">
        <f>_xlfn.XLOOKUP(A373,[1]CPD_SOP_new!$A:$A,[1]CPD_SOP_new!$K:$K,"not found",0 )</f>
        <v>F2C</v>
      </c>
      <c r="F373" t="s">
        <v>27</v>
      </c>
      <c r="G373" t="s">
        <v>27</v>
      </c>
      <c r="H373" t="s">
        <v>27</v>
      </c>
      <c r="I373" t="s">
        <v>28</v>
      </c>
      <c r="J373" t="s">
        <v>124</v>
      </c>
      <c r="K373" t="s">
        <v>551</v>
      </c>
      <c r="L373" t="s">
        <v>2436</v>
      </c>
      <c r="M373" s="100" t="str">
        <f t="shared" si="10"/>
        <v>TC_61_Try3_NCAP3_3YO_F2C_CPD.MF4.xz</v>
      </c>
      <c r="N373" s="59" t="str">
        <f t="shared" si="11"/>
        <v>_NCAP3_3YO_F2C_CPD.MF4.xz</v>
      </c>
      <c r="O373" s="129" t="s">
        <v>380</v>
      </c>
      <c r="P373" s="129"/>
    </row>
    <row r="374" spans="1:21">
      <c r="A374" s="77">
        <v>62</v>
      </c>
      <c r="B374" t="s">
        <v>2304</v>
      </c>
      <c r="C374" t="s">
        <v>66</v>
      </c>
      <c r="D374" s="97" t="e">
        <f>_xlfn.XLOOKUP(A374,[1]CPD_SOP_new!$A:$A,[1]CPD_SOP_new!#REF!,"not found",0 )</f>
        <v>#REF!</v>
      </c>
      <c r="E374" s="97" t="str">
        <f>_xlfn.XLOOKUP(A374,[1]CPD_SOP_new!$A:$A,[1]CPD_SOP_new!$K:$K,"not found",0 )</f>
        <v>F3R</v>
      </c>
      <c r="F374" t="s">
        <v>27</v>
      </c>
      <c r="G374" t="s">
        <v>28</v>
      </c>
      <c r="H374" t="s">
        <v>28</v>
      </c>
      <c r="I374" t="s">
        <v>28</v>
      </c>
      <c r="J374" t="s">
        <v>124</v>
      </c>
      <c r="K374" s="132" t="s">
        <v>552</v>
      </c>
      <c r="L374" s="132" t="s">
        <v>2437</v>
      </c>
      <c r="M374" s="100" t="str">
        <f t="shared" si="10"/>
        <v>TC62_Try_1_NCAP3_3YO_F3R_CPD.MF4.xz</v>
      </c>
      <c r="N374" s="59" t="str">
        <f t="shared" si="11"/>
        <v>_NCAP3_3YO_F3R_CPD.MF4.xz</v>
      </c>
      <c r="O374" s="132" t="s">
        <v>475</v>
      </c>
      <c r="P374" s="132"/>
    </row>
    <row r="375" spans="1:21">
      <c r="A375" s="77">
        <v>62</v>
      </c>
      <c r="B375" t="s">
        <v>2304</v>
      </c>
      <c r="C375" t="s">
        <v>66</v>
      </c>
      <c r="D375" s="97" t="e">
        <f>_xlfn.XLOOKUP(A375,[1]CPD_SOP_new!$A:$A,[1]CPD_SOP_new!#REF!,"not found",0 )</f>
        <v>#REF!</v>
      </c>
      <c r="E375" s="97" t="str">
        <f>_xlfn.XLOOKUP(A375,[1]CPD_SOP_new!$A:$A,[1]CPD_SOP_new!$K:$K,"not found",0 )</f>
        <v>F3R</v>
      </c>
      <c r="F375" t="s">
        <v>27</v>
      </c>
      <c r="G375" t="s">
        <v>28</v>
      </c>
      <c r="H375" t="s">
        <v>28</v>
      </c>
      <c r="I375" t="s">
        <v>28</v>
      </c>
      <c r="J375" t="s">
        <v>124</v>
      </c>
      <c r="K375" s="11" t="s">
        <v>554</v>
      </c>
      <c r="L375" s="132" t="s">
        <v>2438</v>
      </c>
      <c r="M375" s="100" t="str">
        <f t="shared" si="10"/>
        <v>TC62_Try_2_NCAP3_3YO_F3R_CPD.MF4.xz</v>
      </c>
      <c r="N375" s="59" t="str">
        <f t="shared" si="11"/>
        <v>_NCAP3_3YO_F3R_CPD.MF4.xz</v>
      </c>
      <c r="O375" s="132" t="s">
        <v>475</v>
      </c>
      <c r="P375" s="132"/>
    </row>
    <row r="376" spans="1:21">
      <c r="A376" s="77">
        <v>62</v>
      </c>
      <c r="B376" t="s">
        <v>2304</v>
      </c>
      <c r="C376" t="s">
        <v>66</v>
      </c>
      <c r="D376" s="97" t="e">
        <f>_xlfn.XLOOKUP(A376,[1]CPD_SOP_new!$A:$A,[1]CPD_SOP_new!#REF!,"not found",0 )</f>
        <v>#REF!</v>
      </c>
      <c r="E376" s="97" t="str">
        <f>_xlfn.XLOOKUP(A376,[1]CPD_SOP_new!$A:$A,[1]CPD_SOP_new!$K:$K,"not found",0 )</f>
        <v>F3R</v>
      </c>
      <c r="F376" t="s">
        <v>27</v>
      </c>
      <c r="G376" t="s">
        <v>28</v>
      </c>
      <c r="H376" t="s">
        <v>28</v>
      </c>
      <c r="I376" t="s">
        <v>28</v>
      </c>
      <c r="J376" t="s">
        <v>124</v>
      </c>
      <c r="K376" s="132" t="s">
        <v>555</v>
      </c>
      <c r="L376" s="132" t="s">
        <v>2439</v>
      </c>
      <c r="M376" s="100" t="str">
        <f t="shared" si="10"/>
        <v>TC62_Try_3_NCAP3_3YO_F3R_CPD.MF4.xz</v>
      </c>
      <c r="N376" s="59" t="str">
        <f t="shared" si="11"/>
        <v>_NCAP3_3YO_F3R_CPD.MF4.xz</v>
      </c>
      <c r="O376" s="132" t="s">
        <v>475</v>
      </c>
      <c r="P376" s="132"/>
    </row>
    <row r="377" spans="1:21">
      <c r="A377" s="78">
        <v>62</v>
      </c>
      <c r="B377" s="137" t="s">
        <v>105</v>
      </c>
      <c r="C377" t="s">
        <v>66</v>
      </c>
      <c r="D377" s="97" t="e">
        <f>_xlfn.XLOOKUP(A377,[1]CPD_SOP_new!$A:$A,[1]CPD_SOP_new!#REF!,"not found",0 )</f>
        <v>#REF!</v>
      </c>
      <c r="E377" s="97" t="str">
        <f>_xlfn.XLOOKUP(A377,[1]CPD_SOP_new!$A:$A,[1]CPD_SOP_new!$K:$K,"not found",0 )</f>
        <v>F3R</v>
      </c>
      <c r="F377" t="s">
        <v>28</v>
      </c>
      <c r="G377" t="s">
        <v>28</v>
      </c>
      <c r="H377" t="s">
        <v>28</v>
      </c>
      <c r="I377" s="137" t="s">
        <v>27</v>
      </c>
      <c r="J377" s="137" t="s">
        <v>105</v>
      </c>
      <c r="K377" s="137" t="s">
        <v>556</v>
      </c>
      <c r="L377" s="137" t="s">
        <v>723</v>
      </c>
      <c r="M377" s="100" t="str">
        <f t="shared" si="10"/>
        <v>Wrong measurement</v>
      </c>
      <c r="N377" s="59" t="str">
        <f t="shared" si="11"/>
        <v>Wrong measurement</v>
      </c>
      <c r="O377" s="137" t="s">
        <v>391</v>
      </c>
      <c r="P377" s="137"/>
      <c r="Q377" s="137" t="s">
        <v>105</v>
      </c>
      <c r="R377" s="137" t="s">
        <v>105</v>
      </c>
      <c r="S377" s="137" t="s">
        <v>105</v>
      </c>
      <c r="T377" s="137" t="s">
        <v>105</v>
      </c>
      <c r="U377" s="137" t="s">
        <v>105</v>
      </c>
    </row>
    <row r="378" spans="1:21">
      <c r="A378" s="78">
        <v>62</v>
      </c>
      <c r="B378" s="137" t="s">
        <v>105</v>
      </c>
      <c r="C378" t="s">
        <v>66</v>
      </c>
      <c r="D378" s="97" t="e">
        <f>_xlfn.XLOOKUP(A378,[1]CPD_SOP_new!$A:$A,[1]CPD_SOP_new!#REF!,"not found",0 )</f>
        <v>#REF!</v>
      </c>
      <c r="E378" s="97" t="str">
        <f>_xlfn.XLOOKUP(A378,[1]CPD_SOP_new!$A:$A,[1]CPD_SOP_new!$K:$K,"not found",0 )</f>
        <v>F3R</v>
      </c>
      <c r="F378" t="s">
        <v>28</v>
      </c>
      <c r="G378" t="s">
        <v>28</v>
      </c>
      <c r="H378" t="s">
        <v>28</v>
      </c>
      <c r="I378" s="137" t="s">
        <v>27</v>
      </c>
      <c r="J378" s="137" t="s">
        <v>105</v>
      </c>
      <c r="K378" s="137" t="s">
        <v>557</v>
      </c>
      <c r="L378" s="137" t="s">
        <v>723</v>
      </c>
      <c r="M378" s="100" t="str">
        <f t="shared" si="10"/>
        <v>Wrong measurement</v>
      </c>
      <c r="N378" s="59" t="str">
        <f t="shared" si="11"/>
        <v>Wrong measurement</v>
      </c>
      <c r="O378" s="137" t="s">
        <v>391</v>
      </c>
      <c r="P378" s="137"/>
      <c r="Q378" s="137" t="s">
        <v>105</v>
      </c>
      <c r="R378" s="137" t="s">
        <v>105</v>
      </c>
      <c r="S378" s="137" t="s">
        <v>105</v>
      </c>
      <c r="T378" s="137" t="s">
        <v>105</v>
      </c>
      <c r="U378" s="137" t="s">
        <v>105</v>
      </c>
    </row>
    <row r="379" spans="1:21">
      <c r="A379" s="77">
        <v>62</v>
      </c>
      <c r="B379" t="s">
        <v>2304</v>
      </c>
      <c r="C379" t="s">
        <v>66</v>
      </c>
      <c r="D379" s="97" t="e">
        <f>_xlfn.XLOOKUP(A379,[1]CPD_SOP_new!$A:$A,[1]CPD_SOP_new!#REF!,"not found",0 )</f>
        <v>#REF!</v>
      </c>
      <c r="E379" s="97" t="str">
        <f>_xlfn.XLOOKUP(A379,[1]CPD_SOP_new!$A:$A,[1]CPD_SOP_new!$K:$K,"not found",0 )</f>
        <v>F3R</v>
      </c>
      <c r="F379" t="s">
        <v>28</v>
      </c>
      <c r="G379" t="s">
        <v>28</v>
      </c>
      <c r="H379" t="s">
        <v>28</v>
      </c>
      <c r="I379" t="s">
        <v>28</v>
      </c>
      <c r="J379" t="s">
        <v>124</v>
      </c>
      <c r="K379" t="s">
        <v>558</v>
      </c>
      <c r="L379" t="s">
        <v>2440</v>
      </c>
      <c r="M379" s="100" t="str">
        <f t="shared" si="10"/>
        <v>CSR_XCP_Signals_Recorder_2026-01-30_10-16-49_TC62_NCAP3_3YO_F3R_CPD.MF4.xz</v>
      </c>
      <c r="N379" s="59" t="str">
        <f t="shared" si="11"/>
        <v>_NCAP3_3YO_F3R_CPD.MF4.xz</v>
      </c>
      <c r="O379" t="s">
        <v>391</v>
      </c>
      <c r="Q379" t="s">
        <v>124</v>
      </c>
      <c r="R379" t="s">
        <v>29</v>
      </c>
      <c r="S379">
        <v>1</v>
      </c>
      <c r="T379">
        <v>0</v>
      </c>
      <c r="U379">
        <v>0</v>
      </c>
    </row>
    <row r="380" spans="1:21">
      <c r="A380" s="78">
        <v>62</v>
      </c>
      <c r="B380" s="137" t="s">
        <v>105</v>
      </c>
      <c r="C380" t="s">
        <v>66</v>
      </c>
      <c r="D380" s="97" t="e">
        <f>_xlfn.XLOOKUP(A380,[1]CPD_SOP_new!$A:$A,[1]CPD_SOP_new!#REF!,"not found",0 )</f>
        <v>#REF!</v>
      </c>
      <c r="E380" s="97" t="str">
        <f>_xlfn.XLOOKUP(A380,[1]CPD_SOP_new!$A:$A,[1]CPD_SOP_new!$K:$K,"not found",0 )</f>
        <v>F3R</v>
      </c>
      <c r="F380" t="s">
        <v>28</v>
      </c>
      <c r="G380" t="s">
        <v>28</v>
      </c>
      <c r="H380" t="s">
        <v>28</v>
      </c>
      <c r="I380" s="137" t="s">
        <v>27</v>
      </c>
      <c r="J380" s="137" t="s">
        <v>105</v>
      </c>
      <c r="K380" s="137" t="s">
        <v>560</v>
      </c>
      <c r="L380" s="137" t="s">
        <v>723</v>
      </c>
      <c r="M380" s="100" t="str">
        <f t="shared" si="10"/>
        <v>Wrong measurement</v>
      </c>
      <c r="N380" s="59" t="str">
        <f t="shared" si="11"/>
        <v>Wrong measurement</v>
      </c>
      <c r="O380" s="137" t="s">
        <v>391</v>
      </c>
      <c r="P380" s="137"/>
      <c r="Q380" s="137" t="s">
        <v>105</v>
      </c>
      <c r="R380" s="137" t="s">
        <v>105</v>
      </c>
      <c r="S380" s="137" t="s">
        <v>105</v>
      </c>
      <c r="T380" s="137" t="s">
        <v>105</v>
      </c>
      <c r="U380" s="137" t="s">
        <v>105</v>
      </c>
    </row>
    <row r="381" spans="1:21">
      <c r="A381" s="38">
        <v>63</v>
      </c>
      <c r="B381" t="s">
        <v>2304</v>
      </c>
      <c r="C381" t="s">
        <v>66</v>
      </c>
      <c r="D381" s="97" t="e">
        <f>_xlfn.XLOOKUP(A381,[1]CPD_SOP_new!$A:$A,[1]CPD_SOP_new!#REF!,"not found",0 )</f>
        <v>#REF!</v>
      </c>
      <c r="E381" s="97" t="str">
        <f>_xlfn.XLOOKUP(A381,[1]CPD_SOP_new!$A:$A,[1]CPD_SOP_new!$K:$K,"not found",0 )</f>
        <v>F3L</v>
      </c>
      <c r="F381" t="s">
        <v>27</v>
      </c>
      <c r="G381" t="s">
        <v>27</v>
      </c>
      <c r="H381" t="s">
        <v>27</v>
      </c>
      <c r="I381" t="s">
        <v>28</v>
      </c>
      <c r="J381" t="s">
        <v>124</v>
      </c>
      <c r="K381" t="s">
        <v>562</v>
      </c>
      <c r="L381" t="s">
        <v>2441</v>
      </c>
      <c r="M381" s="100" t="str">
        <f t="shared" si="10"/>
        <v>TC_63_Try1_NCAP3_3YO_F3L_CPD.MF4.xz</v>
      </c>
      <c r="N381" s="59" t="str">
        <f t="shared" si="11"/>
        <v>_NCAP3_3YO_F3L_CPD.MF4.xz</v>
      </c>
      <c r="O381" s="129" t="s">
        <v>380</v>
      </c>
      <c r="P381" s="129"/>
      <c r="Q381" s="137"/>
      <c r="R381" s="137"/>
      <c r="S381" s="137"/>
      <c r="T381" s="137"/>
      <c r="U381" s="137"/>
    </row>
    <row r="382" spans="1:21">
      <c r="A382" s="38">
        <v>63</v>
      </c>
      <c r="B382" t="s">
        <v>2304</v>
      </c>
      <c r="C382" t="s">
        <v>66</v>
      </c>
      <c r="D382" s="97" t="e">
        <f>_xlfn.XLOOKUP(A382,[1]CPD_SOP_new!$A:$A,[1]CPD_SOP_new!#REF!,"not found",0 )</f>
        <v>#REF!</v>
      </c>
      <c r="E382" s="97" t="str">
        <f>_xlfn.XLOOKUP(A382,[1]CPD_SOP_new!$A:$A,[1]CPD_SOP_new!$K:$K,"not found",0 )</f>
        <v>F3L</v>
      </c>
      <c r="F382" t="s">
        <v>27</v>
      </c>
      <c r="G382" t="s">
        <v>27</v>
      </c>
      <c r="H382" t="s">
        <v>27</v>
      </c>
      <c r="I382" t="s">
        <v>28</v>
      </c>
      <c r="J382" t="s">
        <v>124</v>
      </c>
      <c r="K382" t="s">
        <v>563</v>
      </c>
      <c r="L382" t="s">
        <v>2442</v>
      </c>
      <c r="M382" s="100" t="str">
        <f t="shared" si="10"/>
        <v>TC_63_Try2_NCAP3_3YO_F3L_CPD.MF4.xz</v>
      </c>
      <c r="N382" s="59" t="str">
        <f t="shared" si="11"/>
        <v>_NCAP3_3YO_F3L_CPD.MF4.xz</v>
      </c>
      <c r="O382" s="129" t="s">
        <v>380</v>
      </c>
      <c r="P382" s="129"/>
      <c r="Q382" s="137"/>
      <c r="R382" s="137"/>
      <c r="S382" s="137"/>
      <c r="T382" s="137"/>
      <c r="U382" s="137"/>
    </row>
    <row r="383" spans="1:21">
      <c r="A383" s="38">
        <v>63</v>
      </c>
      <c r="B383" t="s">
        <v>2304</v>
      </c>
      <c r="C383" t="s">
        <v>66</v>
      </c>
      <c r="D383" s="97" t="e">
        <f>_xlfn.XLOOKUP(A383,[1]CPD_SOP_new!$A:$A,[1]CPD_SOP_new!#REF!,"not found",0 )</f>
        <v>#REF!</v>
      </c>
      <c r="E383" s="97" t="str">
        <f>_xlfn.XLOOKUP(A383,[1]CPD_SOP_new!$A:$A,[1]CPD_SOP_new!$K:$K,"not found",0 )</f>
        <v>F3L</v>
      </c>
      <c r="F383" t="s">
        <v>27</v>
      </c>
      <c r="G383" t="s">
        <v>27</v>
      </c>
      <c r="H383" t="s">
        <v>27</v>
      </c>
      <c r="I383" t="s">
        <v>28</v>
      </c>
      <c r="J383" t="s">
        <v>124</v>
      </c>
      <c r="K383" t="s">
        <v>564</v>
      </c>
      <c r="L383" t="s">
        <v>2443</v>
      </c>
      <c r="M383" s="100" t="str">
        <f t="shared" si="10"/>
        <v>TC_63_Try3_NCAP3_3YO_F3L_CPD.MF4.xz</v>
      </c>
      <c r="N383" s="59" t="str">
        <f t="shared" si="11"/>
        <v>_NCAP3_3YO_F3L_CPD.MF4.xz</v>
      </c>
      <c r="O383" s="129" t="s">
        <v>380</v>
      </c>
      <c r="P383" s="129"/>
      <c r="Q383" s="137"/>
      <c r="R383" s="137"/>
      <c r="S383" s="137"/>
      <c r="T383" s="137"/>
      <c r="U383" s="137"/>
    </row>
    <row r="384" spans="1:21">
      <c r="A384" s="38">
        <v>64</v>
      </c>
      <c r="B384" t="s">
        <v>2304</v>
      </c>
      <c r="C384" t="s">
        <v>66</v>
      </c>
      <c r="D384" s="97" t="e">
        <f>_xlfn.XLOOKUP(A384,[1]CPD_SOP_new!$A:$A,[1]CPD_SOP_new!#REF!,"not found",0 )</f>
        <v>#REF!</v>
      </c>
      <c r="E384" s="97" t="str">
        <f>_xlfn.XLOOKUP(A384,[1]CPD_SOP_new!$A:$A,[1]CPD_SOP_new!$K:$K,"not found",0 )</f>
        <v>F3L</v>
      </c>
      <c r="F384" t="s">
        <v>27</v>
      </c>
      <c r="G384" t="s">
        <v>27</v>
      </c>
      <c r="H384" t="s">
        <v>27</v>
      </c>
      <c r="I384" t="s">
        <v>28</v>
      </c>
      <c r="J384" t="s">
        <v>124</v>
      </c>
      <c r="K384" t="s">
        <v>565</v>
      </c>
      <c r="L384" t="s">
        <v>2444</v>
      </c>
      <c r="M384" s="100" t="str">
        <f t="shared" si="10"/>
        <v>TC64_Try_1_NCAP3_3YO_F3L_CPD.MF4.xz</v>
      </c>
      <c r="N384" s="59" t="str">
        <f t="shared" si="11"/>
        <v>_NCAP3_3YO_F3L_CPD.MF4.xz</v>
      </c>
      <c r="O384" s="129" t="s">
        <v>475</v>
      </c>
      <c r="P384" s="129"/>
      <c r="Q384" s="137"/>
      <c r="R384" s="137"/>
      <c r="S384" s="137"/>
      <c r="T384" s="137"/>
      <c r="U384" s="137"/>
    </row>
    <row r="385" spans="1:21">
      <c r="A385" s="38">
        <v>64</v>
      </c>
      <c r="B385" t="s">
        <v>2304</v>
      </c>
      <c r="C385" t="s">
        <v>66</v>
      </c>
      <c r="D385" s="97" t="e">
        <f>_xlfn.XLOOKUP(A385,[1]CPD_SOP_new!$A:$A,[1]CPD_SOP_new!#REF!,"not found",0 )</f>
        <v>#REF!</v>
      </c>
      <c r="E385" s="97" t="str">
        <f>_xlfn.XLOOKUP(A385,[1]CPD_SOP_new!$A:$A,[1]CPD_SOP_new!$K:$K,"not found",0 )</f>
        <v>F3L</v>
      </c>
      <c r="F385" t="s">
        <v>27</v>
      </c>
      <c r="G385" t="s">
        <v>27</v>
      </c>
      <c r="H385" t="s">
        <v>27</v>
      </c>
      <c r="I385" t="s">
        <v>28</v>
      </c>
      <c r="J385" t="s">
        <v>124</v>
      </c>
      <c r="K385" t="s">
        <v>566</v>
      </c>
      <c r="L385" t="s">
        <v>2445</v>
      </c>
      <c r="M385" s="100" t="str">
        <f t="shared" si="10"/>
        <v>TC64_Try_2_NCAP3_3YO_F3L_CPD.MF4.xz</v>
      </c>
      <c r="N385" s="59" t="str">
        <f t="shared" si="11"/>
        <v>_NCAP3_3YO_F3L_CPD.MF4.xz</v>
      </c>
      <c r="O385" s="129" t="s">
        <v>475</v>
      </c>
      <c r="P385" s="129"/>
      <c r="Q385" s="137"/>
      <c r="R385" s="137"/>
      <c r="S385" s="137"/>
      <c r="T385" s="137"/>
      <c r="U385" s="137"/>
    </row>
    <row r="386" spans="1:21">
      <c r="A386" s="38">
        <v>64</v>
      </c>
      <c r="B386" t="s">
        <v>2304</v>
      </c>
      <c r="C386" t="s">
        <v>66</v>
      </c>
      <c r="D386" s="97" t="e">
        <f>_xlfn.XLOOKUP(A386,[1]CPD_SOP_new!$A:$A,[1]CPD_SOP_new!#REF!,"not found",0 )</f>
        <v>#REF!</v>
      </c>
      <c r="E386" s="97" t="str">
        <f>_xlfn.XLOOKUP(A386,[1]CPD_SOP_new!$A:$A,[1]CPD_SOP_new!$K:$K,"not found",0 )</f>
        <v>F3L</v>
      </c>
      <c r="F386" t="s">
        <v>27</v>
      </c>
      <c r="G386" t="s">
        <v>27</v>
      </c>
      <c r="H386" t="s">
        <v>27</v>
      </c>
      <c r="I386" t="s">
        <v>28</v>
      </c>
      <c r="J386" t="s">
        <v>124</v>
      </c>
      <c r="K386" t="s">
        <v>567</v>
      </c>
      <c r="L386" t="s">
        <v>2446</v>
      </c>
      <c r="M386" s="100" t="str">
        <f t="shared" ref="M386:M449" si="12">IF(NOT(N386="Wrong measurement"),SUBSTITUTE(K386,".MF4.xz",N386),"Wrong measurement")</f>
        <v>TC64_Try_3_NCAP3_3YO_F3L_CPD.MF4.xz</v>
      </c>
      <c r="N386" s="59" t="str">
        <f t="shared" ref="N386:N449" si="13">IF(I386="Y",("_"&amp;B386 &amp;"_"&amp; IF(C386="","",C386)&amp;"_"&amp;E386&amp;"_CPD.MF4.xz"),"Wrong measurement")</f>
        <v>_NCAP3_3YO_F3L_CPD.MF4.xz</v>
      </c>
      <c r="O386" s="129" t="s">
        <v>475</v>
      </c>
      <c r="P386" s="129"/>
      <c r="Q386" s="137"/>
      <c r="R386" s="137"/>
      <c r="S386" s="137"/>
      <c r="T386" s="137"/>
      <c r="U386" s="137"/>
    </row>
    <row r="387" spans="1:21">
      <c r="A387" s="77">
        <v>65</v>
      </c>
      <c r="B387" t="s">
        <v>2304</v>
      </c>
      <c r="C387" t="s">
        <v>253</v>
      </c>
      <c r="D387" s="97" t="e">
        <f>_xlfn.XLOOKUP(A387,[1]CPD_SOP_new!$A:$A,[1]CPD_SOP_new!#REF!,"not found",0 )</f>
        <v>#REF!</v>
      </c>
      <c r="E387" s="97" t="s">
        <v>26</v>
      </c>
      <c r="F387" t="s">
        <v>28</v>
      </c>
      <c r="G387" t="s">
        <v>28</v>
      </c>
      <c r="H387" t="s">
        <v>27</v>
      </c>
      <c r="I387" t="s">
        <v>28</v>
      </c>
      <c r="J387" t="s">
        <v>124</v>
      </c>
      <c r="K387" t="s">
        <v>568</v>
      </c>
      <c r="L387" t="s">
        <v>2447</v>
      </c>
      <c r="M387" s="100" t="str">
        <f t="shared" si="12"/>
        <v>CSR_XCP_Signals_Recorder_2025-12-11_10-11-15_TC65_6YO_1R_CPD_NCAP3_6YO_1R_CPD.MF4.xz</v>
      </c>
      <c r="N387" s="59" t="str">
        <f t="shared" si="13"/>
        <v>_NCAP3_6YO_1R_CPD.MF4.xz</v>
      </c>
      <c r="O387" s="132" t="s">
        <v>217</v>
      </c>
      <c r="P387" s="132"/>
    </row>
    <row r="388" spans="1:21">
      <c r="A388" s="77">
        <v>65</v>
      </c>
      <c r="B388" t="s">
        <v>2304</v>
      </c>
      <c r="C388" t="s">
        <v>253</v>
      </c>
      <c r="D388" s="97" t="e">
        <f>_xlfn.XLOOKUP(A388,[1]CPD_SOP_new!$A:$A,[1]CPD_SOP_new!#REF!,"not found",0 )</f>
        <v>#REF!</v>
      </c>
      <c r="E388" s="97" t="s">
        <v>26</v>
      </c>
      <c r="F388" t="s">
        <v>28</v>
      </c>
      <c r="G388" t="s">
        <v>28</v>
      </c>
      <c r="H388" t="s">
        <v>27</v>
      </c>
      <c r="I388" t="s">
        <v>28</v>
      </c>
      <c r="J388" t="s">
        <v>124</v>
      </c>
      <c r="K388" t="s">
        <v>570</v>
      </c>
      <c r="L388" t="s">
        <v>2448</v>
      </c>
      <c r="M388" s="100" t="str">
        <f t="shared" si="12"/>
        <v>CSR_XCP_Signals_Recorder_2025-12-11_10-20-02_TC65_6YO_1R_CPD_NCAP3_6YO_1R_CPD.MF4.xz</v>
      </c>
      <c r="N388" s="59" t="str">
        <f t="shared" si="13"/>
        <v>_NCAP3_6YO_1R_CPD.MF4.xz</v>
      </c>
      <c r="O388" s="132" t="s">
        <v>217</v>
      </c>
      <c r="P388" s="132"/>
    </row>
    <row r="389" spans="1:21">
      <c r="A389" s="77">
        <v>65</v>
      </c>
      <c r="B389" t="s">
        <v>2304</v>
      </c>
      <c r="C389" t="s">
        <v>253</v>
      </c>
      <c r="D389" s="97" t="e">
        <f>_xlfn.XLOOKUP(A389,[1]CPD_SOP_new!$A:$A,[1]CPD_SOP_new!#REF!,"not found",0 )</f>
        <v>#REF!</v>
      </c>
      <c r="E389" s="97" t="s">
        <v>26</v>
      </c>
      <c r="F389" t="s">
        <v>28</v>
      </c>
      <c r="G389" t="s">
        <v>28</v>
      </c>
      <c r="H389" t="s">
        <v>27</v>
      </c>
      <c r="I389" t="s">
        <v>28</v>
      </c>
      <c r="J389" t="s">
        <v>124</v>
      </c>
      <c r="K389" t="s">
        <v>571</v>
      </c>
      <c r="L389" t="s">
        <v>2449</v>
      </c>
      <c r="M389" s="100" t="str">
        <f t="shared" si="12"/>
        <v>CSR_XCP_Signals_Recorder_2025-12-11_10-23-00_TC65_6YO_1R_CPD_NCAP3_6YO_1R_CPD.MF4.xz</v>
      </c>
      <c r="N389" s="59" t="str">
        <f t="shared" si="13"/>
        <v>_NCAP3_6YO_1R_CPD.MF4.xz</v>
      </c>
      <c r="O389" s="132" t="s">
        <v>217</v>
      </c>
      <c r="P389" s="132"/>
    </row>
    <row r="390" spans="1:21">
      <c r="A390" s="77">
        <v>65</v>
      </c>
      <c r="B390" t="s">
        <v>2304</v>
      </c>
      <c r="C390" t="s">
        <v>253</v>
      </c>
      <c r="D390" s="97" t="e">
        <f>_xlfn.XLOOKUP(A390,[1]CPD_SOP_new!$A:$A,[1]CPD_SOP_new!#REF!,"not found",0 )</f>
        <v>#REF!</v>
      </c>
      <c r="E390" s="97" t="s">
        <v>26</v>
      </c>
      <c r="F390" t="s">
        <v>28</v>
      </c>
      <c r="G390" t="s">
        <v>28</v>
      </c>
      <c r="H390" t="s">
        <v>27</v>
      </c>
      <c r="I390" t="s">
        <v>28</v>
      </c>
      <c r="J390" t="s">
        <v>124</v>
      </c>
      <c r="K390" t="s">
        <v>572</v>
      </c>
      <c r="L390" t="s">
        <v>2450</v>
      </c>
      <c r="M390" s="100" t="str">
        <f t="shared" si="12"/>
        <v>CSR_XCP_Signals_Recorder_2025-12-11_10-25-45_TC65_6YO_1R_CPD_NCAP3_6YO_1R_CPD.MF4.xz</v>
      </c>
      <c r="N390" s="59" t="str">
        <f t="shared" si="13"/>
        <v>_NCAP3_6YO_1R_CPD.MF4.xz</v>
      </c>
      <c r="O390" s="132" t="s">
        <v>217</v>
      </c>
      <c r="P390" s="132"/>
    </row>
    <row r="391" spans="1:21" s="130" customFormat="1">
      <c r="A391" s="78">
        <v>65</v>
      </c>
      <c r="B391" s="130" t="s">
        <v>2304</v>
      </c>
      <c r="C391" s="130" t="s">
        <v>253</v>
      </c>
      <c r="D391" s="97" t="e">
        <f>_xlfn.XLOOKUP(A391,[1]CPD_SOP_new!$A:$A,[1]CPD_SOP_new!#REF!,"not found",0 )</f>
        <v>#REF!</v>
      </c>
      <c r="E391" s="97" t="s">
        <v>26</v>
      </c>
      <c r="F391" s="130" t="s">
        <v>27</v>
      </c>
      <c r="G391" s="130" t="s">
        <v>28</v>
      </c>
      <c r="H391" s="130" t="s">
        <v>27</v>
      </c>
      <c r="I391" s="130" t="s">
        <v>27</v>
      </c>
      <c r="J391" s="137" t="s">
        <v>68</v>
      </c>
      <c r="K391" s="136" t="s">
        <v>573</v>
      </c>
      <c r="L391" s="136" t="s">
        <v>723</v>
      </c>
      <c r="M391" s="100" t="str">
        <f t="shared" si="12"/>
        <v>Wrong measurement</v>
      </c>
      <c r="N391" s="59" t="str">
        <f t="shared" si="13"/>
        <v>Wrong measurement</v>
      </c>
      <c r="O391" s="136" t="s">
        <v>371</v>
      </c>
      <c r="P391" s="136"/>
    </row>
    <row r="392" spans="1:21" s="130" customFormat="1">
      <c r="A392" s="78">
        <v>65</v>
      </c>
      <c r="B392" s="130" t="s">
        <v>2304</v>
      </c>
      <c r="C392" s="130" t="s">
        <v>253</v>
      </c>
      <c r="D392" s="97" t="e">
        <f>_xlfn.XLOOKUP(A392,[1]CPD_SOP_new!$A:$A,[1]CPD_SOP_new!#REF!,"not found",0 )</f>
        <v>#REF!</v>
      </c>
      <c r="E392" s="97" t="s">
        <v>26</v>
      </c>
      <c r="F392" s="130" t="s">
        <v>27</v>
      </c>
      <c r="G392" s="130" t="s">
        <v>28</v>
      </c>
      <c r="H392" s="130" t="s">
        <v>27</v>
      </c>
      <c r="I392" s="130" t="s">
        <v>27</v>
      </c>
      <c r="J392" s="137" t="s">
        <v>68</v>
      </c>
      <c r="K392" s="136" t="s">
        <v>574</v>
      </c>
      <c r="L392" s="136" t="s">
        <v>723</v>
      </c>
      <c r="M392" s="100" t="str">
        <f t="shared" si="12"/>
        <v>Wrong measurement</v>
      </c>
      <c r="N392" s="59" t="str">
        <f t="shared" si="13"/>
        <v>Wrong measurement</v>
      </c>
      <c r="O392" s="130" t="s">
        <v>371</v>
      </c>
    </row>
    <row r="393" spans="1:21" s="130" customFormat="1">
      <c r="A393" s="78">
        <v>65</v>
      </c>
      <c r="B393" s="130" t="s">
        <v>2304</v>
      </c>
      <c r="C393" s="130" t="s">
        <v>253</v>
      </c>
      <c r="D393" s="97" t="e">
        <f>_xlfn.XLOOKUP(A393,[1]CPD_SOP_new!$A:$A,[1]CPD_SOP_new!#REF!,"not found",0 )</f>
        <v>#REF!</v>
      </c>
      <c r="E393" s="97" t="s">
        <v>26</v>
      </c>
      <c r="F393" s="130" t="s">
        <v>27</v>
      </c>
      <c r="G393" s="130" t="s">
        <v>28</v>
      </c>
      <c r="H393" s="130" t="s">
        <v>27</v>
      </c>
      <c r="I393" s="130" t="s">
        <v>27</v>
      </c>
      <c r="J393" s="137" t="s">
        <v>68</v>
      </c>
      <c r="K393" s="136" t="s">
        <v>575</v>
      </c>
      <c r="L393" s="136" t="s">
        <v>723</v>
      </c>
      <c r="M393" s="100" t="str">
        <f t="shared" si="12"/>
        <v>Wrong measurement</v>
      </c>
      <c r="N393" s="59" t="str">
        <f t="shared" si="13"/>
        <v>Wrong measurement</v>
      </c>
      <c r="O393" s="130" t="s">
        <v>371</v>
      </c>
    </row>
    <row r="394" spans="1:21">
      <c r="A394" s="77">
        <v>66</v>
      </c>
      <c r="B394" t="s">
        <v>2304</v>
      </c>
      <c r="C394" t="s">
        <v>253</v>
      </c>
      <c r="D394" s="97" t="e">
        <f>_xlfn.XLOOKUP(A394,[1]CPD_SOP_new!$A:$A,[1]CPD_SOP_new!#REF!,"not found",0 )</f>
        <v>#REF!</v>
      </c>
      <c r="E394" s="97" t="str">
        <f>_xlfn.XLOOKUP(A394,[1]CPD_SOP_new!$A:$A,[1]CPD_SOP_new!$K:$K,"not found",0 )</f>
        <v>2R</v>
      </c>
      <c r="F394" t="s">
        <v>28</v>
      </c>
      <c r="G394" t="s">
        <v>28</v>
      </c>
      <c r="H394" t="s">
        <v>28</v>
      </c>
      <c r="I394" t="s">
        <v>28</v>
      </c>
      <c r="J394" t="s">
        <v>124</v>
      </c>
      <c r="K394" t="s">
        <v>576</v>
      </c>
      <c r="L394" t="s">
        <v>2451</v>
      </c>
      <c r="M394" s="100" t="str">
        <f t="shared" si="12"/>
        <v>CSR_XCP_Signals_Recorder_2025-12-10_17-19-17_TC66_6YO2RR_CPD_NCAP3_6YO_2R_CPD.MF4.xz</v>
      </c>
      <c r="N394" s="59" t="str">
        <f t="shared" si="13"/>
        <v>_NCAP3_6YO_2R_CPD.MF4.xz</v>
      </c>
      <c r="O394" t="s">
        <v>217</v>
      </c>
    </row>
    <row r="395" spans="1:21">
      <c r="A395" s="77">
        <v>66</v>
      </c>
      <c r="B395" t="s">
        <v>2304</v>
      </c>
      <c r="C395" t="s">
        <v>253</v>
      </c>
      <c r="D395" s="97" t="e">
        <f>_xlfn.XLOOKUP(A395,[1]CPD_SOP_new!$A:$A,[1]CPD_SOP_new!#REF!,"not found",0 )</f>
        <v>#REF!</v>
      </c>
      <c r="E395" s="97" t="str">
        <f>_xlfn.XLOOKUP(A395,[1]CPD_SOP_new!$A:$A,[1]CPD_SOP_new!$K:$K,"not found",0 )</f>
        <v>2R</v>
      </c>
      <c r="F395" t="s">
        <v>28</v>
      </c>
      <c r="G395" t="s">
        <v>28</v>
      </c>
      <c r="H395" t="s">
        <v>28</v>
      </c>
      <c r="I395" t="s">
        <v>28</v>
      </c>
      <c r="J395" t="s">
        <v>124</v>
      </c>
      <c r="K395" t="s">
        <v>578</v>
      </c>
      <c r="L395" t="s">
        <v>2452</v>
      </c>
      <c r="M395" s="100" t="str">
        <f t="shared" si="12"/>
        <v>CSR_XCP_Signals_Recorder_2025-12-10_17-24-11_TC66__6YO2RR_CPD_NCAP3_6YO_2R_CPD.MF4.xz</v>
      </c>
      <c r="N395" s="59" t="str">
        <f t="shared" si="13"/>
        <v>_NCAP3_6YO_2R_CPD.MF4.xz</v>
      </c>
      <c r="O395" t="s">
        <v>217</v>
      </c>
    </row>
    <row r="396" spans="1:21">
      <c r="A396" s="77">
        <v>66</v>
      </c>
      <c r="B396" t="s">
        <v>2304</v>
      </c>
      <c r="C396" t="s">
        <v>253</v>
      </c>
      <c r="D396" s="97" t="e">
        <f>_xlfn.XLOOKUP(A396,[1]CPD_SOP_new!$A:$A,[1]CPD_SOP_new!#REF!,"not found",0 )</f>
        <v>#REF!</v>
      </c>
      <c r="E396" s="97" t="str">
        <f>_xlfn.XLOOKUP(A396,[1]CPD_SOP_new!$A:$A,[1]CPD_SOP_new!$K:$K,"not found",0 )</f>
        <v>2R</v>
      </c>
      <c r="F396" t="s">
        <v>28</v>
      </c>
      <c r="G396" t="s">
        <v>28</v>
      </c>
      <c r="H396" t="s">
        <v>28</v>
      </c>
      <c r="I396" t="s">
        <v>28</v>
      </c>
      <c r="J396" t="s">
        <v>124</v>
      </c>
      <c r="K396" t="s">
        <v>579</v>
      </c>
      <c r="L396" t="s">
        <v>2453</v>
      </c>
      <c r="M396" s="100" t="str">
        <f t="shared" si="12"/>
        <v>CSR_XCP_Signals_Recorder_2025-12-10_17-25-54_TC66__6YO2RR_CPD_NCAP3_6YO_2R_CPD.MF4.xz</v>
      </c>
      <c r="N396" s="59" t="str">
        <f t="shared" si="13"/>
        <v>_NCAP3_6YO_2R_CPD.MF4.xz</v>
      </c>
      <c r="O396" t="s">
        <v>217</v>
      </c>
    </row>
    <row r="397" spans="1:21">
      <c r="A397" s="77">
        <v>66</v>
      </c>
      <c r="B397" t="s">
        <v>2304</v>
      </c>
      <c r="C397" t="s">
        <v>253</v>
      </c>
      <c r="D397" s="97" t="e">
        <f>_xlfn.XLOOKUP(A397,[1]CPD_SOP_new!$A:$A,[1]CPD_SOP_new!#REF!,"not found",0 )</f>
        <v>#REF!</v>
      </c>
      <c r="E397" s="97" t="str">
        <f>_xlfn.XLOOKUP(A397,[1]CPD_SOP_new!$A:$A,[1]CPD_SOP_new!$K:$K,"not found",0 )</f>
        <v>2R</v>
      </c>
      <c r="F397" t="s">
        <v>28</v>
      </c>
      <c r="G397" t="s">
        <v>28</v>
      </c>
      <c r="H397" t="s">
        <v>28</v>
      </c>
      <c r="I397" t="s">
        <v>28</v>
      </c>
      <c r="J397" t="s">
        <v>124</v>
      </c>
      <c r="K397" s="60" t="s">
        <v>580</v>
      </c>
      <c r="L397" t="s">
        <v>2454</v>
      </c>
      <c r="M397" s="100" t="str">
        <f t="shared" si="12"/>
        <v>CSR_XCP_Signals_Recorder_2025-12-10_17-27-22_TC66__6YO2RR_CPD_NCAP3_6YO_2R_CPD.MF4.xz</v>
      </c>
      <c r="N397" s="59" t="str">
        <f t="shared" si="13"/>
        <v>_NCAP3_6YO_2R_CPD.MF4.xz</v>
      </c>
      <c r="O397" t="s">
        <v>217</v>
      </c>
    </row>
    <row r="398" spans="1:21">
      <c r="A398" s="77">
        <v>66</v>
      </c>
      <c r="B398" t="s">
        <v>2304</v>
      </c>
      <c r="C398" t="s">
        <v>253</v>
      </c>
      <c r="D398" s="97" t="e">
        <f>_xlfn.XLOOKUP(A398,[1]CPD_SOP_new!$A:$A,[1]CPD_SOP_new!#REF!,"not found",0 )</f>
        <v>#REF!</v>
      </c>
      <c r="E398" s="97" t="str">
        <f>_xlfn.XLOOKUP(A398,[1]CPD_SOP_new!$A:$A,[1]CPD_SOP_new!$K:$K,"not found",0 )</f>
        <v>2R</v>
      </c>
      <c r="F398" t="s">
        <v>28</v>
      </c>
      <c r="G398" t="s">
        <v>28</v>
      </c>
      <c r="H398" t="s">
        <v>28</v>
      </c>
      <c r="I398" t="s">
        <v>28</v>
      </c>
      <c r="J398" t="s">
        <v>124</v>
      </c>
      <c r="K398" t="s">
        <v>581</v>
      </c>
      <c r="L398" t="s">
        <v>2455</v>
      </c>
      <c r="M398" s="100" t="str">
        <f t="shared" si="12"/>
        <v>CSR_XCP_Signals_Recorder_2025-12-10_17-30-40_TC66__6YO2RR_CPD_NCAP3_6YO_2R_CPD.MF4.xz</v>
      </c>
      <c r="N398" s="59" t="str">
        <f t="shared" si="13"/>
        <v>_NCAP3_6YO_2R_CPD.MF4.xz</v>
      </c>
      <c r="O398" t="s">
        <v>217</v>
      </c>
    </row>
    <row r="399" spans="1:21">
      <c r="A399" s="77">
        <v>67</v>
      </c>
      <c r="B399" t="s">
        <v>2304</v>
      </c>
      <c r="C399" t="s">
        <v>253</v>
      </c>
      <c r="D399" s="97" t="e">
        <f>_xlfn.XLOOKUP(A399,[1]CPD_SOP_new!$A:$A,[1]CPD_SOP_new!#REF!,"not found",0 )</f>
        <v>#REF!</v>
      </c>
      <c r="E399" s="97" t="str">
        <f>_xlfn.XLOOKUP(A399,[1]CPD_SOP_new!$A:$A,[1]CPD_SOP_new!$K:$K,"not found",0 )</f>
        <v>2R</v>
      </c>
      <c r="F399" t="s">
        <v>28</v>
      </c>
      <c r="G399" t="s">
        <v>28</v>
      </c>
      <c r="H399" t="s">
        <v>28</v>
      </c>
      <c r="I399" t="s">
        <v>28</v>
      </c>
      <c r="J399" t="s">
        <v>124</v>
      </c>
      <c r="K399" t="s">
        <v>582</v>
      </c>
      <c r="L399" t="s">
        <v>2456</v>
      </c>
      <c r="M399" s="100" t="str">
        <f t="shared" si="12"/>
        <v>CSR_XCP_Signals_Recorder_2025-12-11_10-32-41_TC67_6YO_2R_CPD_NCAP3_6YO_2R_CPD.MF4.xz</v>
      </c>
      <c r="N399" s="59" t="str">
        <f t="shared" si="13"/>
        <v>_NCAP3_6YO_2R_CPD.MF4.xz</v>
      </c>
      <c r="O399" t="s">
        <v>217</v>
      </c>
    </row>
    <row r="400" spans="1:21">
      <c r="A400" s="77">
        <v>67</v>
      </c>
      <c r="B400" t="s">
        <v>2304</v>
      </c>
      <c r="C400" t="s">
        <v>253</v>
      </c>
      <c r="D400" s="97" t="e">
        <f>_xlfn.XLOOKUP(A400,[1]CPD_SOP_new!$A:$A,[1]CPD_SOP_new!#REF!,"not found",0 )</f>
        <v>#REF!</v>
      </c>
      <c r="E400" s="97" t="str">
        <f>_xlfn.XLOOKUP(A400,[1]CPD_SOP_new!$A:$A,[1]CPD_SOP_new!$K:$K,"not found",0 )</f>
        <v>2R</v>
      </c>
      <c r="F400" t="s">
        <v>28</v>
      </c>
      <c r="G400" t="s">
        <v>28</v>
      </c>
      <c r="H400" t="s">
        <v>28</v>
      </c>
      <c r="I400" t="s">
        <v>28</v>
      </c>
      <c r="J400" t="s">
        <v>124</v>
      </c>
      <c r="K400" t="s">
        <v>584</v>
      </c>
      <c r="L400" t="s">
        <v>2457</v>
      </c>
      <c r="M400" s="100" t="str">
        <f t="shared" si="12"/>
        <v>CSR_XCP_Signals_Recorder_2025-12-11_10-34-11_TC67_6YO_2R_CPD_NCAP3_6YO_2R_CPD.MF4.xz</v>
      </c>
      <c r="N400" s="59" t="str">
        <f t="shared" si="13"/>
        <v>_NCAP3_6YO_2R_CPD.MF4.xz</v>
      </c>
      <c r="O400" t="s">
        <v>217</v>
      </c>
    </row>
    <row r="401" spans="1:16">
      <c r="A401" s="77">
        <v>67</v>
      </c>
      <c r="B401" t="s">
        <v>2304</v>
      </c>
      <c r="C401" t="s">
        <v>253</v>
      </c>
      <c r="D401" s="97" t="e">
        <f>_xlfn.XLOOKUP(A401,[1]CPD_SOP_new!$A:$A,[1]CPD_SOP_new!#REF!,"not found",0 )</f>
        <v>#REF!</v>
      </c>
      <c r="E401" s="97" t="str">
        <f>_xlfn.XLOOKUP(A401,[1]CPD_SOP_new!$A:$A,[1]CPD_SOP_new!$K:$K,"not found",0 )</f>
        <v>2R</v>
      </c>
      <c r="F401" t="s">
        <v>28</v>
      </c>
      <c r="G401" t="s">
        <v>28</v>
      </c>
      <c r="H401" t="s">
        <v>28</v>
      </c>
      <c r="I401" t="s">
        <v>28</v>
      </c>
      <c r="J401" t="s">
        <v>124</v>
      </c>
      <c r="K401" t="s">
        <v>585</v>
      </c>
      <c r="L401" t="s">
        <v>2458</v>
      </c>
      <c r="M401" s="100" t="str">
        <f t="shared" si="12"/>
        <v>CSR_XCP_Signals_Recorder_2025-12-11_10-35-52_TC67_6YO_2R_CPD_NCAP3_6YO_2R_CPD.MF4.xz</v>
      </c>
      <c r="N401" s="59" t="str">
        <f t="shared" si="13"/>
        <v>_NCAP3_6YO_2R_CPD.MF4.xz</v>
      </c>
      <c r="O401" t="s">
        <v>217</v>
      </c>
    </row>
    <row r="402" spans="1:16">
      <c r="A402" s="77">
        <v>67</v>
      </c>
      <c r="B402" t="s">
        <v>2304</v>
      </c>
      <c r="C402" t="s">
        <v>253</v>
      </c>
      <c r="D402" s="97" t="e">
        <f>_xlfn.XLOOKUP(A402,[1]CPD_SOP_new!$A:$A,[1]CPD_SOP_new!#REF!,"not found",0 )</f>
        <v>#REF!</v>
      </c>
      <c r="E402" s="97" t="str">
        <f>_xlfn.XLOOKUP(A402,[1]CPD_SOP_new!$A:$A,[1]CPD_SOP_new!$K:$K,"not found",0 )</f>
        <v>2R</v>
      </c>
      <c r="F402" t="s">
        <v>28</v>
      </c>
      <c r="G402" t="s">
        <v>28</v>
      </c>
      <c r="H402" t="s">
        <v>28</v>
      </c>
      <c r="I402" t="s">
        <v>28</v>
      </c>
      <c r="J402" t="s">
        <v>124</v>
      </c>
      <c r="K402" t="s">
        <v>586</v>
      </c>
      <c r="L402" t="s">
        <v>2459</v>
      </c>
      <c r="M402" s="100" t="str">
        <f t="shared" si="12"/>
        <v>CSR_XCP_Signals_Recorder_2025-12-11_10-38-31_TC67_6YO_2R_CPD_NCAP3_6YO_2R_CPD.MF4.xz</v>
      </c>
      <c r="N402" s="59" t="str">
        <f t="shared" si="13"/>
        <v>_NCAP3_6YO_2R_CPD.MF4.xz</v>
      </c>
      <c r="O402" t="s">
        <v>217</v>
      </c>
    </row>
    <row r="403" spans="1:16" s="137" customFormat="1">
      <c r="A403" s="77">
        <v>67</v>
      </c>
      <c r="B403" t="s">
        <v>2304</v>
      </c>
      <c r="C403" t="s">
        <v>253</v>
      </c>
      <c r="D403" s="97" t="e">
        <f>_xlfn.XLOOKUP(A403,[1]CPD_SOP_new!$A:$A,[1]CPD_SOP_new!#REF!,"not found",0 )</f>
        <v>#REF!</v>
      </c>
      <c r="E403" s="97" t="str">
        <f>_xlfn.XLOOKUP(A403,[1]CPD_SOP_new!$A:$A,[1]CPD_SOP_new!$K:$K,"not found",0 )</f>
        <v>2R</v>
      </c>
      <c r="F403" t="s">
        <v>28</v>
      </c>
      <c r="G403" t="s">
        <v>28</v>
      </c>
      <c r="H403" t="s">
        <v>28</v>
      </c>
      <c r="I403" t="s">
        <v>28</v>
      </c>
      <c r="J403" t="s">
        <v>124</v>
      </c>
      <c r="K403" s="132" t="s">
        <v>587</v>
      </c>
      <c r="L403" s="132" t="s">
        <v>2460</v>
      </c>
      <c r="M403" s="100" t="str">
        <f t="shared" si="12"/>
        <v>CSR_XCP_Signals_Recorder_2025-12-11_10-30-51_TC67_6YO_2R_CPD_NCAP3_6YO_2R_CPD.MF4.xz</v>
      </c>
      <c r="N403" s="59" t="str">
        <f t="shared" si="13"/>
        <v>_NCAP3_6YO_2R_CPD.MF4.xz</v>
      </c>
      <c r="O403" t="s">
        <v>217</v>
      </c>
    </row>
    <row r="404" spans="1:16" s="130" customFormat="1">
      <c r="A404" s="78">
        <v>67</v>
      </c>
      <c r="B404" s="130" t="s">
        <v>2304</v>
      </c>
      <c r="C404" s="130" t="s">
        <v>253</v>
      </c>
      <c r="D404" s="97" t="e">
        <f>_xlfn.XLOOKUP(A404,[1]CPD_SOP_new!$A:$A,[1]CPD_SOP_new!#REF!,"not found",0 )</f>
        <v>#REF!</v>
      </c>
      <c r="E404" s="97" t="str">
        <f>_xlfn.XLOOKUP(A404,[1]CPD_SOP_new!$A:$A,[1]CPD_SOP_new!$K:$K,"not found",0 )</f>
        <v>2R</v>
      </c>
      <c r="F404" s="130" t="s">
        <v>27</v>
      </c>
      <c r="G404" s="130" t="s">
        <v>28</v>
      </c>
      <c r="H404" s="130" t="s">
        <v>28</v>
      </c>
      <c r="I404" s="130" t="s">
        <v>27</v>
      </c>
      <c r="J404" s="137" t="s">
        <v>68</v>
      </c>
      <c r="K404" s="136" t="s">
        <v>588</v>
      </c>
      <c r="L404" s="136" t="s">
        <v>723</v>
      </c>
      <c r="M404" s="100" t="str">
        <f t="shared" si="12"/>
        <v>Wrong measurement</v>
      </c>
      <c r="N404" s="59" t="str">
        <f t="shared" si="13"/>
        <v>Wrong measurement</v>
      </c>
      <c r="O404" s="131" t="s">
        <v>371</v>
      </c>
      <c r="P404" s="131"/>
    </row>
    <row r="405" spans="1:16" s="130" customFormat="1">
      <c r="A405" s="78">
        <v>67</v>
      </c>
      <c r="B405" s="130" t="s">
        <v>2304</v>
      </c>
      <c r="C405" s="130" t="s">
        <v>253</v>
      </c>
      <c r="D405" s="97" t="e">
        <f>_xlfn.XLOOKUP(A405,[1]CPD_SOP_new!$A:$A,[1]CPD_SOP_new!#REF!,"not found",0 )</f>
        <v>#REF!</v>
      </c>
      <c r="E405" s="97" t="str">
        <f>_xlfn.XLOOKUP(A405,[1]CPD_SOP_new!$A:$A,[1]CPD_SOP_new!$K:$K,"not found",0 )</f>
        <v>2R</v>
      </c>
      <c r="F405" s="130" t="s">
        <v>27</v>
      </c>
      <c r="G405" s="130" t="s">
        <v>28</v>
      </c>
      <c r="H405" s="130" t="s">
        <v>28</v>
      </c>
      <c r="I405" s="130" t="s">
        <v>27</v>
      </c>
      <c r="J405" s="137" t="s">
        <v>68</v>
      </c>
      <c r="K405" s="136" t="s">
        <v>589</v>
      </c>
      <c r="L405" s="136" t="s">
        <v>723</v>
      </c>
      <c r="M405" s="100" t="str">
        <f t="shared" si="12"/>
        <v>Wrong measurement</v>
      </c>
      <c r="N405" s="59" t="str">
        <f t="shared" si="13"/>
        <v>Wrong measurement</v>
      </c>
      <c r="O405" s="130" t="s">
        <v>371</v>
      </c>
    </row>
    <row r="406" spans="1:16" s="130" customFormat="1">
      <c r="A406" s="78">
        <v>67</v>
      </c>
      <c r="B406" s="130" t="s">
        <v>2304</v>
      </c>
      <c r="C406" s="130" t="s">
        <v>253</v>
      </c>
      <c r="D406" s="97" t="e">
        <f>_xlfn.XLOOKUP(A406,[1]CPD_SOP_new!$A:$A,[1]CPD_SOP_new!#REF!,"not found",0 )</f>
        <v>#REF!</v>
      </c>
      <c r="E406" s="97" t="str">
        <f>_xlfn.XLOOKUP(A406,[1]CPD_SOP_new!$A:$A,[1]CPD_SOP_new!$K:$K,"not found",0 )</f>
        <v>2R</v>
      </c>
      <c r="F406" s="130" t="s">
        <v>27</v>
      </c>
      <c r="G406" s="130" t="s">
        <v>28</v>
      </c>
      <c r="H406" s="130" t="s">
        <v>28</v>
      </c>
      <c r="I406" s="130" t="s">
        <v>27</v>
      </c>
      <c r="J406" s="137" t="s">
        <v>68</v>
      </c>
      <c r="K406" s="136" t="s">
        <v>590</v>
      </c>
      <c r="L406" s="136" t="s">
        <v>723</v>
      </c>
      <c r="M406" s="100" t="str">
        <f t="shared" si="12"/>
        <v>Wrong measurement</v>
      </c>
      <c r="N406" s="59" t="str">
        <f t="shared" si="13"/>
        <v>Wrong measurement</v>
      </c>
      <c r="O406" s="130" t="s">
        <v>371</v>
      </c>
    </row>
    <row r="407" spans="1:16" s="130" customFormat="1">
      <c r="A407" s="78">
        <v>68</v>
      </c>
      <c r="B407" s="130" t="s">
        <v>2304</v>
      </c>
      <c r="C407" s="130" t="s">
        <v>253</v>
      </c>
      <c r="D407" s="97" t="e">
        <f>_xlfn.XLOOKUP(A407,[1]CPD_SOP_new!$A:$A,[1]CPD_SOP_new!#REF!,"not found",0 )</f>
        <v>#REF!</v>
      </c>
      <c r="E407" s="97" t="str">
        <f>_xlfn.XLOOKUP(A407,[1]CPD_SOP_new!$A:$A,[1]CPD_SOP_new!$K:$K,"not found",0 )</f>
        <v>2L</v>
      </c>
      <c r="F407" s="130" t="s">
        <v>27</v>
      </c>
      <c r="G407" s="130" t="s">
        <v>28</v>
      </c>
      <c r="H407" s="130" t="s">
        <v>28</v>
      </c>
      <c r="I407" s="130" t="s">
        <v>27</v>
      </c>
      <c r="J407" s="137" t="s">
        <v>518</v>
      </c>
      <c r="K407" s="136" t="s">
        <v>591</v>
      </c>
      <c r="L407" s="136" t="s">
        <v>723</v>
      </c>
      <c r="M407" s="100" t="str">
        <f t="shared" si="12"/>
        <v>Wrong measurement</v>
      </c>
      <c r="N407" s="59" t="str">
        <f t="shared" si="13"/>
        <v>Wrong measurement</v>
      </c>
      <c r="O407" s="136" t="s">
        <v>130</v>
      </c>
      <c r="P407" s="136"/>
    </row>
    <row r="408" spans="1:16" s="130" customFormat="1">
      <c r="A408" s="78">
        <v>68</v>
      </c>
      <c r="B408" s="130" t="s">
        <v>2304</v>
      </c>
      <c r="C408" s="130" t="s">
        <v>253</v>
      </c>
      <c r="D408" s="97" t="e">
        <f>_xlfn.XLOOKUP(A408,[1]CPD_SOP_new!$A:$A,[1]CPD_SOP_new!#REF!,"not found",0 )</f>
        <v>#REF!</v>
      </c>
      <c r="E408" s="97" t="str">
        <f>_xlfn.XLOOKUP(A408,[1]CPD_SOP_new!$A:$A,[1]CPD_SOP_new!$K:$K,"not found",0 )</f>
        <v>2L</v>
      </c>
      <c r="F408" s="130" t="s">
        <v>27</v>
      </c>
      <c r="G408" s="130" t="s">
        <v>28</v>
      </c>
      <c r="H408" s="130" t="s">
        <v>28</v>
      </c>
      <c r="I408" s="130" t="s">
        <v>27</v>
      </c>
      <c r="J408" s="137" t="s">
        <v>518</v>
      </c>
      <c r="K408" s="62" t="s">
        <v>592</v>
      </c>
      <c r="L408" s="136" t="s">
        <v>723</v>
      </c>
      <c r="M408" s="100" t="str">
        <f t="shared" si="12"/>
        <v>Wrong measurement</v>
      </c>
      <c r="N408" s="59" t="str">
        <f t="shared" si="13"/>
        <v>Wrong measurement</v>
      </c>
      <c r="O408" s="136" t="s">
        <v>130</v>
      </c>
      <c r="P408" s="136"/>
    </row>
    <row r="409" spans="1:16" s="130" customFormat="1">
      <c r="A409" s="78">
        <v>68</v>
      </c>
      <c r="B409" s="130" t="s">
        <v>2304</v>
      </c>
      <c r="C409" s="130" t="s">
        <v>253</v>
      </c>
      <c r="D409" s="97" t="e">
        <f>_xlfn.XLOOKUP(A409,[1]CPD_SOP_new!$A:$A,[1]CPD_SOP_new!#REF!,"not found",0 )</f>
        <v>#REF!</v>
      </c>
      <c r="E409" s="97" t="str">
        <f>_xlfn.XLOOKUP(A409,[1]CPD_SOP_new!$A:$A,[1]CPD_SOP_new!$K:$K,"not found",0 )</f>
        <v>2L</v>
      </c>
      <c r="F409" s="130" t="s">
        <v>27</v>
      </c>
      <c r="G409" s="130" t="s">
        <v>28</v>
      </c>
      <c r="H409" s="130" t="s">
        <v>28</v>
      </c>
      <c r="I409" s="130" t="s">
        <v>27</v>
      </c>
      <c r="J409" s="137" t="s">
        <v>518</v>
      </c>
      <c r="K409" s="62" t="s">
        <v>593</v>
      </c>
      <c r="L409" s="136" t="s">
        <v>723</v>
      </c>
      <c r="M409" s="100" t="str">
        <f t="shared" si="12"/>
        <v>Wrong measurement</v>
      </c>
      <c r="N409" s="59" t="str">
        <f t="shared" si="13"/>
        <v>Wrong measurement</v>
      </c>
      <c r="O409" s="136" t="s">
        <v>130</v>
      </c>
      <c r="P409" s="136"/>
    </row>
    <row r="410" spans="1:16">
      <c r="A410" s="77">
        <v>68</v>
      </c>
      <c r="B410" t="s">
        <v>2304</v>
      </c>
      <c r="C410" t="s">
        <v>253</v>
      </c>
      <c r="D410" s="97" t="e">
        <f>_xlfn.XLOOKUP(A410,[1]CPD_SOP_new!$A:$A,[1]CPD_SOP_new!#REF!,"not found",0 )</f>
        <v>#REF!</v>
      </c>
      <c r="E410" s="97" t="str">
        <f>_xlfn.XLOOKUP(A410,[1]CPD_SOP_new!$A:$A,[1]CPD_SOP_new!$K:$K,"not found",0 )</f>
        <v>2L</v>
      </c>
      <c r="F410" t="s">
        <v>27</v>
      </c>
      <c r="G410" t="s">
        <v>28</v>
      </c>
      <c r="H410" t="s">
        <v>28</v>
      </c>
      <c r="I410" t="s">
        <v>28</v>
      </c>
      <c r="J410" t="s">
        <v>124</v>
      </c>
      <c r="K410" s="11" t="s">
        <v>594</v>
      </c>
      <c r="L410" s="132" t="s">
        <v>2461</v>
      </c>
      <c r="M410" s="100" t="str">
        <f t="shared" si="12"/>
        <v>TC68_Try_1_NCAP3_6YO_2L_CPD.MF4.xz</v>
      </c>
      <c r="N410" s="59" t="str">
        <f t="shared" si="13"/>
        <v>_NCAP3_6YO_2L_CPD.MF4.xz</v>
      </c>
      <c r="O410" s="132" t="s">
        <v>475</v>
      </c>
      <c r="P410" s="132"/>
    </row>
    <row r="411" spans="1:16">
      <c r="A411" s="77">
        <v>68</v>
      </c>
      <c r="B411" t="s">
        <v>2304</v>
      </c>
      <c r="C411" t="s">
        <v>253</v>
      </c>
      <c r="D411" s="97" t="e">
        <f>_xlfn.XLOOKUP(A411,[1]CPD_SOP_new!$A:$A,[1]CPD_SOP_new!#REF!,"not found",0 )</f>
        <v>#REF!</v>
      </c>
      <c r="E411" s="97" t="str">
        <f>_xlfn.XLOOKUP(A411,[1]CPD_SOP_new!$A:$A,[1]CPD_SOP_new!$K:$K,"not found",0 )</f>
        <v>2L</v>
      </c>
      <c r="F411" t="s">
        <v>27</v>
      </c>
      <c r="G411" t="s">
        <v>28</v>
      </c>
      <c r="H411" t="s">
        <v>28</v>
      </c>
      <c r="I411" t="s">
        <v>28</v>
      </c>
      <c r="J411" t="s">
        <v>124</v>
      </c>
      <c r="K411" s="11" t="s">
        <v>596</v>
      </c>
      <c r="L411" s="132" t="s">
        <v>2462</v>
      </c>
      <c r="M411" s="100" t="str">
        <f t="shared" si="12"/>
        <v>TC68_Try_2_NCAP3_6YO_2L_CPD.MF4.xz</v>
      </c>
      <c r="N411" s="59" t="str">
        <f t="shared" si="13"/>
        <v>_NCAP3_6YO_2L_CPD.MF4.xz</v>
      </c>
      <c r="O411" s="132" t="s">
        <v>475</v>
      </c>
      <c r="P411" s="132"/>
    </row>
    <row r="412" spans="1:16">
      <c r="A412" s="77">
        <v>68</v>
      </c>
      <c r="B412" t="s">
        <v>2304</v>
      </c>
      <c r="C412" t="s">
        <v>253</v>
      </c>
      <c r="D412" s="97" t="e">
        <f>_xlfn.XLOOKUP(A412,[1]CPD_SOP_new!$A:$A,[1]CPD_SOP_new!#REF!,"not found",0 )</f>
        <v>#REF!</v>
      </c>
      <c r="E412" s="97" t="str">
        <f>_xlfn.XLOOKUP(A412,[1]CPD_SOP_new!$A:$A,[1]CPD_SOP_new!$K:$K,"not found",0 )</f>
        <v>2L</v>
      </c>
      <c r="F412" t="s">
        <v>27</v>
      </c>
      <c r="G412" t="s">
        <v>28</v>
      </c>
      <c r="H412" t="s">
        <v>28</v>
      </c>
      <c r="I412" t="s">
        <v>28</v>
      </c>
      <c r="J412" t="s">
        <v>124</v>
      </c>
      <c r="K412" s="11" t="s">
        <v>597</v>
      </c>
      <c r="L412" s="132" t="s">
        <v>2463</v>
      </c>
      <c r="M412" s="100" t="str">
        <f t="shared" si="12"/>
        <v>TC68_Try_3_NCAP3_6YO_2L_CPD.MF4.xz</v>
      </c>
      <c r="N412" s="59" t="str">
        <f t="shared" si="13"/>
        <v>_NCAP3_6YO_2L_CPD.MF4.xz</v>
      </c>
      <c r="O412" s="132" t="s">
        <v>475</v>
      </c>
      <c r="P412" s="132"/>
    </row>
    <row r="413" spans="1:16">
      <c r="A413" s="77">
        <v>68</v>
      </c>
      <c r="B413" t="s">
        <v>2304</v>
      </c>
      <c r="C413" t="s">
        <v>253</v>
      </c>
      <c r="D413" s="97" t="e">
        <f>_xlfn.XLOOKUP(A413,[1]CPD_SOP_new!$A:$A,[1]CPD_SOP_new!#REF!,"not found",0 )</f>
        <v>#REF!</v>
      </c>
      <c r="E413" s="97" t="str">
        <f>_xlfn.XLOOKUP(A413,[1]CPD_SOP_new!$A:$A,[1]CPD_SOP_new!$K:$K,"not found",0 )</f>
        <v>2L</v>
      </c>
      <c r="F413" t="s">
        <v>27</v>
      </c>
      <c r="G413" t="s">
        <v>28</v>
      </c>
      <c r="H413" t="s">
        <v>28</v>
      </c>
      <c r="I413" t="s">
        <v>28</v>
      </c>
      <c r="J413" t="s">
        <v>124</v>
      </c>
      <c r="K413" s="132" t="s">
        <v>598</v>
      </c>
      <c r="L413" s="132" t="s">
        <v>2464</v>
      </c>
      <c r="M413" s="100" t="str">
        <f t="shared" si="12"/>
        <v>SmokeTest_CPD_TC68_NCAP3_6YO_2L_CPD.MF4.xz</v>
      </c>
      <c r="N413" s="59" t="str">
        <f t="shared" si="13"/>
        <v>_NCAP3_6YO_2L_CPD.MF4.xz</v>
      </c>
      <c r="O413" s="132" t="s">
        <v>64</v>
      </c>
      <c r="P413" s="132"/>
    </row>
    <row r="414" spans="1:16">
      <c r="A414" s="77">
        <v>68</v>
      </c>
      <c r="B414" t="s">
        <v>2304</v>
      </c>
      <c r="C414" t="s">
        <v>253</v>
      </c>
      <c r="D414" s="97" t="e">
        <f>_xlfn.XLOOKUP(A414,[1]CPD_SOP_new!$A:$A,[1]CPD_SOP_new!#REF!,"not found",0 )</f>
        <v>#REF!</v>
      </c>
      <c r="E414" s="97" t="str">
        <f>_xlfn.XLOOKUP(A414,[1]CPD_SOP_new!$A:$A,[1]CPD_SOP_new!$K:$K,"not found",0 )</f>
        <v>2L</v>
      </c>
      <c r="F414" t="s">
        <v>27</v>
      </c>
      <c r="G414" t="s">
        <v>28</v>
      </c>
      <c r="H414" t="s">
        <v>28</v>
      </c>
      <c r="I414" t="s">
        <v>28</v>
      </c>
      <c r="J414" t="s">
        <v>124</v>
      </c>
      <c r="K414" s="132" t="s">
        <v>600</v>
      </c>
      <c r="L414" s="132" t="s">
        <v>2465</v>
      </c>
      <c r="M414" s="100" t="str">
        <f t="shared" si="12"/>
        <v>CSR_XCP_Signals_Recorder_2025-12-22_14-49-08_TC68_CPD_NCAP3_6YO_2L_CPD.MF4.xz</v>
      </c>
      <c r="N414" s="59" t="str">
        <f t="shared" si="13"/>
        <v>_NCAP3_6YO_2L_CPD.MF4.xz</v>
      </c>
      <c r="O414" s="132" t="s">
        <v>53</v>
      </c>
      <c r="P414" s="132"/>
    </row>
    <row r="415" spans="1:16">
      <c r="A415" s="77">
        <v>69</v>
      </c>
      <c r="B415" t="s">
        <v>2304</v>
      </c>
      <c r="C415" t="s">
        <v>253</v>
      </c>
      <c r="D415" s="97" t="e">
        <f>_xlfn.XLOOKUP(A415,[1]CPD_SOP_new!$A:$A,[1]CPD_SOP_new!#REF!,"not found",0 )</f>
        <v>#REF!</v>
      </c>
      <c r="E415" s="97" t="str">
        <f>_xlfn.XLOOKUP(A415,[1]CPD_SOP_new!$A:$A,[1]CPD_SOP_new!$K:$K,"not found",0 )</f>
        <v>2L</v>
      </c>
      <c r="F415" t="s">
        <v>28</v>
      </c>
      <c r="G415" t="s">
        <v>28</v>
      </c>
      <c r="H415" t="s">
        <v>28</v>
      </c>
      <c r="I415" t="s">
        <v>28</v>
      </c>
      <c r="J415" t="s">
        <v>124</v>
      </c>
      <c r="K415" t="s">
        <v>601</v>
      </c>
      <c r="L415" t="s">
        <v>2466</v>
      </c>
      <c r="M415" s="100" t="str">
        <f t="shared" si="12"/>
        <v>CSR_XCP_Signals_Recorder_2025-12-11_10-43-38_TC69_6YO_2L_CPD_NCAP3_6YO_2L_CPD.MF4.xz</v>
      </c>
      <c r="N415" s="59" t="str">
        <f t="shared" si="13"/>
        <v>_NCAP3_6YO_2L_CPD.MF4.xz</v>
      </c>
      <c r="O415" s="1" t="s">
        <v>217</v>
      </c>
      <c r="P415" s="1"/>
    </row>
    <row r="416" spans="1:16">
      <c r="A416" s="77">
        <v>69</v>
      </c>
      <c r="B416" t="s">
        <v>2304</v>
      </c>
      <c r="C416" t="s">
        <v>253</v>
      </c>
      <c r="D416" s="97" t="e">
        <f>_xlfn.XLOOKUP(A416,[1]CPD_SOP_new!$A:$A,[1]CPD_SOP_new!#REF!,"not found",0 )</f>
        <v>#REF!</v>
      </c>
      <c r="E416" s="97" t="str">
        <f>_xlfn.XLOOKUP(A416,[1]CPD_SOP_new!$A:$A,[1]CPD_SOP_new!$K:$K,"not found",0 )</f>
        <v>2L</v>
      </c>
      <c r="F416" t="s">
        <v>28</v>
      </c>
      <c r="G416" t="s">
        <v>28</v>
      </c>
      <c r="H416" t="s">
        <v>28</v>
      </c>
      <c r="I416" t="s">
        <v>28</v>
      </c>
      <c r="J416" t="s">
        <v>124</v>
      </c>
      <c r="K416" t="s">
        <v>603</v>
      </c>
      <c r="L416" t="s">
        <v>2467</v>
      </c>
      <c r="M416" s="100" t="str">
        <f t="shared" si="12"/>
        <v>CSR_XCP_Signals_Recorder_2025-12-11_10-46-04_TC69_6YO_2L_CPD_NCAP3_6YO_2L_CPD.MF4.xz</v>
      </c>
      <c r="N416" s="59" t="str">
        <f t="shared" si="13"/>
        <v>_NCAP3_6YO_2L_CPD.MF4.xz</v>
      </c>
      <c r="O416" s="1" t="s">
        <v>217</v>
      </c>
      <c r="P416" s="1"/>
    </row>
    <row r="417" spans="1:16">
      <c r="A417" s="77">
        <v>69</v>
      </c>
      <c r="B417" t="s">
        <v>2304</v>
      </c>
      <c r="C417" t="s">
        <v>253</v>
      </c>
      <c r="D417" s="97" t="e">
        <f>_xlfn.XLOOKUP(A417,[1]CPD_SOP_new!$A:$A,[1]CPD_SOP_new!#REF!,"not found",0 )</f>
        <v>#REF!</v>
      </c>
      <c r="E417" s="97" t="str">
        <f>_xlfn.XLOOKUP(A417,[1]CPD_SOP_new!$A:$A,[1]CPD_SOP_new!$K:$K,"not found",0 )</f>
        <v>2L</v>
      </c>
      <c r="F417" t="s">
        <v>28</v>
      </c>
      <c r="G417" t="s">
        <v>28</v>
      </c>
      <c r="H417" t="s">
        <v>28</v>
      </c>
      <c r="I417" t="s">
        <v>28</v>
      </c>
      <c r="J417" t="s">
        <v>124</v>
      </c>
      <c r="K417" t="s">
        <v>604</v>
      </c>
      <c r="L417" t="s">
        <v>2468</v>
      </c>
      <c r="M417" s="100" t="str">
        <f t="shared" si="12"/>
        <v>CSR_XCP_Signals_Recorder_2025-12-11_10-47-30_TC69_6YO_2L_CPD_NCAP3_6YO_2L_CPD.MF4.xz</v>
      </c>
      <c r="N417" s="59" t="str">
        <f t="shared" si="13"/>
        <v>_NCAP3_6YO_2L_CPD.MF4.xz</v>
      </c>
      <c r="O417" s="1" t="s">
        <v>217</v>
      </c>
      <c r="P417" s="1"/>
    </row>
    <row r="418" spans="1:16">
      <c r="A418" s="77">
        <v>69</v>
      </c>
      <c r="B418" t="s">
        <v>2304</v>
      </c>
      <c r="C418" t="s">
        <v>253</v>
      </c>
      <c r="D418" s="97" t="e">
        <f>_xlfn.XLOOKUP(A418,[1]CPD_SOP_new!$A:$A,[1]CPD_SOP_new!#REF!,"not found",0 )</f>
        <v>#REF!</v>
      </c>
      <c r="E418" s="97" t="str">
        <f>_xlfn.XLOOKUP(A418,[1]CPD_SOP_new!$A:$A,[1]CPD_SOP_new!$K:$K,"not found",0 )</f>
        <v>2L</v>
      </c>
      <c r="F418" t="s">
        <v>28</v>
      </c>
      <c r="G418" t="s">
        <v>28</v>
      </c>
      <c r="H418" t="s">
        <v>28</v>
      </c>
      <c r="I418" t="s">
        <v>28</v>
      </c>
      <c r="J418" t="s">
        <v>124</v>
      </c>
      <c r="K418" t="s">
        <v>605</v>
      </c>
      <c r="L418" t="s">
        <v>2469</v>
      </c>
      <c r="M418" s="100" t="str">
        <f t="shared" si="12"/>
        <v>CSR_XCP_Signals_Recorder_2025-12-11_10-49-08_TC69_6YO_2L_CPD_NCAP3_6YO_2L_CPD.MF4.xz</v>
      </c>
      <c r="N418" s="59" t="str">
        <f t="shared" si="13"/>
        <v>_NCAP3_6YO_2L_CPD.MF4.xz</v>
      </c>
      <c r="O418" s="1" t="s">
        <v>217</v>
      </c>
      <c r="P418" s="1"/>
    </row>
    <row r="419" spans="1:16">
      <c r="A419" s="77">
        <v>69</v>
      </c>
      <c r="B419" t="s">
        <v>2304</v>
      </c>
      <c r="C419" t="s">
        <v>253</v>
      </c>
      <c r="D419" s="97" t="e">
        <f>_xlfn.XLOOKUP(A419,[1]CPD_SOP_new!$A:$A,[1]CPD_SOP_new!#REF!,"not found",0 )</f>
        <v>#REF!</v>
      </c>
      <c r="E419" s="97" t="str">
        <f>_xlfn.XLOOKUP(A419,[1]CPD_SOP_new!$A:$A,[1]CPD_SOP_new!$K:$K,"not found",0 )</f>
        <v>2L</v>
      </c>
      <c r="F419" t="s">
        <v>28</v>
      </c>
      <c r="G419" t="s">
        <v>28</v>
      </c>
      <c r="H419" t="s">
        <v>28</v>
      </c>
      <c r="I419" t="s">
        <v>28</v>
      </c>
      <c r="J419" t="s">
        <v>124</v>
      </c>
      <c r="K419" s="132" t="s">
        <v>606</v>
      </c>
      <c r="L419" s="132" t="s">
        <v>2470</v>
      </c>
      <c r="M419" s="100" t="str">
        <f t="shared" si="12"/>
        <v>CSR_XCP_Signals_Recorder_2025-12-11_10-41-39_TC69_6YO_2L_CPD_NCAP3_6YO_2L_CPD.MF4.xz</v>
      </c>
      <c r="N419" s="59" t="str">
        <f t="shared" si="13"/>
        <v>_NCAP3_6YO_2L_CPD.MF4.xz</v>
      </c>
      <c r="O419" s="1" t="s">
        <v>217</v>
      </c>
      <c r="P419" s="1"/>
    </row>
    <row r="420" spans="1:16" s="130" customFormat="1">
      <c r="A420" s="78">
        <v>69</v>
      </c>
      <c r="B420" s="130" t="s">
        <v>2304</v>
      </c>
      <c r="C420" s="130" t="s">
        <v>253</v>
      </c>
      <c r="D420" s="97" t="e">
        <f>_xlfn.XLOOKUP(A420,[1]CPD_SOP_new!$A:$A,[1]CPD_SOP_new!#REF!,"not found",0 )</f>
        <v>#REF!</v>
      </c>
      <c r="E420" s="97" t="str">
        <f>_xlfn.XLOOKUP(A420,[1]CPD_SOP_new!$A:$A,[1]CPD_SOP_new!$K:$K,"not found",0 )</f>
        <v>2L</v>
      </c>
      <c r="F420" s="130" t="s">
        <v>28</v>
      </c>
      <c r="G420" s="130" t="s">
        <v>28</v>
      </c>
      <c r="H420" s="130" t="s">
        <v>28</v>
      </c>
      <c r="I420" s="130" t="s">
        <v>27</v>
      </c>
      <c r="J420" s="137" t="s">
        <v>607</v>
      </c>
      <c r="K420" s="62" t="s">
        <v>608</v>
      </c>
      <c r="L420" s="62" t="s">
        <v>723</v>
      </c>
      <c r="M420" s="100" t="str">
        <f t="shared" si="12"/>
        <v>Wrong measurement</v>
      </c>
      <c r="N420" s="59" t="str">
        <f t="shared" si="13"/>
        <v>Wrong measurement</v>
      </c>
      <c r="O420" s="86" t="s">
        <v>371</v>
      </c>
      <c r="P420" s="63"/>
    </row>
    <row r="421" spans="1:16" s="130" customFormat="1">
      <c r="A421" s="78">
        <v>69</v>
      </c>
      <c r="B421" s="130" t="s">
        <v>2304</v>
      </c>
      <c r="C421" s="130" t="s">
        <v>253</v>
      </c>
      <c r="D421" s="97" t="e">
        <f>_xlfn.XLOOKUP(A421,[1]CPD_SOP_new!$A:$A,[1]CPD_SOP_new!#REF!,"not found",0 )</f>
        <v>#REF!</v>
      </c>
      <c r="E421" s="97" t="str">
        <f>_xlfn.XLOOKUP(A421,[1]CPD_SOP_new!$A:$A,[1]CPD_SOP_new!$K:$K,"not found",0 )</f>
        <v>2L</v>
      </c>
      <c r="F421" s="130" t="s">
        <v>28</v>
      </c>
      <c r="G421" s="130" t="s">
        <v>28</v>
      </c>
      <c r="H421" s="130" t="s">
        <v>28</v>
      </c>
      <c r="I421" s="130" t="s">
        <v>27</v>
      </c>
      <c r="J421" s="137" t="s">
        <v>68</v>
      </c>
      <c r="K421" s="62" t="s">
        <v>609</v>
      </c>
      <c r="L421" s="62" t="s">
        <v>723</v>
      </c>
      <c r="M421" s="100" t="str">
        <f t="shared" si="12"/>
        <v>Wrong measurement</v>
      </c>
      <c r="N421" s="59" t="str">
        <f t="shared" si="13"/>
        <v>Wrong measurement</v>
      </c>
      <c r="O421" s="86" t="s">
        <v>371</v>
      </c>
      <c r="P421" s="63"/>
    </row>
    <row r="422" spans="1:16" s="130" customFormat="1">
      <c r="A422" s="78">
        <v>69</v>
      </c>
      <c r="B422" s="130" t="s">
        <v>2304</v>
      </c>
      <c r="C422" s="130" t="s">
        <v>253</v>
      </c>
      <c r="D422" s="97" t="e">
        <f>_xlfn.XLOOKUP(A422,[1]CPD_SOP_new!$A:$A,[1]CPD_SOP_new!#REF!,"not found",0 )</f>
        <v>#REF!</v>
      </c>
      <c r="E422" s="97" t="str">
        <f>_xlfn.XLOOKUP(A422,[1]CPD_SOP_new!$A:$A,[1]CPD_SOP_new!$K:$K,"not found",0 )</f>
        <v>2L</v>
      </c>
      <c r="F422" s="130" t="s">
        <v>28</v>
      </c>
      <c r="G422" s="130" t="s">
        <v>28</v>
      </c>
      <c r="H422" s="130" t="s">
        <v>28</v>
      </c>
      <c r="I422" s="130" t="s">
        <v>27</v>
      </c>
      <c r="J422" s="137" t="s">
        <v>68</v>
      </c>
      <c r="K422" s="62" t="s">
        <v>610</v>
      </c>
      <c r="L422" s="62" t="s">
        <v>723</v>
      </c>
      <c r="M422" s="100" t="str">
        <f t="shared" si="12"/>
        <v>Wrong measurement</v>
      </c>
      <c r="N422" s="59" t="str">
        <f t="shared" si="13"/>
        <v>Wrong measurement</v>
      </c>
      <c r="O422" s="86" t="s">
        <v>371</v>
      </c>
      <c r="P422" s="63"/>
    </row>
    <row r="423" spans="1:16" s="130" customFormat="1">
      <c r="A423" s="78">
        <v>70</v>
      </c>
      <c r="B423" s="130" t="s">
        <v>2304</v>
      </c>
      <c r="C423" s="130" t="s">
        <v>253</v>
      </c>
      <c r="D423" s="97" t="e">
        <f>_xlfn.XLOOKUP(A423,[1]CPD_SOP_new!$A:$A,[1]CPD_SOP_new!#REF!,"not found",0 )</f>
        <v>#REF!</v>
      </c>
      <c r="E423" s="97" t="str">
        <f>_xlfn.XLOOKUP(A423,[1]CPD_SOP_new!$A:$A,[1]CPD_SOP_new!$K:$K,"not found",0 )</f>
        <v>2C</v>
      </c>
      <c r="F423" s="130" t="s">
        <v>28</v>
      </c>
      <c r="G423" s="130" t="s">
        <v>28</v>
      </c>
      <c r="H423" s="130" t="s">
        <v>28</v>
      </c>
      <c r="I423" s="130" t="s">
        <v>27</v>
      </c>
      <c r="J423" s="130" t="s">
        <v>611</v>
      </c>
      <c r="K423" s="61" t="s">
        <v>612</v>
      </c>
      <c r="L423" s="61" t="s">
        <v>723</v>
      </c>
      <c r="M423" s="100" t="str">
        <f t="shared" si="12"/>
        <v>Wrong measurement</v>
      </c>
      <c r="N423" s="59" t="str">
        <f t="shared" si="13"/>
        <v>Wrong measurement</v>
      </c>
      <c r="O423" s="86" t="s">
        <v>217</v>
      </c>
      <c r="P423" s="63"/>
    </row>
    <row r="424" spans="1:16" s="130" customFormat="1">
      <c r="A424" s="78">
        <v>70</v>
      </c>
      <c r="B424" s="130" t="s">
        <v>2304</v>
      </c>
      <c r="C424" s="130" t="s">
        <v>253</v>
      </c>
      <c r="D424" s="97" t="e">
        <f>_xlfn.XLOOKUP(A424,[1]CPD_SOP_new!$A:$A,[1]CPD_SOP_new!#REF!,"not found",0 )</f>
        <v>#REF!</v>
      </c>
      <c r="E424" s="97" t="str">
        <f>_xlfn.XLOOKUP(A424,[1]CPD_SOP_new!$A:$A,[1]CPD_SOP_new!$K:$K,"not found",0 )</f>
        <v>2C</v>
      </c>
      <c r="F424" s="130" t="s">
        <v>28</v>
      </c>
      <c r="G424" s="130" t="s">
        <v>28</v>
      </c>
      <c r="H424" s="130" t="s">
        <v>28</v>
      </c>
      <c r="I424" s="130" t="s">
        <v>27</v>
      </c>
      <c r="J424" s="130" t="s">
        <v>644</v>
      </c>
      <c r="K424" s="61" t="s">
        <v>645</v>
      </c>
      <c r="L424" s="61" t="s">
        <v>723</v>
      </c>
      <c r="M424" s="100" t="str">
        <f t="shared" si="12"/>
        <v>Wrong measurement</v>
      </c>
      <c r="N424" s="59" t="str">
        <f t="shared" si="13"/>
        <v>Wrong measurement</v>
      </c>
      <c r="O424" s="86" t="s">
        <v>217</v>
      </c>
      <c r="P424" s="63"/>
    </row>
    <row r="425" spans="1:16" s="130" customFormat="1">
      <c r="A425" s="78">
        <v>70</v>
      </c>
      <c r="B425" s="130" t="s">
        <v>2304</v>
      </c>
      <c r="C425" s="130" t="s">
        <v>253</v>
      </c>
      <c r="D425" s="97" t="e">
        <f>_xlfn.XLOOKUP(A425,[1]CPD_SOP_new!$A:$A,[1]CPD_SOP_new!#REF!,"not found",0 )</f>
        <v>#REF!</v>
      </c>
      <c r="E425" s="97" t="str">
        <f>_xlfn.XLOOKUP(A425,[1]CPD_SOP_new!$A:$A,[1]CPD_SOP_new!$K:$K,"not found",0 )</f>
        <v>2C</v>
      </c>
      <c r="F425" s="130" t="s">
        <v>28</v>
      </c>
      <c r="G425" s="130" t="s">
        <v>28</v>
      </c>
      <c r="H425" s="130" t="s">
        <v>28</v>
      </c>
      <c r="I425" s="130" t="s">
        <v>27</v>
      </c>
      <c r="J425" s="130" t="s">
        <v>644</v>
      </c>
      <c r="K425" s="130" t="s">
        <v>646</v>
      </c>
      <c r="L425" s="130" t="s">
        <v>723</v>
      </c>
      <c r="M425" s="100" t="str">
        <f t="shared" si="12"/>
        <v>Wrong measurement</v>
      </c>
      <c r="N425" s="59" t="str">
        <f t="shared" si="13"/>
        <v>Wrong measurement</v>
      </c>
      <c r="O425" s="63" t="s">
        <v>217</v>
      </c>
      <c r="P425" s="63"/>
    </row>
    <row r="426" spans="1:16" s="130" customFormat="1">
      <c r="A426" s="78">
        <v>70</v>
      </c>
      <c r="B426" s="130" t="s">
        <v>2304</v>
      </c>
      <c r="C426" s="130" t="s">
        <v>253</v>
      </c>
      <c r="D426" s="97" t="e">
        <f>_xlfn.XLOOKUP(A426,[1]CPD_SOP_new!$A:$A,[1]CPD_SOP_new!#REF!,"not found",0 )</f>
        <v>#REF!</v>
      </c>
      <c r="E426" s="97" t="str">
        <f>_xlfn.XLOOKUP(A426,[1]CPD_SOP_new!$A:$A,[1]CPD_SOP_new!$K:$K,"not found",0 )</f>
        <v>2C</v>
      </c>
      <c r="F426" s="130" t="s">
        <v>28</v>
      </c>
      <c r="G426" s="130" t="s">
        <v>28</v>
      </c>
      <c r="H426" s="130" t="s">
        <v>28</v>
      </c>
      <c r="I426" s="130" t="s">
        <v>27</v>
      </c>
      <c r="J426" s="130" t="s">
        <v>611</v>
      </c>
      <c r="K426" s="130" t="s">
        <v>647</v>
      </c>
      <c r="L426" s="130" t="s">
        <v>723</v>
      </c>
      <c r="M426" s="100" t="str">
        <f t="shared" si="12"/>
        <v>Wrong measurement</v>
      </c>
      <c r="N426" s="59" t="str">
        <f t="shared" si="13"/>
        <v>Wrong measurement</v>
      </c>
      <c r="O426" s="63" t="s">
        <v>217</v>
      </c>
      <c r="P426" s="63"/>
    </row>
    <row r="427" spans="1:16" s="130" customFormat="1">
      <c r="A427" s="78">
        <v>70</v>
      </c>
      <c r="B427" s="130" t="s">
        <v>2304</v>
      </c>
      <c r="C427" s="130" t="s">
        <v>253</v>
      </c>
      <c r="D427" s="97" t="e">
        <f>_xlfn.XLOOKUP(A427,[1]CPD_SOP_new!$A:$A,[1]CPD_SOP_new!#REF!,"not found",0 )</f>
        <v>#REF!</v>
      </c>
      <c r="E427" s="97" t="str">
        <f>_xlfn.XLOOKUP(A427,[1]CPD_SOP_new!$A:$A,[1]CPD_SOP_new!$K:$K,"not found",0 )</f>
        <v>2C</v>
      </c>
      <c r="F427" s="130" t="s">
        <v>28</v>
      </c>
      <c r="G427" s="130" t="s">
        <v>28</v>
      </c>
      <c r="H427" s="130" t="s">
        <v>28</v>
      </c>
      <c r="I427" s="130" t="s">
        <v>27</v>
      </c>
      <c r="J427" s="130" t="s">
        <v>611</v>
      </c>
      <c r="K427" s="130" t="s">
        <v>719</v>
      </c>
      <c r="L427" s="130" t="s">
        <v>723</v>
      </c>
      <c r="M427" s="100" t="str">
        <f t="shared" si="12"/>
        <v>Wrong measurement</v>
      </c>
      <c r="N427" s="59" t="str">
        <f t="shared" si="13"/>
        <v>Wrong measurement</v>
      </c>
      <c r="O427" s="63" t="s">
        <v>217</v>
      </c>
      <c r="P427" s="63"/>
    </row>
    <row r="428" spans="1:16">
      <c r="A428" s="77">
        <v>70</v>
      </c>
      <c r="B428" t="s">
        <v>2304</v>
      </c>
      <c r="C428" t="s">
        <v>253</v>
      </c>
      <c r="D428" s="97" t="e">
        <f>_xlfn.XLOOKUP(A428,[1]CPD_SOP_new!$A:$A,[1]CPD_SOP_new!#REF!,"not found",0 )</f>
        <v>#REF!</v>
      </c>
      <c r="E428" s="97" t="str">
        <f>_xlfn.XLOOKUP(A428,[1]CPD_SOP_new!$A:$A,[1]CPD_SOP_new!$K:$K,"not found",0 )</f>
        <v>2C</v>
      </c>
      <c r="F428" t="s">
        <v>28</v>
      </c>
      <c r="G428" t="s">
        <v>28</v>
      </c>
      <c r="H428" t="s">
        <v>28</v>
      </c>
      <c r="I428" t="s">
        <v>28</v>
      </c>
      <c r="J428" t="s">
        <v>124</v>
      </c>
      <c r="K428" s="11" t="s">
        <v>621</v>
      </c>
      <c r="L428" s="132" t="s">
        <v>2471</v>
      </c>
      <c r="M428" s="100" t="str">
        <f t="shared" si="12"/>
        <v>CSR_XCP_Signals_Recorder_2025-12-18_16-42-47_TC70_CPD_NCAP3_6YO_2C_CPD.MF4.xz</v>
      </c>
      <c r="N428" s="59" t="str">
        <f t="shared" si="13"/>
        <v>_NCAP3_6YO_2C_CPD.MF4.xz</v>
      </c>
      <c r="O428" s="1" t="s">
        <v>202</v>
      </c>
      <c r="P428" s="1"/>
    </row>
    <row r="429" spans="1:16">
      <c r="A429" s="77">
        <v>70</v>
      </c>
      <c r="B429" t="s">
        <v>2304</v>
      </c>
      <c r="C429" t="s">
        <v>253</v>
      </c>
      <c r="D429" s="97" t="e">
        <f>_xlfn.XLOOKUP(A429,[1]CPD_SOP_new!$A:$A,[1]CPD_SOP_new!#REF!,"not found",0 )</f>
        <v>#REF!</v>
      </c>
      <c r="E429" s="97" t="str">
        <f>_xlfn.XLOOKUP(A429,[1]CPD_SOP_new!$A:$A,[1]CPD_SOP_new!$K:$K,"not found",0 )</f>
        <v>2C</v>
      </c>
      <c r="F429" t="s">
        <v>28</v>
      </c>
      <c r="G429" t="s">
        <v>28</v>
      </c>
      <c r="H429" t="s">
        <v>28</v>
      </c>
      <c r="I429" t="s">
        <v>28</v>
      </c>
      <c r="J429" t="s">
        <v>124</v>
      </c>
      <c r="K429" s="11" t="s">
        <v>623</v>
      </c>
      <c r="L429" s="132" t="s">
        <v>2472</v>
      </c>
      <c r="M429" s="100" t="str">
        <f t="shared" si="12"/>
        <v>CSR_XCP_Signals_Recorder_2025-12-18_16-44-24_TC70_CPD_NCAP3_6YO_2C_CPD.MF4.xz</v>
      </c>
      <c r="N429" s="59" t="str">
        <f t="shared" si="13"/>
        <v>_NCAP3_6YO_2C_CPD.MF4.xz</v>
      </c>
      <c r="O429" s="1" t="s">
        <v>202</v>
      </c>
      <c r="P429" s="1"/>
    </row>
    <row r="430" spans="1:16">
      <c r="A430" s="77">
        <v>70</v>
      </c>
      <c r="B430" t="s">
        <v>2304</v>
      </c>
      <c r="C430" t="s">
        <v>253</v>
      </c>
      <c r="D430" s="97" t="e">
        <f>_xlfn.XLOOKUP(A430,[1]CPD_SOP_new!$A:$A,[1]CPD_SOP_new!#REF!,"not found",0 )</f>
        <v>#REF!</v>
      </c>
      <c r="E430" s="97" t="str">
        <f>_xlfn.XLOOKUP(A430,[1]CPD_SOP_new!$A:$A,[1]CPD_SOP_new!$K:$K,"not found",0 )</f>
        <v>2C</v>
      </c>
      <c r="F430" t="s">
        <v>28</v>
      </c>
      <c r="G430" t="s">
        <v>28</v>
      </c>
      <c r="H430" t="s">
        <v>28</v>
      </c>
      <c r="I430" t="s">
        <v>28</v>
      </c>
      <c r="J430" t="s">
        <v>124</v>
      </c>
      <c r="K430" s="11" t="s">
        <v>624</v>
      </c>
      <c r="L430" s="132" t="s">
        <v>2473</v>
      </c>
      <c r="M430" s="100" t="str">
        <f t="shared" si="12"/>
        <v>CSR_XCP_Signals_Recorder_2025-12-18_16-45-59_TC70_CPD_NCAP3_6YO_2C_CPD.MF4.xz</v>
      </c>
      <c r="N430" s="59" t="str">
        <f t="shared" si="13"/>
        <v>_NCAP3_6YO_2C_CPD.MF4.xz</v>
      </c>
      <c r="O430" s="1" t="s">
        <v>202</v>
      </c>
      <c r="P430" s="1"/>
    </row>
    <row r="431" spans="1:16">
      <c r="A431" s="77">
        <v>70</v>
      </c>
      <c r="B431" t="s">
        <v>2304</v>
      </c>
      <c r="C431" t="s">
        <v>253</v>
      </c>
      <c r="D431" s="97" t="e">
        <f>_xlfn.XLOOKUP(A431,[1]CPD_SOP_new!$A:$A,[1]CPD_SOP_new!#REF!,"not found",0 )</f>
        <v>#REF!</v>
      </c>
      <c r="E431" s="97" t="str">
        <f>_xlfn.XLOOKUP(A431,[1]CPD_SOP_new!$A:$A,[1]CPD_SOP_new!$K:$K,"not found",0 )</f>
        <v>2C</v>
      </c>
      <c r="F431" t="s">
        <v>28</v>
      </c>
      <c r="G431" t="s">
        <v>28</v>
      </c>
      <c r="H431" t="s">
        <v>28</v>
      </c>
      <c r="I431" t="s">
        <v>28</v>
      </c>
      <c r="J431" t="s">
        <v>124</v>
      </c>
      <c r="K431" s="11" t="s">
        <v>625</v>
      </c>
      <c r="L431" s="132" t="s">
        <v>2474</v>
      </c>
      <c r="M431" s="100" t="str">
        <f t="shared" si="12"/>
        <v>CSR_XCP_Signals_Recorder_2025-12-18_16-47-35_TC70_CPD_NCAP3_6YO_2C_CPD.MF4.xz</v>
      </c>
      <c r="N431" s="59" t="str">
        <f t="shared" si="13"/>
        <v>_NCAP3_6YO_2C_CPD.MF4.xz</v>
      </c>
      <c r="O431" s="1" t="s">
        <v>202</v>
      </c>
      <c r="P431" s="1"/>
    </row>
    <row r="432" spans="1:16">
      <c r="A432" s="77">
        <v>70</v>
      </c>
      <c r="B432" t="s">
        <v>2304</v>
      </c>
      <c r="C432" t="s">
        <v>253</v>
      </c>
      <c r="D432" s="97" t="e">
        <f>_xlfn.XLOOKUP(A432,[1]CPD_SOP_new!$A:$A,[1]CPD_SOP_new!#REF!,"not found",0 )</f>
        <v>#REF!</v>
      </c>
      <c r="E432" s="97" t="str">
        <f>_xlfn.XLOOKUP(A432,[1]CPD_SOP_new!$A:$A,[1]CPD_SOP_new!$K:$K,"not found",0 )</f>
        <v>2C</v>
      </c>
      <c r="F432" t="s">
        <v>28</v>
      </c>
      <c r="G432" t="s">
        <v>28</v>
      </c>
      <c r="H432" t="s">
        <v>28</v>
      </c>
      <c r="I432" t="s">
        <v>28</v>
      </c>
      <c r="J432" t="s">
        <v>124</v>
      </c>
      <c r="K432" s="11" t="s">
        <v>626</v>
      </c>
      <c r="L432" s="132" t="s">
        <v>2475</v>
      </c>
      <c r="M432" s="100" t="str">
        <f t="shared" si="12"/>
        <v>CSR_XCP_Signals_Recorder_2025-12-18_16-49-09_TC70_CPD_NCAP3_6YO_2C_CPD.MF4.xz</v>
      </c>
      <c r="N432" s="59" t="str">
        <f t="shared" si="13"/>
        <v>_NCAP3_6YO_2C_CPD.MF4.xz</v>
      </c>
      <c r="O432" s="1" t="s">
        <v>202</v>
      </c>
      <c r="P432" s="1"/>
    </row>
    <row r="433" spans="1:21">
      <c r="A433" s="77">
        <v>70</v>
      </c>
      <c r="B433" t="s">
        <v>2304</v>
      </c>
      <c r="C433" t="s">
        <v>253</v>
      </c>
      <c r="D433" s="97" t="e">
        <f>_xlfn.XLOOKUP(A433,[1]CPD_SOP_new!$A:$A,[1]CPD_SOP_new!#REF!,"not found",0 )</f>
        <v>#REF!</v>
      </c>
      <c r="E433" s="97" t="str">
        <f>_xlfn.XLOOKUP(A433,[1]CPD_SOP_new!$A:$A,[1]CPD_SOP_new!$K:$K,"not found",0 )</f>
        <v>2C</v>
      </c>
      <c r="F433" t="s">
        <v>28</v>
      </c>
      <c r="G433" t="s">
        <v>28</v>
      </c>
      <c r="H433" t="s">
        <v>28</v>
      </c>
      <c r="I433" t="s">
        <v>28</v>
      </c>
      <c r="J433" t="s">
        <v>124</v>
      </c>
      <c r="K433" t="s">
        <v>627</v>
      </c>
      <c r="L433" t="s">
        <v>2476</v>
      </c>
      <c r="M433" s="100" t="str">
        <f t="shared" si="12"/>
        <v>CSR_XCP_Signals_Recorder_2026-01-20_16-07-49_CPD_TC70_Try5_NCAP3_6YO_2C_CPD.MF4.xz</v>
      </c>
      <c r="N433" s="59" t="str">
        <f t="shared" si="13"/>
        <v>_NCAP3_6YO_2C_CPD.MF4.xz</v>
      </c>
      <c r="O433" t="s">
        <v>86</v>
      </c>
    </row>
    <row r="434" spans="1:21">
      <c r="A434" s="77">
        <v>70</v>
      </c>
      <c r="B434" t="s">
        <v>2304</v>
      </c>
      <c r="C434" t="s">
        <v>253</v>
      </c>
      <c r="D434" s="97" t="e">
        <f>_xlfn.XLOOKUP(A434,[1]CPD_SOP_new!$A:$A,[1]CPD_SOP_new!#REF!,"not found",0 )</f>
        <v>#REF!</v>
      </c>
      <c r="E434" s="97" t="str">
        <f>_xlfn.XLOOKUP(A434,[1]CPD_SOP_new!$A:$A,[1]CPD_SOP_new!$K:$K,"not found",0 )</f>
        <v>2C</v>
      </c>
      <c r="F434" t="s">
        <v>28</v>
      </c>
      <c r="G434" t="s">
        <v>28</v>
      </c>
      <c r="H434" t="s">
        <v>28</v>
      </c>
      <c r="I434" t="s">
        <v>28</v>
      </c>
      <c r="J434" t="s">
        <v>124</v>
      </c>
      <c r="K434" t="s">
        <v>629</v>
      </c>
      <c r="L434" t="s">
        <v>2477</v>
      </c>
      <c r="M434" s="100" t="str">
        <f t="shared" si="12"/>
        <v>CSR_XCP_Signals_Recorder_2026-01-20_16-01-58_CPD_TC70_Try1_NCAP3_6YO_2C_CPD.MF4.xz</v>
      </c>
      <c r="N434" s="59" t="str">
        <f t="shared" si="13"/>
        <v>_NCAP3_6YO_2C_CPD.MF4.xz</v>
      </c>
      <c r="O434" t="s">
        <v>86</v>
      </c>
    </row>
    <row r="435" spans="1:21">
      <c r="A435" s="77">
        <v>70</v>
      </c>
      <c r="B435" t="s">
        <v>2304</v>
      </c>
      <c r="C435" t="s">
        <v>253</v>
      </c>
      <c r="D435" s="97" t="e">
        <f>_xlfn.XLOOKUP(A435,[1]CPD_SOP_new!$A:$A,[1]CPD_SOP_new!#REF!,"not found",0 )</f>
        <v>#REF!</v>
      </c>
      <c r="E435" s="97" t="str">
        <f>_xlfn.XLOOKUP(A435,[1]CPD_SOP_new!$A:$A,[1]CPD_SOP_new!$K:$K,"not found",0 )</f>
        <v>2C</v>
      </c>
      <c r="F435" t="s">
        <v>28</v>
      </c>
      <c r="G435" t="s">
        <v>28</v>
      </c>
      <c r="H435" t="s">
        <v>28</v>
      </c>
      <c r="I435" t="s">
        <v>28</v>
      </c>
      <c r="J435" t="s">
        <v>124</v>
      </c>
      <c r="K435" t="s">
        <v>630</v>
      </c>
      <c r="L435" t="s">
        <v>2478</v>
      </c>
      <c r="M435" s="100" t="str">
        <f t="shared" si="12"/>
        <v>CSR_XCP_Signals_Recorder_2026-01-20_16-03-21_CPD_TC70_Try2_NCAP3_6YO_2C_CPD.MF4.xz</v>
      </c>
      <c r="N435" s="59" t="str">
        <f t="shared" si="13"/>
        <v>_NCAP3_6YO_2C_CPD.MF4.xz</v>
      </c>
      <c r="O435" t="s">
        <v>86</v>
      </c>
    </row>
    <row r="436" spans="1:21">
      <c r="A436" s="77">
        <v>70</v>
      </c>
      <c r="B436" t="s">
        <v>2304</v>
      </c>
      <c r="C436" t="s">
        <v>253</v>
      </c>
      <c r="D436" s="97" t="e">
        <f>_xlfn.XLOOKUP(A436,[1]CPD_SOP_new!$A:$A,[1]CPD_SOP_new!#REF!,"not found",0 )</f>
        <v>#REF!</v>
      </c>
      <c r="E436" s="97" t="str">
        <f>_xlfn.XLOOKUP(A436,[1]CPD_SOP_new!$A:$A,[1]CPD_SOP_new!$K:$K,"not found",0 )</f>
        <v>2C</v>
      </c>
      <c r="F436" t="s">
        <v>28</v>
      </c>
      <c r="G436" t="s">
        <v>28</v>
      </c>
      <c r="H436" t="s">
        <v>28</v>
      </c>
      <c r="I436" t="s">
        <v>28</v>
      </c>
      <c r="J436" t="s">
        <v>124</v>
      </c>
      <c r="K436" s="60" t="s">
        <v>631</v>
      </c>
      <c r="L436" t="s">
        <v>2479</v>
      </c>
      <c r="M436" s="100" t="str">
        <f t="shared" si="12"/>
        <v>CSR_XCP_Signals_Recorder_2026-01-20_16-04-50_CPD_TC70_Try3_NCAP3_6YO_2C_CPD.MF4.xz</v>
      </c>
      <c r="N436" s="59" t="str">
        <f t="shared" si="13"/>
        <v>_NCAP3_6YO_2C_CPD.MF4.xz</v>
      </c>
      <c r="O436" t="s">
        <v>86</v>
      </c>
    </row>
    <row r="437" spans="1:21">
      <c r="A437" s="77">
        <v>70</v>
      </c>
      <c r="B437" t="s">
        <v>2304</v>
      </c>
      <c r="C437" t="s">
        <v>253</v>
      </c>
      <c r="D437" s="97" t="e">
        <f>_xlfn.XLOOKUP(A437,[1]CPD_SOP_new!$A:$A,[1]CPD_SOP_new!#REF!,"not found",0 )</f>
        <v>#REF!</v>
      </c>
      <c r="E437" s="97" t="str">
        <f>_xlfn.XLOOKUP(A437,[1]CPD_SOP_new!$A:$A,[1]CPD_SOP_new!$K:$K,"not found",0 )</f>
        <v>2C</v>
      </c>
      <c r="F437" t="s">
        <v>28</v>
      </c>
      <c r="G437" t="s">
        <v>28</v>
      </c>
      <c r="H437" t="s">
        <v>28</v>
      </c>
      <c r="I437" t="s">
        <v>28</v>
      </c>
      <c r="J437" t="s">
        <v>124</v>
      </c>
      <c r="K437" s="60" t="s">
        <v>632</v>
      </c>
      <c r="L437" t="s">
        <v>2480</v>
      </c>
      <c r="M437" s="100" t="str">
        <f t="shared" si="12"/>
        <v>CSR_XCP_Signals_Recorder_2026-01-20_16-06-19_CPD_TC70_Try4_NCAP3_6YO_2C_CPD.MF4.xz</v>
      </c>
      <c r="N437" s="59" t="str">
        <f t="shared" si="13"/>
        <v>_NCAP3_6YO_2C_CPD.MF4.xz</v>
      </c>
      <c r="O437" t="s">
        <v>86</v>
      </c>
    </row>
    <row r="438" spans="1:21">
      <c r="A438" s="77">
        <v>70</v>
      </c>
      <c r="B438" t="s">
        <v>2304</v>
      </c>
      <c r="C438" t="s">
        <v>253</v>
      </c>
      <c r="D438" s="97" t="e">
        <f>_xlfn.XLOOKUP(A438,[1]CPD_SOP_new!$A:$A,[1]CPD_SOP_new!#REF!,"not found",0 )</f>
        <v>#REF!</v>
      </c>
      <c r="E438" s="97" t="str">
        <f>_xlfn.XLOOKUP(A438,[1]CPD_SOP_new!$A:$A,[1]CPD_SOP_new!$K:$K,"not found",0 )</f>
        <v>2C</v>
      </c>
      <c r="F438" t="s">
        <v>28</v>
      </c>
      <c r="G438" t="s">
        <v>28</v>
      </c>
      <c r="H438" t="s">
        <v>28</v>
      </c>
      <c r="I438" t="s">
        <v>28</v>
      </c>
      <c r="J438" t="s">
        <v>124</v>
      </c>
      <c r="K438" s="60" t="s">
        <v>633</v>
      </c>
      <c r="L438" t="s">
        <v>2481</v>
      </c>
      <c r="M438" s="100" t="str">
        <f t="shared" si="12"/>
        <v>CSR_XCP_Signals_Recorder_2026-01-30_14-20-11_TC70_NCAP3_6YO_2C_CPD.MF4.xz</v>
      </c>
      <c r="N438" s="59" t="str">
        <f t="shared" si="13"/>
        <v>_NCAP3_6YO_2C_CPD.MF4.xz</v>
      </c>
      <c r="O438" t="s">
        <v>271</v>
      </c>
      <c r="Q438" t="s">
        <v>124</v>
      </c>
      <c r="R438" t="s">
        <v>29</v>
      </c>
      <c r="S438">
        <v>1</v>
      </c>
      <c r="T438">
        <v>0</v>
      </c>
      <c r="U438">
        <v>0</v>
      </c>
    </row>
    <row r="439" spans="1:21">
      <c r="A439" s="77">
        <v>70</v>
      </c>
      <c r="B439" t="s">
        <v>2304</v>
      </c>
      <c r="C439" t="s">
        <v>253</v>
      </c>
      <c r="D439" s="97" t="e">
        <f>_xlfn.XLOOKUP(A439,[1]CPD_SOP_new!$A:$A,[1]CPD_SOP_new!#REF!,"not found",0 )</f>
        <v>#REF!</v>
      </c>
      <c r="E439" s="97" t="str">
        <f>_xlfn.XLOOKUP(A439,[1]CPD_SOP_new!$A:$A,[1]CPD_SOP_new!$K:$K,"not found",0 )</f>
        <v>2C</v>
      </c>
      <c r="F439" t="s">
        <v>28</v>
      </c>
      <c r="G439" t="s">
        <v>28</v>
      </c>
      <c r="H439" t="s">
        <v>28</v>
      </c>
      <c r="I439" t="s">
        <v>28</v>
      </c>
      <c r="J439" t="s">
        <v>124</v>
      </c>
      <c r="K439" s="60" t="s">
        <v>634</v>
      </c>
      <c r="L439" t="s">
        <v>2482</v>
      </c>
      <c r="M439" s="100" t="str">
        <f t="shared" si="12"/>
        <v>CSR_XCP_Signals_Recorder_2026-01-30_14-21-46_TC70_NCAP3_6YO_2C_CPD.MF4.xz</v>
      </c>
      <c r="N439" s="59" t="str">
        <f t="shared" si="13"/>
        <v>_NCAP3_6YO_2C_CPD.MF4.xz</v>
      </c>
      <c r="O439" t="s">
        <v>271</v>
      </c>
      <c r="Q439" t="s">
        <v>124</v>
      </c>
      <c r="R439" t="s">
        <v>29</v>
      </c>
      <c r="S439">
        <v>1</v>
      </c>
      <c r="T439">
        <v>0</v>
      </c>
      <c r="U439">
        <v>0</v>
      </c>
    </row>
    <row r="440" spans="1:21">
      <c r="A440" s="77">
        <v>70</v>
      </c>
      <c r="B440" t="s">
        <v>2304</v>
      </c>
      <c r="C440" t="s">
        <v>253</v>
      </c>
      <c r="D440" s="97" t="e">
        <f>_xlfn.XLOOKUP(A440,[1]CPD_SOP_new!$A:$A,[1]CPD_SOP_new!#REF!,"not found",0 )</f>
        <v>#REF!</v>
      </c>
      <c r="E440" s="97" t="str">
        <f>_xlfn.XLOOKUP(A440,[1]CPD_SOP_new!$A:$A,[1]CPD_SOP_new!$K:$K,"not found",0 )</f>
        <v>2C</v>
      </c>
      <c r="F440" t="s">
        <v>28</v>
      </c>
      <c r="G440" t="s">
        <v>28</v>
      </c>
      <c r="H440" t="s">
        <v>28</v>
      </c>
      <c r="I440" t="s">
        <v>28</v>
      </c>
      <c r="J440" t="s">
        <v>124</v>
      </c>
      <c r="K440" t="s">
        <v>635</v>
      </c>
      <c r="L440" t="s">
        <v>2483</v>
      </c>
      <c r="M440" s="100" t="str">
        <f t="shared" si="12"/>
        <v>CSR_XCP_Signals_Recorder_2026-01-30_14-23-14_TC70_NCAP3_6YO_2C_CPD.MF4.xz</v>
      </c>
      <c r="N440" s="59" t="str">
        <f t="shared" si="13"/>
        <v>_NCAP3_6YO_2C_CPD.MF4.xz</v>
      </c>
      <c r="O440" t="s">
        <v>271</v>
      </c>
      <c r="Q440" t="s">
        <v>124</v>
      </c>
      <c r="R440" t="s">
        <v>29</v>
      </c>
      <c r="S440">
        <v>1</v>
      </c>
      <c r="T440">
        <v>0</v>
      </c>
      <c r="U440">
        <v>0</v>
      </c>
    </row>
    <row r="441" spans="1:21" s="137" customFormat="1">
      <c r="A441" s="79">
        <v>71</v>
      </c>
      <c r="B441" s="137" t="s">
        <v>2304</v>
      </c>
      <c r="C441" s="137" t="s">
        <v>253</v>
      </c>
      <c r="D441" s="97" t="e">
        <f>_xlfn.XLOOKUP(A441,[1]CPD_SOP_new!$A:$A,[1]CPD_SOP_new!#REF!,"not found",0 )</f>
        <v>#REF!</v>
      </c>
      <c r="E441" s="97" t="str">
        <f>_xlfn.XLOOKUP(A441,[1]CPD_SOP_new!$A:$A,[1]CPD_SOP_new!$K:$K,"not found",0 )</f>
        <v>3R</v>
      </c>
      <c r="F441" s="137" t="s">
        <v>27</v>
      </c>
      <c r="G441" s="137" t="s">
        <v>27</v>
      </c>
      <c r="H441" s="137" t="s">
        <v>27</v>
      </c>
      <c r="I441" s="137" t="s">
        <v>27</v>
      </c>
      <c r="J441" s="137" t="s">
        <v>544</v>
      </c>
      <c r="K441" s="137" t="s">
        <v>895</v>
      </c>
      <c r="L441" s="137" t="s">
        <v>723</v>
      </c>
      <c r="M441" s="100" t="str">
        <f t="shared" si="12"/>
        <v>Wrong measurement</v>
      </c>
      <c r="N441" s="59" t="str">
        <f t="shared" si="13"/>
        <v>Wrong measurement</v>
      </c>
      <c r="O441" s="134" t="s">
        <v>853</v>
      </c>
      <c r="P441" s="134"/>
    </row>
    <row r="442" spans="1:21" s="137" customFormat="1">
      <c r="A442" s="79">
        <v>71</v>
      </c>
      <c r="B442" s="137" t="s">
        <v>2304</v>
      </c>
      <c r="C442" s="137" t="s">
        <v>253</v>
      </c>
      <c r="D442" s="97" t="e">
        <f>_xlfn.XLOOKUP(A442,[1]CPD_SOP_new!$A:$A,[1]CPD_SOP_new!#REF!,"not found",0 )</f>
        <v>#REF!</v>
      </c>
      <c r="E442" s="97" t="str">
        <f>_xlfn.XLOOKUP(A442,[1]CPD_SOP_new!$A:$A,[1]CPD_SOP_new!$K:$K,"not found",0 )</f>
        <v>3R</v>
      </c>
      <c r="F442" s="137" t="s">
        <v>27</v>
      </c>
      <c r="G442" s="137" t="s">
        <v>27</v>
      </c>
      <c r="H442" s="137" t="s">
        <v>27</v>
      </c>
      <c r="I442" s="137" t="s">
        <v>27</v>
      </c>
      <c r="J442" s="137" t="s">
        <v>544</v>
      </c>
      <c r="K442" s="137" t="s">
        <v>896</v>
      </c>
      <c r="L442" s="137" t="s">
        <v>723</v>
      </c>
      <c r="M442" s="100" t="str">
        <f t="shared" si="12"/>
        <v>Wrong measurement</v>
      </c>
      <c r="N442" s="59" t="str">
        <f t="shared" si="13"/>
        <v>Wrong measurement</v>
      </c>
      <c r="O442" s="134" t="s">
        <v>853</v>
      </c>
      <c r="P442" s="134"/>
    </row>
    <row r="443" spans="1:21" s="137" customFormat="1">
      <c r="A443" s="79">
        <v>71</v>
      </c>
      <c r="B443" s="137" t="s">
        <v>2304</v>
      </c>
      <c r="C443" s="137" t="s">
        <v>253</v>
      </c>
      <c r="D443" s="97" t="e">
        <f>_xlfn.XLOOKUP(A443,[1]CPD_SOP_new!$A:$A,[1]CPD_SOP_new!#REF!,"not found",0 )</f>
        <v>#REF!</v>
      </c>
      <c r="E443" s="97" t="str">
        <f>_xlfn.XLOOKUP(A443,[1]CPD_SOP_new!$A:$A,[1]CPD_SOP_new!$K:$K,"not found",0 )</f>
        <v>3R</v>
      </c>
      <c r="F443" s="137" t="s">
        <v>27</v>
      </c>
      <c r="G443" s="137" t="s">
        <v>27</v>
      </c>
      <c r="H443" s="137" t="s">
        <v>27</v>
      </c>
      <c r="I443" s="137" t="s">
        <v>27</v>
      </c>
      <c r="J443" s="137" t="s">
        <v>544</v>
      </c>
      <c r="K443" s="137" t="s">
        <v>897</v>
      </c>
      <c r="L443" s="137" t="s">
        <v>723</v>
      </c>
      <c r="M443" s="100" t="str">
        <f t="shared" si="12"/>
        <v>Wrong measurement</v>
      </c>
      <c r="N443" s="59" t="str">
        <f t="shared" si="13"/>
        <v>Wrong measurement</v>
      </c>
      <c r="O443" s="134" t="s">
        <v>853</v>
      </c>
      <c r="P443" s="134"/>
    </row>
    <row r="444" spans="1:21">
      <c r="A444" s="38">
        <v>71</v>
      </c>
      <c r="B444" t="s">
        <v>2304</v>
      </c>
      <c r="C444" t="s">
        <v>253</v>
      </c>
      <c r="D444" s="97" t="e">
        <f>_xlfn.XLOOKUP(A444,[1]CPD_SOP_new!$A:$A,[1]CPD_SOP_new!#REF!,"not found",0 )</f>
        <v>#REF!</v>
      </c>
      <c r="E444" s="97" t="str">
        <f>_xlfn.XLOOKUP(A444,[1]CPD_SOP_new!$A:$A,[1]CPD_SOP_new!$K:$K,"not found",0 )</f>
        <v>3R</v>
      </c>
      <c r="F444" t="s">
        <v>27</v>
      </c>
      <c r="G444" t="s">
        <v>27</v>
      </c>
      <c r="H444" t="s">
        <v>27</v>
      </c>
      <c r="I444" t="s">
        <v>28</v>
      </c>
      <c r="J444" t="s">
        <v>124</v>
      </c>
      <c r="K444" t="s">
        <v>640</v>
      </c>
      <c r="L444" t="s">
        <v>2484</v>
      </c>
      <c r="M444" s="100" t="str">
        <f t="shared" si="12"/>
        <v>TC71_Try_1_NCAP3_6YO_3R_CPD.MF4.xz</v>
      </c>
      <c r="N444" s="59" t="str">
        <f t="shared" si="13"/>
        <v>_NCAP3_6YO_3R_CPD.MF4.xz</v>
      </c>
      <c r="O444" s="134" t="s">
        <v>475</v>
      </c>
      <c r="P444" s="134"/>
    </row>
    <row r="445" spans="1:21">
      <c r="A445" s="38">
        <v>71</v>
      </c>
      <c r="B445" t="s">
        <v>2304</v>
      </c>
      <c r="C445" t="s">
        <v>253</v>
      </c>
      <c r="D445" s="97" t="e">
        <f>_xlfn.XLOOKUP(A445,[1]CPD_SOP_new!$A:$A,[1]CPD_SOP_new!#REF!,"not found",0 )</f>
        <v>#REF!</v>
      </c>
      <c r="E445" s="97" t="str">
        <f>_xlfn.XLOOKUP(A445,[1]CPD_SOP_new!$A:$A,[1]CPD_SOP_new!$K:$K,"not found",0 )</f>
        <v>3R</v>
      </c>
      <c r="F445" t="s">
        <v>27</v>
      </c>
      <c r="G445" t="s">
        <v>27</v>
      </c>
      <c r="H445" t="s">
        <v>27</v>
      </c>
      <c r="I445" t="s">
        <v>28</v>
      </c>
      <c r="J445" t="s">
        <v>124</v>
      </c>
      <c r="K445" t="s">
        <v>642</v>
      </c>
      <c r="L445" t="s">
        <v>2485</v>
      </c>
      <c r="M445" s="100" t="str">
        <f t="shared" si="12"/>
        <v>TC71_Try_2_NCAP3_6YO_3R_CPD.MF4.xz</v>
      </c>
      <c r="N445" s="59" t="str">
        <f t="shared" si="13"/>
        <v>_NCAP3_6YO_3R_CPD.MF4.xz</v>
      </c>
      <c r="O445" s="129" t="s">
        <v>475</v>
      </c>
      <c r="P445" s="129"/>
    </row>
    <row r="446" spans="1:21">
      <c r="A446" s="38">
        <v>71</v>
      </c>
      <c r="B446" t="s">
        <v>2304</v>
      </c>
      <c r="C446" t="s">
        <v>253</v>
      </c>
      <c r="D446" s="97" t="e">
        <f>_xlfn.XLOOKUP(A446,[1]CPD_SOP_new!$A:$A,[1]CPD_SOP_new!#REF!,"not found",0 )</f>
        <v>#REF!</v>
      </c>
      <c r="E446" s="97" t="str">
        <f>_xlfn.XLOOKUP(A446,[1]CPD_SOP_new!$A:$A,[1]CPD_SOP_new!$K:$K,"not found",0 )</f>
        <v>3R</v>
      </c>
      <c r="F446" t="s">
        <v>27</v>
      </c>
      <c r="G446" t="s">
        <v>27</v>
      </c>
      <c r="H446" t="s">
        <v>27</v>
      </c>
      <c r="I446" t="s">
        <v>28</v>
      </c>
      <c r="J446" t="s">
        <v>124</v>
      </c>
      <c r="K446" t="s">
        <v>643</v>
      </c>
      <c r="L446" t="s">
        <v>2486</v>
      </c>
      <c r="M446" s="100" t="str">
        <f t="shared" si="12"/>
        <v>TC71_Try_3_NCAP3_6YO_3R_CPD.MF4.xz</v>
      </c>
      <c r="N446" s="59" t="str">
        <f t="shared" si="13"/>
        <v>_NCAP3_6YO_3R_CPD.MF4.xz</v>
      </c>
      <c r="O446" s="129" t="s">
        <v>475</v>
      </c>
      <c r="P446" s="129"/>
    </row>
    <row r="447" spans="1:21" s="137" customFormat="1">
      <c r="A447" s="79">
        <v>72</v>
      </c>
      <c r="B447" s="137" t="s">
        <v>2304</v>
      </c>
      <c r="C447" s="137" t="s">
        <v>253</v>
      </c>
      <c r="D447" s="97" t="e">
        <f>_xlfn.XLOOKUP(A447,[1]CPD_SOP_new!$A:$A,[1]CPD_SOP_new!#REF!,"not found",0 )</f>
        <v>#REF!</v>
      </c>
      <c r="E447" s="97" t="str">
        <f>_xlfn.XLOOKUP(A447,[1]CPD_SOP_new!$A:$A,[1]CPD_SOP_new!$K:$K,"not found",0 )</f>
        <v>3R</v>
      </c>
      <c r="F447" s="137" t="s">
        <v>27</v>
      </c>
      <c r="G447" s="137" t="s">
        <v>27</v>
      </c>
      <c r="H447" s="137" t="s">
        <v>27</v>
      </c>
      <c r="I447" s="137" t="s">
        <v>27</v>
      </c>
      <c r="J447" s="137" t="s">
        <v>544</v>
      </c>
      <c r="K447" s="137" t="s">
        <v>946</v>
      </c>
      <c r="L447" s="137" t="s">
        <v>723</v>
      </c>
      <c r="M447" s="100" t="str">
        <f t="shared" si="12"/>
        <v>Wrong measurement</v>
      </c>
      <c r="N447" s="59" t="str">
        <f t="shared" si="13"/>
        <v>Wrong measurement</v>
      </c>
      <c r="O447" s="134" t="s">
        <v>853</v>
      </c>
      <c r="P447" s="134"/>
    </row>
    <row r="448" spans="1:21" s="137" customFormat="1">
      <c r="A448" s="79">
        <v>72</v>
      </c>
      <c r="B448" s="137" t="s">
        <v>2304</v>
      </c>
      <c r="C448" s="137" t="s">
        <v>253</v>
      </c>
      <c r="D448" s="97" t="e">
        <f>_xlfn.XLOOKUP(A448,[1]CPD_SOP_new!$A:$A,[1]CPD_SOP_new!#REF!,"not found",0 )</f>
        <v>#REF!</v>
      </c>
      <c r="E448" s="97" t="str">
        <f>_xlfn.XLOOKUP(A448,[1]CPD_SOP_new!$A:$A,[1]CPD_SOP_new!$K:$K,"not found",0 )</f>
        <v>3R</v>
      </c>
      <c r="F448" s="137" t="s">
        <v>27</v>
      </c>
      <c r="G448" s="137" t="s">
        <v>27</v>
      </c>
      <c r="H448" s="137" t="s">
        <v>27</v>
      </c>
      <c r="I448" s="137" t="s">
        <v>27</v>
      </c>
      <c r="J448" s="137" t="s">
        <v>544</v>
      </c>
      <c r="K448" s="137" t="s">
        <v>957</v>
      </c>
      <c r="L448" s="137" t="s">
        <v>723</v>
      </c>
      <c r="M448" s="100" t="str">
        <f t="shared" si="12"/>
        <v>Wrong measurement</v>
      </c>
      <c r="N448" s="59" t="str">
        <f t="shared" si="13"/>
        <v>Wrong measurement</v>
      </c>
      <c r="O448" s="134" t="s">
        <v>853</v>
      </c>
      <c r="P448" s="134"/>
    </row>
    <row r="449" spans="1:16" s="137" customFormat="1">
      <c r="A449" s="79">
        <v>72</v>
      </c>
      <c r="B449" s="137" t="s">
        <v>2304</v>
      </c>
      <c r="C449" s="137" t="s">
        <v>253</v>
      </c>
      <c r="D449" s="97" t="e">
        <f>_xlfn.XLOOKUP(A449,[1]CPD_SOP_new!$A:$A,[1]CPD_SOP_new!#REF!,"not found",0 )</f>
        <v>#REF!</v>
      </c>
      <c r="E449" s="97" t="str">
        <f>_xlfn.XLOOKUP(A449,[1]CPD_SOP_new!$A:$A,[1]CPD_SOP_new!$K:$K,"not found",0 )</f>
        <v>3R</v>
      </c>
      <c r="F449" s="137" t="s">
        <v>27</v>
      </c>
      <c r="G449" s="137" t="s">
        <v>27</v>
      </c>
      <c r="H449" s="137" t="s">
        <v>27</v>
      </c>
      <c r="I449" s="137" t="s">
        <v>27</v>
      </c>
      <c r="J449" s="137" t="s">
        <v>544</v>
      </c>
      <c r="K449" s="137" t="s">
        <v>964</v>
      </c>
      <c r="L449" s="137" t="s">
        <v>723</v>
      </c>
      <c r="M449" s="100" t="str">
        <f t="shared" si="12"/>
        <v>Wrong measurement</v>
      </c>
      <c r="N449" s="59" t="str">
        <f t="shared" si="13"/>
        <v>Wrong measurement</v>
      </c>
      <c r="O449" s="134" t="s">
        <v>853</v>
      </c>
      <c r="P449" s="134"/>
    </row>
    <row r="450" spans="1:16">
      <c r="A450" s="38">
        <v>72</v>
      </c>
      <c r="B450" t="s">
        <v>2304</v>
      </c>
      <c r="C450" t="s">
        <v>253</v>
      </c>
      <c r="D450" s="97" t="e">
        <f>_xlfn.XLOOKUP(A450,[1]CPD_SOP_new!$A:$A,[1]CPD_SOP_new!#REF!,"not found",0 )</f>
        <v>#REF!</v>
      </c>
      <c r="E450" s="97" t="str">
        <f>_xlfn.XLOOKUP(A450,[1]CPD_SOP_new!$A:$A,[1]CPD_SOP_new!$K:$K,"not found",0 )</f>
        <v>3R</v>
      </c>
      <c r="F450" t="s">
        <v>27</v>
      </c>
      <c r="G450" t="s">
        <v>27</v>
      </c>
      <c r="H450" t="s">
        <v>27</v>
      </c>
      <c r="I450" t="s">
        <v>28</v>
      </c>
      <c r="J450" t="s">
        <v>124</v>
      </c>
      <c r="K450" t="s">
        <v>648</v>
      </c>
      <c r="L450" t="s">
        <v>2487</v>
      </c>
      <c r="M450" s="100" t="str">
        <f t="shared" ref="M450:M513" si="14">IF(NOT(N450="Wrong measurement"),SUBSTITUTE(K450,".MF4.xz",N450),"Wrong measurement")</f>
        <v>TC72_Try_1_NCAP3_6YO_3R_CPD.MF4.xz</v>
      </c>
      <c r="N450" s="59" t="str">
        <f t="shared" ref="N450:N513" si="15">IF(I450="Y",("_"&amp;B450 &amp;"_"&amp; IF(C450="","",C450)&amp;"_"&amp;E450&amp;"_CPD.MF4.xz"),"Wrong measurement")</f>
        <v>_NCAP3_6YO_3R_CPD.MF4.xz</v>
      </c>
      <c r="O450" s="129" t="s">
        <v>475</v>
      </c>
      <c r="P450" s="129"/>
    </row>
    <row r="451" spans="1:16">
      <c r="A451" s="38">
        <v>72</v>
      </c>
      <c r="B451" t="s">
        <v>2304</v>
      </c>
      <c r="C451" t="s">
        <v>253</v>
      </c>
      <c r="D451" s="97" t="e">
        <f>_xlfn.XLOOKUP(A451,[1]CPD_SOP_new!$A:$A,[1]CPD_SOP_new!#REF!,"not found",0 )</f>
        <v>#REF!</v>
      </c>
      <c r="E451" s="97" t="str">
        <f>_xlfn.XLOOKUP(A451,[1]CPD_SOP_new!$A:$A,[1]CPD_SOP_new!$K:$K,"not found",0 )</f>
        <v>3R</v>
      </c>
      <c r="F451" t="s">
        <v>27</v>
      </c>
      <c r="G451" t="s">
        <v>27</v>
      </c>
      <c r="H451" t="s">
        <v>27</v>
      </c>
      <c r="I451" t="s">
        <v>28</v>
      </c>
      <c r="J451" t="s">
        <v>124</v>
      </c>
      <c r="K451" t="s">
        <v>649</v>
      </c>
      <c r="L451" t="s">
        <v>2488</v>
      </c>
      <c r="M451" s="100" t="str">
        <f t="shared" si="14"/>
        <v>TC72_Try_2_NCAP3_6YO_3R_CPD.MF4.xz</v>
      </c>
      <c r="N451" s="59" t="str">
        <f t="shared" si="15"/>
        <v>_NCAP3_6YO_3R_CPD.MF4.xz</v>
      </c>
      <c r="O451" s="129" t="s">
        <v>475</v>
      </c>
      <c r="P451" s="129"/>
    </row>
    <row r="452" spans="1:16">
      <c r="A452" s="38">
        <v>72</v>
      </c>
      <c r="B452" t="s">
        <v>2304</v>
      </c>
      <c r="C452" t="s">
        <v>253</v>
      </c>
      <c r="D452" s="97" t="e">
        <f>_xlfn.XLOOKUP(A452,[1]CPD_SOP_new!$A:$A,[1]CPD_SOP_new!#REF!,"not found",0 )</f>
        <v>#REF!</v>
      </c>
      <c r="E452" s="97" t="str">
        <f>_xlfn.XLOOKUP(A452,[1]CPD_SOP_new!$A:$A,[1]CPD_SOP_new!$K:$K,"not found",0 )</f>
        <v>3R</v>
      </c>
      <c r="F452" t="s">
        <v>27</v>
      </c>
      <c r="G452" t="s">
        <v>27</v>
      </c>
      <c r="H452" t="s">
        <v>27</v>
      </c>
      <c r="I452" t="s">
        <v>28</v>
      </c>
      <c r="J452" t="s">
        <v>124</v>
      </c>
      <c r="K452" t="s">
        <v>650</v>
      </c>
      <c r="L452" t="s">
        <v>2489</v>
      </c>
      <c r="M452" s="100" t="str">
        <f t="shared" si="14"/>
        <v>TC72_Try_3_NCAP3_6YO_3R_CPD.MF4.xz</v>
      </c>
      <c r="N452" s="59" t="str">
        <f t="shared" si="15"/>
        <v>_NCAP3_6YO_3R_CPD.MF4.xz</v>
      </c>
      <c r="O452" s="129" t="s">
        <v>475</v>
      </c>
      <c r="P452" s="129"/>
    </row>
    <row r="453" spans="1:16">
      <c r="A453" s="77">
        <v>73</v>
      </c>
      <c r="B453" t="s">
        <v>2304</v>
      </c>
      <c r="C453" t="s">
        <v>253</v>
      </c>
      <c r="D453" s="97" t="e">
        <f>_xlfn.XLOOKUP(A453,[1]CPD_SOP_new!$A:$A,[1]CPD_SOP_new!#REF!,"not found",0 )</f>
        <v>#REF!</v>
      </c>
      <c r="E453" s="97" t="str">
        <f>_xlfn.XLOOKUP(A453,[1]CPD_SOP_new!$A:$A,[1]CPD_SOP_new!$K:$K,"not found",0 )</f>
        <v>3R</v>
      </c>
      <c r="F453" t="s">
        <v>28</v>
      </c>
      <c r="G453" t="s">
        <v>28</v>
      </c>
      <c r="H453" t="s">
        <v>27</v>
      </c>
      <c r="I453" t="s">
        <v>28</v>
      </c>
      <c r="J453" t="s">
        <v>124</v>
      </c>
      <c r="K453" t="s">
        <v>651</v>
      </c>
      <c r="L453" t="s">
        <v>2490</v>
      </c>
      <c r="M453" s="100" t="str">
        <f t="shared" si="14"/>
        <v>CSR_XCP_Signals_Recorder_2025-12-10_17-36-32_TC73_6YO3RR_CPD_NCAP3_6YO_3R_CPD.MF4.xz</v>
      </c>
      <c r="N453" s="59" t="str">
        <f t="shared" si="15"/>
        <v>_NCAP3_6YO_3R_CPD.MF4.xz</v>
      </c>
      <c r="O453" s="132" t="s">
        <v>217</v>
      </c>
      <c r="P453" s="132"/>
    </row>
    <row r="454" spans="1:16">
      <c r="A454" s="77">
        <v>73</v>
      </c>
      <c r="B454" t="s">
        <v>2304</v>
      </c>
      <c r="C454" t="s">
        <v>253</v>
      </c>
      <c r="D454" s="97" t="e">
        <f>_xlfn.XLOOKUP(A454,[1]CPD_SOP_new!$A:$A,[1]CPD_SOP_new!#REF!,"not found",0 )</f>
        <v>#REF!</v>
      </c>
      <c r="E454" s="97" t="str">
        <f>_xlfn.XLOOKUP(A454,[1]CPD_SOP_new!$A:$A,[1]CPD_SOP_new!$K:$K,"not found",0 )</f>
        <v>3R</v>
      </c>
      <c r="F454" t="s">
        <v>28</v>
      </c>
      <c r="G454" t="s">
        <v>28</v>
      </c>
      <c r="H454" t="s">
        <v>27</v>
      </c>
      <c r="I454" t="s">
        <v>28</v>
      </c>
      <c r="J454" t="s">
        <v>124</v>
      </c>
      <c r="K454" t="s">
        <v>653</v>
      </c>
      <c r="L454" t="s">
        <v>2491</v>
      </c>
      <c r="M454" s="100" t="str">
        <f t="shared" si="14"/>
        <v>CSR_XCP_Signals_Recorder_2025-12-10_17-47-06_TC73_6YO3RR_CPD_NCAP3_6YO_3R_CPD.MF4.xz</v>
      </c>
      <c r="N454" s="59" t="str">
        <f t="shared" si="15"/>
        <v>_NCAP3_6YO_3R_CPD.MF4.xz</v>
      </c>
      <c r="O454" s="132" t="s">
        <v>217</v>
      </c>
      <c r="P454" s="132"/>
    </row>
    <row r="455" spans="1:16">
      <c r="A455" s="77">
        <v>73</v>
      </c>
      <c r="B455" t="s">
        <v>2304</v>
      </c>
      <c r="C455" t="s">
        <v>253</v>
      </c>
      <c r="D455" s="97" t="e">
        <f>_xlfn.XLOOKUP(A455,[1]CPD_SOP_new!$A:$A,[1]CPD_SOP_new!#REF!,"not found",0 )</f>
        <v>#REF!</v>
      </c>
      <c r="E455" s="97" t="str">
        <f>_xlfn.XLOOKUP(A455,[1]CPD_SOP_new!$A:$A,[1]CPD_SOP_new!$K:$K,"not found",0 )</f>
        <v>3R</v>
      </c>
      <c r="F455" t="s">
        <v>28</v>
      </c>
      <c r="G455" t="s">
        <v>28</v>
      </c>
      <c r="H455" t="s">
        <v>27</v>
      </c>
      <c r="I455" t="s">
        <v>28</v>
      </c>
      <c r="J455" t="s">
        <v>124</v>
      </c>
      <c r="K455" s="60" t="s">
        <v>654</v>
      </c>
      <c r="L455" t="s">
        <v>2492</v>
      </c>
      <c r="M455" s="100" t="str">
        <f t="shared" si="14"/>
        <v>CSR_XCP_Signals_Recorder_2025-12-10_17-50-41_TC73_6YO3RR_CPD_NCAP3_6YO_3R_CPD.MF4.xz</v>
      </c>
      <c r="N455" s="59" t="str">
        <f t="shared" si="15"/>
        <v>_NCAP3_6YO_3R_CPD.MF4.xz</v>
      </c>
      <c r="O455" s="132" t="s">
        <v>217</v>
      </c>
      <c r="P455" s="132"/>
    </row>
    <row r="456" spans="1:16">
      <c r="A456" s="77">
        <v>73</v>
      </c>
      <c r="B456" t="s">
        <v>2304</v>
      </c>
      <c r="C456" t="s">
        <v>253</v>
      </c>
      <c r="D456" s="97" t="e">
        <f>_xlfn.XLOOKUP(A456,[1]CPD_SOP_new!$A:$A,[1]CPD_SOP_new!#REF!,"not found",0 )</f>
        <v>#REF!</v>
      </c>
      <c r="E456" s="97" t="str">
        <f>_xlfn.XLOOKUP(A456,[1]CPD_SOP_new!$A:$A,[1]CPD_SOP_new!$K:$K,"not found",0 )</f>
        <v>3R</v>
      </c>
      <c r="F456" t="s">
        <v>28</v>
      </c>
      <c r="G456" t="s">
        <v>28</v>
      </c>
      <c r="H456" t="s">
        <v>27</v>
      </c>
      <c r="I456" t="s">
        <v>28</v>
      </c>
      <c r="J456" t="s">
        <v>124</v>
      </c>
      <c r="K456" s="60" t="s">
        <v>655</v>
      </c>
      <c r="L456" t="s">
        <v>2493</v>
      </c>
      <c r="M456" s="100" t="str">
        <f t="shared" si="14"/>
        <v>CSR_XCP_Signals_Recorder_2025-12-10_17-54-19_TC73_6YO3RR_CPD_NCAP3_6YO_3R_CPD.MF4.xz</v>
      </c>
      <c r="N456" s="59" t="str">
        <f t="shared" si="15"/>
        <v>_NCAP3_6YO_3R_CPD.MF4.xz</v>
      </c>
      <c r="O456" s="132" t="s">
        <v>217</v>
      </c>
      <c r="P456" s="132"/>
    </row>
    <row r="457" spans="1:16">
      <c r="A457" s="77">
        <v>73</v>
      </c>
      <c r="B457" t="s">
        <v>2304</v>
      </c>
      <c r="C457" t="s">
        <v>253</v>
      </c>
      <c r="D457" s="97" t="e">
        <f>_xlfn.XLOOKUP(A457,[1]CPD_SOP_new!$A:$A,[1]CPD_SOP_new!#REF!,"not found",0 )</f>
        <v>#REF!</v>
      </c>
      <c r="E457" s="97" t="str">
        <f>_xlfn.XLOOKUP(A457,[1]CPD_SOP_new!$A:$A,[1]CPD_SOP_new!$K:$K,"not found",0 )</f>
        <v>3R</v>
      </c>
      <c r="F457" t="s">
        <v>28</v>
      </c>
      <c r="G457" t="s">
        <v>28</v>
      </c>
      <c r="H457" t="s">
        <v>27</v>
      </c>
      <c r="I457" t="s">
        <v>28</v>
      </c>
      <c r="J457" t="s">
        <v>124</v>
      </c>
      <c r="K457" s="60" t="s">
        <v>656</v>
      </c>
      <c r="L457" t="s">
        <v>2494</v>
      </c>
      <c r="M457" s="100" t="str">
        <f t="shared" si="14"/>
        <v>CSR_XCP_Signals_Recorder_2025-12-10_17-57-35_TC73_6YO3RR_CPD_NCAP3_6YO_3R_CPD.MF4.xz</v>
      </c>
      <c r="N457" s="59" t="str">
        <f t="shared" si="15"/>
        <v>_NCAP3_6YO_3R_CPD.MF4.xz</v>
      </c>
      <c r="O457" s="132" t="s">
        <v>217</v>
      </c>
      <c r="P457" s="132"/>
    </row>
    <row r="458" spans="1:16">
      <c r="A458" s="38">
        <v>74</v>
      </c>
      <c r="B458" t="s">
        <v>2304</v>
      </c>
      <c r="C458" t="s">
        <v>253</v>
      </c>
      <c r="D458" s="97" t="e">
        <f>_xlfn.XLOOKUP(A458,[1]CPD_SOP_new!$A:$A,[1]CPD_SOP_new!#REF!,"not found",0 )</f>
        <v>#REF!</v>
      </c>
      <c r="E458" s="97" t="str">
        <f>_xlfn.XLOOKUP(A458,[1]CPD_SOP_new!$A:$A,[1]CPD_SOP_new!$K:$K,"not found",0 )</f>
        <v>3L</v>
      </c>
      <c r="F458" t="s">
        <v>27</v>
      </c>
      <c r="G458" t="s">
        <v>27</v>
      </c>
      <c r="H458" t="s">
        <v>27</v>
      </c>
      <c r="I458" t="s">
        <v>28</v>
      </c>
      <c r="J458" t="s">
        <v>124</v>
      </c>
      <c r="K458" t="s">
        <v>657</v>
      </c>
      <c r="L458" t="s">
        <v>2495</v>
      </c>
      <c r="M458" s="100" t="str">
        <f t="shared" si="14"/>
        <v>TC74_Try_1_NCAP3_6YO_3L_CPD.MF4.xz</v>
      </c>
      <c r="N458" s="59" t="str">
        <f t="shared" si="15"/>
        <v>_NCAP3_6YO_3L_CPD.MF4.xz</v>
      </c>
      <c r="O458" s="129" t="s">
        <v>475</v>
      </c>
      <c r="P458" s="129"/>
    </row>
    <row r="459" spans="1:16">
      <c r="A459" s="38">
        <v>74</v>
      </c>
      <c r="B459" t="s">
        <v>2304</v>
      </c>
      <c r="C459" t="s">
        <v>253</v>
      </c>
      <c r="D459" s="97" t="e">
        <f>_xlfn.XLOOKUP(A459,[1]CPD_SOP_new!$A:$A,[1]CPD_SOP_new!#REF!,"not found",0 )</f>
        <v>#REF!</v>
      </c>
      <c r="E459" s="97" t="str">
        <f>_xlfn.XLOOKUP(A459,[1]CPD_SOP_new!$A:$A,[1]CPD_SOP_new!$K:$K,"not found",0 )</f>
        <v>3L</v>
      </c>
      <c r="F459" t="s">
        <v>27</v>
      </c>
      <c r="G459" t="s">
        <v>27</v>
      </c>
      <c r="H459" t="s">
        <v>27</v>
      </c>
      <c r="I459" t="s">
        <v>28</v>
      </c>
      <c r="J459" t="s">
        <v>124</v>
      </c>
      <c r="K459" t="s">
        <v>658</v>
      </c>
      <c r="L459" t="s">
        <v>2496</v>
      </c>
      <c r="M459" s="100" t="str">
        <f t="shared" si="14"/>
        <v>TC74_Try_2_NCAP3_6YO_3L_CPD.MF4.xz</v>
      </c>
      <c r="N459" s="59" t="str">
        <f t="shared" si="15"/>
        <v>_NCAP3_6YO_3L_CPD.MF4.xz</v>
      </c>
      <c r="O459" s="129" t="s">
        <v>475</v>
      </c>
      <c r="P459" s="129"/>
    </row>
    <row r="460" spans="1:16">
      <c r="A460" s="38">
        <v>74</v>
      </c>
      <c r="B460" t="s">
        <v>2304</v>
      </c>
      <c r="C460" t="s">
        <v>253</v>
      </c>
      <c r="D460" s="97" t="e">
        <f>_xlfn.XLOOKUP(A460,[1]CPD_SOP_new!$A:$A,[1]CPD_SOP_new!#REF!,"not found",0 )</f>
        <v>#REF!</v>
      </c>
      <c r="E460" s="97" t="str">
        <f>_xlfn.XLOOKUP(A460,[1]CPD_SOP_new!$A:$A,[1]CPD_SOP_new!$K:$K,"not found",0 )</f>
        <v>3L</v>
      </c>
      <c r="F460" t="s">
        <v>27</v>
      </c>
      <c r="G460" t="s">
        <v>27</v>
      </c>
      <c r="H460" t="s">
        <v>27</v>
      </c>
      <c r="I460" t="s">
        <v>28</v>
      </c>
      <c r="J460" t="s">
        <v>124</v>
      </c>
      <c r="K460" t="s">
        <v>659</v>
      </c>
      <c r="L460" t="s">
        <v>2497</v>
      </c>
      <c r="M460" s="100" t="str">
        <f t="shared" si="14"/>
        <v>TC74_Try_3_NCAP3_6YO_3L_CPD.MF4.xz</v>
      </c>
      <c r="N460" s="59" t="str">
        <f t="shared" si="15"/>
        <v>_NCAP3_6YO_3L_CPD.MF4.xz</v>
      </c>
      <c r="O460" s="129" t="s">
        <v>475</v>
      </c>
      <c r="P460" s="129"/>
    </row>
    <row r="461" spans="1:16">
      <c r="A461" s="77">
        <v>84</v>
      </c>
      <c r="B461" t="s">
        <v>2498</v>
      </c>
      <c r="C461" t="s">
        <v>66</v>
      </c>
      <c r="D461" s="97" t="e">
        <f>_xlfn.XLOOKUP(A461,[1]CPD_SOP_new!$A:$A,[1]CPD_SOP_new!#REF!,"not found",0 )</f>
        <v>#REF!</v>
      </c>
      <c r="E461" s="97" t="str">
        <f>_xlfn.XLOOKUP(A461,[1]CPD_SOP_new!$A:$A,[1]CPD_SOP_new!$K:$K,"not found",0 )</f>
        <v>1D+2L</v>
      </c>
      <c r="F461" t="s">
        <v>28</v>
      </c>
      <c r="G461" t="s">
        <v>28</v>
      </c>
      <c r="H461" t="s">
        <v>27</v>
      </c>
      <c r="I461" t="s">
        <v>28</v>
      </c>
      <c r="J461" t="s">
        <v>113</v>
      </c>
      <c r="K461" s="60" t="s">
        <v>661</v>
      </c>
      <c r="L461" t="s">
        <v>2499</v>
      </c>
      <c r="M461" s="100" t="str">
        <f t="shared" si="14"/>
        <v>CSR_XCP_Signals_Recorder_2025-12-10_16-42-25_TC84_AF05D_3YORL2_CPD_Adult_w_child_3YO_1D+2L_CPD.MF4.xz</v>
      </c>
      <c r="N461" s="59" t="str">
        <f t="shared" si="15"/>
        <v>_Adult_w_child_3YO_1D+2L_CPD.MF4.xz</v>
      </c>
      <c r="O461" s="129" t="s">
        <v>217</v>
      </c>
      <c r="P461" s="129"/>
    </row>
    <row r="462" spans="1:16">
      <c r="A462" s="77">
        <v>84</v>
      </c>
      <c r="B462" t="s">
        <v>2498</v>
      </c>
      <c r="C462" t="s">
        <v>66</v>
      </c>
      <c r="D462" s="97" t="e">
        <f>_xlfn.XLOOKUP(A462,[1]CPD_SOP_new!$A:$A,[1]CPD_SOP_new!#REF!,"not found",0 )</f>
        <v>#REF!</v>
      </c>
      <c r="E462" s="97" t="str">
        <f>_xlfn.XLOOKUP(A462,[1]CPD_SOP_new!$A:$A,[1]CPD_SOP_new!$K:$K,"not found",0 )</f>
        <v>1D+2L</v>
      </c>
      <c r="F462" t="s">
        <v>28</v>
      </c>
      <c r="G462" t="s">
        <v>28</v>
      </c>
      <c r="H462" t="s">
        <v>27</v>
      </c>
      <c r="I462" t="s">
        <v>28</v>
      </c>
      <c r="J462" t="s">
        <v>113</v>
      </c>
      <c r="K462" s="60" t="s">
        <v>663</v>
      </c>
      <c r="L462" t="s">
        <v>2500</v>
      </c>
      <c r="M462" s="100" t="str">
        <f t="shared" si="14"/>
        <v>CSR_XCP_Signals_Recorder_2025-12-10_16-44-09_TC84_AF05D_3YORL2_CPD_Adult_w_child_3YO_1D+2L_CPD.MF4.xz</v>
      </c>
      <c r="N462" s="59" t="str">
        <f t="shared" si="15"/>
        <v>_Adult_w_child_3YO_1D+2L_CPD.MF4.xz</v>
      </c>
      <c r="O462" s="129" t="s">
        <v>217</v>
      </c>
      <c r="P462" s="129"/>
    </row>
    <row r="463" spans="1:16">
      <c r="A463" s="77">
        <v>84</v>
      </c>
      <c r="B463" t="s">
        <v>2498</v>
      </c>
      <c r="C463" t="s">
        <v>66</v>
      </c>
      <c r="D463" s="97" t="e">
        <f>_xlfn.XLOOKUP(A463,[1]CPD_SOP_new!$A:$A,[1]CPD_SOP_new!#REF!,"not found",0 )</f>
        <v>#REF!</v>
      </c>
      <c r="E463" s="97" t="str">
        <f>_xlfn.XLOOKUP(A463,[1]CPD_SOP_new!$A:$A,[1]CPD_SOP_new!$K:$K,"not found",0 )</f>
        <v>1D+2L</v>
      </c>
      <c r="F463" t="s">
        <v>28</v>
      </c>
      <c r="G463" t="s">
        <v>28</v>
      </c>
      <c r="H463" t="s">
        <v>27</v>
      </c>
      <c r="I463" t="s">
        <v>28</v>
      </c>
      <c r="J463" t="s">
        <v>113</v>
      </c>
      <c r="K463" t="s">
        <v>665</v>
      </c>
      <c r="L463" t="s">
        <v>2501</v>
      </c>
      <c r="M463" s="100" t="str">
        <f t="shared" si="14"/>
        <v>CSR_XCP_Signals_Recorder_2025-12-10_16-45-46_TC84_AF05D_3YORL2_CPD_Adult_w_child_3YO_1D+2L_CPD.MF4.xz</v>
      </c>
      <c r="N463" s="59" t="str">
        <f t="shared" si="15"/>
        <v>_Adult_w_child_3YO_1D+2L_CPD.MF4.xz</v>
      </c>
      <c r="O463" s="129" t="s">
        <v>217</v>
      </c>
      <c r="P463" s="129"/>
    </row>
    <row r="464" spans="1:16">
      <c r="A464" s="77">
        <v>84</v>
      </c>
      <c r="B464" t="s">
        <v>2498</v>
      </c>
      <c r="C464" t="s">
        <v>66</v>
      </c>
      <c r="D464" s="97" t="e">
        <f>_xlfn.XLOOKUP(A464,[1]CPD_SOP_new!$A:$A,[1]CPD_SOP_new!#REF!,"not found",0 )</f>
        <v>#REF!</v>
      </c>
      <c r="E464" s="97" t="str">
        <f>_xlfn.XLOOKUP(A464,[1]CPD_SOP_new!$A:$A,[1]CPD_SOP_new!$K:$K,"not found",0 )</f>
        <v>1D+2L</v>
      </c>
      <c r="F464" t="s">
        <v>28</v>
      </c>
      <c r="G464" t="s">
        <v>28</v>
      </c>
      <c r="H464" t="s">
        <v>27</v>
      </c>
      <c r="I464" t="s">
        <v>28</v>
      </c>
      <c r="J464" t="s">
        <v>113</v>
      </c>
      <c r="K464" t="s">
        <v>666</v>
      </c>
      <c r="L464" t="s">
        <v>2502</v>
      </c>
      <c r="M464" s="100" t="str">
        <f t="shared" si="14"/>
        <v>CSR_XCP_Signals_Recorder_2025-12-10_16-47-21_TC84_AF05D_3YORL2_CPD_Adult_w_child_3YO_1D+2L_CPD.MF4.xz</v>
      </c>
      <c r="N464" s="59" t="str">
        <f t="shared" si="15"/>
        <v>_Adult_w_child_3YO_1D+2L_CPD.MF4.xz</v>
      </c>
      <c r="O464" s="129" t="s">
        <v>217</v>
      </c>
      <c r="P464" s="129"/>
    </row>
    <row r="465" spans="1:16">
      <c r="A465" s="77">
        <v>84</v>
      </c>
      <c r="B465" t="s">
        <v>2498</v>
      </c>
      <c r="C465" t="s">
        <v>66</v>
      </c>
      <c r="D465" s="97" t="e">
        <f>_xlfn.XLOOKUP(A465,[1]CPD_SOP_new!$A:$A,[1]CPD_SOP_new!#REF!,"not found",0 )</f>
        <v>#REF!</v>
      </c>
      <c r="E465" s="97" t="str">
        <f>_xlfn.XLOOKUP(A465,[1]CPD_SOP_new!$A:$A,[1]CPD_SOP_new!$K:$K,"not found",0 )</f>
        <v>1D+2L</v>
      </c>
      <c r="F465" t="s">
        <v>28</v>
      </c>
      <c r="G465" t="s">
        <v>28</v>
      </c>
      <c r="H465" t="s">
        <v>27</v>
      </c>
      <c r="I465" t="s">
        <v>28</v>
      </c>
      <c r="J465" t="s">
        <v>113</v>
      </c>
      <c r="K465" t="s">
        <v>667</v>
      </c>
      <c r="L465" t="s">
        <v>2503</v>
      </c>
      <c r="M465" s="100" t="str">
        <f t="shared" si="14"/>
        <v>CSR_XCP_Signals_Recorder_2025-12-10_16-48-54_TC84_AF05D_3YORL2_CPD_Adult_w_child_3YO_1D+2L_CPD.MF4.xz</v>
      </c>
      <c r="N465" s="59" t="str">
        <f t="shared" si="15"/>
        <v>_Adult_w_child_3YO_1D+2L_CPD.MF4.xz</v>
      </c>
      <c r="O465" s="129" t="s">
        <v>217</v>
      </c>
      <c r="P465" s="129"/>
    </row>
    <row r="466" spans="1:16">
      <c r="A466" s="38">
        <v>85</v>
      </c>
      <c r="B466" t="s">
        <v>2498</v>
      </c>
      <c r="C466" t="s">
        <v>66</v>
      </c>
      <c r="D466" s="97" t="e">
        <f>_xlfn.XLOOKUP(A466,[1]CPD_SOP_new!$A:$A,[1]CPD_SOP_new!#REF!,"not found",0 )</f>
        <v>#REF!</v>
      </c>
      <c r="E466" s="97" t="str">
        <f>_xlfn.XLOOKUP(A466,[1]CPD_SOP_new!$A:$A,[1]CPD_SOP_new!$K:$K,"not found",0 )</f>
        <v>1D+3R</v>
      </c>
      <c r="F466" t="s">
        <v>27</v>
      </c>
      <c r="G466" t="s">
        <v>27</v>
      </c>
      <c r="H466" t="s">
        <v>27</v>
      </c>
      <c r="I466" t="s">
        <v>28</v>
      </c>
      <c r="J466" t="s">
        <v>113</v>
      </c>
      <c r="K466" t="s">
        <v>670</v>
      </c>
      <c r="L466" t="s">
        <v>2504</v>
      </c>
      <c r="M466" s="100" t="str">
        <f t="shared" si="14"/>
        <v>TC_85_Try1_Adult_w_child_3YO_1D+3R_CPD.MF4.xz</v>
      </c>
      <c r="N466" s="59" t="str">
        <f t="shared" si="15"/>
        <v>_Adult_w_child_3YO_1D+3R_CPD.MF4.xz</v>
      </c>
      <c r="O466" s="134" t="s">
        <v>671</v>
      </c>
      <c r="P466" s="134"/>
    </row>
    <row r="467" spans="1:16">
      <c r="A467" s="38">
        <v>85</v>
      </c>
      <c r="B467" t="s">
        <v>2498</v>
      </c>
      <c r="C467" t="s">
        <v>66</v>
      </c>
      <c r="D467" s="97" t="e">
        <f>_xlfn.XLOOKUP(A467,[1]CPD_SOP_new!$A:$A,[1]CPD_SOP_new!#REF!,"not found",0 )</f>
        <v>#REF!</v>
      </c>
      <c r="E467" s="97" t="str">
        <f>_xlfn.XLOOKUP(A467,[1]CPD_SOP_new!$A:$A,[1]CPD_SOP_new!$K:$K,"not found",0 )</f>
        <v>1D+3R</v>
      </c>
      <c r="F467" t="s">
        <v>27</v>
      </c>
      <c r="G467" t="s">
        <v>27</v>
      </c>
      <c r="H467" t="s">
        <v>27</v>
      </c>
      <c r="I467" t="s">
        <v>28</v>
      </c>
      <c r="J467" t="s">
        <v>113</v>
      </c>
      <c r="K467" t="s">
        <v>673</v>
      </c>
      <c r="L467" t="s">
        <v>2505</v>
      </c>
      <c r="M467" s="100" t="str">
        <f t="shared" si="14"/>
        <v>TC_85_Try2_Adult_w_child_3YO_1D+3R_CPD.MF4.xz</v>
      </c>
      <c r="N467" s="59" t="str">
        <f t="shared" si="15"/>
        <v>_Adult_w_child_3YO_1D+3R_CPD.MF4.xz</v>
      </c>
      <c r="O467" s="134" t="s">
        <v>671</v>
      </c>
      <c r="P467" s="134"/>
    </row>
    <row r="468" spans="1:16">
      <c r="A468" s="38">
        <v>85</v>
      </c>
      <c r="B468" t="s">
        <v>2498</v>
      </c>
      <c r="C468" t="s">
        <v>66</v>
      </c>
      <c r="D468" s="97" t="e">
        <f>_xlfn.XLOOKUP(A468,[1]CPD_SOP_new!$A:$A,[1]CPD_SOP_new!#REF!,"not found",0 )</f>
        <v>#REF!</v>
      </c>
      <c r="E468" s="97" t="str">
        <f>_xlfn.XLOOKUP(A468,[1]CPD_SOP_new!$A:$A,[1]CPD_SOP_new!$K:$K,"not found",0 )</f>
        <v>1D+3R</v>
      </c>
      <c r="F468" t="s">
        <v>27</v>
      </c>
      <c r="G468" t="s">
        <v>27</v>
      </c>
      <c r="H468" t="s">
        <v>27</v>
      </c>
      <c r="I468" t="s">
        <v>28</v>
      </c>
      <c r="J468" t="s">
        <v>113</v>
      </c>
      <c r="K468" t="s">
        <v>674</v>
      </c>
      <c r="L468" t="s">
        <v>2506</v>
      </c>
      <c r="M468" s="100" t="str">
        <f t="shared" si="14"/>
        <v>TC_85_Try3_Adult_w_child_3YO_1D+3R_CPD.MF4.xz</v>
      </c>
      <c r="N468" s="59" t="str">
        <f t="shared" si="15"/>
        <v>_Adult_w_child_3YO_1D+3R_CPD.MF4.xz</v>
      </c>
      <c r="O468" s="134" t="s">
        <v>671</v>
      </c>
      <c r="P468" s="134"/>
    </row>
    <row r="469" spans="1:16">
      <c r="A469" s="38">
        <v>86</v>
      </c>
      <c r="B469" t="s">
        <v>2498</v>
      </c>
      <c r="C469" t="s">
        <v>66</v>
      </c>
      <c r="D469" s="97" t="e">
        <f>_xlfn.XLOOKUP(A469,[1]CPD_SOP_new!$A:$A,[1]CPD_SOP_new!#REF!,"not found",0 )</f>
        <v>#REF!</v>
      </c>
      <c r="E469" s="97" t="str">
        <f>_xlfn.XLOOKUP(A469,[1]CPD_SOP_new!$A:$A,[1]CPD_SOP_new!$K:$K,"not found",0 )</f>
        <v>1D+3L</v>
      </c>
      <c r="F469" t="s">
        <v>27</v>
      </c>
      <c r="G469" t="s">
        <v>27</v>
      </c>
      <c r="H469" t="s">
        <v>27</v>
      </c>
      <c r="I469" t="s">
        <v>28</v>
      </c>
      <c r="J469" t="s">
        <v>113</v>
      </c>
      <c r="K469" t="s">
        <v>676</v>
      </c>
      <c r="L469" t="s">
        <v>2507</v>
      </c>
      <c r="M469" s="100" t="str">
        <f t="shared" si="14"/>
        <v>TC_86_Try1_Adult_w_child_3YO_1D+3L_CPD.MF4.xz</v>
      </c>
      <c r="N469" s="59" t="str">
        <f t="shared" si="15"/>
        <v>_Adult_w_child_3YO_1D+3L_CPD.MF4.xz</v>
      </c>
      <c r="O469" s="134" t="s">
        <v>671</v>
      </c>
      <c r="P469" s="134"/>
    </row>
    <row r="470" spans="1:16">
      <c r="A470" s="38">
        <v>86</v>
      </c>
      <c r="B470" t="s">
        <v>2498</v>
      </c>
      <c r="C470" t="s">
        <v>66</v>
      </c>
      <c r="D470" s="97" t="e">
        <f>_xlfn.XLOOKUP(A470,[1]CPD_SOP_new!$A:$A,[1]CPD_SOP_new!#REF!,"not found",0 )</f>
        <v>#REF!</v>
      </c>
      <c r="E470" s="97" t="str">
        <f>_xlfn.XLOOKUP(A470,[1]CPD_SOP_new!$A:$A,[1]CPD_SOP_new!$K:$K,"not found",0 )</f>
        <v>1D+3L</v>
      </c>
      <c r="F470" t="s">
        <v>27</v>
      </c>
      <c r="G470" t="s">
        <v>27</v>
      </c>
      <c r="H470" t="s">
        <v>27</v>
      </c>
      <c r="I470" t="s">
        <v>28</v>
      </c>
      <c r="J470" t="s">
        <v>113</v>
      </c>
      <c r="K470" t="s">
        <v>678</v>
      </c>
      <c r="L470" t="s">
        <v>2508</v>
      </c>
      <c r="M470" s="100" t="str">
        <f t="shared" si="14"/>
        <v>TC_86_Try2_Adult_w_child_3YO_1D+3L_CPD.MF4.xz</v>
      </c>
      <c r="N470" s="59" t="str">
        <f t="shared" si="15"/>
        <v>_Adult_w_child_3YO_1D+3L_CPD.MF4.xz</v>
      </c>
      <c r="O470" s="134" t="s">
        <v>671</v>
      </c>
      <c r="P470" s="134"/>
    </row>
    <row r="471" spans="1:16">
      <c r="A471" s="38">
        <v>86</v>
      </c>
      <c r="B471" t="s">
        <v>2498</v>
      </c>
      <c r="C471" t="s">
        <v>66</v>
      </c>
      <c r="D471" s="97" t="e">
        <f>_xlfn.XLOOKUP(A471,[1]CPD_SOP_new!$A:$A,[1]CPD_SOP_new!#REF!,"not found",0 )</f>
        <v>#REF!</v>
      </c>
      <c r="E471" s="97" t="str">
        <f>_xlfn.XLOOKUP(A471,[1]CPD_SOP_new!$A:$A,[1]CPD_SOP_new!$K:$K,"not found",0 )</f>
        <v>1D+3L</v>
      </c>
      <c r="F471" t="s">
        <v>27</v>
      </c>
      <c r="G471" t="s">
        <v>27</v>
      </c>
      <c r="H471" t="s">
        <v>27</v>
      </c>
      <c r="I471" t="s">
        <v>28</v>
      </c>
      <c r="J471" t="s">
        <v>113</v>
      </c>
      <c r="K471" t="s">
        <v>679</v>
      </c>
      <c r="L471" t="s">
        <v>2509</v>
      </c>
      <c r="M471" s="100" t="str">
        <f t="shared" si="14"/>
        <v>TC_86_Try3_Adult_w_child_3YO_1D+3L_CPD.MF4.xz</v>
      </c>
      <c r="N471" s="59" t="str">
        <f t="shared" si="15"/>
        <v>_Adult_w_child_3YO_1D+3L_CPD.MF4.xz</v>
      </c>
      <c r="O471" s="134" t="s">
        <v>671</v>
      </c>
      <c r="P471" s="134"/>
    </row>
    <row r="472" spans="1:16">
      <c r="A472" s="38">
        <v>90</v>
      </c>
      <c r="B472" t="s">
        <v>2498</v>
      </c>
      <c r="C472" t="s">
        <v>253</v>
      </c>
      <c r="D472" s="97" t="e">
        <f>_xlfn.XLOOKUP(A472,[1]CPD_SOP_new!$A:$A,[1]CPD_SOP_new!#REF!,"not found",0 )</f>
        <v>#REF!</v>
      </c>
      <c r="E472" s="97" t="str">
        <f>_xlfn.XLOOKUP(A472,[1]CPD_SOP_new!$A:$A,[1]CPD_SOP_new!$K:$K,"not found",0 )</f>
        <v>1D+2L</v>
      </c>
      <c r="F472" t="s">
        <v>27</v>
      </c>
      <c r="G472" t="s">
        <v>27</v>
      </c>
      <c r="H472" t="s">
        <v>27</v>
      </c>
      <c r="I472" t="s">
        <v>28</v>
      </c>
      <c r="J472" t="s">
        <v>113</v>
      </c>
      <c r="K472" t="s">
        <v>680</v>
      </c>
      <c r="L472" t="s">
        <v>2510</v>
      </c>
      <c r="M472" s="100" t="str">
        <f t="shared" si="14"/>
        <v>TC_90_Try1_Adult_w_child_6YO_1D+2L_CPD.MF4.xz</v>
      </c>
      <c r="N472" s="59" t="str">
        <f t="shared" si="15"/>
        <v>_Adult_w_child_6YO_1D+2L_CPD.MF4.xz</v>
      </c>
      <c r="O472" s="134" t="s">
        <v>681</v>
      </c>
      <c r="P472" s="134"/>
    </row>
    <row r="473" spans="1:16">
      <c r="A473" s="38">
        <v>90</v>
      </c>
      <c r="B473" t="s">
        <v>2498</v>
      </c>
      <c r="C473" t="s">
        <v>253</v>
      </c>
      <c r="D473" s="97" t="e">
        <f>_xlfn.XLOOKUP(A473,[1]CPD_SOP_new!$A:$A,[1]CPD_SOP_new!#REF!,"not found",0 )</f>
        <v>#REF!</v>
      </c>
      <c r="E473" s="97" t="str">
        <f>_xlfn.XLOOKUP(A473,[1]CPD_SOP_new!$A:$A,[1]CPD_SOP_new!$K:$K,"not found",0 )</f>
        <v>1D+2L</v>
      </c>
      <c r="F473" t="s">
        <v>27</v>
      </c>
      <c r="G473" t="s">
        <v>27</v>
      </c>
      <c r="H473" t="s">
        <v>27</v>
      </c>
      <c r="I473" t="s">
        <v>28</v>
      </c>
      <c r="J473" t="s">
        <v>113</v>
      </c>
      <c r="K473" t="s">
        <v>683</v>
      </c>
      <c r="L473" t="s">
        <v>2511</v>
      </c>
      <c r="M473" s="100" t="str">
        <f t="shared" si="14"/>
        <v>TC_90_Try2_Adult_w_child_6YO_1D+2L_CPD.MF4.xz</v>
      </c>
      <c r="N473" s="59" t="str">
        <f t="shared" si="15"/>
        <v>_Adult_w_child_6YO_1D+2L_CPD.MF4.xz</v>
      </c>
      <c r="O473" s="134" t="s">
        <v>681</v>
      </c>
      <c r="P473" s="134"/>
    </row>
    <row r="474" spans="1:16">
      <c r="A474" s="38">
        <v>90</v>
      </c>
      <c r="B474" t="s">
        <v>2498</v>
      </c>
      <c r="C474" t="s">
        <v>253</v>
      </c>
      <c r="D474" s="97" t="e">
        <f>_xlfn.XLOOKUP(A474,[1]CPD_SOP_new!$A:$A,[1]CPD_SOP_new!#REF!,"not found",0 )</f>
        <v>#REF!</v>
      </c>
      <c r="E474" s="97" t="str">
        <f>_xlfn.XLOOKUP(A474,[1]CPD_SOP_new!$A:$A,[1]CPD_SOP_new!$K:$K,"not found",0 )</f>
        <v>1D+2L</v>
      </c>
      <c r="F474" t="s">
        <v>27</v>
      </c>
      <c r="G474" t="s">
        <v>27</v>
      </c>
      <c r="H474" t="s">
        <v>27</v>
      </c>
      <c r="I474" t="s">
        <v>28</v>
      </c>
      <c r="J474" t="s">
        <v>113</v>
      </c>
      <c r="K474" t="s">
        <v>684</v>
      </c>
      <c r="L474" t="s">
        <v>2512</v>
      </c>
      <c r="M474" s="100" t="str">
        <f t="shared" si="14"/>
        <v>TC_90_Try3_Adult_w_child_6YO_1D+2L_CPD.MF4.xz</v>
      </c>
      <c r="N474" s="59" t="str">
        <f t="shared" si="15"/>
        <v>_Adult_w_child_6YO_1D+2L_CPD.MF4.xz</v>
      </c>
      <c r="O474" s="134" t="s">
        <v>681</v>
      </c>
      <c r="P474" s="134"/>
    </row>
    <row r="475" spans="1:16">
      <c r="A475" s="38">
        <v>91</v>
      </c>
      <c r="B475" t="s">
        <v>2498</v>
      </c>
      <c r="C475" t="s">
        <v>253</v>
      </c>
      <c r="D475" s="97" t="e">
        <f>_xlfn.XLOOKUP(A475,[1]CPD_SOP_new!$A:$A,[1]CPD_SOP_new!#REF!,"not found",0 )</f>
        <v>#REF!</v>
      </c>
      <c r="E475" s="97" t="str">
        <f>_xlfn.XLOOKUP(A475,[1]CPD_SOP_new!$A:$A,[1]CPD_SOP_new!$K:$K,"not found",0 )</f>
        <v>1D+3L</v>
      </c>
      <c r="F475" t="s">
        <v>27</v>
      </c>
      <c r="G475" t="s">
        <v>27</v>
      </c>
      <c r="H475" t="s">
        <v>27</v>
      </c>
      <c r="I475" t="s">
        <v>28</v>
      </c>
      <c r="J475" t="s">
        <v>113</v>
      </c>
      <c r="K475" t="s">
        <v>685</v>
      </c>
      <c r="L475" t="s">
        <v>2513</v>
      </c>
      <c r="M475" s="100" t="str">
        <f t="shared" si="14"/>
        <v>TC_91_Try1_Adult_w_child_6YO_1D+3L_CPD.MF4.xz</v>
      </c>
      <c r="N475" s="59" t="str">
        <f t="shared" si="15"/>
        <v>_Adult_w_child_6YO_1D+3L_CPD.MF4.xz</v>
      </c>
      <c r="O475" s="134" t="s">
        <v>681</v>
      </c>
      <c r="P475" s="134"/>
    </row>
    <row r="476" spans="1:16">
      <c r="A476" s="38">
        <v>91</v>
      </c>
      <c r="B476" t="s">
        <v>2498</v>
      </c>
      <c r="C476" t="s">
        <v>253</v>
      </c>
      <c r="D476" s="97" t="e">
        <f>_xlfn.XLOOKUP(A476,[1]CPD_SOP_new!$A:$A,[1]CPD_SOP_new!#REF!,"not found",0 )</f>
        <v>#REF!</v>
      </c>
      <c r="E476" s="97" t="str">
        <f>_xlfn.XLOOKUP(A476,[1]CPD_SOP_new!$A:$A,[1]CPD_SOP_new!$K:$K,"not found",0 )</f>
        <v>1D+3L</v>
      </c>
      <c r="F476" t="s">
        <v>27</v>
      </c>
      <c r="G476" t="s">
        <v>27</v>
      </c>
      <c r="H476" t="s">
        <v>27</v>
      </c>
      <c r="I476" t="s">
        <v>28</v>
      </c>
      <c r="J476" t="s">
        <v>113</v>
      </c>
      <c r="K476" t="s">
        <v>687</v>
      </c>
      <c r="L476" t="s">
        <v>2514</v>
      </c>
      <c r="M476" s="100" t="str">
        <f t="shared" si="14"/>
        <v>TC_91_Try2_Adult_w_child_6YO_1D+3L_CPD.MF4.xz</v>
      </c>
      <c r="N476" s="59" t="str">
        <f t="shared" si="15"/>
        <v>_Adult_w_child_6YO_1D+3L_CPD.MF4.xz</v>
      </c>
      <c r="O476" s="134" t="s">
        <v>681</v>
      </c>
      <c r="P476" s="134"/>
    </row>
    <row r="477" spans="1:16">
      <c r="A477" s="38">
        <v>91</v>
      </c>
      <c r="B477" t="s">
        <v>2498</v>
      </c>
      <c r="C477" t="s">
        <v>253</v>
      </c>
      <c r="D477" s="97" t="e">
        <f>_xlfn.XLOOKUP(A477,[1]CPD_SOP_new!$A:$A,[1]CPD_SOP_new!#REF!,"not found",0 )</f>
        <v>#REF!</v>
      </c>
      <c r="E477" s="97" t="str">
        <f>_xlfn.XLOOKUP(A477,[1]CPD_SOP_new!$A:$A,[1]CPD_SOP_new!$K:$K,"not found",0 )</f>
        <v>1D+3L</v>
      </c>
      <c r="F477" t="s">
        <v>27</v>
      </c>
      <c r="G477" t="s">
        <v>27</v>
      </c>
      <c r="H477" t="s">
        <v>27</v>
      </c>
      <c r="I477" t="s">
        <v>28</v>
      </c>
      <c r="J477" t="s">
        <v>113</v>
      </c>
      <c r="K477" t="s">
        <v>688</v>
      </c>
      <c r="L477" t="s">
        <v>2515</v>
      </c>
      <c r="M477" s="100" t="str">
        <f t="shared" si="14"/>
        <v>TC_91_Try3_Adult_w_child_6YO_1D+3L_CPD.MF4.xz</v>
      </c>
      <c r="N477" s="59" t="str">
        <f t="shared" si="15"/>
        <v>_Adult_w_child_6YO_1D+3L_CPD.MF4.xz</v>
      </c>
      <c r="O477" s="134" t="s">
        <v>681</v>
      </c>
      <c r="P477" s="134"/>
    </row>
    <row r="478" spans="1:16">
      <c r="A478" s="38">
        <v>92</v>
      </c>
      <c r="B478" t="s">
        <v>2498</v>
      </c>
      <c r="C478" t="s">
        <v>66</v>
      </c>
      <c r="D478" s="97" t="e">
        <f>_xlfn.XLOOKUP(A478,[1]CPD_SOP_new!$A:$A,[1]CPD_SOP_new!#REF!,"not found",0 )</f>
        <v>#REF!</v>
      </c>
      <c r="E478" s="97" t="str">
        <f>_xlfn.XLOOKUP(A478,[1]CPD_SOP_new!$A:$A,[1]CPD_SOP_new!$K:$K,"not found",0 )</f>
        <v>1D+F2R</v>
      </c>
      <c r="F478" t="s">
        <v>27</v>
      </c>
      <c r="G478" t="s">
        <v>27</v>
      </c>
      <c r="H478" t="s">
        <v>27</v>
      </c>
      <c r="I478" t="s">
        <v>28</v>
      </c>
      <c r="J478" t="s">
        <v>113</v>
      </c>
      <c r="K478" t="s">
        <v>692</v>
      </c>
      <c r="L478" t="s">
        <v>2516</v>
      </c>
      <c r="M478" s="100" t="str">
        <f t="shared" si="14"/>
        <v>TC_92_Try1_Adult_w_child_3YO_1D+F2R_CPD.MF4.xz</v>
      </c>
      <c r="N478" s="59" t="str">
        <f t="shared" si="15"/>
        <v>_Adult_w_child_3YO_1D+F2R_CPD.MF4.xz</v>
      </c>
      <c r="O478" s="134" t="s">
        <v>671</v>
      </c>
      <c r="P478" s="134"/>
    </row>
    <row r="479" spans="1:16">
      <c r="A479" s="38">
        <v>92</v>
      </c>
      <c r="B479" t="s">
        <v>2498</v>
      </c>
      <c r="C479" t="s">
        <v>66</v>
      </c>
      <c r="D479" s="97" t="e">
        <f>_xlfn.XLOOKUP(A479,[1]CPD_SOP_new!$A:$A,[1]CPD_SOP_new!#REF!,"not found",0 )</f>
        <v>#REF!</v>
      </c>
      <c r="E479" s="97" t="str">
        <f>_xlfn.XLOOKUP(A479,[1]CPD_SOP_new!$A:$A,[1]CPD_SOP_new!$K:$K,"not found",0 )</f>
        <v>1D+F2R</v>
      </c>
      <c r="F479" t="s">
        <v>27</v>
      </c>
      <c r="G479" t="s">
        <v>27</v>
      </c>
      <c r="H479" t="s">
        <v>27</v>
      </c>
      <c r="I479" t="s">
        <v>28</v>
      </c>
      <c r="J479" t="s">
        <v>113</v>
      </c>
      <c r="K479" t="s">
        <v>694</v>
      </c>
      <c r="L479" t="s">
        <v>2517</v>
      </c>
      <c r="M479" s="100" t="str">
        <f t="shared" si="14"/>
        <v>TC_92_Try2_Adult_w_child_3YO_1D+F2R_CPD.MF4.xz</v>
      </c>
      <c r="N479" s="59" t="str">
        <f t="shared" si="15"/>
        <v>_Adult_w_child_3YO_1D+F2R_CPD.MF4.xz</v>
      </c>
      <c r="O479" s="134" t="s">
        <v>671</v>
      </c>
      <c r="P479" s="134"/>
    </row>
    <row r="480" spans="1:16">
      <c r="A480" s="38">
        <v>92</v>
      </c>
      <c r="B480" t="s">
        <v>2498</v>
      </c>
      <c r="C480" t="s">
        <v>66</v>
      </c>
      <c r="D480" s="97" t="e">
        <f>_xlfn.XLOOKUP(A480,[1]CPD_SOP_new!$A:$A,[1]CPD_SOP_new!#REF!,"not found",0 )</f>
        <v>#REF!</v>
      </c>
      <c r="E480" s="97" t="str">
        <f>_xlfn.XLOOKUP(A480,[1]CPD_SOP_new!$A:$A,[1]CPD_SOP_new!$K:$K,"not found",0 )</f>
        <v>1D+F2R</v>
      </c>
      <c r="F480" t="s">
        <v>27</v>
      </c>
      <c r="G480" t="s">
        <v>27</v>
      </c>
      <c r="H480" t="s">
        <v>27</v>
      </c>
      <c r="I480" t="s">
        <v>28</v>
      </c>
      <c r="J480" t="s">
        <v>113</v>
      </c>
      <c r="K480" t="s">
        <v>695</v>
      </c>
      <c r="L480" t="s">
        <v>2518</v>
      </c>
      <c r="M480" s="100" t="str">
        <f t="shared" si="14"/>
        <v>TC_92_Try3_Adult_w_child_3YO_1D+F2R_CPD.MF4.xz</v>
      </c>
      <c r="N480" s="59" t="str">
        <f t="shared" si="15"/>
        <v>_Adult_w_child_3YO_1D+F2R_CPD.MF4.xz</v>
      </c>
      <c r="O480" s="134" t="s">
        <v>671</v>
      </c>
      <c r="P480" s="134"/>
    </row>
    <row r="481" spans="1:16">
      <c r="A481" s="38">
        <v>93</v>
      </c>
      <c r="B481" t="s">
        <v>2498</v>
      </c>
      <c r="C481" t="s">
        <v>66</v>
      </c>
      <c r="D481" s="97" t="e">
        <f>_xlfn.XLOOKUP(A481,[1]CPD_SOP_new!$A:$A,[1]CPD_SOP_new!#REF!,"not found",0 )</f>
        <v>#REF!</v>
      </c>
      <c r="E481" s="97" t="str">
        <f>_xlfn.XLOOKUP(A481,[1]CPD_SOP_new!$A:$A,[1]CPD_SOP_new!$K:$K,"not found",0 )</f>
        <v>1D+F3L</v>
      </c>
      <c r="F481" t="s">
        <v>27</v>
      </c>
      <c r="G481" t="s">
        <v>27</v>
      </c>
      <c r="H481" t="s">
        <v>27</v>
      </c>
      <c r="I481" t="s">
        <v>28</v>
      </c>
      <c r="J481" t="s">
        <v>113</v>
      </c>
      <c r="K481" t="s">
        <v>698</v>
      </c>
      <c r="L481" t="s">
        <v>2519</v>
      </c>
      <c r="M481" s="100" t="str">
        <f t="shared" si="14"/>
        <v>TC_93_Try1_Adult_w_child_3YO_1D+F3L_CPD.MF4.xz</v>
      </c>
      <c r="N481" s="59" t="str">
        <f t="shared" si="15"/>
        <v>_Adult_w_child_3YO_1D+F3L_CPD.MF4.xz</v>
      </c>
      <c r="O481" s="134" t="s">
        <v>671</v>
      </c>
      <c r="P481" s="134"/>
    </row>
    <row r="482" spans="1:16">
      <c r="A482" s="38">
        <v>93</v>
      </c>
      <c r="B482" t="s">
        <v>2498</v>
      </c>
      <c r="C482" t="s">
        <v>66</v>
      </c>
      <c r="D482" s="97" t="e">
        <f>_xlfn.XLOOKUP(A482,[1]CPD_SOP_new!$A:$A,[1]CPD_SOP_new!#REF!,"not found",0 )</f>
        <v>#REF!</v>
      </c>
      <c r="E482" s="97" t="str">
        <f>_xlfn.XLOOKUP(A482,[1]CPD_SOP_new!$A:$A,[1]CPD_SOP_new!$K:$K,"not found",0 )</f>
        <v>1D+F3L</v>
      </c>
      <c r="F482" t="s">
        <v>27</v>
      </c>
      <c r="G482" t="s">
        <v>27</v>
      </c>
      <c r="H482" t="s">
        <v>27</v>
      </c>
      <c r="I482" t="s">
        <v>28</v>
      </c>
      <c r="J482" t="s">
        <v>113</v>
      </c>
      <c r="K482" t="s">
        <v>700</v>
      </c>
      <c r="L482" t="s">
        <v>2520</v>
      </c>
      <c r="M482" s="100" t="str">
        <f t="shared" si="14"/>
        <v>TC_93_Try2_Adult_w_child_3YO_1D+F3L_CPD.MF4.xz</v>
      </c>
      <c r="N482" s="59" t="str">
        <f t="shared" si="15"/>
        <v>_Adult_w_child_3YO_1D+F3L_CPD.MF4.xz</v>
      </c>
      <c r="O482" s="134" t="s">
        <v>671</v>
      </c>
      <c r="P482" s="134"/>
    </row>
    <row r="483" spans="1:16">
      <c r="A483" s="38">
        <v>93</v>
      </c>
      <c r="B483" t="s">
        <v>2498</v>
      </c>
      <c r="C483" t="s">
        <v>66</v>
      </c>
      <c r="D483" s="97" t="e">
        <f>_xlfn.XLOOKUP(A483,[1]CPD_SOP_new!$A:$A,[1]CPD_SOP_new!#REF!,"not found",0 )</f>
        <v>#REF!</v>
      </c>
      <c r="E483" s="97" t="str">
        <f>_xlfn.XLOOKUP(A483,[1]CPD_SOP_new!$A:$A,[1]CPD_SOP_new!$K:$K,"not found",0 )</f>
        <v>1D+F3L</v>
      </c>
      <c r="F483" t="s">
        <v>27</v>
      </c>
      <c r="G483" t="s">
        <v>27</v>
      </c>
      <c r="H483" t="s">
        <v>27</v>
      </c>
      <c r="I483" t="s">
        <v>28</v>
      </c>
      <c r="J483" t="s">
        <v>113</v>
      </c>
      <c r="K483" t="s">
        <v>701</v>
      </c>
      <c r="L483" t="s">
        <v>2521</v>
      </c>
      <c r="M483" s="100" t="str">
        <f t="shared" si="14"/>
        <v>TC_93_Try3_Adult_w_child_3YO_1D+F3L_CPD.MF4.xz</v>
      </c>
      <c r="N483" s="59" t="str">
        <f t="shared" si="15"/>
        <v>_Adult_w_child_3YO_1D+F3L_CPD.MF4.xz</v>
      </c>
      <c r="O483" s="134" t="s">
        <v>671</v>
      </c>
      <c r="P483" s="134"/>
    </row>
    <row r="484" spans="1:16">
      <c r="A484" s="77">
        <v>94</v>
      </c>
      <c r="B484" t="s">
        <v>2498</v>
      </c>
      <c r="C484" t="s">
        <v>43</v>
      </c>
      <c r="D484" s="97" t="e">
        <f>_xlfn.XLOOKUP(A484,[1]CPD_SOP_new!$A:$A,[1]CPD_SOP_new!#REF!,"not found",0 )</f>
        <v>#REF!</v>
      </c>
      <c r="E484" s="97" t="str">
        <f>_xlfn.XLOOKUP(A484,[1]CPD_SOP_new!$A:$A,[1]CPD_SOP_new!$K:$K,"not found",0 )</f>
        <v>1D+1P</v>
      </c>
      <c r="F484" t="s">
        <v>27</v>
      </c>
      <c r="G484" t="s">
        <v>28</v>
      </c>
      <c r="H484" t="s">
        <v>27</v>
      </c>
      <c r="I484" t="s">
        <v>28</v>
      </c>
      <c r="J484" t="s">
        <v>113</v>
      </c>
      <c r="K484" t="s">
        <v>703</v>
      </c>
      <c r="L484" t="s">
        <v>2522</v>
      </c>
      <c r="M484" s="100" t="str">
        <f t="shared" si="14"/>
        <v>TC_94_Try1_Adult_w_child_NB_1D+1P_CPD.MF4.xz</v>
      </c>
      <c r="N484" s="59" t="str">
        <f t="shared" si="15"/>
        <v>_Adult_w_child_NB_1D+1P_CPD.MF4.xz</v>
      </c>
      <c r="O484" s="132" t="s">
        <v>671</v>
      </c>
      <c r="P484" s="132"/>
    </row>
    <row r="485" spans="1:16">
      <c r="A485" s="77">
        <v>94</v>
      </c>
      <c r="B485" t="s">
        <v>2498</v>
      </c>
      <c r="C485" t="s">
        <v>43</v>
      </c>
      <c r="D485" s="97" t="e">
        <f>_xlfn.XLOOKUP(A485,[1]CPD_SOP_new!$A:$A,[1]CPD_SOP_new!#REF!,"not found",0 )</f>
        <v>#REF!</v>
      </c>
      <c r="E485" s="97" t="str">
        <f>_xlfn.XLOOKUP(A485,[1]CPD_SOP_new!$A:$A,[1]CPD_SOP_new!$K:$K,"not found",0 )</f>
        <v>1D+1P</v>
      </c>
      <c r="F485" t="s">
        <v>27</v>
      </c>
      <c r="G485" t="s">
        <v>28</v>
      </c>
      <c r="H485" t="s">
        <v>27</v>
      </c>
      <c r="I485" t="s">
        <v>28</v>
      </c>
      <c r="J485" t="s">
        <v>113</v>
      </c>
      <c r="K485" t="s">
        <v>705</v>
      </c>
      <c r="L485" t="s">
        <v>2523</v>
      </c>
      <c r="M485" s="100" t="str">
        <f t="shared" si="14"/>
        <v>TC_94_Try2_Adult_w_child_NB_1D+1P_CPD.MF4.xz</v>
      </c>
      <c r="N485" s="59" t="str">
        <f t="shared" si="15"/>
        <v>_Adult_w_child_NB_1D+1P_CPD.MF4.xz</v>
      </c>
      <c r="O485" s="132" t="s">
        <v>671</v>
      </c>
      <c r="P485" s="132"/>
    </row>
    <row r="486" spans="1:16">
      <c r="A486" s="77">
        <v>94</v>
      </c>
      <c r="B486" t="s">
        <v>2498</v>
      </c>
      <c r="C486" t="s">
        <v>43</v>
      </c>
      <c r="D486" s="97" t="e">
        <f>_xlfn.XLOOKUP(A486,[1]CPD_SOP_new!$A:$A,[1]CPD_SOP_new!#REF!,"not found",0 )</f>
        <v>#REF!</v>
      </c>
      <c r="E486" s="97" t="str">
        <f>_xlfn.XLOOKUP(A486,[1]CPD_SOP_new!$A:$A,[1]CPD_SOP_new!$K:$K,"not found",0 )</f>
        <v>1D+1P</v>
      </c>
      <c r="F486" t="s">
        <v>27</v>
      </c>
      <c r="G486" t="s">
        <v>28</v>
      </c>
      <c r="H486" t="s">
        <v>27</v>
      </c>
      <c r="I486" t="s">
        <v>28</v>
      </c>
      <c r="J486" t="s">
        <v>113</v>
      </c>
      <c r="K486" t="s">
        <v>706</v>
      </c>
      <c r="L486" t="s">
        <v>2524</v>
      </c>
      <c r="M486" s="100" t="str">
        <f t="shared" si="14"/>
        <v>TC_94_Try3_Adult_w_child_NB_1D+1P_CPD.MF4.xz</v>
      </c>
      <c r="N486" s="59" t="str">
        <f t="shared" si="15"/>
        <v>_Adult_w_child_NB_1D+1P_CPD.MF4.xz</v>
      </c>
      <c r="O486" s="132" t="s">
        <v>671</v>
      </c>
      <c r="P486" s="132"/>
    </row>
    <row r="487" spans="1:16">
      <c r="A487" s="77">
        <v>95</v>
      </c>
      <c r="B487" t="s">
        <v>2498</v>
      </c>
      <c r="C487" t="s">
        <v>66</v>
      </c>
      <c r="D487" s="97" t="e">
        <f>_xlfn.XLOOKUP(A487,[1]CPD_SOP_new!$A:$A,[1]CPD_SOP_new!#REF!,"not found",0 )</f>
        <v>#REF!</v>
      </c>
      <c r="E487" s="97" t="str">
        <f>_xlfn.XLOOKUP(A487,[1]CPD_SOP_new!$A:$A,[1]CPD_SOP_new!$K:$K,"not found",0 )</f>
        <v>1D+2R</v>
      </c>
      <c r="F487" t="s">
        <v>28</v>
      </c>
      <c r="G487" t="s">
        <v>28</v>
      </c>
      <c r="H487" t="s">
        <v>27</v>
      </c>
      <c r="I487" t="s">
        <v>28</v>
      </c>
      <c r="J487" t="s">
        <v>113</v>
      </c>
      <c r="K487" t="s">
        <v>708</v>
      </c>
      <c r="L487" t="s">
        <v>2525</v>
      </c>
      <c r="M487" s="100" t="str">
        <f t="shared" si="14"/>
        <v>CSR_XCP_Signals_Recorder_2025-12-10_16-53-14_TC95_AF05D_3YORR2_CPD_Adult_w_child_3YO_1D+2R_CPD.MF4.xz</v>
      </c>
      <c r="N487" s="59" t="str">
        <f t="shared" si="15"/>
        <v>_Adult_w_child_3YO_1D+2R_CPD.MF4.xz</v>
      </c>
      <c r="O487" s="129" t="s">
        <v>217</v>
      </c>
      <c r="P487" s="129"/>
    </row>
    <row r="488" spans="1:16">
      <c r="A488" s="77">
        <v>95</v>
      </c>
      <c r="B488" t="s">
        <v>2498</v>
      </c>
      <c r="C488" t="s">
        <v>66</v>
      </c>
      <c r="D488" s="97" t="e">
        <f>_xlfn.XLOOKUP(A488,[1]CPD_SOP_new!$A:$A,[1]CPD_SOP_new!#REF!,"not found",0 )</f>
        <v>#REF!</v>
      </c>
      <c r="E488" s="97" t="str">
        <f>_xlfn.XLOOKUP(A488,[1]CPD_SOP_new!$A:$A,[1]CPD_SOP_new!$K:$K,"not found",0 )</f>
        <v>1D+2R</v>
      </c>
      <c r="F488" t="s">
        <v>28</v>
      </c>
      <c r="G488" t="s">
        <v>28</v>
      </c>
      <c r="H488" t="s">
        <v>27</v>
      </c>
      <c r="I488" t="s">
        <v>28</v>
      </c>
      <c r="J488" t="s">
        <v>113</v>
      </c>
      <c r="K488" t="s">
        <v>710</v>
      </c>
      <c r="L488" t="s">
        <v>2526</v>
      </c>
      <c r="M488" s="100" t="str">
        <f t="shared" si="14"/>
        <v>CSR_XCP_Signals_Recorder_2025-12-10_16-54-43_TC95_AF05D_3YORR2_CPD_Adult_w_child_3YO_1D+2R_CPD.MF4.xz</v>
      </c>
      <c r="N488" s="59" t="str">
        <f t="shared" si="15"/>
        <v>_Adult_w_child_3YO_1D+2R_CPD.MF4.xz</v>
      </c>
      <c r="O488" s="129" t="s">
        <v>217</v>
      </c>
      <c r="P488" s="129"/>
    </row>
    <row r="489" spans="1:16">
      <c r="A489" s="77">
        <v>95</v>
      </c>
      <c r="B489" t="s">
        <v>2498</v>
      </c>
      <c r="C489" t="s">
        <v>66</v>
      </c>
      <c r="D489" s="97" t="e">
        <f>_xlfn.XLOOKUP(A489,[1]CPD_SOP_new!$A:$A,[1]CPD_SOP_new!#REF!,"not found",0 )</f>
        <v>#REF!</v>
      </c>
      <c r="E489" s="97" t="str">
        <f>_xlfn.XLOOKUP(A489,[1]CPD_SOP_new!$A:$A,[1]CPD_SOP_new!$K:$K,"not found",0 )</f>
        <v>1D+2R</v>
      </c>
      <c r="F489" t="s">
        <v>28</v>
      </c>
      <c r="G489" t="s">
        <v>28</v>
      </c>
      <c r="H489" t="s">
        <v>27</v>
      </c>
      <c r="I489" t="s">
        <v>28</v>
      </c>
      <c r="J489" t="s">
        <v>113</v>
      </c>
      <c r="K489" t="s">
        <v>711</v>
      </c>
      <c r="L489" t="s">
        <v>2527</v>
      </c>
      <c r="M489" s="100" t="str">
        <f t="shared" si="14"/>
        <v>CSR_XCP_Signals_Recorder_2025-12-10_16-56-11_TC95_AF05D_3YORR2_CPD_Adult_w_child_3YO_1D+2R_CPD.MF4.xz</v>
      </c>
      <c r="N489" s="59" t="str">
        <f t="shared" si="15"/>
        <v>_Adult_w_child_3YO_1D+2R_CPD.MF4.xz</v>
      </c>
      <c r="O489" s="129" t="s">
        <v>217</v>
      </c>
      <c r="P489" s="129"/>
    </row>
    <row r="490" spans="1:16">
      <c r="A490" s="77">
        <v>95</v>
      </c>
      <c r="B490" t="s">
        <v>2498</v>
      </c>
      <c r="C490" t="s">
        <v>66</v>
      </c>
      <c r="D490" s="97" t="e">
        <f>_xlfn.XLOOKUP(A490,[1]CPD_SOP_new!$A:$A,[1]CPD_SOP_new!#REF!,"not found",0 )</f>
        <v>#REF!</v>
      </c>
      <c r="E490" s="97" t="str">
        <f>_xlfn.XLOOKUP(A490,[1]CPD_SOP_new!$A:$A,[1]CPD_SOP_new!$K:$K,"not found",0 )</f>
        <v>1D+2R</v>
      </c>
      <c r="F490" t="s">
        <v>28</v>
      </c>
      <c r="G490" t="s">
        <v>28</v>
      </c>
      <c r="H490" t="s">
        <v>27</v>
      </c>
      <c r="I490" t="s">
        <v>28</v>
      </c>
      <c r="J490" t="s">
        <v>113</v>
      </c>
      <c r="K490" s="60" t="s">
        <v>712</v>
      </c>
      <c r="L490" s="60" t="s">
        <v>2528</v>
      </c>
      <c r="M490" s="100" t="str">
        <f t="shared" si="14"/>
        <v>CSR_XCP_Signals_Recorder_2025-12-10_16-57-41_TC95_AF05D_3YORR2_CPD_Adult_w_child_3YO_1D+2R_CPD.MF4.xz</v>
      </c>
      <c r="N490" s="59" t="str">
        <f t="shared" si="15"/>
        <v>_Adult_w_child_3YO_1D+2R_CPD.MF4.xz</v>
      </c>
      <c r="O490" s="66" t="s">
        <v>217</v>
      </c>
      <c r="P490" s="129"/>
    </row>
    <row r="491" spans="1:16">
      <c r="A491" s="77">
        <v>95</v>
      </c>
      <c r="B491" t="s">
        <v>2498</v>
      </c>
      <c r="C491" t="s">
        <v>66</v>
      </c>
      <c r="D491" s="97" t="e">
        <f>_xlfn.XLOOKUP(A491,[1]CPD_SOP_new!$A:$A,[1]CPD_SOP_new!#REF!,"not found",0 )</f>
        <v>#REF!</v>
      </c>
      <c r="E491" s="97" t="str">
        <f>_xlfn.XLOOKUP(A491,[1]CPD_SOP_new!$A:$A,[1]CPD_SOP_new!$K:$K,"not found",0 )</f>
        <v>1D+2R</v>
      </c>
      <c r="F491" t="s">
        <v>28</v>
      </c>
      <c r="G491" t="s">
        <v>28</v>
      </c>
      <c r="H491" t="s">
        <v>27</v>
      </c>
      <c r="I491" t="s">
        <v>28</v>
      </c>
      <c r="J491" t="s">
        <v>113</v>
      </c>
      <c r="K491" s="60" t="s">
        <v>713</v>
      </c>
      <c r="L491" s="60" t="s">
        <v>2529</v>
      </c>
      <c r="M491" s="100" t="str">
        <f t="shared" si="14"/>
        <v>CSR_XCP_Signals_Recorder_2025-12-10_16-59-10_TC95_AF05D_3YORR2_CPD_Adult_w_child_3YO_1D+2R_CPD.MF4.xz</v>
      </c>
      <c r="N491" s="59" t="str">
        <f t="shared" si="15"/>
        <v>_Adult_w_child_3YO_1D+2R_CPD.MF4.xz</v>
      </c>
      <c r="O491" s="66" t="s">
        <v>217</v>
      </c>
      <c r="P491" s="129"/>
    </row>
    <row r="492" spans="1:16">
      <c r="A492" s="38">
        <v>96</v>
      </c>
      <c r="B492" t="s">
        <v>2498</v>
      </c>
      <c r="C492" t="s">
        <v>253</v>
      </c>
      <c r="D492" s="97" t="e">
        <f>_xlfn.XLOOKUP(A492,[1]CPD_SOP_new!$A:$A,[1]CPD_SOP_new!#REF!,"not found",0 )</f>
        <v>#REF!</v>
      </c>
      <c r="E492" s="97" t="str">
        <f>_xlfn.XLOOKUP(A492,[1]CPD_SOP_new!$A:$A,[1]CPD_SOP_new!$K:$K,"not found",0 )</f>
        <v>1D+2C</v>
      </c>
      <c r="F492" t="s">
        <v>27</v>
      </c>
      <c r="G492" t="s">
        <v>27</v>
      </c>
      <c r="H492" t="s">
        <v>27</v>
      </c>
      <c r="I492" t="s">
        <v>28</v>
      </c>
      <c r="J492" t="s">
        <v>113</v>
      </c>
      <c r="K492" t="s">
        <v>715</v>
      </c>
      <c r="L492" t="s">
        <v>2530</v>
      </c>
      <c r="M492" s="100" t="str">
        <f t="shared" si="14"/>
        <v>TC_96_Try_1_Adult_w_child_6YO_1D+2C_CPD.MF4.xz</v>
      </c>
      <c r="N492" s="59" t="str">
        <f t="shared" si="15"/>
        <v>_Adult_w_child_6YO_1D+2C_CPD.MF4.xz</v>
      </c>
      <c r="O492" s="134" t="s">
        <v>671</v>
      </c>
      <c r="P492" s="134"/>
    </row>
    <row r="493" spans="1:16">
      <c r="A493" s="38">
        <v>96</v>
      </c>
      <c r="B493" t="s">
        <v>2498</v>
      </c>
      <c r="C493" t="s">
        <v>253</v>
      </c>
      <c r="D493" s="97" t="e">
        <f>_xlfn.XLOOKUP(A493,[1]CPD_SOP_new!$A:$A,[1]CPD_SOP_new!#REF!,"not found",0 )</f>
        <v>#REF!</v>
      </c>
      <c r="E493" s="97" t="str">
        <f>_xlfn.XLOOKUP(A493,[1]CPD_SOP_new!$A:$A,[1]CPD_SOP_new!$K:$K,"not found",0 )</f>
        <v>1D+2C</v>
      </c>
      <c r="F493" t="s">
        <v>27</v>
      </c>
      <c r="G493" t="s">
        <v>27</v>
      </c>
      <c r="H493" t="s">
        <v>27</v>
      </c>
      <c r="I493" t="s">
        <v>28</v>
      </c>
      <c r="J493" t="s">
        <v>113</v>
      </c>
      <c r="K493" t="s">
        <v>717</v>
      </c>
      <c r="L493" t="s">
        <v>2531</v>
      </c>
      <c r="M493" s="100" t="str">
        <f t="shared" si="14"/>
        <v>TC_96_Try2_Adult_w_child_6YO_1D+2C_CPD.MF4.xz</v>
      </c>
      <c r="N493" s="59" t="str">
        <f t="shared" si="15"/>
        <v>_Adult_w_child_6YO_1D+2C_CPD.MF4.xz</v>
      </c>
      <c r="O493" s="134" t="s">
        <v>671</v>
      </c>
      <c r="P493" s="134"/>
    </row>
    <row r="494" spans="1:16">
      <c r="A494" s="38">
        <v>96</v>
      </c>
      <c r="B494" t="s">
        <v>2498</v>
      </c>
      <c r="C494" t="s">
        <v>253</v>
      </c>
      <c r="D494" s="97" t="e">
        <f>_xlfn.XLOOKUP(A494,[1]CPD_SOP_new!$A:$A,[1]CPD_SOP_new!#REF!,"not found",0 )</f>
        <v>#REF!</v>
      </c>
      <c r="E494" s="97" t="str">
        <f>_xlfn.XLOOKUP(A494,[1]CPD_SOP_new!$A:$A,[1]CPD_SOP_new!$K:$K,"not found",0 )</f>
        <v>1D+2C</v>
      </c>
      <c r="F494" t="s">
        <v>27</v>
      </c>
      <c r="G494" t="s">
        <v>27</v>
      </c>
      <c r="H494" t="s">
        <v>27</v>
      </c>
      <c r="I494" t="s">
        <v>28</v>
      </c>
      <c r="J494" t="s">
        <v>113</v>
      </c>
      <c r="K494" t="s">
        <v>718</v>
      </c>
      <c r="L494" t="s">
        <v>2532</v>
      </c>
      <c r="M494" s="100" t="str">
        <f t="shared" si="14"/>
        <v>TC_96_Try3_Adult_w_child_6YO_1D+2C_CPD.MF4.xz</v>
      </c>
      <c r="N494" s="59" t="str">
        <f t="shared" si="15"/>
        <v>_Adult_w_child_6YO_1D+2C_CPD.MF4.xz</v>
      </c>
      <c r="O494" s="134" t="s">
        <v>671</v>
      </c>
      <c r="P494" s="134"/>
    </row>
    <row r="495" spans="1:16" s="130" customFormat="1">
      <c r="A495" s="78">
        <v>97</v>
      </c>
      <c r="B495" t="s">
        <v>2498</v>
      </c>
      <c r="C495" s="130" t="s">
        <v>253</v>
      </c>
      <c r="D495" s="97" t="e">
        <f>_xlfn.XLOOKUP(A495,[1]CPD_SOP_new!$A:$A,[1]CPD_SOP_new!#REF!,"not found",0 )</f>
        <v>#REF!</v>
      </c>
      <c r="E495" s="97" t="str">
        <f>_xlfn.XLOOKUP(A495,[1]CPD_SOP_new!$A:$A,[1]CPD_SOP_new!$K:$K,"not found",0 )</f>
        <v>1P+2L</v>
      </c>
      <c r="F495" s="130" t="s">
        <v>28</v>
      </c>
      <c r="G495" s="130" t="s">
        <v>28</v>
      </c>
      <c r="H495" s="130" t="s">
        <v>27</v>
      </c>
      <c r="I495" s="130" t="s">
        <v>616</v>
      </c>
      <c r="J495" s="130" t="s">
        <v>237</v>
      </c>
      <c r="K495" s="61" t="s">
        <v>617</v>
      </c>
      <c r="L495" s="61" t="s">
        <v>723</v>
      </c>
      <c r="M495" s="100" t="str">
        <f t="shared" si="14"/>
        <v>Wrong measurement</v>
      </c>
      <c r="N495" s="59" t="str">
        <f t="shared" si="15"/>
        <v>Wrong measurement</v>
      </c>
      <c r="O495" s="67" t="s">
        <v>102</v>
      </c>
      <c r="P495" s="131"/>
    </row>
    <row r="496" spans="1:16" s="130" customFormat="1">
      <c r="A496" s="78">
        <v>97</v>
      </c>
      <c r="B496" t="s">
        <v>2498</v>
      </c>
      <c r="C496" s="130" t="s">
        <v>253</v>
      </c>
      <c r="D496" s="97" t="e">
        <f>_xlfn.XLOOKUP(A496,[1]CPD_SOP_new!$A:$A,[1]CPD_SOP_new!#REF!,"not found",0 )</f>
        <v>#REF!</v>
      </c>
      <c r="E496" s="97" t="str">
        <f>_xlfn.XLOOKUP(A496,[1]CPD_SOP_new!$A:$A,[1]CPD_SOP_new!$K:$K,"not found",0 )</f>
        <v>1P+2L</v>
      </c>
      <c r="F496" s="130" t="s">
        <v>28</v>
      </c>
      <c r="G496" s="130" t="s">
        <v>28</v>
      </c>
      <c r="H496" s="130" t="s">
        <v>27</v>
      </c>
      <c r="I496" s="130" t="s">
        <v>616</v>
      </c>
      <c r="J496" s="130" t="s">
        <v>237</v>
      </c>
      <c r="K496" s="61" t="s">
        <v>618</v>
      </c>
      <c r="L496" s="61" t="s">
        <v>723</v>
      </c>
      <c r="M496" s="100" t="str">
        <f t="shared" si="14"/>
        <v>Wrong measurement</v>
      </c>
      <c r="N496" s="59" t="str">
        <f t="shared" si="15"/>
        <v>Wrong measurement</v>
      </c>
      <c r="O496" s="67" t="s">
        <v>102</v>
      </c>
      <c r="P496" s="131"/>
    </row>
    <row r="497" spans="1:16" s="130" customFormat="1">
      <c r="A497" s="78">
        <v>97</v>
      </c>
      <c r="B497" t="s">
        <v>2498</v>
      </c>
      <c r="C497" s="130" t="s">
        <v>253</v>
      </c>
      <c r="D497" s="97" t="e">
        <f>_xlfn.XLOOKUP(A497,[1]CPD_SOP_new!$A:$A,[1]CPD_SOP_new!#REF!,"not found",0 )</f>
        <v>#REF!</v>
      </c>
      <c r="E497" s="97" t="str">
        <f>_xlfn.XLOOKUP(A497,[1]CPD_SOP_new!$A:$A,[1]CPD_SOP_new!$K:$K,"not found",0 )</f>
        <v>1P+2L</v>
      </c>
      <c r="F497" s="130" t="s">
        <v>28</v>
      </c>
      <c r="G497" s="130" t="s">
        <v>28</v>
      </c>
      <c r="H497" s="130" t="s">
        <v>27</v>
      </c>
      <c r="I497" s="130" t="s">
        <v>616</v>
      </c>
      <c r="J497" s="130" t="s">
        <v>237</v>
      </c>
      <c r="K497" s="61" t="s">
        <v>619</v>
      </c>
      <c r="L497" s="61" t="s">
        <v>723</v>
      </c>
      <c r="M497" s="100" t="str">
        <f t="shared" si="14"/>
        <v>Wrong measurement</v>
      </c>
      <c r="N497" s="59" t="str">
        <f t="shared" si="15"/>
        <v>Wrong measurement</v>
      </c>
      <c r="O497" s="67" t="s">
        <v>102</v>
      </c>
      <c r="P497" s="131"/>
    </row>
    <row r="498" spans="1:16" s="130" customFormat="1">
      <c r="A498" s="78">
        <v>97</v>
      </c>
      <c r="B498" t="s">
        <v>2498</v>
      </c>
      <c r="C498" s="130" t="s">
        <v>253</v>
      </c>
      <c r="D498" s="97" t="e">
        <f>_xlfn.XLOOKUP(A498,[1]CPD_SOP_new!$A:$A,[1]CPD_SOP_new!#REF!,"not found",0 )</f>
        <v>#REF!</v>
      </c>
      <c r="E498" s="97" t="str">
        <f>_xlfn.XLOOKUP(A498,[1]CPD_SOP_new!$A:$A,[1]CPD_SOP_new!$K:$K,"not found",0 )</f>
        <v>1P+2L</v>
      </c>
      <c r="F498" s="130" t="s">
        <v>28</v>
      </c>
      <c r="G498" s="130" t="s">
        <v>28</v>
      </c>
      <c r="H498" s="130" t="s">
        <v>27</v>
      </c>
      <c r="I498" s="130" t="s">
        <v>616</v>
      </c>
      <c r="J498" s="130" t="s">
        <v>237</v>
      </c>
      <c r="K498" s="130" t="s">
        <v>620</v>
      </c>
      <c r="L498" s="130" t="s">
        <v>723</v>
      </c>
      <c r="M498" s="100" t="str">
        <f t="shared" si="14"/>
        <v>Wrong measurement</v>
      </c>
      <c r="N498" s="59" t="str">
        <f t="shared" si="15"/>
        <v>Wrong measurement</v>
      </c>
      <c r="O498" s="131" t="s">
        <v>102</v>
      </c>
      <c r="P498" s="131"/>
    </row>
    <row r="499" spans="1:16" s="130" customFormat="1">
      <c r="A499" s="78">
        <v>98</v>
      </c>
      <c r="B499" t="s">
        <v>2498</v>
      </c>
      <c r="C499" s="130" t="s">
        <v>253</v>
      </c>
      <c r="D499" s="97" t="e">
        <f>_xlfn.XLOOKUP(A499,[1]CPD_SOP_new!$A:$A,[1]CPD_SOP_new!#REF!,"not found",0 )</f>
        <v>#REF!</v>
      </c>
      <c r="E499" s="97" t="str">
        <f>_xlfn.XLOOKUP(A499,[1]CPD_SOP_new!$A:$A,[1]CPD_SOP_new!$K:$K,"not found",0 )</f>
        <v>2L+3R</v>
      </c>
      <c r="F499" s="130" t="s">
        <v>27</v>
      </c>
      <c r="G499" s="130" t="s">
        <v>27</v>
      </c>
      <c r="H499" s="130" t="s">
        <v>27</v>
      </c>
      <c r="I499" s="130" t="s">
        <v>616</v>
      </c>
      <c r="J499" s="130" t="s">
        <v>237</v>
      </c>
      <c r="K499" s="130" t="s">
        <v>727</v>
      </c>
      <c r="L499" s="130" t="s">
        <v>723</v>
      </c>
      <c r="M499" s="100" t="str">
        <f t="shared" si="14"/>
        <v>Wrong measurement</v>
      </c>
      <c r="N499" s="59" t="str">
        <f t="shared" si="15"/>
        <v>Wrong measurement</v>
      </c>
      <c r="O499" s="63" t="s">
        <v>202</v>
      </c>
      <c r="P499" s="63"/>
    </row>
    <row r="500" spans="1:16" s="130" customFormat="1">
      <c r="A500" s="78">
        <v>98</v>
      </c>
      <c r="B500" t="s">
        <v>2498</v>
      </c>
      <c r="C500" s="130" t="s">
        <v>253</v>
      </c>
      <c r="D500" s="97" t="e">
        <f>_xlfn.XLOOKUP(A500,[1]CPD_SOP_new!$A:$A,[1]CPD_SOP_new!#REF!,"not found",0 )</f>
        <v>#REF!</v>
      </c>
      <c r="E500" s="97" t="str">
        <f>_xlfn.XLOOKUP(A500,[1]CPD_SOP_new!$A:$A,[1]CPD_SOP_new!$K:$K,"not found",0 )</f>
        <v>2L+3R</v>
      </c>
      <c r="F500" s="130" t="s">
        <v>27</v>
      </c>
      <c r="G500" s="130" t="s">
        <v>27</v>
      </c>
      <c r="H500" s="130" t="s">
        <v>27</v>
      </c>
      <c r="I500" s="130" t="s">
        <v>616</v>
      </c>
      <c r="J500" s="130" t="s">
        <v>237</v>
      </c>
      <c r="K500" s="130" t="s">
        <v>728</v>
      </c>
      <c r="L500" s="130" t="s">
        <v>723</v>
      </c>
      <c r="M500" s="100" t="str">
        <f t="shared" si="14"/>
        <v>Wrong measurement</v>
      </c>
      <c r="N500" s="59" t="str">
        <f t="shared" si="15"/>
        <v>Wrong measurement</v>
      </c>
      <c r="O500" s="63" t="s">
        <v>202</v>
      </c>
      <c r="P500" s="63"/>
    </row>
    <row r="501" spans="1:16" s="130" customFormat="1">
      <c r="A501" s="78">
        <v>98</v>
      </c>
      <c r="B501" t="s">
        <v>2498</v>
      </c>
      <c r="C501" s="130" t="s">
        <v>253</v>
      </c>
      <c r="D501" s="97" t="e">
        <f>_xlfn.XLOOKUP(A501,[1]CPD_SOP_new!$A:$A,[1]CPD_SOP_new!#REF!,"not found",0 )</f>
        <v>#REF!</v>
      </c>
      <c r="E501" s="97" t="str">
        <f>_xlfn.XLOOKUP(A501,[1]CPD_SOP_new!$A:$A,[1]CPD_SOP_new!$K:$K,"not found",0 )</f>
        <v>2L+3R</v>
      </c>
      <c r="F501" s="130" t="s">
        <v>27</v>
      </c>
      <c r="G501" s="130" t="s">
        <v>27</v>
      </c>
      <c r="H501" s="130" t="s">
        <v>27</v>
      </c>
      <c r="I501" s="130" t="s">
        <v>616</v>
      </c>
      <c r="J501" s="130" t="s">
        <v>237</v>
      </c>
      <c r="K501" s="130" t="s">
        <v>729</v>
      </c>
      <c r="L501" s="130" t="s">
        <v>723</v>
      </c>
      <c r="M501" s="100" t="str">
        <f t="shared" si="14"/>
        <v>Wrong measurement</v>
      </c>
      <c r="N501" s="59" t="str">
        <f t="shared" si="15"/>
        <v>Wrong measurement</v>
      </c>
      <c r="O501" s="63" t="s">
        <v>202</v>
      </c>
      <c r="P501" s="63"/>
    </row>
    <row r="502" spans="1:16" s="130" customFormat="1">
      <c r="A502" s="38">
        <v>99</v>
      </c>
      <c r="B502" t="s">
        <v>2498</v>
      </c>
      <c r="C502" t="s">
        <v>66</v>
      </c>
      <c r="D502" s="97" t="e">
        <f>_xlfn.XLOOKUP(A502,[1]CPD_SOP_new!$A:$A,[1]CPD_SOP_new!#REF!,"not found",0 )</f>
        <v>#REF!</v>
      </c>
      <c r="E502" s="97" t="str">
        <f>_xlfn.XLOOKUP(A502,[1]CPD_SOP_new!$A:$A,[1]CPD_SOP_new!$K:$K,"not found",0 )</f>
        <v>1P+3L</v>
      </c>
      <c r="F502" t="s">
        <v>27</v>
      </c>
      <c r="G502" t="s">
        <v>27</v>
      </c>
      <c r="H502" t="s">
        <v>27</v>
      </c>
      <c r="I502" t="s">
        <v>28</v>
      </c>
      <c r="J502" t="s">
        <v>113</v>
      </c>
      <c r="K502" t="s">
        <v>731</v>
      </c>
      <c r="L502" t="s">
        <v>2533</v>
      </c>
      <c r="M502" s="100" t="str">
        <f t="shared" si="14"/>
        <v>TC_99_Try1_Adult_w_child_3YO_1P+3L_CPD.MF4.xz</v>
      </c>
      <c r="N502" s="59" t="str">
        <f t="shared" si="15"/>
        <v>_Adult_w_child_3YO_1P+3L_CPD.MF4.xz</v>
      </c>
      <c r="O502" s="134" t="s">
        <v>671</v>
      </c>
      <c r="P502" s="134"/>
    </row>
    <row r="503" spans="1:16" s="130" customFormat="1">
      <c r="A503" s="38">
        <v>99</v>
      </c>
      <c r="B503" t="s">
        <v>2498</v>
      </c>
      <c r="C503" t="s">
        <v>66</v>
      </c>
      <c r="D503" s="97" t="e">
        <f>_xlfn.XLOOKUP(A503,[1]CPD_SOP_new!$A:$A,[1]CPD_SOP_new!#REF!,"not found",0 )</f>
        <v>#REF!</v>
      </c>
      <c r="E503" s="97" t="str">
        <f>_xlfn.XLOOKUP(A503,[1]CPD_SOP_new!$A:$A,[1]CPD_SOP_new!$K:$K,"not found",0 )</f>
        <v>1P+3L</v>
      </c>
      <c r="F503" t="s">
        <v>27</v>
      </c>
      <c r="G503" t="s">
        <v>27</v>
      </c>
      <c r="H503" t="s">
        <v>27</v>
      </c>
      <c r="I503" t="s">
        <v>28</v>
      </c>
      <c r="J503" t="s">
        <v>113</v>
      </c>
      <c r="K503" t="s">
        <v>734</v>
      </c>
      <c r="L503" t="s">
        <v>2534</v>
      </c>
      <c r="M503" s="100" t="str">
        <f t="shared" si="14"/>
        <v>TC_99_Try2_Adult_w_child_3YO_1P+3L_CPD.MF4.xz</v>
      </c>
      <c r="N503" s="59" t="str">
        <f t="shared" si="15"/>
        <v>_Adult_w_child_3YO_1P+3L_CPD.MF4.xz</v>
      </c>
      <c r="O503" s="134" t="s">
        <v>671</v>
      </c>
      <c r="P503" s="134"/>
    </row>
    <row r="504" spans="1:16" s="130" customFormat="1">
      <c r="A504" s="38">
        <v>99</v>
      </c>
      <c r="B504" t="s">
        <v>2498</v>
      </c>
      <c r="C504" t="s">
        <v>66</v>
      </c>
      <c r="D504" s="97" t="e">
        <f>_xlfn.XLOOKUP(A504,[1]CPD_SOP_new!$A:$A,[1]CPD_SOP_new!#REF!,"not found",0 )</f>
        <v>#REF!</v>
      </c>
      <c r="E504" s="97" t="str">
        <f>_xlfn.XLOOKUP(A504,[1]CPD_SOP_new!$A:$A,[1]CPD_SOP_new!$K:$K,"not found",0 )</f>
        <v>1P+3L</v>
      </c>
      <c r="F504" t="s">
        <v>27</v>
      </c>
      <c r="G504" t="s">
        <v>27</v>
      </c>
      <c r="H504" t="s">
        <v>27</v>
      </c>
      <c r="I504" t="s">
        <v>28</v>
      </c>
      <c r="J504" t="s">
        <v>113</v>
      </c>
      <c r="K504" t="s">
        <v>735</v>
      </c>
      <c r="L504" t="s">
        <v>2535</v>
      </c>
      <c r="M504" s="100" t="str">
        <f t="shared" si="14"/>
        <v>TC_99_Try3_Adult_w_child_3YO_1P+3L_CPD.MF4.xz</v>
      </c>
      <c r="N504" s="59" t="str">
        <f t="shared" si="15"/>
        <v>_Adult_w_child_3YO_1P+3L_CPD.MF4.xz</v>
      </c>
      <c r="O504" s="134" t="s">
        <v>671</v>
      </c>
      <c r="P504" s="134"/>
    </row>
    <row r="505" spans="1:16" s="130" customFormat="1">
      <c r="A505" s="77">
        <v>102</v>
      </c>
      <c r="B505" t="s">
        <v>2536</v>
      </c>
      <c r="D505" s="97" t="e">
        <f>_xlfn.XLOOKUP(A505,[1]CPD_SOP_new!$A:$A,[1]CPD_SOP_new!#REF!,"not found",0 )</f>
        <v>#REF!</v>
      </c>
      <c r="E505" s="97" t="s">
        <v>112</v>
      </c>
      <c r="F505" t="s">
        <v>27</v>
      </c>
      <c r="G505" t="s">
        <v>28</v>
      </c>
      <c r="H505" t="s">
        <v>27</v>
      </c>
      <c r="I505" t="s">
        <v>28</v>
      </c>
      <c r="J505" t="s">
        <v>113</v>
      </c>
      <c r="K505" t="s">
        <v>736</v>
      </c>
      <c r="L505" t="s">
        <v>2537</v>
      </c>
      <c r="M505" s="100" t="str">
        <f t="shared" si="14"/>
        <v>TC_102_Try1_Adult_only__1L_CPD.MF4.xz</v>
      </c>
      <c r="N505" s="59" t="str">
        <f t="shared" si="15"/>
        <v>_Adult_only__1L_CPD.MF4.xz</v>
      </c>
      <c r="O505" s="132" t="s">
        <v>671</v>
      </c>
      <c r="P505" s="132"/>
    </row>
    <row r="506" spans="1:16" s="130" customFormat="1">
      <c r="A506" s="77">
        <v>102</v>
      </c>
      <c r="B506" t="s">
        <v>2536</v>
      </c>
      <c r="D506" s="97" t="e">
        <f>_xlfn.XLOOKUP(A506,[1]CPD_SOP_new!$A:$A,[1]CPD_SOP_new!#REF!,"not found",0 )</f>
        <v>#REF!</v>
      </c>
      <c r="E506" s="97" t="s">
        <v>112</v>
      </c>
      <c r="F506" t="s">
        <v>27</v>
      </c>
      <c r="G506" t="s">
        <v>28</v>
      </c>
      <c r="H506" t="s">
        <v>27</v>
      </c>
      <c r="I506" t="s">
        <v>28</v>
      </c>
      <c r="J506" t="s">
        <v>113</v>
      </c>
      <c r="K506" t="s">
        <v>738</v>
      </c>
      <c r="L506" t="s">
        <v>2538</v>
      </c>
      <c r="M506" s="100" t="str">
        <f t="shared" si="14"/>
        <v>TC_102_Try2_Adult_only__1L_CPD.MF4.xz</v>
      </c>
      <c r="N506" s="59" t="str">
        <f t="shared" si="15"/>
        <v>_Adult_only__1L_CPD.MF4.xz</v>
      </c>
      <c r="O506" s="132" t="s">
        <v>671</v>
      </c>
      <c r="P506" s="132"/>
    </row>
    <row r="507" spans="1:16">
      <c r="A507" s="77">
        <v>102</v>
      </c>
      <c r="B507" t="s">
        <v>2536</v>
      </c>
      <c r="D507" s="97" t="e">
        <f>_xlfn.XLOOKUP(A507,[1]CPD_SOP_new!$A:$A,[1]CPD_SOP_new!#REF!,"not found",0 )</f>
        <v>#REF!</v>
      </c>
      <c r="E507" s="97" t="s">
        <v>112</v>
      </c>
      <c r="F507" t="s">
        <v>27</v>
      </c>
      <c r="G507" t="s">
        <v>28</v>
      </c>
      <c r="H507" t="s">
        <v>27</v>
      </c>
      <c r="I507" t="s">
        <v>28</v>
      </c>
      <c r="J507" t="s">
        <v>113</v>
      </c>
      <c r="K507" t="s">
        <v>739</v>
      </c>
      <c r="L507" t="s">
        <v>2539</v>
      </c>
      <c r="M507" s="100" t="str">
        <f t="shared" si="14"/>
        <v>TC_102_Try3_Adult_only__1L_CPD.MF4.xz</v>
      </c>
      <c r="N507" s="59" t="str">
        <f t="shared" si="15"/>
        <v>_Adult_only__1L_CPD.MF4.xz</v>
      </c>
      <c r="O507" s="132" t="s">
        <v>671</v>
      </c>
      <c r="P507" s="132"/>
    </row>
    <row r="508" spans="1:16">
      <c r="A508" s="77">
        <v>102</v>
      </c>
      <c r="B508" t="s">
        <v>2536</v>
      </c>
      <c r="D508" s="97" t="e">
        <f>_xlfn.XLOOKUP(A508,[1]CPD_SOP_new!$A:$A,[1]CPD_SOP_new!#REF!,"not found",0 )</f>
        <v>#REF!</v>
      </c>
      <c r="E508" s="97" t="s">
        <v>112</v>
      </c>
      <c r="F508" t="s">
        <v>27</v>
      </c>
      <c r="G508" t="s">
        <v>28</v>
      </c>
      <c r="H508" t="s">
        <v>27</v>
      </c>
      <c r="I508" t="s">
        <v>28</v>
      </c>
      <c r="J508" t="s">
        <v>113</v>
      </c>
      <c r="K508" s="132" t="s">
        <v>740</v>
      </c>
      <c r="L508" s="132" t="s">
        <v>2540</v>
      </c>
      <c r="M508" s="100" t="str">
        <f t="shared" si="14"/>
        <v>CSR_XCP_Signals_Recorder_2025-12-22_15-21-33_TC102_CPD_Adult_only__1L_CPD.MF4.xz</v>
      </c>
      <c r="N508" s="59" t="str">
        <f t="shared" si="15"/>
        <v>_Adult_only__1L_CPD.MF4.xz</v>
      </c>
      <c r="O508" s="132" t="s">
        <v>53</v>
      </c>
      <c r="P508" s="132"/>
    </row>
    <row r="509" spans="1:16" s="130" customFormat="1">
      <c r="A509" s="78">
        <v>102</v>
      </c>
      <c r="B509" t="s">
        <v>2536</v>
      </c>
      <c r="D509" s="97" t="e">
        <f>_xlfn.XLOOKUP(A509,[1]CPD_SOP_new!$A:$A,[1]CPD_SOP_new!#REF!,"not found",0 )</f>
        <v>#REF!</v>
      </c>
      <c r="E509" s="97" t="s">
        <v>112</v>
      </c>
      <c r="F509" s="130" t="s">
        <v>27</v>
      </c>
      <c r="G509" s="130" t="s">
        <v>28</v>
      </c>
      <c r="H509" s="130" t="s">
        <v>27</v>
      </c>
      <c r="I509" s="130" t="s">
        <v>27</v>
      </c>
      <c r="J509" s="130" t="s">
        <v>113</v>
      </c>
      <c r="K509" s="136" t="s">
        <v>114</v>
      </c>
      <c r="L509" s="136" t="s">
        <v>723</v>
      </c>
      <c r="M509" s="100" t="str">
        <f t="shared" si="14"/>
        <v>Wrong measurement</v>
      </c>
      <c r="N509" s="59" t="str">
        <f t="shared" si="15"/>
        <v>Wrong measurement</v>
      </c>
      <c r="O509" s="136" t="s">
        <v>64</v>
      </c>
      <c r="P509" s="136"/>
    </row>
    <row r="510" spans="1:16" s="130" customFormat="1">
      <c r="A510" s="78">
        <v>102</v>
      </c>
      <c r="B510" t="s">
        <v>2536</v>
      </c>
      <c r="D510" s="97" t="e">
        <f>_xlfn.XLOOKUP(A510,[1]CPD_SOP_new!$A:$A,[1]CPD_SOP_new!#REF!,"not found",0 )</f>
        <v>#REF!</v>
      </c>
      <c r="E510" s="97" t="s">
        <v>112</v>
      </c>
      <c r="F510" s="130" t="s">
        <v>27</v>
      </c>
      <c r="G510" s="130" t="s">
        <v>28</v>
      </c>
      <c r="H510" s="130" t="s">
        <v>27</v>
      </c>
      <c r="I510" s="130" t="s">
        <v>27</v>
      </c>
      <c r="J510" s="130" t="s">
        <v>113</v>
      </c>
      <c r="K510" s="130" t="s">
        <v>742</v>
      </c>
      <c r="L510" s="130" t="s">
        <v>723</v>
      </c>
      <c r="M510" s="100" t="str">
        <f t="shared" si="14"/>
        <v>Wrong measurement</v>
      </c>
      <c r="N510" s="59" t="str">
        <f t="shared" si="15"/>
        <v>Wrong measurement</v>
      </c>
      <c r="O510" s="136" t="s">
        <v>130</v>
      </c>
      <c r="P510" s="136"/>
    </row>
    <row r="511" spans="1:16">
      <c r="A511" s="77">
        <v>103</v>
      </c>
      <c r="B511" t="s">
        <v>2536</v>
      </c>
      <c r="D511" s="97" t="e">
        <f>_xlfn.XLOOKUP(A511,[1]CPD_SOP_new!$A:$A,[1]CPD_SOP_new!#REF!,"not found",0 )</f>
        <v>#REF!</v>
      </c>
      <c r="E511" s="97" t="s">
        <v>26</v>
      </c>
      <c r="F511" t="s">
        <v>27</v>
      </c>
      <c r="G511" t="s">
        <v>28</v>
      </c>
      <c r="H511" t="s">
        <v>28</v>
      </c>
      <c r="I511" t="s">
        <v>28</v>
      </c>
      <c r="J511" t="s">
        <v>113</v>
      </c>
      <c r="K511" t="s">
        <v>743</v>
      </c>
      <c r="L511" t="s">
        <v>2541</v>
      </c>
      <c r="M511" s="100" t="str">
        <f t="shared" si="14"/>
        <v>TC_103_Try1_Adult_only__1R_CPD.MF4.xz</v>
      </c>
      <c r="N511" s="59" t="str">
        <f t="shared" si="15"/>
        <v>_Adult_only__1R_CPD.MF4.xz</v>
      </c>
      <c r="O511" s="129" t="s">
        <v>2542</v>
      </c>
      <c r="P511" s="129"/>
    </row>
    <row r="512" spans="1:16">
      <c r="A512" s="77">
        <v>103</v>
      </c>
      <c r="B512" t="s">
        <v>2536</v>
      </c>
      <c r="D512" s="97" t="e">
        <f>_xlfn.XLOOKUP(A512,[1]CPD_SOP_new!$A:$A,[1]CPD_SOP_new!#REF!,"not found",0 )</f>
        <v>#REF!</v>
      </c>
      <c r="E512" s="97" t="s">
        <v>26</v>
      </c>
      <c r="F512" t="s">
        <v>27</v>
      </c>
      <c r="G512" t="s">
        <v>28</v>
      </c>
      <c r="H512" t="s">
        <v>28</v>
      </c>
      <c r="I512" t="s">
        <v>28</v>
      </c>
      <c r="J512" t="s">
        <v>113</v>
      </c>
      <c r="K512" t="s">
        <v>746</v>
      </c>
      <c r="L512" t="s">
        <v>2543</v>
      </c>
      <c r="M512" s="100" t="str">
        <f t="shared" si="14"/>
        <v>TC_103_Try2_Adult_only__1R_CPD.MF4.xz</v>
      </c>
      <c r="N512" s="59" t="str">
        <f t="shared" si="15"/>
        <v>_Adult_only__1R_CPD.MF4.xz</v>
      </c>
      <c r="O512" s="129" t="s">
        <v>2544</v>
      </c>
      <c r="P512" s="129"/>
    </row>
    <row r="513" spans="1:21">
      <c r="A513" s="77">
        <v>103</v>
      </c>
      <c r="B513" t="s">
        <v>2536</v>
      </c>
      <c r="D513" s="97" t="e">
        <f>_xlfn.XLOOKUP(A513,[1]CPD_SOP_new!$A:$A,[1]CPD_SOP_new!#REF!,"not found",0 )</f>
        <v>#REF!</v>
      </c>
      <c r="E513" s="97" t="s">
        <v>26</v>
      </c>
      <c r="F513" t="s">
        <v>27</v>
      </c>
      <c r="G513" t="s">
        <v>28</v>
      </c>
      <c r="H513" t="s">
        <v>28</v>
      </c>
      <c r="I513" t="s">
        <v>28</v>
      </c>
      <c r="J513" t="s">
        <v>113</v>
      </c>
      <c r="K513" s="60" t="s">
        <v>748</v>
      </c>
      <c r="L513" t="s">
        <v>2545</v>
      </c>
      <c r="M513" s="100" t="str">
        <f t="shared" si="14"/>
        <v>TC_103_Try3_Adult_only__1R_CPD.MF4.xz</v>
      </c>
      <c r="N513" s="59" t="str">
        <f t="shared" si="15"/>
        <v>_Adult_only__1R_CPD.MF4.xz</v>
      </c>
      <c r="O513" s="129" t="s">
        <v>2546</v>
      </c>
      <c r="P513" s="129"/>
    </row>
    <row r="514" spans="1:21">
      <c r="A514" s="77">
        <v>103</v>
      </c>
      <c r="B514" t="s">
        <v>2536</v>
      </c>
      <c r="D514" s="97" t="e">
        <f>_xlfn.XLOOKUP(A514,[1]CPD_SOP_new!$A:$A,[1]CPD_SOP_new!#REF!,"not found",0 )</f>
        <v>#REF!</v>
      </c>
      <c r="E514" s="97" t="s">
        <v>26</v>
      </c>
      <c r="F514" t="s">
        <v>27</v>
      </c>
      <c r="G514" t="s">
        <v>28</v>
      </c>
      <c r="H514" t="s">
        <v>28</v>
      </c>
      <c r="I514" t="s">
        <v>28</v>
      </c>
      <c r="J514" t="s">
        <v>113</v>
      </c>
      <c r="K514" s="60" t="s">
        <v>749</v>
      </c>
      <c r="L514" t="s">
        <v>2547</v>
      </c>
      <c r="M514" s="100" t="str">
        <f t="shared" ref="M514:M577" si="16">IF(NOT(N514="Wrong measurement"),SUBSTITUTE(K514,".MF4.xz",N514),"Wrong measurement")</f>
        <v>TC_103_Try3_Retry_Adult_only__1R_CPD.MF4.xz</v>
      </c>
      <c r="N514" s="59" t="str">
        <f t="shared" ref="N514:N577" si="17">IF(I514="Y",("_"&amp;B514 &amp;"_"&amp; IF(C514="","",C514)&amp;"_"&amp;E514&amp;"_CPD.MF4.xz"),"Wrong measurement")</f>
        <v>_Adult_only__1R_CPD.MF4.xz</v>
      </c>
      <c r="O514" s="129" t="s">
        <v>2548</v>
      </c>
      <c r="P514" s="129"/>
    </row>
    <row r="515" spans="1:21" s="130" customFormat="1">
      <c r="A515" s="78">
        <v>103</v>
      </c>
      <c r="B515" t="s">
        <v>2536</v>
      </c>
      <c r="D515" s="97" t="e">
        <f>_xlfn.XLOOKUP(A515,[1]CPD_SOP_new!$A:$A,[1]CPD_SOP_new!#REF!,"not found",0 )</f>
        <v>#REF!</v>
      </c>
      <c r="E515" s="97" t="s">
        <v>26</v>
      </c>
      <c r="F515" s="130" t="s">
        <v>27</v>
      </c>
      <c r="G515" s="130" t="s">
        <v>28</v>
      </c>
      <c r="H515" s="130" t="s">
        <v>28</v>
      </c>
      <c r="I515" s="130" t="s">
        <v>27</v>
      </c>
      <c r="J515" s="130" t="s">
        <v>237</v>
      </c>
      <c r="K515" s="61" t="s">
        <v>1033</v>
      </c>
      <c r="L515" s="130" t="s">
        <v>723</v>
      </c>
      <c r="M515" s="100" t="str">
        <f t="shared" si="16"/>
        <v>Wrong measurement</v>
      </c>
      <c r="N515" s="59" t="str">
        <f t="shared" si="17"/>
        <v>Wrong measurement</v>
      </c>
      <c r="O515" s="130" t="s">
        <v>353</v>
      </c>
      <c r="Q515" s="130" t="s">
        <v>113</v>
      </c>
      <c r="R515" s="130" t="s">
        <v>113</v>
      </c>
      <c r="S515" s="130">
        <v>1</v>
      </c>
      <c r="T515" s="130">
        <v>0</v>
      </c>
      <c r="U515" s="130">
        <v>0</v>
      </c>
    </row>
    <row r="516" spans="1:21" s="130" customFormat="1">
      <c r="A516" s="78">
        <v>103</v>
      </c>
      <c r="B516" t="s">
        <v>2536</v>
      </c>
      <c r="D516" s="97" t="e">
        <f>_xlfn.XLOOKUP(A516,[1]CPD_SOP_new!$A:$A,[1]CPD_SOP_new!#REF!,"not found",0 )</f>
        <v>#REF!</v>
      </c>
      <c r="E516" s="97" t="s">
        <v>26</v>
      </c>
      <c r="F516" s="130" t="s">
        <v>27</v>
      </c>
      <c r="G516" s="130" t="s">
        <v>28</v>
      </c>
      <c r="H516" s="130" t="s">
        <v>28</v>
      </c>
      <c r="I516" s="130" t="s">
        <v>27</v>
      </c>
      <c r="J516" s="130" t="s">
        <v>237</v>
      </c>
      <c r="K516" s="61" t="s">
        <v>1040</v>
      </c>
      <c r="L516" s="130" t="s">
        <v>723</v>
      </c>
      <c r="M516" s="100" t="str">
        <f t="shared" si="16"/>
        <v>Wrong measurement</v>
      </c>
      <c r="N516" s="59" t="str">
        <f t="shared" si="17"/>
        <v>Wrong measurement</v>
      </c>
      <c r="O516" s="130" t="s">
        <v>353</v>
      </c>
      <c r="Q516" s="130" t="s">
        <v>113</v>
      </c>
      <c r="R516" s="130" t="s">
        <v>113</v>
      </c>
      <c r="S516" s="130">
        <v>1</v>
      </c>
      <c r="T516" s="130">
        <v>0</v>
      </c>
      <c r="U516" s="130">
        <v>0</v>
      </c>
    </row>
    <row r="517" spans="1:21" s="130" customFormat="1">
      <c r="A517" s="78">
        <v>103</v>
      </c>
      <c r="B517" t="s">
        <v>2536</v>
      </c>
      <c r="D517" s="97" t="e">
        <f>_xlfn.XLOOKUP(A517,[1]CPD_SOP_new!$A:$A,[1]CPD_SOP_new!#REF!,"not found",0 )</f>
        <v>#REF!</v>
      </c>
      <c r="E517" s="97" t="s">
        <v>26</v>
      </c>
      <c r="F517" s="130" t="s">
        <v>27</v>
      </c>
      <c r="G517" s="130" t="s">
        <v>28</v>
      </c>
      <c r="H517" s="130" t="s">
        <v>28</v>
      </c>
      <c r="I517" s="130" t="s">
        <v>27</v>
      </c>
      <c r="J517" s="130" t="s">
        <v>237</v>
      </c>
      <c r="K517" s="61" t="s">
        <v>1041</v>
      </c>
      <c r="L517" s="130" t="s">
        <v>723</v>
      </c>
      <c r="M517" s="100" t="str">
        <f t="shared" si="16"/>
        <v>Wrong measurement</v>
      </c>
      <c r="N517" s="59" t="str">
        <f t="shared" si="17"/>
        <v>Wrong measurement</v>
      </c>
      <c r="O517" s="130" t="s">
        <v>353</v>
      </c>
      <c r="Q517" s="130" t="s">
        <v>113</v>
      </c>
      <c r="R517" s="130" t="s">
        <v>113</v>
      </c>
      <c r="S517" s="130">
        <v>1</v>
      </c>
      <c r="T517" s="130">
        <v>0</v>
      </c>
      <c r="U517" s="130">
        <v>0</v>
      </c>
    </row>
    <row r="518" spans="1:21">
      <c r="A518" s="78">
        <v>103</v>
      </c>
      <c r="B518" s="137" t="s">
        <v>105</v>
      </c>
      <c r="C518" s="137"/>
      <c r="D518" s="97" t="e">
        <f>_xlfn.XLOOKUP(A518,[1]CPD_SOP_new!$A:$A,[1]CPD_SOP_new!#REF!,"not found",0 )</f>
        <v>#REF!</v>
      </c>
      <c r="E518" s="97" t="s">
        <v>26</v>
      </c>
      <c r="F518" s="137" t="s">
        <v>27</v>
      </c>
      <c r="G518" t="s">
        <v>28</v>
      </c>
      <c r="H518" t="s">
        <v>28</v>
      </c>
      <c r="I518" s="137" t="s">
        <v>27</v>
      </c>
      <c r="J518" s="137" t="s">
        <v>105</v>
      </c>
      <c r="K518" s="68" t="s">
        <v>755</v>
      </c>
      <c r="L518" s="137" t="s">
        <v>723</v>
      </c>
      <c r="M518" s="100" t="str">
        <f t="shared" si="16"/>
        <v>Wrong measurement</v>
      </c>
      <c r="N518" s="59" t="str">
        <f t="shared" si="17"/>
        <v>Wrong measurement</v>
      </c>
      <c r="O518" s="137" t="s">
        <v>353</v>
      </c>
      <c r="P518" s="137"/>
      <c r="Q518" s="137" t="s">
        <v>105</v>
      </c>
      <c r="R518" s="137" t="s">
        <v>105</v>
      </c>
      <c r="S518" s="137" t="s">
        <v>105</v>
      </c>
      <c r="T518" s="137" t="s">
        <v>105</v>
      </c>
      <c r="U518" s="137" t="s">
        <v>105</v>
      </c>
    </row>
    <row r="519" spans="1:21">
      <c r="A519" s="77">
        <v>103</v>
      </c>
      <c r="B519" t="s">
        <v>2536</v>
      </c>
      <c r="D519" s="97" t="e">
        <f>_xlfn.XLOOKUP(A519,[1]CPD_SOP_new!$A:$A,[1]CPD_SOP_new!#REF!,"not found",0 )</f>
        <v>#REF!</v>
      </c>
      <c r="E519" s="97" t="s">
        <v>26</v>
      </c>
      <c r="F519" t="s">
        <v>27</v>
      </c>
      <c r="G519" t="s">
        <v>28</v>
      </c>
      <c r="H519" t="s">
        <v>28</v>
      </c>
      <c r="I519" t="s">
        <v>28</v>
      </c>
      <c r="J519" t="s">
        <v>113</v>
      </c>
      <c r="K519" s="60" t="s">
        <v>756</v>
      </c>
      <c r="L519" t="s">
        <v>2549</v>
      </c>
      <c r="M519" s="100" t="str">
        <f t="shared" si="16"/>
        <v>CSR_XCP_Signals_Recorder_2026-01-29_15-55-58_TC103_NCAP_1_2_Adult_only__1R_CPD.MF4.xz</v>
      </c>
      <c r="N519" s="59" t="str">
        <f t="shared" si="17"/>
        <v>_Adult_only__1R_CPD.MF4.xz</v>
      </c>
      <c r="O519" t="s">
        <v>353</v>
      </c>
      <c r="Q519" t="s">
        <v>113</v>
      </c>
      <c r="R519" t="s">
        <v>113</v>
      </c>
      <c r="S519">
        <v>1</v>
      </c>
      <c r="T519">
        <v>0</v>
      </c>
      <c r="U519">
        <v>0</v>
      </c>
    </row>
    <row r="520" spans="1:21">
      <c r="A520" s="78">
        <v>103</v>
      </c>
      <c r="B520" s="137" t="s">
        <v>105</v>
      </c>
      <c r="C520" s="137"/>
      <c r="D520" s="97" t="e">
        <f>_xlfn.XLOOKUP(A520,[1]CPD_SOP_new!$A:$A,[1]CPD_SOP_new!#REF!,"not found",0 )</f>
        <v>#REF!</v>
      </c>
      <c r="E520" s="97" t="s">
        <v>26</v>
      </c>
      <c r="F520" s="137" t="s">
        <v>27</v>
      </c>
      <c r="G520" t="s">
        <v>28</v>
      </c>
      <c r="H520" t="s">
        <v>28</v>
      </c>
      <c r="I520" s="137" t="s">
        <v>27</v>
      </c>
      <c r="J520" s="137" t="s">
        <v>105</v>
      </c>
      <c r="K520" s="68" t="s">
        <v>757</v>
      </c>
      <c r="L520" s="137" t="s">
        <v>723</v>
      </c>
      <c r="M520" s="100" t="str">
        <f t="shared" si="16"/>
        <v>Wrong measurement</v>
      </c>
      <c r="N520" s="59" t="str">
        <f t="shared" si="17"/>
        <v>Wrong measurement</v>
      </c>
      <c r="O520" s="137" t="s">
        <v>353</v>
      </c>
      <c r="P520" s="137"/>
      <c r="Q520" s="137" t="s">
        <v>105</v>
      </c>
      <c r="R520" s="137" t="s">
        <v>105</v>
      </c>
      <c r="S520" s="137" t="s">
        <v>105</v>
      </c>
      <c r="T520" s="137" t="s">
        <v>105</v>
      </c>
      <c r="U520" s="137" t="s">
        <v>105</v>
      </c>
    </row>
    <row r="521" spans="1:21">
      <c r="A521" s="77">
        <v>104</v>
      </c>
      <c r="B521" t="s">
        <v>2536</v>
      </c>
      <c r="D521" s="97" t="e">
        <f>_xlfn.XLOOKUP(A521,[1]CPD_SOP_new!$A:$A,[1]CPD_SOP_new!#REF!,"not found",0 )</f>
        <v>#REF!</v>
      </c>
      <c r="E521" s="97" t="str">
        <f>_xlfn.XLOOKUP(A521,[1]CPD_SOP_new!$A:$A,[1]CPD_SOP_new!$K:$K,"not found",0 )</f>
        <v>2R</v>
      </c>
      <c r="F521" t="s">
        <v>27</v>
      </c>
      <c r="G521" t="s">
        <v>28</v>
      </c>
      <c r="H521" t="s">
        <v>27</v>
      </c>
      <c r="I521" t="s">
        <v>28</v>
      </c>
      <c r="J521" t="s">
        <v>113</v>
      </c>
      <c r="K521" s="60" t="s">
        <v>759</v>
      </c>
      <c r="L521" t="s">
        <v>2550</v>
      </c>
      <c r="M521" s="100" t="str">
        <f t="shared" si="16"/>
        <v>TC_104_Try1_Adult_only__2R_CPD.MF4.xz</v>
      </c>
      <c r="N521" s="59" t="str">
        <f t="shared" si="17"/>
        <v>_Adult_only__2R_CPD.MF4.xz</v>
      </c>
      <c r="O521" s="132" t="s">
        <v>671</v>
      </c>
      <c r="P521" s="132"/>
    </row>
    <row r="522" spans="1:21">
      <c r="A522" s="77">
        <v>104</v>
      </c>
      <c r="B522" t="s">
        <v>2536</v>
      </c>
      <c r="D522" s="97" t="e">
        <f>_xlfn.XLOOKUP(A522,[1]CPD_SOP_new!$A:$A,[1]CPD_SOP_new!#REF!,"not found",0 )</f>
        <v>#REF!</v>
      </c>
      <c r="E522" s="97" t="str">
        <f>_xlfn.XLOOKUP(A522,[1]CPD_SOP_new!$A:$A,[1]CPD_SOP_new!$K:$K,"not found",0 )</f>
        <v>2R</v>
      </c>
      <c r="F522" t="s">
        <v>27</v>
      </c>
      <c r="G522" t="s">
        <v>28</v>
      </c>
      <c r="H522" t="s">
        <v>27</v>
      </c>
      <c r="I522" t="s">
        <v>28</v>
      </c>
      <c r="J522" t="s">
        <v>113</v>
      </c>
      <c r="K522" t="s">
        <v>761</v>
      </c>
      <c r="L522" t="s">
        <v>2551</v>
      </c>
      <c r="M522" s="100" t="str">
        <f t="shared" si="16"/>
        <v>TC_104_Try2_Adult_only__2R_CPD.MF4.xz</v>
      </c>
      <c r="N522" s="59" t="str">
        <f t="shared" si="17"/>
        <v>_Adult_only__2R_CPD.MF4.xz</v>
      </c>
      <c r="O522" s="132" t="s">
        <v>671</v>
      </c>
      <c r="P522" s="132"/>
    </row>
    <row r="523" spans="1:21">
      <c r="A523" s="77">
        <v>104</v>
      </c>
      <c r="B523" t="s">
        <v>2536</v>
      </c>
      <c r="D523" s="97" t="e">
        <f>_xlfn.XLOOKUP(A523,[1]CPD_SOP_new!$A:$A,[1]CPD_SOP_new!#REF!,"not found",0 )</f>
        <v>#REF!</v>
      </c>
      <c r="E523" s="97" t="str">
        <f>_xlfn.XLOOKUP(A523,[1]CPD_SOP_new!$A:$A,[1]CPD_SOP_new!$K:$K,"not found",0 )</f>
        <v>2R</v>
      </c>
      <c r="F523" t="s">
        <v>27</v>
      </c>
      <c r="G523" t="s">
        <v>28</v>
      </c>
      <c r="H523" t="s">
        <v>27</v>
      </c>
      <c r="I523" t="s">
        <v>28</v>
      </c>
      <c r="J523" t="s">
        <v>113</v>
      </c>
      <c r="K523" t="s">
        <v>762</v>
      </c>
      <c r="L523" t="s">
        <v>2552</v>
      </c>
      <c r="M523" s="100" t="str">
        <f t="shared" si="16"/>
        <v>TC_104_Try3_Adult_only__2R_CPD.MF4.xz</v>
      </c>
      <c r="N523" s="59" t="str">
        <f t="shared" si="17"/>
        <v>_Adult_only__2R_CPD.MF4.xz</v>
      </c>
      <c r="O523" s="132" t="s">
        <v>671</v>
      </c>
      <c r="P523" s="132"/>
    </row>
    <row r="524" spans="1:21">
      <c r="A524" s="77">
        <v>105</v>
      </c>
      <c r="B524" t="s">
        <v>2536</v>
      </c>
      <c r="D524" s="97" t="e">
        <f>_xlfn.XLOOKUP(A524,[1]CPD_SOP_new!$A:$A,[1]CPD_SOP_new!#REF!,"not found",0 )</f>
        <v>#REF!</v>
      </c>
      <c r="E524" s="97" t="str">
        <f>_xlfn.XLOOKUP(A524,[1]CPD_SOP_new!$A:$A,[1]CPD_SOP_new!$K:$K,"not found",0 )</f>
        <v>2C</v>
      </c>
      <c r="F524" t="s">
        <v>27</v>
      </c>
      <c r="G524" t="s">
        <v>28</v>
      </c>
      <c r="H524" t="s">
        <v>27</v>
      </c>
      <c r="I524" t="s">
        <v>28</v>
      </c>
      <c r="J524" t="s">
        <v>113</v>
      </c>
      <c r="K524" t="s">
        <v>771</v>
      </c>
      <c r="L524" t="s">
        <v>2553</v>
      </c>
      <c r="M524" s="100" t="str">
        <f t="shared" si="16"/>
        <v>TC_105_Try1_Adult_only__2C_CPD.MF4.xz</v>
      </c>
      <c r="N524" s="59" t="str">
        <f t="shared" si="17"/>
        <v>_Adult_only__2C_CPD.MF4.xz</v>
      </c>
      <c r="O524" s="132" t="s">
        <v>671</v>
      </c>
      <c r="P524" s="132"/>
    </row>
    <row r="525" spans="1:21">
      <c r="A525" s="77">
        <v>105</v>
      </c>
      <c r="B525" t="s">
        <v>2536</v>
      </c>
      <c r="D525" s="97" t="e">
        <f>_xlfn.XLOOKUP(A525,[1]CPD_SOP_new!$A:$A,[1]CPD_SOP_new!#REF!,"not found",0 )</f>
        <v>#REF!</v>
      </c>
      <c r="E525" s="97" t="str">
        <f>_xlfn.XLOOKUP(A525,[1]CPD_SOP_new!$A:$A,[1]CPD_SOP_new!$K:$K,"not found",0 )</f>
        <v>2C</v>
      </c>
      <c r="F525" t="s">
        <v>27</v>
      </c>
      <c r="G525" t="s">
        <v>28</v>
      </c>
      <c r="H525" t="s">
        <v>27</v>
      </c>
      <c r="I525" t="s">
        <v>28</v>
      </c>
      <c r="J525" t="s">
        <v>113</v>
      </c>
      <c r="K525" t="s">
        <v>773</v>
      </c>
      <c r="L525" t="s">
        <v>2554</v>
      </c>
      <c r="M525" s="100" t="str">
        <f t="shared" si="16"/>
        <v>TC_105_Try2_Adult_only__2C_CPD.MF4.xz</v>
      </c>
      <c r="N525" s="59" t="str">
        <f t="shared" si="17"/>
        <v>_Adult_only__2C_CPD.MF4.xz</v>
      </c>
      <c r="O525" s="132" t="s">
        <v>671</v>
      </c>
      <c r="P525" s="132"/>
    </row>
    <row r="526" spans="1:21">
      <c r="A526" s="77">
        <v>105</v>
      </c>
      <c r="B526" t="s">
        <v>2536</v>
      </c>
      <c r="D526" s="97" t="e">
        <f>_xlfn.XLOOKUP(A526,[1]CPD_SOP_new!$A:$A,[1]CPD_SOP_new!#REF!,"not found",0 )</f>
        <v>#REF!</v>
      </c>
      <c r="E526" s="97" t="str">
        <f>_xlfn.XLOOKUP(A526,[1]CPD_SOP_new!$A:$A,[1]CPD_SOP_new!$K:$K,"not found",0 )</f>
        <v>2C</v>
      </c>
      <c r="F526" t="s">
        <v>27</v>
      </c>
      <c r="G526" t="s">
        <v>28</v>
      </c>
      <c r="H526" t="s">
        <v>27</v>
      </c>
      <c r="I526" t="s">
        <v>28</v>
      </c>
      <c r="J526" t="s">
        <v>113</v>
      </c>
      <c r="K526" t="s">
        <v>774</v>
      </c>
      <c r="L526" t="s">
        <v>2555</v>
      </c>
      <c r="M526" s="100" t="str">
        <f t="shared" si="16"/>
        <v>TC_105_Try3_Adult_only__2C_CPD.MF4.xz</v>
      </c>
      <c r="N526" s="59" t="str">
        <f t="shared" si="17"/>
        <v>_Adult_only__2C_CPD.MF4.xz</v>
      </c>
      <c r="O526" s="132" t="s">
        <v>671</v>
      </c>
      <c r="P526" s="132"/>
    </row>
    <row r="527" spans="1:21">
      <c r="A527" s="77">
        <v>106</v>
      </c>
      <c r="B527" t="s">
        <v>2536</v>
      </c>
      <c r="D527" s="97" t="e">
        <f>_xlfn.XLOOKUP(A527,[1]CPD_SOP_new!$A:$A,[1]CPD_SOP_new!#REF!,"not found",0 )</f>
        <v>#REF!</v>
      </c>
      <c r="E527" s="97" t="str">
        <f>_xlfn.XLOOKUP(A527,[1]CPD_SOP_new!$A:$A,[1]CPD_SOP_new!$K:$K,"not found",0 )</f>
        <v>1P+2L</v>
      </c>
      <c r="F527" t="s">
        <v>27</v>
      </c>
      <c r="G527" t="s">
        <v>28</v>
      </c>
      <c r="H527" t="s">
        <v>28</v>
      </c>
      <c r="I527" t="s">
        <v>28</v>
      </c>
      <c r="J527" t="s">
        <v>113</v>
      </c>
      <c r="K527" t="s">
        <v>775</v>
      </c>
      <c r="L527" t="s">
        <v>2556</v>
      </c>
      <c r="M527" s="100" t="str">
        <f t="shared" si="16"/>
        <v>TC_106_Try1_Adult_only__1P+2L_CPD.MF4.xz</v>
      </c>
      <c r="N527" s="59" t="str">
        <f t="shared" si="17"/>
        <v>_Adult_only__1P+2L_CPD.MF4.xz</v>
      </c>
      <c r="O527" s="134" t="s">
        <v>681</v>
      </c>
      <c r="P527" s="134"/>
    </row>
    <row r="528" spans="1:21">
      <c r="A528" s="77">
        <v>106</v>
      </c>
      <c r="B528" t="s">
        <v>2536</v>
      </c>
      <c r="D528" s="97" t="e">
        <f>_xlfn.XLOOKUP(A528,[1]CPD_SOP_new!$A:$A,[1]CPD_SOP_new!#REF!,"not found",0 )</f>
        <v>#REF!</v>
      </c>
      <c r="E528" s="97" t="str">
        <f>_xlfn.XLOOKUP(A528,[1]CPD_SOP_new!$A:$A,[1]CPD_SOP_new!$K:$K,"not found",0 )</f>
        <v>1P+2L</v>
      </c>
      <c r="F528" t="s">
        <v>27</v>
      </c>
      <c r="G528" t="s">
        <v>28</v>
      </c>
      <c r="H528" t="s">
        <v>28</v>
      </c>
      <c r="I528" t="s">
        <v>28</v>
      </c>
      <c r="J528" t="s">
        <v>113</v>
      </c>
      <c r="K528" t="s">
        <v>777</v>
      </c>
      <c r="L528" t="s">
        <v>2557</v>
      </c>
      <c r="M528" s="100" t="str">
        <f t="shared" si="16"/>
        <v>TC_106_Try2_Adult_only__1P+2L_CPD.MF4.xz</v>
      </c>
      <c r="N528" s="59" t="str">
        <f t="shared" si="17"/>
        <v>_Adult_only__1P+2L_CPD.MF4.xz</v>
      </c>
      <c r="O528" s="134" t="s">
        <v>681</v>
      </c>
      <c r="P528" s="134"/>
    </row>
    <row r="529" spans="1:16">
      <c r="A529" s="77">
        <v>106</v>
      </c>
      <c r="B529" t="s">
        <v>2536</v>
      </c>
      <c r="D529" s="97" t="e">
        <f>_xlfn.XLOOKUP(A529,[1]CPD_SOP_new!$A:$A,[1]CPD_SOP_new!#REF!,"not found",0 )</f>
        <v>#REF!</v>
      </c>
      <c r="E529" s="97" t="str">
        <f>_xlfn.XLOOKUP(A529,[1]CPD_SOP_new!$A:$A,[1]CPD_SOP_new!$K:$K,"not found",0 )</f>
        <v>1P+2L</v>
      </c>
      <c r="F529" t="s">
        <v>27</v>
      </c>
      <c r="G529" t="s">
        <v>28</v>
      </c>
      <c r="H529" t="s">
        <v>28</v>
      </c>
      <c r="I529" t="s">
        <v>28</v>
      </c>
      <c r="J529" t="s">
        <v>113</v>
      </c>
      <c r="K529" t="s">
        <v>778</v>
      </c>
      <c r="L529" t="s">
        <v>2558</v>
      </c>
      <c r="M529" s="100" t="str">
        <f t="shared" si="16"/>
        <v>TC_106_Try3_Adult_only__1P+2L_CPD.MF4.xz</v>
      </c>
      <c r="N529" s="59" t="str">
        <f t="shared" si="17"/>
        <v>_Adult_only__1P+2L_CPD.MF4.xz</v>
      </c>
      <c r="O529" s="134" t="s">
        <v>681</v>
      </c>
      <c r="P529" s="134"/>
    </row>
    <row r="530" spans="1:16">
      <c r="A530" s="77">
        <v>107</v>
      </c>
      <c r="B530" t="s">
        <v>2536</v>
      </c>
      <c r="D530" s="97" t="e">
        <f>_xlfn.XLOOKUP(A530,[1]CPD_SOP_new!$A:$A,[1]CPD_SOP_new!#REF!,"not found",0 )</f>
        <v>#REF!</v>
      </c>
      <c r="E530" s="97" t="str">
        <f>_xlfn.XLOOKUP(A530,[1]CPD_SOP_new!$A:$A,[1]CPD_SOP_new!$K:$K,"not found",0 )</f>
        <v>F2L</v>
      </c>
      <c r="F530" t="s">
        <v>27</v>
      </c>
      <c r="G530" t="s">
        <v>28</v>
      </c>
      <c r="H530" t="s">
        <v>27</v>
      </c>
      <c r="I530" t="s">
        <v>28</v>
      </c>
      <c r="J530" t="s">
        <v>113</v>
      </c>
      <c r="K530" t="s">
        <v>780</v>
      </c>
      <c r="L530" t="s">
        <v>2559</v>
      </c>
      <c r="M530" s="100" t="str">
        <f t="shared" si="16"/>
        <v>TC_107_Try1_Adult_only__F2L_CPD.MF4.xz</v>
      </c>
      <c r="N530" s="59" t="str">
        <f t="shared" si="17"/>
        <v>_Adult_only__F2L_CPD.MF4.xz</v>
      </c>
      <c r="O530" s="132" t="s">
        <v>671</v>
      </c>
      <c r="P530" s="132"/>
    </row>
    <row r="531" spans="1:16">
      <c r="A531" s="77">
        <v>107</v>
      </c>
      <c r="B531" t="s">
        <v>2536</v>
      </c>
      <c r="D531" s="97" t="e">
        <f>_xlfn.XLOOKUP(A531,[1]CPD_SOP_new!$A:$A,[1]CPD_SOP_new!#REF!,"not found",0 )</f>
        <v>#REF!</v>
      </c>
      <c r="E531" s="97" t="str">
        <f>_xlfn.XLOOKUP(A531,[1]CPD_SOP_new!$A:$A,[1]CPD_SOP_new!$K:$K,"not found",0 )</f>
        <v>F2L</v>
      </c>
      <c r="F531" t="s">
        <v>27</v>
      </c>
      <c r="G531" t="s">
        <v>28</v>
      </c>
      <c r="H531" t="s">
        <v>27</v>
      </c>
      <c r="I531" t="s">
        <v>28</v>
      </c>
      <c r="J531" t="s">
        <v>113</v>
      </c>
      <c r="K531" t="s">
        <v>782</v>
      </c>
      <c r="L531" t="s">
        <v>2560</v>
      </c>
      <c r="M531" s="100" t="str">
        <f t="shared" si="16"/>
        <v>TC_107_Try2_Adult_only__F2L_CPD.MF4.xz</v>
      </c>
      <c r="N531" s="59" t="str">
        <f t="shared" si="17"/>
        <v>_Adult_only__F2L_CPD.MF4.xz</v>
      </c>
      <c r="O531" s="132" t="s">
        <v>671</v>
      </c>
      <c r="P531" s="132"/>
    </row>
    <row r="532" spans="1:16">
      <c r="A532" s="77">
        <v>107</v>
      </c>
      <c r="B532" t="s">
        <v>2536</v>
      </c>
      <c r="D532" s="97" t="e">
        <f>_xlfn.XLOOKUP(A532,[1]CPD_SOP_new!$A:$A,[1]CPD_SOP_new!#REF!,"not found",0 )</f>
        <v>#REF!</v>
      </c>
      <c r="E532" s="97" t="str">
        <f>_xlfn.XLOOKUP(A532,[1]CPD_SOP_new!$A:$A,[1]CPD_SOP_new!$K:$K,"not found",0 )</f>
        <v>F2L</v>
      </c>
      <c r="F532" t="s">
        <v>27</v>
      </c>
      <c r="G532" t="s">
        <v>28</v>
      </c>
      <c r="H532" t="s">
        <v>27</v>
      </c>
      <c r="I532" t="s">
        <v>28</v>
      </c>
      <c r="J532" t="s">
        <v>113</v>
      </c>
      <c r="K532" t="s">
        <v>783</v>
      </c>
      <c r="L532" t="s">
        <v>2561</v>
      </c>
      <c r="M532" s="100" t="str">
        <f t="shared" si="16"/>
        <v>TC_107_Try3_Adult_only__F2L_CPD.MF4.xz</v>
      </c>
      <c r="N532" s="59" t="str">
        <f t="shared" si="17"/>
        <v>_Adult_only__F2L_CPD.MF4.xz</v>
      </c>
      <c r="O532" s="132" t="s">
        <v>671</v>
      </c>
      <c r="P532" s="132"/>
    </row>
    <row r="533" spans="1:16" s="130" customFormat="1">
      <c r="A533" s="78">
        <v>108</v>
      </c>
      <c r="B533" t="s">
        <v>2536</v>
      </c>
      <c r="D533" s="97" t="e">
        <f>_xlfn.XLOOKUP(A533,[1]CPD_SOP_new!$A:$A,[1]CPD_SOP_new!#REF!,"not found",0 )</f>
        <v>#REF!</v>
      </c>
      <c r="E533" s="97" t="str">
        <f>_xlfn.XLOOKUP(A533,[1]CPD_SOP_new!$A:$A,[1]CPD_SOP_new!$K:$K,"not found",0 )</f>
        <v>F3R</v>
      </c>
      <c r="F533" s="130" t="s">
        <v>27</v>
      </c>
      <c r="G533" s="130" t="s">
        <v>28</v>
      </c>
      <c r="H533" s="130" t="s">
        <v>27</v>
      </c>
      <c r="I533" s="130" t="s">
        <v>27</v>
      </c>
      <c r="J533" s="130" t="s">
        <v>978</v>
      </c>
      <c r="K533" s="130" t="s">
        <v>979</v>
      </c>
      <c r="L533" s="130" t="s">
        <v>723</v>
      </c>
      <c r="M533" s="100" t="str">
        <f t="shared" si="16"/>
        <v>Wrong measurement</v>
      </c>
      <c r="N533" s="59" t="str">
        <f t="shared" si="17"/>
        <v>Wrong measurement</v>
      </c>
      <c r="O533" s="136" t="s">
        <v>671</v>
      </c>
      <c r="P533" s="136"/>
    </row>
    <row r="534" spans="1:16">
      <c r="A534" s="77">
        <v>108</v>
      </c>
      <c r="B534" t="s">
        <v>2536</v>
      </c>
      <c r="D534" s="97" t="e">
        <f>_xlfn.XLOOKUP(A534,[1]CPD_SOP_new!$A:$A,[1]CPD_SOP_new!#REF!,"not found",0 )</f>
        <v>#REF!</v>
      </c>
      <c r="E534" s="97" t="str">
        <f>_xlfn.XLOOKUP(A534,[1]CPD_SOP_new!$A:$A,[1]CPD_SOP_new!$K:$K,"not found",0 )</f>
        <v>F3R</v>
      </c>
      <c r="F534" t="s">
        <v>27</v>
      </c>
      <c r="G534" t="s">
        <v>28</v>
      </c>
      <c r="H534" t="s">
        <v>27</v>
      </c>
      <c r="I534" t="s">
        <v>28</v>
      </c>
      <c r="J534" t="s">
        <v>113</v>
      </c>
      <c r="K534" t="s">
        <v>785</v>
      </c>
      <c r="L534" t="s">
        <v>2562</v>
      </c>
      <c r="M534" s="100" t="str">
        <f t="shared" si="16"/>
        <v>TC_108_Try2_Adult_only__F3R_CPD.MF4.xz</v>
      </c>
      <c r="N534" s="59" t="str">
        <f t="shared" si="17"/>
        <v>_Adult_only__F3R_CPD.MF4.xz</v>
      </c>
      <c r="O534" s="132" t="s">
        <v>671</v>
      </c>
      <c r="P534" s="132"/>
    </row>
    <row r="535" spans="1:16">
      <c r="A535" s="77">
        <v>108</v>
      </c>
      <c r="B535" t="s">
        <v>2536</v>
      </c>
      <c r="D535" s="97" t="e">
        <f>_xlfn.XLOOKUP(A535,[1]CPD_SOP_new!$A:$A,[1]CPD_SOP_new!#REF!,"not found",0 )</f>
        <v>#REF!</v>
      </c>
      <c r="E535" s="97" t="str">
        <f>_xlfn.XLOOKUP(A535,[1]CPD_SOP_new!$A:$A,[1]CPD_SOP_new!$K:$K,"not found",0 )</f>
        <v>F3R</v>
      </c>
      <c r="F535" t="s">
        <v>27</v>
      </c>
      <c r="G535" t="s">
        <v>28</v>
      </c>
      <c r="H535" t="s">
        <v>27</v>
      </c>
      <c r="I535" t="s">
        <v>28</v>
      </c>
      <c r="J535" t="s">
        <v>113</v>
      </c>
      <c r="K535" t="s">
        <v>787</v>
      </c>
      <c r="L535" t="s">
        <v>2563</v>
      </c>
      <c r="M535" s="100" t="str">
        <f t="shared" si="16"/>
        <v>TC_108_Try3_Adult_only__F3R_CPD.MF4.xz</v>
      </c>
      <c r="N535" s="59" t="str">
        <f t="shared" si="17"/>
        <v>_Adult_only__F3R_CPD.MF4.xz</v>
      </c>
      <c r="O535" s="132" t="s">
        <v>671</v>
      </c>
      <c r="P535" s="132"/>
    </row>
    <row r="536" spans="1:16">
      <c r="A536" s="77">
        <v>108</v>
      </c>
      <c r="B536" t="s">
        <v>2536</v>
      </c>
      <c r="D536" s="97" t="e">
        <f>_xlfn.XLOOKUP(A536,[1]CPD_SOP_new!$A:$A,[1]CPD_SOP_new!#REF!,"not found",0 )</f>
        <v>#REF!</v>
      </c>
      <c r="E536" s="97" t="str">
        <f>_xlfn.XLOOKUP(A536,[1]CPD_SOP_new!$A:$A,[1]CPD_SOP_new!$K:$K,"not found",0 )</f>
        <v>F3R</v>
      </c>
      <c r="F536" t="s">
        <v>27</v>
      </c>
      <c r="G536" t="s">
        <v>28</v>
      </c>
      <c r="H536" t="s">
        <v>27</v>
      </c>
      <c r="I536" t="s">
        <v>28</v>
      </c>
      <c r="J536" t="s">
        <v>113</v>
      </c>
      <c r="K536" t="s">
        <v>788</v>
      </c>
      <c r="L536" t="s">
        <v>2564</v>
      </c>
      <c r="M536" s="100" t="str">
        <f t="shared" si="16"/>
        <v>CSR_XCP_Signals_Recorder_2026-01-27_13-57-58_CPD_TC108_Try5_Adult_only__F3R_CPD.MF4.xz</v>
      </c>
      <c r="N536" s="59" t="str">
        <f t="shared" si="17"/>
        <v>_Adult_only__F3R_CPD.MF4.xz</v>
      </c>
      <c r="O536" t="s">
        <v>173</v>
      </c>
    </row>
    <row r="537" spans="1:16">
      <c r="A537" s="77">
        <v>108</v>
      </c>
      <c r="B537" t="s">
        <v>2536</v>
      </c>
      <c r="D537" s="97" t="e">
        <f>_xlfn.XLOOKUP(A537,[1]CPD_SOP_new!$A:$A,[1]CPD_SOP_new!#REF!,"not found",0 )</f>
        <v>#REF!</v>
      </c>
      <c r="E537" s="97" t="str">
        <f>_xlfn.XLOOKUP(A537,[1]CPD_SOP_new!$A:$A,[1]CPD_SOP_new!$K:$K,"not found",0 )</f>
        <v>F3R</v>
      </c>
      <c r="F537" t="s">
        <v>27</v>
      </c>
      <c r="G537" t="s">
        <v>28</v>
      </c>
      <c r="H537" t="s">
        <v>27</v>
      </c>
      <c r="I537" t="s">
        <v>28</v>
      </c>
      <c r="J537" t="s">
        <v>113</v>
      </c>
      <c r="K537" t="s">
        <v>790</v>
      </c>
      <c r="L537" t="s">
        <v>2565</v>
      </c>
      <c r="M537" s="100" t="str">
        <f t="shared" si="16"/>
        <v>CSR_XCP_Signals_Recorder_2026-01-27_13-52-01_CPD_TC108_Try1_Adult_only__F3R_CPD.MF4.xz</v>
      </c>
      <c r="N537" s="59" t="str">
        <f t="shared" si="17"/>
        <v>_Adult_only__F3R_CPD.MF4.xz</v>
      </c>
      <c r="O537" t="s">
        <v>173</v>
      </c>
    </row>
    <row r="538" spans="1:16">
      <c r="A538" s="77">
        <v>108</v>
      </c>
      <c r="B538" t="s">
        <v>2536</v>
      </c>
      <c r="D538" s="97" t="e">
        <f>_xlfn.XLOOKUP(A538,[1]CPD_SOP_new!$A:$A,[1]CPD_SOP_new!#REF!,"not found",0 )</f>
        <v>#REF!</v>
      </c>
      <c r="E538" s="97" t="str">
        <f>_xlfn.XLOOKUP(A538,[1]CPD_SOP_new!$A:$A,[1]CPD_SOP_new!$K:$K,"not found",0 )</f>
        <v>F3R</v>
      </c>
      <c r="F538" t="s">
        <v>27</v>
      </c>
      <c r="G538" t="s">
        <v>28</v>
      </c>
      <c r="H538" t="s">
        <v>27</v>
      </c>
      <c r="I538" t="s">
        <v>28</v>
      </c>
      <c r="J538" t="s">
        <v>113</v>
      </c>
      <c r="K538" t="s">
        <v>791</v>
      </c>
      <c r="L538" t="s">
        <v>2566</v>
      </c>
      <c r="M538" s="100" t="str">
        <f t="shared" si="16"/>
        <v>CSR_XCP_Signals_Recorder_2026-01-27_13-53-34_CPD_TC108_Try2_Adult_only__F3R_CPD.MF4.xz</v>
      </c>
      <c r="N538" s="59" t="str">
        <f t="shared" si="17"/>
        <v>_Adult_only__F3R_CPD.MF4.xz</v>
      </c>
      <c r="O538" t="s">
        <v>173</v>
      </c>
    </row>
    <row r="539" spans="1:16">
      <c r="A539" s="77">
        <v>108</v>
      </c>
      <c r="B539" t="s">
        <v>2536</v>
      </c>
      <c r="D539" s="97" t="e">
        <f>_xlfn.XLOOKUP(A539,[1]CPD_SOP_new!$A:$A,[1]CPD_SOP_new!#REF!,"not found",0 )</f>
        <v>#REF!</v>
      </c>
      <c r="E539" s="97" t="str">
        <f>_xlfn.XLOOKUP(A539,[1]CPD_SOP_new!$A:$A,[1]CPD_SOP_new!$K:$K,"not found",0 )</f>
        <v>F3R</v>
      </c>
      <c r="F539" t="s">
        <v>27</v>
      </c>
      <c r="G539" t="s">
        <v>28</v>
      </c>
      <c r="H539" t="s">
        <v>27</v>
      </c>
      <c r="I539" t="s">
        <v>28</v>
      </c>
      <c r="J539" t="s">
        <v>113</v>
      </c>
      <c r="K539" t="s">
        <v>792</v>
      </c>
      <c r="L539" t="s">
        <v>2567</v>
      </c>
      <c r="M539" s="100" t="str">
        <f t="shared" si="16"/>
        <v>CSR_XCP_Signals_Recorder_2026-01-27_13-55-02_CPD_TC108_Try3_Adult_only__F3R_CPD.MF4.xz</v>
      </c>
      <c r="N539" s="59" t="str">
        <f t="shared" si="17"/>
        <v>_Adult_only__F3R_CPD.MF4.xz</v>
      </c>
      <c r="O539" t="s">
        <v>173</v>
      </c>
    </row>
    <row r="540" spans="1:16">
      <c r="A540" s="77">
        <v>108</v>
      </c>
      <c r="B540" t="s">
        <v>2536</v>
      </c>
      <c r="D540" s="97" t="e">
        <f>_xlfn.XLOOKUP(A540,[1]CPD_SOP_new!$A:$A,[1]CPD_SOP_new!#REF!,"not found",0 )</f>
        <v>#REF!</v>
      </c>
      <c r="E540" s="97" t="str">
        <f>_xlfn.XLOOKUP(A540,[1]CPD_SOP_new!$A:$A,[1]CPD_SOP_new!$K:$K,"not found",0 )</f>
        <v>F3R</v>
      </c>
      <c r="F540" t="s">
        <v>27</v>
      </c>
      <c r="G540" t="s">
        <v>28</v>
      </c>
      <c r="H540" t="s">
        <v>27</v>
      </c>
      <c r="I540" t="s">
        <v>28</v>
      </c>
      <c r="J540" t="s">
        <v>113</v>
      </c>
      <c r="K540" t="s">
        <v>793</v>
      </c>
      <c r="L540" t="s">
        <v>2568</v>
      </c>
      <c r="M540" s="100" t="str">
        <f t="shared" si="16"/>
        <v>CSR_XCP_Signals_Recorder_2026-01-27_13-56-28_CPD_TC108_Try4_Adult_only__F3R_CPD.MF4.xz</v>
      </c>
      <c r="N540" s="59" t="str">
        <f t="shared" si="17"/>
        <v>_Adult_only__F3R_CPD.MF4.xz</v>
      </c>
      <c r="O540" t="s">
        <v>173</v>
      </c>
    </row>
    <row r="541" spans="1:16">
      <c r="A541" s="77">
        <v>109</v>
      </c>
      <c r="B541" t="s">
        <v>2536</v>
      </c>
      <c r="D541" s="97" t="e">
        <f>_xlfn.XLOOKUP(A541,[1]CPD_SOP_new!$A:$A,[1]CPD_SOP_new!#REF!,"not found",0 )</f>
        <v>#REF!</v>
      </c>
      <c r="E541" s="97" t="str">
        <f>_xlfn.XLOOKUP(A541,[1]CPD_SOP_new!$A:$A,[1]CPD_SOP_new!$K:$K,"not found",0 )</f>
        <v>3R</v>
      </c>
      <c r="F541" t="s">
        <v>27</v>
      </c>
      <c r="G541" t="s">
        <v>28</v>
      </c>
      <c r="H541" t="s">
        <v>27</v>
      </c>
      <c r="I541" t="s">
        <v>28</v>
      </c>
      <c r="J541" t="s">
        <v>113</v>
      </c>
      <c r="K541" t="s">
        <v>794</v>
      </c>
      <c r="L541" t="s">
        <v>2569</v>
      </c>
      <c r="M541" s="100" t="str">
        <f t="shared" si="16"/>
        <v>TC_109_Try1_Adult_only__3R_CPD.MF4.xz</v>
      </c>
      <c r="N541" s="59" t="str">
        <f t="shared" si="17"/>
        <v>_Adult_only__3R_CPD.MF4.xz</v>
      </c>
      <c r="O541" s="132" t="s">
        <v>671</v>
      </c>
      <c r="P541" s="132"/>
    </row>
    <row r="542" spans="1:16">
      <c r="A542" s="77">
        <v>109</v>
      </c>
      <c r="B542" t="s">
        <v>2536</v>
      </c>
      <c r="D542" s="97" t="e">
        <f>_xlfn.XLOOKUP(A542,[1]CPD_SOP_new!$A:$A,[1]CPD_SOP_new!#REF!,"not found",0 )</f>
        <v>#REF!</v>
      </c>
      <c r="E542" s="97" t="str">
        <f>_xlfn.XLOOKUP(A542,[1]CPD_SOP_new!$A:$A,[1]CPD_SOP_new!$K:$K,"not found",0 )</f>
        <v>3R</v>
      </c>
      <c r="F542" t="s">
        <v>27</v>
      </c>
      <c r="G542" t="s">
        <v>28</v>
      </c>
      <c r="H542" t="s">
        <v>27</v>
      </c>
      <c r="I542" t="s">
        <v>28</v>
      </c>
      <c r="J542" t="s">
        <v>113</v>
      </c>
      <c r="K542" t="s">
        <v>796</v>
      </c>
      <c r="L542" t="s">
        <v>2570</v>
      </c>
      <c r="M542" s="100" t="str">
        <f t="shared" si="16"/>
        <v>TC_109_Try2_Adult_only__3R_CPD.MF4.xz</v>
      </c>
      <c r="N542" s="59" t="str">
        <f t="shared" si="17"/>
        <v>_Adult_only__3R_CPD.MF4.xz</v>
      </c>
      <c r="O542" s="132" t="s">
        <v>671</v>
      </c>
      <c r="P542" s="132"/>
    </row>
    <row r="543" spans="1:16">
      <c r="A543" s="77">
        <v>109</v>
      </c>
      <c r="B543" t="s">
        <v>2536</v>
      </c>
      <c r="D543" s="97" t="e">
        <f>_xlfn.XLOOKUP(A543,[1]CPD_SOP_new!$A:$A,[1]CPD_SOP_new!#REF!,"not found",0 )</f>
        <v>#REF!</v>
      </c>
      <c r="E543" s="97" t="str">
        <f>_xlfn.XLOOKUP(A543,[1]CPD_SOP_new!$A:$A,[1]CPD_SOP_new!$K:$K,"not found",0 )</f>
        <v>3R</v>
      </c>
      <c r="F543" t="s">
        <v>27</v>
      </c>
      <c r="G543" t="s">
        <v>28</v>
      </c>
      <c r="H543" t="s">
        <v>27</v>
      </c>
      <c r="I543" t="s">
        <v>28</v>
      </c>
      <c r="J543" t="s">
        <v>113</v>
      </c>
      <c r="K543" t="s">
        <v>797</v>
      </c>
      <c r="L543" t="s">
        <v>2571</v>
      </c>
      <c r="M543" s="100" t="str">
        <f t="shared" si="16"/>
        <v>TC_109_Try3_Adult_only__3R_CPD.MF4.xz</v>
      </c>
      <c r="N543" s="59" t="str">
        <f t="shared" si="17"/>
        <v>_Adult_only__3R_CPD.MF4.xz</v>
      </c>
      <c r="O543" s="132" t="s">
        <v>671</v>
      </c>
      <c r="P543" s="132"/>
    </row>
    <row r="544" spans="1:16">
      <c r="A544" s="77">
        <v>110</v>
      </c>
      <c r="B544" t="s">
        <v>2536</v>
      </c>
      <c r="D544" s="97" t="e">
        <f>_xlfn.XLOOKUP(A544,[1]CPD_SOP_new!$A:$A,[1]CPD_SOP_new!#REF!,"not found",0 )</f>
        <v>#REF!</v>
      </c>
      <c r="E544" s="97" t="str">
        <f>_xlfn.XLOOKUP(A544,[1]CPD_SOP_new!$A:$A,[1]CPD_SOP_new!$K:$K,"not found",0 )</f>
        <v>3L</v>
      </c>
      <c r="F544" t="s">
        <v>27</v>
      </c>
      <c r="G544" t="s">
        <v>28</v>
      </c>
      <c r="H544" t="s">
        <v>27</v>
      </c>
      <c r="I544" t="s">
        <v>28</v>
      </c>
      <c r="J544" t="s">
        <v>113</v>
      </c>
      <c r="K544" t="s">
        <v>798</v>
      </c>
      <c r="L544" t="s">
        <v>2572</v>
      </c>
      <c r="M544" s="100" t="str">
        <f t="shared" si="16"/>
        <v>TC_110_Try1_Adult_only__3L_CPD.MF4.xz</v>
      </c>
      <c r="N544" s="59" t="str">
        <f t="shared" si="17"/>
        <v>_Adult_only__3L_CPD.MF4.xz</v>
      </c>
      <c r="O544" s="132" t="s">
        <v>671</v>
      </c>
      <c r="P544" s="132"/>
    </row>
    <row r="545" spans="1:16">
      <c r="A545" s="77">
        <v>110</v>
      </c>
      <c r="B545" t="s">
        <v>2536</v>
      </c>
      <c r="D545" s="97" t="e">
        <f>_xlfn.XLOOKUP(A545,[1]CPD_SOP_new!$A:$A,[1]CPD_SOP_new!#REF!,"not found",0 )</f>
        <v>#REF!</v>
      </c>
      <c r="E545" s="97" t="str">
        <f>_xlfn.XLOOKUP(A545,[1]CPD_SOP_new!$A:$A,[1]CPD_SOP_new!$K:$K,"not found",0 )</f>
        <v>3L</v>
      </c>
      <c r="F545" t="s">
        <v>27</v>
      </c>
      <c r="G545" t="s">
        <v>28</v>
      </c>
      <c r="H545" t="s">
        <v>27</v>
      </c>
      <c r="I545" t="s">
        <v>28</v>
      </c>
      <c r="J545" t="s">
        <v>113</v>
      </c>
      <c r="K545" t="s">
        <v>800</v>
      </c>
      <c r="L545" t="s">
        <v>2573</v>
      </c>
      <c r="M545" s="100" t="str">
        <f t="shared" si="16"/>
        <v>TC_110_Try2_Adult_only__3L_CPD.MF4.xz</v>
      </c>
      <c r="N545" s="59" t="str">
        <f t="shared" si="17"/>
        <v>_Adult_only__3L_CPD.MF4.xz</v>
      </c>
      <c r="O545" s="132" t="s">
        <v>671</v>
      </c>
      <c r="P545" s="132"/>
    </row>
    <row r="546" spans="1:16">
      <c r="A546" s="77">
        <v>110</v>
      </c>
      <c r="B546" t="s">
        <v>2536</v>
      </c>
      <c r="D546" s="97" t="e">
        <f>_xlfn.XLOOKUP(A546,[1]CPD_SOP_new!$A:$A,[1]CPD_SOP_new!#REF!,"not found",0 )</f>
        <v>#REF!</v>
      </c>
      <c r="E546" s="97" t="str">
        <f>_xlfn.XLOOKUP(A546,[1]CPD_SOP_new!$A:$A,[1]CPD_SOP_new!$K:$K,"not found",0 )</f>
        <v>3L</v>
      </c>
      <c r="F546" t="s">
        <v>27</v>
      </c>
      <c r="G546" t="s">
        <v>28</v>
      </c>
      <c r="H546" t="s">
        <v>27</v>
      </c>
      <c r="I546" t="s">
        <v>28</v>
      </c>
      <c r="J546" t="s">
        <v>113</v>
      </c>
      <c r="K546" t="s">
        <v>801</v>
      </c>
      <c r="L546" t="s">
        <v>2574</v>
      </c>
      <c r="M546" s="100" t="str">
        <f t="shared" si="16"/>
        <v>TC_110_Try3_Adult_only__3L_CPD.MF4.xz</v>
      </c>
      <c r="N546" s="59" t="str">
        <f t="shared" si="17"/>
        <v>_Adult_only__3L_CPD.MF4.xz</v>
      </c>
      <c r="O546" s="132" t="s">
        <v>671</v>
      </c>
      <c r="P546" s="132"/>
    </row>
    <row r="547" spans="1:16">
      <c r="A547" s="38">
        <v>126</v>
      </c>
      <c r="B547" t="s">
        <v>2575</v>
      </c>
      <c r="D547" s="97" t="e">
        <f>_xlfn.XLOOKUP(A547,[1]CPD_SOP_new!$A:$A,[1]CPD_SOP_new!#REF!,"not found",0 )</f>
        <v>#REF!</v>
      </c>
      <c r="E547" s="97" t="str">
        <f>_xlfn.XLOOKUP(A547,[1]CPD_SOP_new!$A:$A,[1]CPD_SOP_new!$K:$K,"not found",0 )</f>
        <v>2R+3L</v>
      </c>
      <c r="F547" t="s">
        <v>27</v>
      </c>
      <c r="G547" t="s">
        <v>27</v>
      </c>
      <c r="H547" t="s">
        <v>27</v>
      </c>
      <c r="I547" t="s">
        <v>28</v>
      </c>
      <c r="J547" t="s">
        <v>29</v>
      </c>
      <c r="K547" t="s">
        <v>803</v>
      </c>
      <c r="L547" t="s">
        <v>2576</v>
      </c>
      <c r="M547" s="100" t="str">
        <f t="shared" si="16"/>
        <v>TC126_Try1_multiple_children__2R+3L_CPD.MF4.xz</v>
      </c>
      <c r="N547" s="59" t="str">
        <f t="shared" si="17"/>
        <v>_multiple_children__2R+3L_CPD.MF4.xz</v>
      </c>
      <c r="O547" s="132" t="s">
        <v>804</v>
      </c>
      <c r="P547" s="132"/>
    </row>
    <row r="548" spans="1:16">
      <c r="A548" s="38">
        <v>126</v>
      </c>
      <c r="B548" t="s">
        <v>2575</v>
      </c>
      <c r="D548" s="97" t="e">
        <f>_xlfn.XLOOKUP(A548,[1]CPD_SOP_new!$A:$A,[1]CPD_SOP_new!#REF!,"not found",0 )</f>
        <v>#REF!</v>
      </c>
      <c r="E548" s="97" t="str">
        <f>_xlfn.XLOOKUP(A548,[1]CPD_SOP_new!$A:$A,[1]CPD_SOP_new!$K:$K,"not found",0 )</f>
        <v>2R+3L</v>
      </c>
      <c r="F548" t="s">
        <v>27</v>
      </c>
      <c r="G548" t="s">
        <v>27</v>
      </c>
      <c r="H548" t="s">
        <v>27</v>
      </c>
      <c r="I548" t="s">
        <v>28</v>
      </c>
      <c r="J548" t="s">
        <v>29</v>
      </c>
      <c r="K548" t="s">
        <v>806</v>
      </c>
      <c r="L548" t="s">
        <v>2577</v>
      </c>
      <c r="M548" s="100" t="str">
        <f t="shared" si="16"/>
        <v>TC126_Try2_multiple_children__2R+3L_CPD.MF4.xz</v>
      </c>
      <c r="N548" s="59" t="str">
        <f t="shared" si="17"/>
        <v>_multiple_children__2R+3L_CPD.MF4.xz</v>
      </c>
      <c r="O548" s="132" t="s">
        <v>804</v>
      </c>
      <c r="P548" s="132"/>
    </row>
    <row r="549" spans="1:16">
      <c r="A549" s="38">
        <v>126</v>
      </c>
      <c r="B549" t="s">
        <v>2575</v>
      </c>
      <c r="D549" s="97" t="e">
        <f>_xlfn.XLOOKUP(A549,[1]CPD_SOP_new!$A:$A,[1]CPD_SOP_new!#REF!,"not found",0 )</f>
        <v>#REF!</v>
      </c>
      <c r="E549" s="97" t="str">
        <f>_xlfn.XLOOKUP(A549,[1]CPD_SOP_new!$A:$A,[1]CPD_SOP_new!$K:$K,"not found",0 )</f>
        <v>2R+3L</v>
      </c>
      <c r="F549" t="s">
        <v>27</v>
      </c>
      <c r="G549" t="s">
        <v>27</v>
      </c>
      <c r="H549" t="s">
        <v>27</v>
      </c>
      <c r="I549" t="s">
        <v>28</v>
      </c>
      <c r="J549" t="s">
        <v>29</v>
      </c>
      <c r="K549" t="s">
        <v>807</v>
      </c>
      <c r="L549" t="s">
        <v>2578</v>
      </c>
      <c r="M549" s="100" t="str">
        <f t="shared" si="16"/>
        <v>TC126_Try3_multiple_children__2R+3L_CPD.MF4.xz</v>
      </c>
      <c r="N549" s="59" t="str">
        <f t="shared" si="17"/>
        <v>_multiple_children__2R+3L_CPD.MF4.xz</v>
      </c>
      <c r="O549" s="132" t="s">
        <v>804</v>
      </c>
      <c r="P549" s="132"/>
    </row>
    <row r="550" spans="1:16">
      <c r="A550" s="38">
        <v>129</v>
      </c>
      <c r="B550" t="s">
        <v>2575</v>
      </c>
      <c r="D550" s="97" t="e">
        <f>_xlfn.XLOOKUP(A550,[1]CPD_SOP_new!$A:$A,[1]CPD_SOP_new!#REF!,"not found",0 )</f>
        <v>#REF!</v>
      </c>
      <c r="E550" s="97" t="str">
        <f>_xlfn.XLOOKUP(A550,[1]CPD_SOP_new!$A:$A,[1]CPD_SOP_new!$K:$K,"not found",0 )</f>
        <v>1P+2R</v>
      </c>
      <c r="F550" t="s">
        <v>28</v>
      </c>
      <c r="G550" t="s">
        <v>27</v>
      </c>
      <c r="H550" t="s">
        <v>27</v>
      </c>
      <c r="I550" t="s">
        <v>28</v>
      </c>
      <c r="J550" t="s">
        <v>29</v>
      </c>
      <c r="K550" t="s">
        <v>809</v>
      </c>
      <c r="L550" t="s">
        <v>2579</v>
      </c>
      <c r="M550" s="100" t="str">
        <f t="shared" si="16"/>
        <v>CSR_XCP_Signals_Recorder_2025-12-10_16-15-07_TC129_3yoPS_6YORR_CPD_multiple_children__1P+2R_CPD.MF4.xz</v>
      </c>
      <c r="N550" s="59" t="str">
        <f t="shared" si="17"/>
        <v>_multiple_children__1P+2R_CPD.MF4.xz</v>
      </c>
      <c r="O550" s="132" t="s">
        <v>217</v>
      </c>
      <c r="P550" s="132"/>
    </row>
    <row r="551" spans="1:16">
      <c r="A551" s="38">
        <v>129</v>
      </c>
      <c r="B551" t="s">
        <v>2575</v>
      </c>
      <c r="D551" s="97" t="e">
        <f>_xlfn.XLOOKUP(A551,[1]CPD_SOP_new!$A:$A,[1]CPD_SOP_new!#REF!,"not found",0 )</f>
        <v>#REF!</v>
      </c>
      <c r="E551" s="97" t="str">
        <f>_xlfn.XLOOKUP(A551,[1]CPD_SOP_new!$A:$A,[1]CPD_SOP_new!$K:$K,"not found",0 )</f>
        <v>1P+2R</v>
      </c>
      <c r="F551" t="s">
        <v>28</v>
      </c>
      <c r="G551" t="s">
        <v>27</v>
      </c>
      <c r="H551" t="s">
        <v>27</v>
      </c>
      <c r="I551" t="s">
        <v>28</v>
      </c>
      <c r="J551" t="s">
        <v>29</v>
      </c>
      <c r="K551" t="s">
        <v>811</v>
      </c>
      <c r="L551" t="s">
        <v>2580</v>
      </c>
      <c r="M551" s="100" t="str">
        <f t="shared" si="16"/>
        <v>CSR_XCP_Signals_Recorder_2025-12-10_16-20-17_TC129_3yoPS_6YORR_CPD_multiple_children__1P+2R_CPD.MF4.xz</v>
      </c>
      <c r="N551" s="59" t="str">
        <f t="shared" si="17"/>
        <v>_multiple_children__1P+2R_CPD.MF4.xz</v>
      </c>
      <c r="O551" s="132" t="s">
        <v>217</v>
      </c>
      <c r="P551" s="132"/>
    </row>
    <row r="552" spans="1:16">
      <c r="A552" s="38">
        <v>129</v>
      </c>
      <c r="B552" t="s">
        <v>2575</v>
      </c>
      <c r="D552" s="97" t="e">
        <f>_xlfn.XLOOKUP(A552,[1]CPD_SOP_new!$A:$A,[1]CPD_SOP_new!#REF!,"not found",0 )</f>
        <v>#REF!</v>
      </c>
      <c r="E552" s="97" t="str">
        <f>_xlfn.XLOOKUP(A552,[1]CPD_SOP_new!$A:$A,[1]CPD_SOP_new!$K:$K,"not found",0 )</f>
        <v>1P+2R</v>
      </c>
      <c r="F552" t="s">
        <v>28</v>
      </c>
      <c r="G552" t="s">
        <v>27</v>
      </c>
      <c r="H552" t="s">
        <v>27</v>
      </c>
      <c r="I552" t="s">
        <v>28</v>
      </c>
      <c r="J552" t="s">
        <v>29</v>
      </c>
      <c r="K552" t="s">
        <v>812</v>
      </c>
      <c r="L552" t="s">
        <v>2581</v>
      </c>
      <c r="M552" s="100" t="str">
        <f t="shared" si="16"/>
        <v>CSR_XCP_Signals_Recorder_2025-12-10_16-24-33_TC129_3yoPS_6YORR_CPD_multiple_children__1P+2R_CPD.MF4.xz</v>
      </c>
      <c r="N552" s="59" t="str">
        <f t="shared" si="17"/>
        <v>_multiple_children__1P+2R_CPD.MF4.xz</v>
      </c>
      <c r="O552" s="132" t="s">
        <v>217</v>
      </c>
      <c r="P552" s="132"/>
    </row>
    <row r="553" spans="1:16">
      <c r="A553" s="38">
        <v>129</v>
      </c>
      <c r="B553" t="s">
        <v>2575</v>
      </c>
      <c r="D553" s="97" t="e">
        <f>_xlfn.XLOOKUP(A553,[1]CPD_SOP_new!$A:$A,[1]CPD_SOP_new!#REF!,"not found",0 )</f>
        <v>#REF!</v>
      </c>
      <c r="E553" s="97" t="str">
        <f>_xlfn.XLOOKUP(A553,[1]CPD_SOP_new!$A:$A,[1]CPD_SOP_new!$K:$K,"not found",0 )</f>
        <v>1P+2R</v>
      </c>
      <c r="F553" t="s">
        <v>28</v>
      </c>
      <c r="G553" t="s">
        <v>27</v>
      </c>
      <c r="H553" t="s">
        <v>27</v>
      </c>
      <c r="I553" t="s">
        <v>28</v>
      </c>
      <c r="J553" t="s">
        <v>29</v>
      </c>
      <c r="K553" t="s">
        <v>813</v>
      </c>
      <c r="L553" t="s">
        <v>2582</v>
      </c>
      <c r="M553" s="100" t="str">
        <f t="shared" si="16"/>
        <v>CSR_XCP_Signals_Recorder_2025-12-10_16-32-14_TC129_3yoPS_6YORR_CPD_multiple_children__1P+2R_CPD.MF4.xz</v>
      </c>
      <c r="N553" s="59" t="str">
        <f t="shared" si="17"/>
        <v>_multiple_children__1P+2R_CPD.MF4.xz</v>
      </c>
      <c r="O553" s="132" t="s">
        <v>217</v>
      </c>
      <c r="P553" s="132"/>
    </row>
    <row r="554" spans="1:16">
      <c r="A554" s="38">
        <v>129</v>
      </c>
      <c r="B554" t="s">
        <v>2575</v>
      </c>
      <c r="D554" s="97" t="e">
        <f>_xlfn.XLOOKUP(A554,[1]CPD_SOP_new!$A:$A,[1]CPD_SOP_new!#REF!,"not found",0 )</f>
        <v>#REF!</v>
      </c>
      <c r="E554" s="97" t="str">
        <f>_xlfn.XLOOKUP(A554,[1]CPD_SOP_new!$A:$A,[1]CPD_SOP_new!$K:$K,"not found",0 )</f>
        <v>1P+2R</v>
      </c>
      <c r="F554" t="s">
        <v>28</v>
      </c>
      <c r="G554" t="s">
        <v>27</v>
      </c>
      <c r="H554" t="s">
        <v>27</v>
      </c>
      <c r="I554" t="s">
        <v>28</v>
      </c>
      <c r="J554" t="s">
        <v>29</v>
      </c>
      <c r="K554" t="s">
        <v>814</v>
      </c>
      <c r="L554" t="s">
        <v>2583</v>
      </c>
      <c r="M554" s="100" t="str">
        <f t="shared" si="16"/>
        <v>CSR_XCP_Signals_Recorder_2025-12-10_16-35-59_TC129_3yoPS_6YORR_CPD_multiple_children__1P+2R_CPD.MF4.xz</v>
      </c>
      <c r="N554" s="59" t="str">
        <f t="shared" si="17"/>
        <v>_multiple_children__1P+2R_CPD.MF4.xz</v>
      </c>
      <c r="O554" s="132" t="s">
        <v>217</v>
      </c>
      <c r="P554" s="132"/>
    </row>
    <row r="555" spans="1:16">
      <c r="A555" s="38">
        <v>130</v>
      </c>
      <c r="B555" t="s">
        <v>2575</v>
      </c>
      <c r="D555" s="97" t="e">
        <f>_xlfn.XLOOKUP(A555,[1]CPD_SOP_new!$A:$A,[1]CPD_SOP_new!#REF!,"not found",0 )</f>
        <v>#REF!</v>
      </c>
      <c r="E555" s="97" t="str">
        <f>_xlfn.XLOOKUP(A555,[1]CPD_SOP_new!$A:$A,[1]CPD_SOP_new!$K:$K,"not found",0 )</f>
        <v>2R+3R</v>
      </c>
      <c r="F555" t="s">
        <v>27</v>
      </c>
      <c r="G555" t="s">
        <v>27</v>
      </c>
      <c r="H555" t="s">
        <v>27</v>
      </c>
      <c r="I555" t="s">
        <v>28</v>
      </c>
      <c r="J555" t="s">
        <v>29</v>
      </c>
      <c r="K555" t="s">
        <v>815</v>
      </c>
      <c r="L555" t="s">
        <v>2584</v>
      </c>
      <c r="M555" s="100" t="str">
        <f t="shared" si="16"/>
        <v>CSR_XCP_Signals_Recorder_2025-12-19_10-23-25_TC130_CPD_multiple_children__2R+3R_CPD.MF4.xz</v>
      </c>
      <c r="N555" s="59" t="str">
        <f t="shared" si="17"/>
        <v>_multiple_children__2R+3R_CPD.MF4.xz</v>
      </c>
      <c r="O555" s="1" t="s">
        <v>202</v>
      </c>
      <c r="P555" s="1"/>
    </row>
    <row r="556" spans="1:16">
      <c r="A556" s="38">
        <v>130</v>
      </c>
      <c r="B556" t="s">
        <v>2575</v>
      </c>
      <c r="D556" s="97" t="e">
        <f>_xlfn.XLOOKUP(A556,[1]CPD_SOP_new!$A:$A,[1]CPD_SOP_new!#REF!,"not found",0 )</f>
        <v>#REF!</v>
      </c>
      <c r="E556" s="97" t="str">
        <f>_xlfn.XLOOKUP(A556,[1]CPD_SOP_new!$A:$A,[1]CPD_SOP_new!$K:$K,"not found",0 )</f>
        <v>2R+3R</v>
      </c>
      <c r="F556" t="s">
        <v>27</v>
      </c>
      <c r="G556" t="s">
        <v>27</v>
      </c>
      <c r="H556" t="s">
        <v>27</v>
      </c>
      <c r="I556" t="s">
        <v>28</v>
      </c>
      <c r="J556" t="s">
        <v>29</v>
      </c>
      <c r="K556" t="s">
        <v>817</v>
      </c>
      <c r="L556" t="s">
        <v>2585</v>
      </c>
      <c r="M556" s="100" t="str">
        <f t="shared" si="16"/>
        <v>CSR_XCP_Signals_Recorder_2025-12-19_10-26-04_TC130_CPD_multiple_children__2R+3R_CPD.MF4.xz</v>
      </c>
      <c r="N556" s="59" t="str">
        <f t="shared" si="17"/>
        <v>_multiple_children__2R+3R_CPD.MF4.xz</v>
      </c>
      <c r="O556" s="1" t="s">
        <v>202</v>
      </c>
      <c r="P556" s="1"/>
    </row>
    <row r="557" spans="1:16">
      <c r="A557" s="38">
        <v>130</v>
      </c>
      <c r="B557" t="s">
        <v>2575</v>
      </c>
      <c r="D557" s="97" t="e">
        <f>_xlfn.XLOOKUP(A557,[1]CPD_SOP_new!$A:$A,[1]CPD_SOP_new!#REF!,"not found",0 )</f>
        <v>#REF!</v>
      </c>
      <c r="E557" s="97" t="str">
        <f>_xlfn.XLOOKUP(A557,[1]CPD_SOP_new!$A:$A,[1]CPD_SOP_new!$K:$K,"not found",0 )</f>
        <v>2R+3R</v>
      </c>
      <c r="F557" t="s">
        <v>27</v>
      </c>
      <c r="G557" t="s">
        <v>27</v>
      </c>
      <c r="H557" t="s">
        <v>27</v>
      </c>
      <c r="I557" t="s">
        <v>28</v>
      </c>
      <c r="J557" t="s">
        <v>29</v>
      </c>
      <c r="K557" t="s">
        <v>818</v>
      </c>
      <c r="L557" t="s">
        <v>2586</v>
      </c>
      <c r="M557" s="100" t="str">
        <f t="shared" si="16"/>
        <v>CSR_XCP_Signals_Recorder_2025-12-19_10-28-39_TC130_CPD_multiple_children__2R+3R_CPD.MF4.xz</v>
      </c>
      <c r="N557" s="59" t="str">
        <f t="shared" si="17"/>
        <v>_multiple_children__2R+3R_CPD.MF4.xz</v>
      </c>
      <c r="O557" s="1" t="s">
        <v>202</v>
      </c>
      <c r="P557" s="1"/>
    </row>
    <row r="558" spans="1:16">
      <c r="A558" s="38">
        <v>131</v>
      </c>
      <c r="B558" t="s">
        <v>2575</v>
      </c>
      <c r="D558" s="97" t="e">
        <f>_xlfn.XLOOKUP(A558,[1]CPD_SOP_new!$A:$A,[1]CPD_SOP_new!#REF!,"not found",0 )</f>
        <v>#REF!</v>
      </c>
      <c r="E558" s="97" t="str">
        <f>_xlfn.XLOOKUP(A558,[1]CPD_SOP_new!$A:$A,[1]CPD_SOP_new!$K:$K,"not found",0 )</f>
        <v>1P+2L</v>
      </c>
      <c r="F558" t="s">
        <v>27</v>
      </c>
      <c r="G558" t="s">
        <v>27</v>
      </c>
      <c r="H558" t="s">
        <v>27</v>
      </c>
      <c r="I558" t="s">
        <v>28</v>
      </c>
      <c r="J558" t="s">
        <v>29</v>
      </c>
      <c r="K558" t="s">
        <v>819</v>
      </c>
      <c r="L558" t="s">
        <v>2587</v>
      </c>
      <c r="M558" s="100" t="str">
        <f t="shared" si="16"/>
        <v>CSR_XCP_Signals_Recorder_2025-12-19_10-56-35_TC131_CPD_multiple_children__1P+2L_CPD.MF4.xz</v>
      </c>
      <c r="N558" s="59" t="str">
        <f t="shared" si="17"/>
        <v>_multiple_children__1P+2L_CPD.MF4.xz</v>
      </c>
      <c r="O558" s="1" t="s">
        <v>202</v>
      </c>
      <c r="P558" s="1"/>
    </row>
    <row r="559" spans="1:16">
      <c r="A559" s="38">
        <v>131</v>
      </c>
      <c r="B559" t="s">
        <v>2575</v>
      </c>
      <c r="D559" s="97" t="e">
        <f>_xlfn.XLOOKUP(A559,[1]CPD_SOP_new!$A:$A,[1]CPD_SOP_new!#REF!,"not found",0 )</f>
        <v>#REF!</v>
      </c>
      <c r="E559" s="97" t="str">
        <f>_xlfn.XLOOKUP(A559,[1]CPD_SOP_new!$A:$A,[1]CPD_SOP_new!$K:$K,"not found",0 )</f>
        <v>1P+2L</v>
      </c>
      <c r="F559" t="s">
        <v>27</v>
      </c>
      <c r="G559" t="s">
        <v>27</v>
      </c>
      <c r="H559" t="s">
        <v>27</v>
      </c>
      <c r="I559" t="s">
        <v>28</v>
      </c>
      <c r="J559" t="s">
        <v>29</v>
      </c>
      <c r="K559" t="s">
        <v>821</v>
      </c>
      <c r="L559" t="s">
        <v>2588</v>
      </c>
      <c r="M559" s="100" t="str">
        <f t="shared" si="16"/>
        <v>CSR_XCP_Signals_Recorder_2025-12-19_10-57-43_TC131_CPD_multiple_children__1P+2L_CPD.MF4.xz</v>
      </c>
      <c r="N559" s="59" t="str">
        <f t="shared" si="17"/>
        <v>_multiple_children__1P+2L_CPD.MF4.xz</v>
      </c>
      <c r="O559" s="1" t="s">
        <v>202</v>
      </c>
      <c r="P559" s="1"/>
    </row>
    <row r="560" spans="1:16">
      <c r="A560" s="38">
        <v>131</v>
      </c>
      <c r="B560" t="s">
        <v>2575</v>
      </c>
      <c r="D560" s="97" t="e">
        <f>_xlfn.XLOOKUP(A560,[1]CPD_SOP_new!$A:$A,[1]CPD_SOP_new!#REF!,"not found",0 )</f>
        <v>#REF!</v>
      </c>
      <c r="E560" s="97" t="str">
        <f>_xlfn.XLOOKUP(A560,[1]CPD_SOP_new!$A:$A,[1]CPD_SOP_new!$K:$K,"not found",0 )</f>
        <v>1P+2L</v>
      </c>
      <c r="F560" t="s">
        <v>27</v>
      </c>
      <c r="G560" t="s">
        <v>27</v>
      </c>
      <c r="H560" t="s">
        <v>27</v>
      </c>
      <c r="I560" t="s">
        <v>28</v>
      </c>
      <c r="J560" t="s">
        <v>29</v>
      </c>
      <c r="K560" t="s">
        <v>822</v>
      </c>
      <c r="L560" t="s">
        <v>2589</v>
      </c>
      <c r="M560" s="100" t="str">
        <f t="shared" si="16"/>
        <v>CSR_XCP_Signals_Recorder_2025-12-19_11-00-14_TC131_CPD_multiple_children__1P+2L_CPD.MF4.xz</v>
      </c>
      <c r="N560" s="59" t="str">
        <f t="shared" si="17"/>
        <v>_multiple_children__1P+2L_CPD.MF4.xz</v>
      </c>
      <c r="O560" s="1" t="s">
        <v>202</v>
      </c>
      <c r="P560" s="1"/>
    </row>
    <row r="561" spans="1:21">
      <c r="A561" s="38">
        <v>132</v>
      </c>
      <c r="B561" t="s">
        <v>234</v>
      </c>
      <c r="D561" s="97" t="e">
        <f>_xlfn.XLOOKUP(A561,[1]CPD_SOP_new!$A:$A,[1]CPD_SOP_new!#REF!,"not found",0 )</f>
        <v>#REF!</v>
      </c>
      <c r="E561" s="97" t="str">
        <f>_xlfn.XLOOKUP(A561,[1]CPD_SOP_new!$A:$A,[1]CPD_SOP_new!$K:$K,"not found",0 )</f>
        <v>1D+F1P</v>
      </c>
      <c r="F561" t="s">
        <v>27</v>
      </c>
      <c r="G561" t="s">
        <v>27</v>
      </c>
      <c r="H561" t="s">
        <v>27</v>
      </c>
      <c r="I561" s="137" t="s">
        <v>27</v>
      </c>
      <c r="J561" s="130" t="s">
        <v>237</v>
      </c>
      <c r="K561" t="s">
        <v>824</v>
      </c>
      <c r="L561" t="s">
        <v>723</v>
      </c>
      <c r="M561" s="100" t="str">
        <f t="shared" si="16"/>
        <v>Wrong measurement</v>
      </c>
      <c r="N561" s="59" t="str">
        <f t="shared" si="17"/>
        <v>Wrong measurement</v>
      </c>
      <c r="O561" s="134" t="s">
        <v>475</v>
      </c>
      <c r="P561" s="134"/>
    </row>
    <row r="562" spans="1:21">
      <c r="A562" s="38">
        <v>132</v>
      </c>
      <c r="B562" t="s">
        <v>234</v>
      </c>
      <c r="D562" s="97" t="e">
        <f>_xlfn.XLOOKUP(A562,[1]CPD_SOP_new!$A:$A,[1]CPD_SOP_new!#REF!,"not found",0 )</f>
        <v>#REF!</v>
      </c>
      <c r="E562" s="97" t="str">
        <f>_xlfn.XLOOKUP(A562,[1]CPD_SOP_new!$A:$A,[1]CPD_SOP_new!$K:$K,"not found",0 )</f>
        <v>1D+F1P</v>
      </c>
      <c r="F562" t="s">
        <v>27</v>
      </c>
      <c r="G562" t="s">
        <v>27</v>
      </c>
      <c r="H562" t="s">
        <v>27</v>
      </c>
      <c r="I562" s="137" t="s">
        <v>27</v>
      </c>
      <c r="J562" s="130" t="s">
        <v>237</v>
      </c>
      <c r="K562" t="s">
        <v>825</v>
      </c>
      <c r="L562" t="s">
        <v>723</v>
      </c>
      <c r="M562" s="100" t="str">
        <f t="shared" si="16"/>
        <v>Wrong measurement</v>
      </c>
      <c r="N562" s="59" t="str">
        <f t="shared" si="17"/>
        <v>Wrong measurement</v>
      </c>
      <c r="O562" s="134" t="s">
        <v>475</v>
      </c>
      <c r="P562" s="134"/>
    </row>
    <row r="563" spans="1:21">
      <c r="A563" s="38">
        <v>132</v>
      </c>
      <c r="B563" t="s">
        <v>234</v>
      </c>
      <c r="D563" s="97" t="e">
        <f>_xlfn.XLOOKUP(A563,[1]CPD_SOP_new!$A:$A,[1]CPD_SOP_new!#REF!,"not found",0 )</f>
        <v>#REF!</v>
      </c>
      <c r="E563" s="97" t="str">
        <f>_xlfn.XLOOKUP(A563,[1]CPD_SOP_new!$A:$A,[1]CPD_SOP_new!$K:$K,"not found",0 )</f>
        <v>1D+F1P</v>
      </c>
      <c r="F563" t="s">
        <v>27</v>
      </c>
      <c r="G563" t="s">
        <v>27</v>
      </c>
      <c r="H563" t="s">
        <v>27</v>
      </c>
      <c r="I563" s="137" t="s">
        <v>27</v>
      </c>
      <c r="J563" s="130" t="s">
        <v>237</v>
      </c>
      <c r="K563" t="s">
        <v>826</v>
      </c>
      <c r="L563" t="s">
        <v>723</v>
      </c>
      <c r="M563" s="100" t="str">
        <f t="shared" si="16"/>
        <v>Wrong measurement</v>
      </c>
      <c r="N563" s="59" t="str">
        <f t="shared" si="17"/>
        <v>Wrong measurement</v>
      </c>
      <c r="O563" s="134" t="s">
        <v>475</v>
      </c>
      <c r="P563" s="134"/>
    </row>
    <row r="564" spans="1:21">
      <c r="A564" s="38">
        <v>133</v>
      </c>
      <c r="B564" t="s">
        <v>234</v>
      </c>
      <c r="D564" s="97" t="e">
        <f>_xlfn.XLOOKUP(A564,[1]CPD_SOP_new!$A:$A,[1]CPD_SOP_new!#REF!,"not found",0 )</f>
        <v>#REF!</v>
      </c>
      <c r="E564" s="97" t="str">
        <f>_xlfn.XLOOKUP(A564,[1]CPD_SOP_new!$A:$A,[1]CPD_SOP_new!$K:$K,"not found",0 )</f>
        <v>1P+F2R</v>
      </c>
      <c r="F564" t="s">
        <v>27</v>
      </c>
      <c r="G564" t="s">
        <v>27</v>
      </c>
      <c r="H564" t="s">
        <v>27</v>
      </c>
      <c r="I564" s="137" t="s">
        <v>27</v>
      </c>
      <c r="J564" s="130" t="s">
        <v>237</v>
      </c>
      <c r="K564" t="s">
        <v>838</v>
      </c>
      <c r="L564" t="s">
        <v>723</v>
      </c>
      <c r="M564" s="100" t="str">
        <f t="shared" si="16"/>
        <v>Wrong measurement</v>
      </c>
      <c r="N564" s="59" t="str">
        <f t="shared" si="17"/>
        <v>Wrong measurement</v>
      </c>
      <c r="O564" s="134" t="s">
        <v>475</v>
      </c>
      <c r="P564" s="134"/>
    </row>
    <row r="565" spans="1:21">
      <c r="A565" s="38">
        <v>133</v>
      </c>
      <c r="B565" t="s">
        <v>234</v>
      </c>
      <c r="D565" s="97" t="e">
        <f>_xlfn.XLOOKUP(A565,[1]CPD_SOP_new!$A:$A,[1]CPD_SOP_new!#REF!,"not found",0 )</f>
        <v>#REF!</v>
      </c>
      <c r="E565" s="97" t="str">
        <f>_xlfn.XLOOKUP(A565,[1]CPD_SOP_new!$A:$A,[1]CPD_SOP_new!$K:$K,"not found",0 )</f>
        <v>1P+F2R</v>
      </c>
      <c r="F565" t="s">
        <v>27</v>
      </c>
      <c r="G565" t="s">
        <v>27</v>
      </c>
      <c r="H565" t="s">
        <v>27</v>
      </c>
      <c r="I565" s="137" t="s">
        <v>27</v>
      </c>
      <c r="J565" s="130" t="s">
        <v>237</v>
      </c>
      <c r="K565" t="s">
        <v>840</v>
      </c>
      <c r="L565" t="s">
        <v>723</v>
      </c>
      <c r="M565" s="100" t="str">
        <f t="shared" si="16"/>
        <v>Wrong measurement</v>
      </c>
      <c r="N565" s="59" t="str">
        <f t="shared" si="17"/>
        <v>Wrong measurement</v>
      </c>
      <c r="O565" s="134" t="s">
        <v>475</v>
      </c>
      <c r="P565" s="134"/>
    </row>
    <row r="566" spans="1:21">
      <c r="A566" s="77">
        <v>134</v>
      </c>
      <c r="B566" t="s">
        <v>234</v>
      </c>
      <c r="D566" s="97" t="e">
        <f>_xlfn.XLOOKUP(A566,[1]CPD_SOP_new!$A:$A,[1]CPD_SOP_new!#REF!,"not found",0 )</f>
        <v>#REF!</v>
      </c>
      <c r="E566" s="97" t="str">
        <f>_xlfn.XLOOKUP(A566,[1]CPD_SOP_new!$A:$A,[1]CPD_SOP_new!$K:$K,"not found",0 )</f>
        <v>2R+F2L</v>
      </c>
      <c r="F566" t="s">
        <v>27</v>
      </c>
      <c r="G566" t="s">
        <v>28</v>
      </c>
      <c r="H566" t="s">
        <v>28</v>
      </c>
      <c r="I566" t="s">
        <v>28</v>
      </c>
      <c r="J566" t="s">
        <v>828</v>
      </c>
      <c r="K566" t="s">
        <v>848</v>
      </c>
      <c r="L566" t="s">
        <v>2590</v>
      </c>
      <c r="M566" s="100" t="str">
        <f t="shared" si="16"/>
        <v>CSR_XCP_Signals_Recorder_2026-01-29_17-32-08_TC134_NCAP_1_2_Object__2R+F2L_CPD.MF4.xz</v>
      </c>
      <c r="N566" s="59" t="str">
        <f t="shared" si="17"/>
        <v>_Object__2R+F2L_CPD.MF4.xz</v>
      </c>
      <c r="O566" t="s">
        <v>353</v>
      </c>
      <c r="Q566" t="s">
        <v>828</v>
      </c>
      <c r="R566" t="s">
        <v>828</v>
      </c>
      <c r="S566">
        <v>0</v>
      </c>
      <c r="T566">
        <v>0</v>
      </c>
      <c r="U566">
        <v>0</v>
      </c>
    </row>
    <row r="567" spans="1:21">
      <c r="A567" s="77">
        <v>134</v>
      </c>
      <c r="B567" t="s">
        <v>234</v>
      </c>
      <c r="D567" s="97" t="e">
        <f>_xlfn.XLOOKUP(A567,[1]CPD_SOP_new!$A:$A,[1]CPD_SOP_new!#REF!,"not found",0 )</f>
        <v>#REF!</v>
      </c>
      <c r="E567" s="97" t="str">
        <f>_xlfn.XLOOKUP(A567,[1]CPD_SOP_new!$A:$A,[1]CPD_SOP_new!$K:$K,"not found",0 )</f>
        <v>2R+F2L</v>
      </c>
      <c r="F567" t="s">
        <v>27</v>
      </c>
      <c r="G567" t="s">
        <v>28</v>
      </c>
      <c r="H567" t="s">
        <v>28</v>
      </c>
      <c r="I567" t="s">
        <v>28</v>
      </c>
      <c r="J567" t="s">
        <v>828</v>
      </c>
      <c r="K567" t="s">
        <v>850</v>
      </c>
      <c r="L567" t="s">
        <v>2591</v>
      </c>
      <c r="M567" s="100" t="str">
        <f t="shared" si="16"/>
        <v>CSR_XCP_Signals_Recorder_2026-01-29_17-33-06_TC134_NCAP_1_2_Object__2R+F2L_CPD.MF4.xz</v>
      </c>
      <c r="N567" s="59" t="str">
        <f t="shared" si="17"/>
        <v>_Object__2R+F2L_CPD.MF4.xz</v>
      </c>
      <c r="O567" t="s">
        <v>353</v>
      </c>
      <c r="Q567" t="s">
        <v>828</v>
      </c>
      <c r="R567" t="s">
        <v>828</v>
      </c>
      <c r="S567">
        <v>0</v>
      </c>
      <c r="T567">
        <v>0</v>
      </c>
      <c r="U567">
        <v>0</v>
      </c>
    </row>
    <row r="568" spans="1:21">
      <c r="A568" s="77">
        <v>134</v>
      </c>
      <c r="B568" t="s">
        <v>234</v>
      </c>
      <c r="D568" s="97" t="e">
        <f>_xlfn.XLOOKUP(A568,[1]CPD_SOP_new!$A:$A,[1]CPD_SOP_new!#REF!,"not found",0 )</f>
        <v>#REF!</v>
      </c>
      <c r="E568" s="97" t="str">
        <f>_xlfn.XLOOKUP(A568,[1]CPD_SOP_new!$A:$A,[1]CPD_SOP_new!$K:$K,"not found",0 )</f>
        <v>2R+F2L</v>
      </c>
      <c r="F568" t="s">
        <v>27</v>
      </c>
      <c r="G568" t="s">
        <v>28</v>
      </c>
      <c r="H568" t="s">
        <v>28</v>
      </c>
      <c r="I568" t="s">
        <v>28</v>
      </c>
      <c r="J568" t="s">
        <v>828</v>
      </c>
      <c r="K568" t="s">
        <v>851</v>
      </c>
      <c r="L568" t="s">
        <v>2592</v>
      </c>
      <c r="M568" s="100" t="str">
        <f t="shared" si="16"/>
        <v>CSR_XCP_Signals_Recorder_2026-01-29_17-33-50_TC134_NCAP_1_2_Object__2R+F2L_CPD.MF4.xz</v>
      </c>
      <c r="N568" s="59" t="str">
        <f t="shared" si="17"/>
        <v>_Object__2R+F2L_CPD.MF4.xz</v>
      </c>
      <c r="O568" t="s">
        <v>353</v>
      </c>
      <c r="Q568" t="s">
        <v>828</v>
      </c>
      <c r="R568" t="s">
        <v>828</v>
      </c>
      <c r="S568">
        <v>0</v>
      </c>
      <c r="T568">
        <v>0</v>
      </c>
      <c r="U568">
        <v>0</v>
      </c>
    </row>
    <row r="569" spans="1:21">
      <c r="A569" s="77">
        <v>134</v>
      </c>
      <c r="B569" t="s">
        <v>234</v>
      </c>
      <c r="D569" s="97" t="e">
        <f>_xlfn.XLOOKUP(A569,[1]CPD_SOP_new!$A:$A,[1]CPD_SOP_new!#REF!,"not found",0 )</f>
        <v>#REF!</v>
      </c>
      <c r="E569" s="97" t="str">
        <f>_xlfn.XLOOKUP(A569,[1]CPD_SOP_new!$A:$A,[1]CPD_SOP_new!$K:$K,"not found",0 )</f>
        <v>2R+F2L</v>
      </c>
      <c r="F569" t="s">
        <v>27</v>
      </c>
      <c r="G569" t="s">
        <v>28</v>
      </c>
      <c r="H569" t="s">
        <v>28</v>
      </c>
      <c r="I569" s="137" t="s">
        <v>27</v>
      </c>
      <c r="J569" s="130" t="s">
        <v>237</v>
      </c>
      <c r="K569" t="s">
        <v>637</v>
      </c>
      <c r="L569" t="s">
        <v>723</v>
      </c>
      <c r="M569" s="100" t="str">
        <f t="shared" si="16"/>
        <v>Wrong measurement</v>
      </c>
      <c r="N569" s="59" t="str">
        <f t="shared" si="17"/>
        <v>Wrong measurement</v>
      </c>
      <c r="O569" t="s">
        <v>475</v>
      </c>
    </row>
    <row r="570" spans="1:21">
      <c r="A570" s="77">
        <v>134</v>
      </c>
      <c r="B570" t="s">
        <v>234</v>
      </c>
      <c r="D570" s="97" t="e">
        <f>_xlfn.XLOOKUP(A570,[1]CPD_SOP_new!$A:$A,[1]CPD_SOP_new!#REF!,"not found",0 )</f>
        <v>#REF!</v>
      </c>
      <c r="E570" s="97" t="str">
        <f>_xlfn.XLOOKUP(A570,[1]CPD_SOP_new!$A:$A,[1]CPD_SOP_new!$K:$K,"not found",0 )</f>
        <v>2R+F2L</v>
      </c>
      <c r="F570" t="s">
        <v>27</v>
      </c>
      <c r="G570" t="s">
        <v>28</v>
      </c>
      <c r="H570" t="s">
        <v>28</v>
      </c>
      <c r="I570" s="137" t="s">
        <v>27</v>
      </c>
      <c r="J570" s="130" t="s">
        <v>237</v>
      </c>
      <c r="K570" t="s">
        <v>638</v>
      </c>
      <c r="L570" t="s">
        <v>723</v>
      </c>
      <c r="M570" s="100" t="str">
        <f t="shared" si="16"/>
        <v>Wrong measurement</v>
      </c>
      <c r="N570" s="59" t="str">
        <f t="shared" si="17"/>
        <v>Wrong measurement</v>
      </c>
      <c r="O570" t="s">
        <v>475</v>
      </c>
    </row>
    <row r="571" spans="1:21">
      <c r="A571" s="77">
        <v>134</v>
      </c>
      <c r="B571" t="s">
        <v>234</v>
      </c>
      <c r="D571" s="97" t="e">
        <f>_xlfn.XLOOKUP(A571,[1]CPD_SOP_new!$A:$A,[1]CPD_SOP_new!#REF!,"not found",0 )</f>
        <v>#REF!</v>
      </c>
      <c r="E571" s="97" t="str">
        <f>_xlfn.XLOOKUP(A571,[1]CPD_SOP_new!$A:$A,[1]CPD_SOP_new!$K:$K,"not found",0 )</f>
        <v>2R+F2L</v>
      </c>
      <c r="F571" t="s">
        <v>27</v>
      </c>
      <c r="G571" t="s">
        <v>28</v>
      </c>
      <c r="H571" t="s">
        <v>28</v>
      </c>
      <c r="I571" s="137" t="s">
        <v>27</v>
      </c>
      <c r="J571" s="130" t="s">
        <v>237</v>
      </c>
      <c r="K571" t="s">
        <v>639</v>
      </c>
      <c r="L571" t="s">
        <v>723</v>
      </c>
      <c r="M571" s="100" t="str">
        <f t="shared" si="16"/>
        <v>Wrong measurement</v>
      </c>
      <c r="N571" s="59" t="str">
        <f t="shared" si="17"/>
        <v>Wrong measurement</v>
      </c>
      <c r="O571" t="s">
        <v>475</v>
      </c>
    </row>
    <row r="572" spans="1:21">
      <c r="A572" s="38">
        <v>135</v>
      </c>
      <c r="B572" t="s">
        <v>234</v>
      </c>
      <c r="D572" s="97" t="e">
        <f>_xlfn.XLOOKUP(A572,[1]CPD_SOP_new!$A:$A,[1]CPD_SOP_new!#REF!,"not found",0 )</f>
        <v>#REF!</v>
      </c>
      <c r="E572" s="97" t="str">
        <f>_xlfn.XLOOKUP(A572,[1]CPD_SOP_new!$A:$A,[1]CPD_SOP_new!$K:$K,"not found",0 )</f>
        <v>2L+F2C</v>
      </c>
      <c r="F572" t="s">
        <v>27</v>
      </c>
      <c r="G572" t="s">
        <v>27</v>
      </c>
      <c r="H572" t="s">
        <v>27</v>
      </c>
      <c r="I572" s="137" t="s">
        <v>27</v>
      </c>
      <c r="J572" s="130" t="s">
        <v>237</v>
      </c>
      <c r="K572" t="s">
        <v>861</v>
      </c>
      <c r="L572" t="s">
        <v>723</v>
      </c>
      <c r="M572" s="100" t="str">
        <f t="shared" si="16"/>
        <v>Wrong measurement</v>
      </c>
      <c r="N572" s="59" t="str">
        <f t="shared" si="17"/>
        <v>Wrong measurement</v>
      </c>
      <c r="O572" s="134" t="s">
        <v>475</v>
      </c>
      <c r="P572" s="134"/>
    </row>
    <row r="573" spans="1:21">
      <c r="A573" s="38">
        <v>135</v>
      </c>
      <c r="B573" t="s">
        <v>234</v>
      </c>
      <c r="D573" s="97" t="e">
        <f>_xlfn.XLOOKUP(A573,[1]CPD_SOP_new!$A:$A,[1]CPD_SOP_new!#REF!,"not found",0 )</f>
        <v>#REF!</v>
      </c>
      <c r="E573" s="97" t="str">
        <f>_xlfn.XLOOKUP(A573,[1]CPD_SOP_new!$A:$A,[1]CPD_SOP_new!$K:$K,"not found",0 )</f>
        <v>2L+F2C</v>
      </c>
      <c r="F573" t="s">
        <v>27</v>
      </c>
      <c r="G573" t="s">
        <v>27</v>
      </c>
      <c r="H573" t="s">
        <v>27</v>
      </c>
      <c r="I573" s="137" t="s">
        <v>27</v>
      </c>
      <c r="J573" s="130" t="s">
        <v>237</v>
      </c>
      <c r="K573" t="s">
        <v>862</v>
      </c>
      <c r="L573" t="s">
        <v>723</v>
      </c>
      <c r="M573" s="100" t="str">
        <f t="shared" si="16"/>
        <v>Wrong measurement</v>
      </c>
      <c r="N573" s="59" t="str">
        <f t="shared" si="17"/>
        <v>Wrong measurement</v>
      </c>
      <c r="O573" s="134" t="s">
        <v>475</v>
      </c>
      <c r="P573" s="134"/>
    </row>
    <row r="574" spans="1:21">
      <c r="A574" s="38">
        <v>135</v>
      </c>
      <c r="B574" t="s">
        <v>234</v>
      </c>
      <c r="D574" s="97" t="e">
        <f>_xlfn.XLOOKUP(A574,[1]CPD_SOP_new!$A:$A,[1]CPD_SOP_new!#REF!,"not found",0 )</f>
        <v>#REF!</v>
      </c>
      <c r="E574" s="97" t="str">
        <f>_xlfn.XLOOKUP(A574,[1]CPD_SOP_new!$A:$A,[1]CPD_SOP_new!$K:$K,"not found",0 )</f>
        <v>2L+F2C</v>
      </c>
      <c r="F574" t="s">
        <v>27</v>
      </c>
      <c r="G574" t="s">
        <v>27</v>
      </c>
      <c r="H574" t="s">
        <v>27</v>
      </c>
      <c r="I574" s="137" t="s">
        <v>27</v>
      </c>
      <c r="J574" s="130" t="s">
        <v>237</v>
      </c>
      <c r="K574" t="s">
        <v>863</v>
      </c>
      <c r="L574" t="s">
        <v>723</v>
      </c>
      <c r="M574" s="100" t="str">
        <f t="shared" si="16"/>
        <v>Wrong measurement</v>
      </c>
      <c r="N574" s="59" t="str">
        <f t="shared" si="17"/>
        <v>Wrong measurement</v>
      </c>
      <c r="O574" s="134" t="s">
        <v>475</v>
      </c>
      <c r="P574" s="134"/>
    </row>
    <row r="575" spans="1:21">
      <c r="A575" s="38">
        <v>136</v>
      </c>
      <c r="B575" t="s">
        <v>234</v>
      </c>
      <c r="D575" s="97" t="e">
        <f>_xlfn.XLOOKUP(A575,[1]CPD_SOP_new!$A:$A,[1]CPD_SOP_new!#REF!,"not found",0 )</f>
        <v>#REF!</v>
      </c>
      <c r="E575" s="97" t="str">
        <f>_xlfn.XLOOKUP(A575,[1]CPD_SOP_new!$A:$A,[1]CPD_SOP_new!$K:$K,"not found",0 )</f>
        <v>2C+F3R</v>
      </c>
      <c r="F575" t="s">
        <v>27</v>
      </c>
      <c r="G575" t="s">
        <v>27</v>
      </c>
      <c r="H575" t="s">
        <v>27</v>
      </c>
      <c r="I575" s="137" t="s">
        <v>27</v>
      </c>
      <c r="J575" s="130" t="s">
        <v>237</v>
      </c>
      <c r="K575" t="s">
        <v>871</v>
      </c>
      <c r="L575" t="s">
        <v>723</v>
      </c>
      <c r="M575" s="100" t="str">
        <f t="shared" si="16"/>
        <v>Wrong measurement</v>
      </c>
      <c r="N575" s="59" t="str">
        <f t="shared" si="17"/>
        <v>Wrong measurement</v>
      </c>
      <c r="O575" s="134" t="s">
        <v>475</v>
      </c>
      <c r="P575" s="134"/>
    </row>
    <row r="576" spans="1:21">
      <c r="A576" s="38">
        <v>136</v>
      </c>
      <c r="B576" t="s">
        <v>234</v>
      </c>
      <c r="D576" s="97" t="e">
        <f>_xlfn.XLOOKUP(A576,[1]CPD_SOP_new!$A:$A,[1]CPD_SOP_new!#REF!,"not found",0 )</f>
        <v>#REF!</v>
      </c>
      <c r="E576" s="97" t="str">
        <f>_xlfn.XLOOKUP(A576,[1]CPD_SOP_new!$A:$A,[1]CPD_SOP_new!$K:$K,"not found",0 )</f>
        <v>2C+F3R</v>
      </c>
      <c r="F576" t="s">
        <v>27</v>
      </c>
      <c r="G576" t="s">
        <v>27</v>
      </c>
      <c r="H576" t="s">
        <v>27</v>
      </c>
      <c r="I576" s="137" t="s">
        <v>27</v>
      </c>
      <c r="J576" s="130" t="s">
        <v>237</v>
      </c>
      <c r="K576" t="s">
        <v>872</v>
      </c>
      <c r="L576" t="s">
        <v>723</v>
      </c>
      <c r="M576" s="100" t="str">
        <f t="shared" si="16"/>
        <v>Wrong measurement</v>
      </c>
      <c r="N576" s="59" t="str">
        <f t="shared" si="17"/>
        <v>Wrong measurement</v>
      </c>
      <c r="O576" s="134" t="s">
        <v>475</v>
      </c>
      <c r="P576" s="134"/>
    </row>
    <row r="577" spans="1:16">
      <c r="A577" s="38">
        <v>136</v>
      </c>
      <c r="B577" t="s">
        <v>234</v>
      </c>
      <c r="D577" s="97" t="e">
        <f>_xlfn.XLOOKUP(A577,[1]CPD_SOP_new!$A:$A,[1]CPD_SOP_new!#REF!,"not found",0 )</f>
        <v>#REF!</v>
      </c>
      <c r="E577" s="97" t="str">
        <f>_xlfn.XLOOKUP(A577,[1]CPD_SOP_new!$A:$A,[1]CPD_SOP_new!$K:$K,"not found",0 )</f>
        <v>2C+F3R</v>
      </c>
      <c r="F577" t="s">
        <v>27</v>
      </c>
      <c r="G577" t="s">
        <v>27</v>
      </c>
      <c r="H577" t="s">
        <v>27</v>
      </c>
      <c r="I577" s="137" t="s">
        <v>27</v>
      </c>
      <c r="J577" s="130" t="s">
        <v>237</v>
      </c>
      <c r="K577" t="s">
        <v>873</v>
      </c>
      <c r="L577" t="s">
        <v>723</v>
      </c>
      <c r="M577" s="100" t="str">
        <f t="shared" si="16"/>
        <v>Wrong measurement</v>
      </c>
      <c r="N577" s="59" t="str">
        <f t="shared" si="17"/>
        <v>Wrong measurement</v>
      </c>
      <c r="O577" s="134" t="s">
        <v>475</v>
      </c>
      <c r="P577" s="134"/>
    </row>
    <row r="578" spans="1:16">
      <c r="A578" s="38">
        <v>137</v>
      </c>
      <c r="B578" t="s">
        <v>234</v>
      </c>
      <c r="D578" s="97" t="e">
        <f>_xlfn.XLOOKUP(A578,[1]CPD_SOP_new!$A:$A,[1]CPD_SOP_new!#REF!,"not found",0 )</f>
        <v>#REF!</v>
      </c>
      <c r="E578" s="97" t="str">
        <f>_xlfn.XLOOKUP(A578,[1]CPD_SOP_new!$A:$A,[1]CPD_SOP_new!$K:$K,"not found",0 )</f>
        <v>3R+F3L</v>
      </c>
      <c r="F578" t="s">
        <v>27</v>
      </c>
      <c r="G578" t="s">
        <v>27</v>
      </c>
      <c r="H578" t="s">
        <v>27</v>
      </c>
      <c r="I578" s="137" t="s">
        <v>27</v>
      </c>
      <c r="J578" s="130" t="s">
        <v>237</v>
      </c>
      <c r="K578" t="s">
        <v>881</v>
      </c>
      <c r="L578" t="s">
        <v>723</v>
      </c>
      <c r="M578" s="100" t="str">
        <f t="shared" ref="M578:M641" si="18">IF(NOT(N578="Wrong measurement"),SUBSTITUTE(K578,".MF4.xz",N578),"Wrong measurement")</f>
        <v>Wrong measurement</v>
      </c>
      <c r="N578" s="59" t="str">
        <f t="shared" ref="N578:N641" si="19">IF(I578="Y",("_"&amp;B578 &amp;"_"&amp; IF(C578="","",C578)&amp;"_"&amp;E578&amp;"_CPD.MF4.xz"),"Wrong measurement")</f>
        <v>Wrong measurement</v>
      </c>
      <c r="O578" s="134" t="s">
        <v>475</v>
      </c>
      <c r="P578" s="134"/>
    </row>
    <row r="579" spans="1:16">
      <c r="A579" s="38">
        <v>137</v>
      </c>
      <c r="B579" t="s">
        <v>234</v>
      </c>
      <c r="D579" s="97" t="e">
        <f>_xlfn.XLOOKUP(A579,[1]CPD_SOP_new!$A:$A,[1]CPD_SOP_new!#REF!,"not found",0 )</f>
        <v>#REF!</v>
      </c>
      <c r="E579" s="97" t="str">
        <f>_xlfn.XLOOKUP(A579,[1]CPD_SOP_new!$A:$A,[1]CPD_SOP_new!$K:$K,"not found",0 )</f>
        <v>3R+F3L</v>
      </c>
      <c r="F579" t="s">
        <v>27</v>
      </c>
      <c r="G579" t="s">
        <v>27</v>
      </c>
      <c r="H579" t="s">
        <v>27</v>
      </c>
      <c r="I579" s="137" t="s">
        <v>27</v>
      </c>
      <c r="J579" s="130" t="s">
        <v>237</v>
      </c>
      <c r="K579" t="s">
        <v>882</v>
      </c>
      <c r="L579" t="s">
        <v>723</v>
      </c>
      <c r="M579" s="100" t="str">
        <f t="shared" si="18"/>
        <v>Wrong measurement</v>
      </c>
      <c r="N579" s="59" t="str">
        <f t="shared" si="19"/>
        <v>Wrong measurement</v>
      </c>
      <c r="O579" s="134" t="s">
        <v>475</v>
      </c>
      <c r="P579" s="134"/>
    </row>
    <row r="580" spans="1:16">
      <c r="A580" s="38">
        <v>137</v>
      </c>
      <c r="B580" t="s">
        <v>234</v>
      </c>
      <c r="D580" s="97" t="e">
        <f>_xlfn.XLOOKUP(A580,[1]CPD_SOP_new!$A:$A,[1]CPD_SOP_new!#REF!,"not found",0 )</f>
        <v>#REF!</v>
      </c>
      <c r="E580" s="97" t="str">
        <f>_xlfn.XLOOKUP(A580,[1]CPD_SOP_new!$A:$A,[1]CPD_SOP_new!$K:$K,"not found",0 )</f>
        <v>3R+F3L</v>
      </c>
      <c r="F580" t="s">
        <v>27</v>
      </c>
      <c r="G580" t="s">
        <v>27</v>
      </c>
      <c r="H580" t="s">
        <v>27</v>
      </c>
      <c r="I580" s="137" t="s">
        <v>27</v>
      </c>
      <c r="J580" s="130" t="s">
        <v>237</v>
      </c>
      <c r="K580" t="s">
        <v>883</v>
      </c>
      <c r="L580" t="s">
        <v>723</v>
      </c>
      <c r="M580" s="100" t="str">
        <f t="shared" si="18"/>
        <v>Wrong measurement</v>
      </c>
      <c r="N580" s="59" t="str">
        <f t="shared" si="19"/>
        <v>Wrong measurement</v>
      </c>
      <c r="O580" s="134" t="s">
        <v>475</v>
      </c>
      <c r="P580" s="134"/>
    </row>
    <row r="581" spans="1:16">
      <c r="A581" s="38">
        <v>138</v>
      </c>
      <c r="B581" t="s">
        <v>234</v>
      </c>
      <c r="D581" s="97" t="e">
        <f>_xlfn.XLOOKUP(A581,[1]CPD_SOP_new!$A:$A,[1]CPD_SOP_new!#REF!,"not found",0 )</f>
        <v>#REF!</v>
      </c>
      <c r="E581" s="97" t="str">
        <f>_xlfn.XLOOKUP(A581,[1]CPD_SOP_new!$A:$A,[1]CPD_SOP_new!$K:$K,"not found",0 )</f>
        <v>3L+F1D</v>
      </c>
      <c r="F581" t="s">
        <v>27</v>
      </c>
      <c r="G581" t="s">
        <v>27</v>
      </c>
      <c r="H581" t="s">
        <v>27</v>
      </c>
      <c r="I581" s="137" t="s">
        <v>27</v>
      </c>
      <c r="J581" s="130" t="s">
        <v>237</v>
      </c>
      <c r="K581" t="s">
        <v>892</v>
      </c>
      <c r="L581" t="s">
        <v>723</v>
      </c>
      <c r="M581" s="100" t="str">
        <f t="shared" si="18"/>
        <v>Wrong measurement</v>
      </c>
      <c r="N581" s="59" t="str">
        <f t="shared" si="19"/>
        <v>Wrong measurement</v>
      </c>
      <c r="O581" s="134" t="s">
        <v>475</v>
      </c>
      <c r="P581" s="134"/>
    </row>
    <row r="582" spans="1:16">
      <c r="A582" s="38">
        <v>138</v>
      </c>
      <c r="B582" t="s">
        <v>234</v>
      </c>
      <c r="D582" s="97" t="e">
        <f>_xlfn.XLOOKUP(A582,[1]CPD_SOP_new!$A:$A,[1]CPD_SOP_new!#REF!,"not found",0 )</f>
        <v>#REF!</v>
      </c>
      <c r="E582" s="97" t="str">
        <f>_xlfn.XLOOKUP(A582,[1]CPD_SOP_new!$A:$A,[1]CPD_SOP_new!$K:$K,"not found",0 )</f>
        <v>3L+F1D</v>
      </c>
      <c r="F582" t="s">
        <v>27</v>
      </c>
      <c r="G582" t="s">
        <v>27</v>
      </c>
      <c r="H582" t="s">
        <v>27</v>
      </c>
      <c r="I582" s="137" t="s">
        <v>27</v>
      </c>
      <c r="J582" s="130" t="s">
        <v>237</v>
      </c>
      <c r="K582" t="s">
        <v>893</v>
      </c>
      <c r="L582" t="s">
        <v>723</v>
      </c>
      <c r="M582" s="100" t="str">
        <f t="shared" si="18"/>
        <v>Wrong measurement</v>
      </c>
      <c r="N582" s="59" t="str">
        <f t="shared" si="19"/>
        <v>Wrong measurement</v>
      </c>
      <c r="O582" s="134" t="s">
        <v>475</v>
      </c>
      <c r="P582" s="134"/>
    </row>
    <row r="583" spans="1:16">
      <c r="A583" s="38">
        <v>138</v>
      </c>
      <c r="B583" t="s">
        <v>234</v>
      </c>
      <c r="D583" s="97" t="e">
        <f>_xlfn.XLOOKUP(A583,[1]CPD_SOP_new!$A:$A,[1]CPD_SOP_new!#REF!,"not found",0 )</f>
        <v>#REF!</v>
      </c>
      <c r="E583" s="97" t="str">
        <f>_xlfn.XLOOKUP(A583,[1]CPD_SOP_new!$A:$A,[1]CPD_SOP_new!$K:$K,"not found",0 )</f>
        <v>3L+F1D</v>
      </c>
      <c r="F583" t="s">
        <v>27</v>
      </c>
      <c r="G583" t="s">
        <v>27</v>
      </c>
      <c r="H583" t="s">
        <v>27</v>
      </c>
      <c r="I583" s="137" t="s">
        <v>27</v>
      </c>
      <c r="J583" s="130" t="s">
        <v>237</v>
      </c>
      <c r="K583" t="s">
        <v>894</v>
      </c>
      <c r="L583" t="s">
        <v>723</v>
      </c>
      <c r="M583" s="100" t="str">
        <f t="shared" si="18"/>
        <v>Wrong measurement</v>
      </c>
      <c r="N583" s="59" t="str">
        <f t="shared" si="19"/>
        <v>Wrong measurement</v>
      </c>
      <c r="O583" s="134" t="s">
        <v>475</v>
      </c>
      <c r="P583" s="134"/>
    </row>
    <row r="584" spans="1:16">
      <c r="A584" s="38">
        <v>139</v>
      </c>
      <c r="B584" t="s">
        <v>234</v>
      </c>
      <c r="D584" s="97" t="e">
        <f>_xlfn.XLOOKUP(A584,[1]CPD_SOP_new!$A:$A,[1]CPD_SOP_new!#REF!,"not found",0 )</f>
        <v>#REF!</v>
      </c>
      <c r="E584" s="97" t="str">
        <f>_xlfn.XLOOKUP(A584,[1]CPD_SOP_new!$A:$A,[1]CPD_SOP_new!$K:$K,"not found",0 )</f>
        <v>1P+F1D</v>
      </c>
      <c r="F584" t="s">
        <v>27</v>
      </c>
      <c r="G584" t="s">
        <v>236</v>
      </c>
      <c r="H584" t="s">
        <v>236</v>
      </c>
      <c r="I584" s="137" t="s">
        <v>27</v>
      </c>
      <c r="J584" s="130" t="s">
        <v>237</v>
      </c>
      <c r="K584" t="s">
        <v>238</v>
      </c>
      <c r="L584" t="s">
        <v>723</v>
      </c>
      <c r="M584" s="100" t="str">
        <f t="shared" si="18"/>
        <v>Wrong measurement</v>
      </c>
      <c r="N584" s="59" t="str">
        <f t="shared" si="19"/>
        <v>Wrong measurement</v>
      </c>
      <c r="O584" s="134" t="s">
        <v>239</v>
      </c>
      <c r="P584" s="134"/>
    </row>
    <row r="585" spans="1:16">
      <c r="A585" s="38">
        <v>139</v>
      </c>
      <c r="B585" t="s">
        <v>234</v>
      </c>
      <c r="D585" s="97" t="e">
        <f>_xlfn.XLOOKUP(A585,[1]CPD_SOP_new!$A:$A,[1]CPD_SOP_new!#REF!,"not found",0 )</f>
        <v>#REF!</v>
      </c>
      <c r="E585" s="97" t="str">
        <f>_xlfn.XLOOKUP(A585,[1]CPD_SOP_new!$A:$A,[1]CPD_SOP_new!$K:$K,"not found",0 )</f>
        <v>1P+F1D</v>
      </c>
      <c r="F585" t="s">
        <v>27</v>
      </c>
      <c r="G585" t="s">
        <v>236</v>
      </c>
      <c r="H585" t="s">
        <v>236</v>
      </c>
      <c r="I585" s="137" t="s">
        <v>27</v>
      </c>
      <c r="J585" s="130" t="s">
        <v>237</v>
      </c>
      <c r="K585" t="s">
        <v>309</v>
      </c>
      <c r="L585" t="s">
        <v>723</v>
      </c>
      <c r="M585" s="100" t="str">
        <f t="shared" si="18"/>
        <v>Wrong measurement</v>
      </c>
      <c r="N585" s="59" t="str">
        <f t="shared" si="19"/>
        <v>Wrong measurement</v>
      </c>
      <c r="O585" s="134" t="s">
        <v>239</v>
      </c>
      <c r="P585" s="134"/>
    </row>
    <row r="586" spans="1:16">
      <c r="A586" s="38">
        <v>139</v>
      </c>
      <c r="B586" t="s">
        <v>234</v>
      </c>
      <c r="D586" s="97" t="e">
        <f>_xlfn.XLOOKUP(A586,[1]CPD_SOP_new!$A:$A,[1]CPD_SOP_new!#REF!,"not found",0 )</f>
        <v>#REF!</v>
      </c>
      <c r="E586" s="97" t="str">
        <f>_xlfn.XLOOKUP(A586,[1]CPD_SOP_new!$A:$A,[1]CPD_SOP_new!$K:$K,"not found",0 )</f>
        <v>1P+F1D</v>
      </c>
      <c r="F586" t="s">
        <v>27</v>
      </c>
      <c r="G586" t="s">
        <v>236</v>
      </c>
      <c r="H586" t="s">
        <v>236</v>
      </c>
      <c r="I586" s="137" t="s">
        <v>27</v>
      </c>
      <c r="J586" s="130" t="s">
        <v>237</v>
      </c>
      <c r="K586" t="s">
        <v>317</v>
      </c>
      <c r="L586" t="s">
        <v>723</v>
      </c>
      <c r="M586" s="100" t="str">
        <f t="shared" si="18"/>
        <v>Wrong measurement</v>
      </c>
      <c r="N586" s="59" t="str">
        <f t="shared" si="19"/>
        <v>Wrong measurement</v>
      </c>
      <c r="O586" s="134" t="s">
        <v>239</v>
      </c>
      <c r="P586" s="134"/>
    </row>
    <row r="587" spans="1:16">
      <c r="A587" s="38">
        <v>140</v>
      </c>
      <c r="B587" t="s">
        <v>234</v>
      </c>
      <c r="D587" s="97" t="e">
        <f>_xlfn.XLOOKUP(A587,[1]CPD_SOP_new!$A:$A,[1]CPD_SOP_new!#REF!,"not found",0 )</f>
        <v>#REF!</v>
      </c>
      <c r="E587" s="97" t="str">
        <f>_xlfn.XLOOKUP(A587,[1]CPD_SOP_new!$A:$A,[1]CPD_SOP_new!$K:$K,"not found",0 )</f>
        <v>2R+F1P</v>
      </c>
      <c r="F587" t="s">
        <v>27</v>
      </c>
      <c r="G587" t="s">
        <v>27</v>
      </c>
      <c r="H587" t="s">
        <v>27</v>
      </c>
      <c r="I587" s="137" t="s">
        <v>27</v>
      </c>
      <c r="J587" s="130" t="s">
        <v>237</v>
      </c>
      <c r="K587" t="s">
        <v>899</v>
      </c>
      <c r="L587" t="s">
        <v>723</v>
      </c>
      <c r="M587" s="100" t="str">
        <f t="shared" si="18"/>
        <v>Wrong measurement</v>
      </c>
      <c r="N587" s="59" t="str">
        <f t="shared" si="19"/>
        <v>Wrong measurement</v>
      </c>
      <c r="O587" s="134" t="s">
        <v>239</v>
      </c>
      <c r="P587" s="134"/>
    </row>
    <row r="588" spans="1:16">
      <c r="A588" s="38">
        <v>140</v>
      </c>
      <c r="B588" t="s">
        <v>234</v>
      </c>
      <c r="D588" s="97" t="e">
        <f>_xlfn.XLOOKUP(A588,[1]CPD_SOP_new!$A:$A,[1]CPD_SOP_new!#REF!,"not found",0 )</f>
        <v>#REF!</v>
      </c>
      <c r="E588" s="97" t="str">
        <f>_xlfn.XLOOKUP(A588,[1]CPD_SOP_new!$A:$A,[1]CPD_SOP_new!$K:$K,"not found",0 )</f>
        <v>2R+F1P</v>
      </c>
      <c r="F588" t="s">
        <v>27</v>
      </c>
      <c r="G588" t="s">
        <v>27</v>
      </c>
      <c r="H588" t="s">
        <v>27</v>
      </c>
      <c r="I588" s="137" t="s">
        <v>27</v>
      </c>
      <c r="J588" s="130" t="s">
        <v>237</v>
      </c>
      <c r="K588" t="s">
        <v>900</v>
      </c>
      <c r="L588" t="s">
        <v>723</v>
      </c>
      <c r="M588" s="100" t="str">
        <f t="shared" si="18"/>
        <v>Wrong measurement</v>
      </c>
      <c r="N588" s="59" t="str">
        <f t="shared" si="19"/>
        <v>Wrong measurement</v>
      </c>
      <c r="O588" s="134" t="s">
        <v>239</v>
      </c>
      <c r="P588" s="134"/>
    </row>
    <row r="589" spans="1:16">
      <c r="A589" s="38">
        <v>140</v>
      </c>
      <c r="B589" t="s">
        <v>234</v>
      </c>
      <c r="D589" s="97" t="e">
        <f>_xlfn.XLOOKUP(A589,[1]CPD_SOP_new!$A:$A,[1]CPD_SOP_new!#REF!,"not found",0 )</f>
        <v>#REF!</v>
      </c>
      <c r="E589" s="97" t="str">
        <f>_xlfn.XLOOKUP(A589,[1]CPD_SOP_new!$A:$A,[1]CPD_SOP_new!$K:$K,"not found",0 )</f>
        <v>2R+F1P</v>
      </c>
      <c r="F589" t="s">
        <v>27</v>
      </c>
      <c r="G589" t="s">
        <v>27</v>
      </c>
      <c r="H589" t="s">
        <v>27</v>
      </c>
      <c r="I589" s="137" t="s">
        <v>27</v>
      </c>
      <c r="J589" s="130" t="s">
        <v>237</v>
      </c>
      <c r="K589" t="s">
        <v>901</v>
      </c>
      <c r="L589" t="s">
        <v>723</v>
      </c>
      <c r="M589" s="100" t="str">
        <f t="shared" si="18"/>
        <v>Wrong measurement</v>
      </c>
      <c r="N589" s="59" t="str">
        <f t="shared" si="19"/>
        <v>Wrong measurement</v>
      </c>
      <c r="O589" s="134" t="s">
        <v>239</v>
      </c>
      <c r="P589" s="134"/>
    </row>
    <row r="590" spans="1:16">
      <c r="A590" s="38">
        <v>141</v>
      </c>
      <c r="B590" t="s">
        <v>234</v>
      </c>
      <c r="D590" s="97" t="e">
        <f>_xlfn.XLOOKUP(A590,[1]CPD_SOP_new!$A:$A,[1]CPD_SOP_new!#REF!,"not found",0 )</f>
        <v>#REF!</v>
      </c>
      <c r="E590" s="97" t="str">
        <f>_xlfn.XLOOKUP(A590,[1]CPD_SOP_new!$A:$A,[1]CPD_SOP_new!$K:$K,"not found",0 )</f>
        <v>2L+F2R</v>
      </c>
      <c r="F590" t="s">
        <v>27</v>
      </c>
      <c r="G590" t="s">
        <v>27</v>
      </c>
      <c r="H590" t="s">
        <v>27</v>
      </c>
      <c r="I590" s="137" t="s">
        <v>27</v>
      </c>
      <c r="J590" s="130" t="s">
        <v>237</v>
      </c>
      <c r="K590" t="s">
        <v>910</v>
      </c>
      <c r="L590" t="s">
        <v>723</v>
      </c>
      <c r="M590" s="100" t="str">
        <f t="shared" si="18"/>
        <v>Wrong measurement</v>
      </c>
      <c r="N590" s="59" t="str">
        <f t="shared" si="19"/>
        <v>Wrong measurement</v>
      </c>
      <c r="O590" s="134" t="s">
        <v>239</v>
      </c>
      <c r="P590" s="134"/>
    </row>
    <row r="591" spans="1:16">
      <c r="A591" s="38">
        <v>141</v>
      </c>
      <c r="B591" t="s">
        <v>234</v>
      </c>
      <c r="D591" s="97" t="e">
        <f>_xlfn.XLOOKUP(A591,[1]CPD_SOP_new!$A:$A,[1]CPD_SOP_new!#REF!,"not found",0 )</f>
        <v>#REF!</v>
      </c>
      <c r="E591" s="97" t="str">
        <f>_xlfn.XLOOKUP(A591,[1]CPD_SOP_new!$A:$A,[1]CPD_SOP_new!$K:$K,"not found",0 )</f>
        <v>2L+F2R</v>
      </c>
      <c r="F591" t="s">
        <v>27</v>
      </c>
      <c r="G591" t="s">
        <v>27</v>
      </c>
      <c r="H591" t="s">
        <v>27</v>
      </c>
      <c r="I591" s="137" t="s">
        <v>27</v>
      </c>
      <c r="J591" s="130" t="s">
        <v>237</v>
      </c>
      <c r="K591" t="s">
        <v>911</v>
      </c>
      <c r="L591" t="s">
        <v>723</v>
      </c>
      <c r="M591" s="100" t="str">
        <f t="shared" si="18"/>
        <v>Wrong measurement</v>
      </c>
      <c r="N591" s="59" t="str">
        <f t="shared" si="19"/>
        <v>Wrong measurement</v>
      </c>
      <c r="O591" s="134" t="s">
        <v>239</v>
      </c>
      <c r="P591" s="134"/>
    </row>
    <row r="592" spans="1:16">
      <c r="A592" s="38">
        <v>141</v>
      </c>
      <c r="B592" t="s">
        <v>234</v>
      </c>
      <c r="D592" s="97" t="e">
        <f>_xlfn.XLOOKUP(A592,[1]CPD_SOP_new!$A:$A,[1]CPD_SOP_new!#REF!,"not found",0 )</f>
        <v>#REF!</v>
      </c>
      <c r="E592" s="97" t="str">
        <f>_xlfn.XLOOKUP(A592,[1]CPD_SOP_new!$A:$A,[1]CPD_SOP_new!$K:$K,"not found",0 )</f>
        <v>2L+F2R</v>
      </c>
      <c r="F592" t="s">
        <v>27</v>
      </c>
      <c r="G592" t="s">
        <v>27</v>
      </c>
      <c r="H592" t="s">
        <v>27</v>
      </c>
      <c r="I592" s="137" t="s">
        <v>27</v>
      </c>
      <c r="J592" s="130" t="s">
        <v>237</v>
      </c>
      <c r="K592" t="s">
        <v>912</v>
      </c>
      <c r="L592" t="s">
        <v>723</v>
      </c>
      <c r="M592" s="100" t="str">
        <f t="shared" si="18"/>
        <v>Wrong measurement</v>
      </c>
      <c r="N592" s="59" t="str">
        <f t="shared" si="19"/>
        <v>Wrong measurement</v>
      </c>
      <c r="O592" s="134" t="s">
        <v>239</v>
      </c>
      <c r="P592" s="134"/>
    </row>
    <row r="593" spans="1:16">
      <c r="A593" s="38">
        <v>142</v>
      </c>
      <c r="B593" t="s">
        <v>234</v>
      </c>
      <c r="D593" s="97" t="e">
        <f>_xlfn.XLOOKUP(A593,[1]CPD_SOP_new!$A:$A,[1]CPD_SOP_new!#REF!,"not found",0 )</f>
        <v>#REF!</v>
      </c>
      <c r="E593" s="97" t="str">
        <f>_xlfn.XLOOKUP(A593,[1]CPD_SOP_new!$A:$A,[1]CPD_SOP_new!$K:$K,"not found",0 )</f>
        <v>2C+F2L</v>
      </c>
      <c r="F593" t="s">
        <v>27</v>
      </c>
      <c r="G593" t="s">
        <v>27</v>
      </c>
      <c r="H593" t="s">
        <v>27</v>
      </c>
      <c r="I593" s="137" t="s">
        <v>27</v>
      </c>
      <c r="J593" s="130" t="s">
        <v>237</v>
      </c>
      <c r="K593" t="s">
        <v>914</v>
      </c>
      <c r="L593" t="s">
        <v>723</v>
      </c>
      <c r="M593" s="100" t="str">
        <f t="shared" si="18"/>
        <v>Wrong measurement</v>
      </c>
      <c r="N593" s="59" t="str">
        <f t="shared" si="19"/>
        <v>Wrong measurement</v>
      </c>
      <c r="O593" s="134" t="s">
        <v>239</v>
      </c>
      <c r="P593" s="134"/>
    </row>
    <row r="594" spans="1:16">
      <c r="A594" s="38">
        <v>142</v>
      </c>
      <c r="B594" t="s">
        <v>234</v>
      </c>
      <c r="D594" s="97" t="e">
        <f>_xlfn.XLOOKUP(A594,[1]CPD_SOP_new!$A:$A,[1]CPD_SOP_new!#REF!,"not found",0 )</f>
        <v>#REF!</v>
      </c>
      <c r="E594" s="97" t="str">
        <f>_xlfn.XLOOKUP(A594,[1]CPD_SOP_new!$A:$A,[1]CPD_SOP_new!$K:$K,"not found",0 )</f>
        <v>2C+F2L</v>
      </c>
      <c r="F594" t="s">
        <v>27</v>
      </c>
      <c r="G594" t="s">
        <v>27</v>
      </c>
      <c r="H594" t="s">
        <v>27</v>
      </c>
      <c r="I594" s="137" t="s">
        <v>27</v>
      </c>
      <c r="J594" s="130" t="s">
        <v>237</v>
      </c>
      <c r="K594" t="s">
        <v>915</v>
      </c>
      <c r="L594" t="s">
        <v>723</v>
      </c>
      <c r="M594" s="100" t="str">
        <f t="shared" si="18"/>
        <v>Wrong measurement</v>
      </c>
      <c r="N594" s="59" t="str">
        <f t="shared" si="19"/>
        <v>Wrong measurement</v>
      </c>
      <c r="O594" s="134" t="s">
        <v>239</v>
      </c>
      <c r="P594" s="134"/>
    </row>
    <row r="595" spans="1:16">
      <c r="A595" s="38">
        <v>142</v>
      </c>
      <c r="B595" t="s">
        <v>234</v>
      </c>
      <c r="D595" s="97" t="e">
        <f>_xlfn.XLOOKUP(A595,[1]CPD_SOP_new!$A:$A,[1]CPD_SOP_new!#REF!,"not found",0 )</f>
        <v>#REF!</v>
      </c>
      <c r="E595" s="97" t="str">
        <f>_xlfn.XLOOKUP(A595,[1]CPD_SOP_new!$A:$A,[1]CPD_SOP_new!$K:$K,"not found",0 )</f>
        <v>2C+F2L</v>
      </c>
      <c r="F595" t="s">
        <v>27</v>
      </c>
      <c r="G595" t="s">
        <v>27</v>
      </c>
      <c r="H595" t="s">
        <v>27</v>
      </c>
      <c r="I595" s="137" t="s">
        <v>27</v>
      </c>
      <c r="J595" s="130" t="s">
        <v>237</v>
      </c>
      <c r="K595" t="s">
        <v>916</v>
      </c>
      <c r="L595" t="s">
        <v>723</v>
      </c>
      <c r="M595" s="100" t="str">
        <f t="shared" si="18"/>
        <v>Wrong measurement</v>
      </c>
      <c r="N595" s="59" t="str">
        <f t="shared" si="19"/>
        <v>Wrong measurement</v>
      </c>
      <c r="O595" s="134" t="s">
        <v>239</v>
      </c>
      <c r="P595" s="134"/>
    </row>
    <row r="596" spans="1:16">
      <c r="A596" s="38">
        <v>143</v>
      </c>
      <c r="B596" t="s">
        <v>234</v>
      </c>
      <c r="D596" s="97" t="e">
        <f>_xlfn.XLOOKUP(A596,[1]CPD_SOP_new!$A:$A,[1]CPD_SOP_new!#REF!,"not found",0 )</f>
        <v>#REF!</v>
      </c>
      <c r="E596" s="97" t="str">
        <f>_xlfn.XLOOKUP(A596,[1]CPD_SOP_new!$A:$A,[1]CPD_SOP_new!$K:$K,"not found",0 )</f>
        <v>3R+F2C</v>
      </c>
      <c r="F596" t="s">
        <v>27</v>
      </c>
      <c r="G596" t="s">
        <v>27</v>
      </c>
      <c r="H596" t="s">
        <v>27</v>
      </c>
      <c r="I596" s="137" t="s">
        <v>27</v>
      </c>
      <c r="J596" s="130" t="s">
        <v>237</v>
      </c>
      <c r="K596" t="s">
        <v>924</v>
      </c>
      <c r="L596" t="s">
        <v>723</v>
      </c>
      <c r="M596" s="100" t="str">
        <f t="shared" si="18"/>
        <v>Wrong measurement</v>
      </c>
      <c r="N596" s="59" t="str">
        <f t="shared" si="19"/>
        <v>Wrong measurement</v>
      </c>
      <c r="O596" s="134" t="s">
        <v>239</v>
      </c>
      <c r="P596" s="134"/>
    </row>
    <row r="597" spans="1:16">
      <c r="A597" s="38">
        <v>143</v>
      </c>
      <c r="B597" t="s">
        <v>234</v>
      </c>
      <c r="D597" s="97" t="e">
        <f>_xlfn.XLOOKUP(A597,[1]CPD_SOP_new!$A:$A,[1]CPD_SOP_new!#REF!,"not found",0 )</f>
        <v>#REF!</v>
      </c>
      <c r="E597" s="97" t="str">
        <f>_xlfn.XLOOKUP(A597,[1]CPD_SOP_new!$A:$A,[1]CPD_SOP_new!$K:$K,"not found",0 )</f>
        <v>3R+F2C</v>
      </c>
      <c r="F597" t="s">
        <v>27</v>
      </c>
      <c r="G597" t="s">
        <v>27</v>
      </c>
      <c r="H597" t="s">
        <v>27</v>
      </c>
      <c r="I597" s="137" t="s">
        <v>27</v>
      </c>
      <c r="J597" s="130" t="s">
        <v>237</v>
      </c>
      <c r="K597" t="s">
        <v>925</v>
      </c>
      <c r="L597" t="s">
        <v>723</v>
      </c>
      <c r="M597" s="100" t="str">
        <f t="shared" si="18"/>
        <v>Wrong measurement</v>
      </c>
      <c r="N597" s="59" t="str">
        <f t="shared" si="19"/>
        <v>Wrong measurement</v>
      </c>
      <c r="O597" s="134" t="s">
        <v>239</v>
      </c>
      <c r="P597" s="134"/>
    </row>
    <row r="598" spans="1:16">
      <c r="A598" s="38">
        <v>143</v>
      </c>
      <c r="B598" t="s">
        <v>234</v>
      </c>
      <c r="D598" s="97" t="e">
        <f>_xlfn.XLOOKUP(A598,[1]CPD_SOP_new!$A:$A,[1]CPD_SOP_new!#REF!,"not found",0 )</f>
        <v>#REF!</v>
      </c>
      <c r="E598" s="97" t="str">
        <f>_xlfn.XLOOKUP(A598,[1]CPD_SOP_new!$A:$A,[1]CPD_SOP_new!$K:$K,"not found",0 )</f>
        <v>3R+F2C</v>
      </c>
      <c r="F598" t="s">
        <v>27</v>
      </c>
      <c r="G598" t="s">
        <v>27</v>
      </c>
      <c r="H598" t="s">
        <v>27</v>
      </c>
      <c r="I598" s="137" t="s">
        <v>27</v>
      </c>
      <c r="J598" s="130" t="s">
        <v>237</v>
      </c>
      <c r="K598" t="s">
        <v>926</v>
      </c>
      <c r="L598" t="s">
        <v>723</v>
      </c>
      <c r="M598" s="100" t="str">
        <f t="shared" si="18"/>
        <v>Wrong measurement</v>
      </c>
      <c r="N598" s="59" t="str">
        <f t="shared" si="19"/>
        <v>Wrong measurement</v>
      </c>
      <c r="O598" s="134" t="s">
        <v>239</v>
      </c>
      <c r="P598" s="134"/>
    </row>
    <row r="599" spans="1:16">
      <c r="A599" s="38">
        <v>144</v>
      </c>
      <c r="B599" t="s">
        <v>234</v>
      </c>
      <c r="D599" s="97" t="e">
        <f>_xlfn.XLOOKUP(A599,[1]CPD_SOP_new!$A:$A,[1]CPD_SOP_new!#REF!,"not found",0 )</f>
        <v>#REF!</v>
      </c>
      <c r="E599" s="97" t="str">
        <f>_xlfn.XLOOKUP(A599,[1]CPD_SOP_new!$A:$A,[1]CPD_SOP_new!$K:$K,"not found",0 )</f>
        <v>3L+F3R</v>
      </c>
      <c r="F599" t="s">
        <v>27</v>
      </c>
      <c r="G599" t="s">
        <v>27</v>
      </c>
      <c r="H599" t="s">
        <v>27</v>
      </c>
      <c r="I599" s="137" t="s">
        <v>27</v>
      </c>
      <c r="J599" s="130" t="s">
        <v>237</v>
      </c>
      <c r="K599" t="s">
        <v>928</v>
      </c>
      <c r="L599" t="s">
        <v>723</v>
      </c>
      <c r="M599" s="100" t="str">
        <f t="shared" si="18"/>
        <v>Wrong measurement</v>
      </c>
      <c r="N599" s="59" t="str">
        <f t="shared" si="19"/>
        <v>Wrong measurement</v>
      </c>
      <c r="O599" s="134" t="s">
        <v>239</v>
      </c>
      <c r="P599" s="134"/>
    </row>
    <row r="600" spans="1:16">
      <c r="A600" s="38">
        <v>144</v>
      </c>
      <c r="B600" t="s">
        <v>234</v>
      </c>
      <c r="D600" s="97" t="e">
        <f>_xlfn.XLOOKUP(A600,[1]CPD_SOP_new!$A:$A,[1]CPD_SOP_new!#REF!,"not found",0 )</f>
        <v>#REF!</v>
      </c>
      <c r="E600" s="97" t="str">
        <f>_xlfn.XLOOKUP(A600,[1]CPD_SOP_new!$A:$A,[1]CPD_SOP_new!$K:$K,"not found",0 )</f>
        <v>3L+F3R</v>
      </c>
      <c r="F600" t="s">
        <v>27</v>
      </c>
      <c r="G600" t="s">
        <v>27</v>
      </c>
      <c r="H600" t="s">
        <v>27</v>
      </c>
      <c r="I600" s="137" t="s">
        <v>27</v>
      </c>
      <c r="J600" s="130" t="s">
        <v>237</v>
      </c>
      <c r="K600" t="s">
        <v>929</v>
      </c>
      <c r="L600" t="s">
        <v>723</v>
      </c>
      <c r="M600" s="100" t="str">
        <f t="shared" si="18"/>
        <v>Wrong measurement</v>
      </c>
      <c r="N600" s="59" t="str">
        <f t="shared" si="19"/>
        <v>Wrong measurement</v>
      </c>
      <c r="O600" s="134" t="s">
        <v>239</v>
      </c>
      <c r="P600" s="134"/>
    </row>
    <row r="601" spans="1:16">
      <c r="A601" s="38">
        <v>144</v>
      </c>
      <c r="B601" t="s">
        <v>234</v>
      </c>
      <c r="D601" s="97" t="e">
        <f>_xlfn.XLOOKUP(A601,[1]CPD_SOP_new!$A:$A,[1]CPD_SOP_new!#REF!,"not found",0 )</f>
        <v>#REF!</v>
      </c>
      <c r="E601" s="97" t="str">
        <f>_xlfn.XLOOKUP(A601,[1]CPD_SOP_new!$A:$A,[1]CPD_SOP_new!$K:$K,"not found",0 )</f>
        <v>3L+F3R</v>
      </c>
      <c r="F601" t="s">
        <v>27</v>
      </c>
      <c r="G601" t="s">
        <v>27</v>
      </c>
      <c r="H601" t="s">
        <v>27</v>
      </c>
      <c r="I601" s="137" t="s">
        <v>27</v>
      </c>
      <c r="J601" s="130" t="s">
        <v>237</v>
      </c>
      <c r="K601" t="s">
        <v>930</v>
      </c>
      <c r="L601" t="s">
        <v>723</v>
      </c>
      <c r="M601" s="100" t="str">
        <f t="shared" si="18"/>
        <v>Wrong measurement</v>
      </c>
      <c r="N601" s="59" t="str">
        <f t="shared" si="19"/>
        <v>Wrong measurement</v>
      </c>
      <c r="O601" s="134" t="s">
        <v>239</v>
      </c>
      <c r="P601" s="134"/>
    </row>
    <row r="602" spans="1:16">
      <c r="A602" s="38">
        <v>145</v>
      </c>
      <c r="B602" t="s">
        <v>234</v>
      </c>
      <c r="D602" s="97" t="e">
        <f>_xlfn.XLOOKUP(A602,[1]CPD_SOP_new!$A:$A,[1]CPD_SOP_new!#REF!,"not found",0 )</f>
        <v>#REF!</v>
      </c>
      <c r="E602" s="97" t="str">
        <f>_xlfn.XLOOKUP(A602,[1]CPD_SOP_new!$A:$A,[1]CPD_SOP_new!$K:$K,"not found",0 )</f>
        <v>1D+F3L</v>
      </c>
      <c r="F602" t="s">
        <v>27</v>
      </c>
      <c r="G602" t="s">
        <v>27</v>
      </c>
      <c r="H602" t="s">
        <v>27</v>
      </c>
      <c r="I602" s="137" t="s">
        <v>27</v>
      </c>
      <c r="J602" s="130" t="s">
        <v>237</v>
      </c>
      <c r="K602" t="s">
        <v>937</v>
      </c>
      <c r="L602" t="s">
        <v>723</v>
      </c>
      <c r="M602" s="100" t="str">
        <f t="shared" si="18"/>
        <v>Wrong measurement</v>
      </c>
      <c r="N602" s="59" t="str">
        <f t="shared" si="19"/>
        <v>Wrong measurement</v>
      </c>
      <c r="O602" s="134" t="s">
        <v>239</v>
      </c>
      <c r="P602" s="134"/>
    </row>
    <row r="603" spans="1:16">
      <c r="A603" s="38">
        <v>145</v>
      </c>
      <c r="B603" t="s">
        <v>234</v>
      </c>
      <c r="D603" s="97" t="e">
        <f>_xlfn.XLOOKUP(A603,[1]CPD_SOP_new!$A:$A,[1]CPD_SOP_new!#REF!,"not found",0 )</f>
        <v>#REF!</v>
      </c>
      <c r="E603" s="97" t="str">
        <f>_xlfn.XLOOKUP(A603,[1]CPD_SOP_new!$A:$A,[1]CPD_SOP_new!$K:$K,"not found",0 )</f>
        <v>1D+F3L</v>
      </c>
      <c r="F603" t="s">
        <v>27</v>
      </c>
      <c r="G603" t="s">
        <v>27</v>
      </c>
      <c r="H603" t="s">
        <v>27</v>
      </c>
      <c r="I603" s="137" t="s">
        <v>27</v>
      </c>
      <c r="J603" s="130" t="s">
        <v>237</v>
      </c>
      <c r="K603" t="s">
        <v>938</v>
      </c>
      <c r="L603" t="s">
        <v>723</v>
      </c>
      <c r="M603" s="100" t="str">
        <f t="shared" si="18"/>
        <v>Wrong measurement</v>
      </c>
      <c r="N603" s="59" t="str">
        <f t="shared" si="19"/>
        <v>Wrong measurement</v>
      </c>
      <c r="O603" s="134" t="s">
        <v>239</v>
      </c>
      <c r="P603" s="134"/>
    </row>
    <row r="604" spans="1:16">
      <c r="A604" s="38">
        <v>145</v>
      </c>
      <c r="B604" t="s">
        <v>234</v>
      </c>
      <c r="D604" s="97" t="e">
        <f>_xlfn.XLOOKUP(A604,[1]CPD_SOP_new!$A:$A,[1]CPD_SOP_new!#REF!,"not found",0 )</f>
        <v>#REF!</v>
      </c>
      <c r="E604" s="97" t="str">
        <f>_xlfn.XLOOKUP(A604,[1]CPD_SOP_new!$A:$A,[1]CPD_SOP_new!$K:$K,"not found",0 )</f>
        <v>1D+F3L</v>
      </c>
      <c r="F604" t="s">
        <v>27</v>
      </c>
      <c r="G604" t="s">
        <v>27</v>
      </c>
      <c r="H604" t="s">
        <v>27</v>
      </c>
      <c r="I604" s="137" t="s">
        <v>27</v>
      </c>
      <c r="J604" s="130" t="s">
        <v>237</v>
      </c>
      <c r="K604" t="s">
        <v>939</v>
      </c>
      <c r="L604" t="s">
        <v>723</v>
      </c>
      <c r="M604" s="100" t="str">
        <f t="shared" si="18"/>
        <v>Wrong measurement</v>
      </c>
      <c r="N604" s="59" t="str">
        <f t="shared" si="19"/>
        <v>Wrong measurement</v>
      </c>
      <c r="O604" s="134" t="s">
        <v>239</v>
      </c>
      <c r="P604" s="134"/>
    </row>
    <row r="605" spans="1:16">
      <c r="A605" s="38">
        <v>146</v>
      </c>
      <c r="B605" s="92" t="s">
        <v>940</v>
      </c>
      <c r="D605" s="97" t="e">
        <f>_xlfn.XLOOKUP(A605,[1]CPD_SOP_new!$A:$A,[1]CPD_SOP_new!#REF!,"not found",0 )</f>
        <v>#REF!</v>
      </c>
      <c r="E605" s="97" t="s">
        <v>112</v>
      </c>
      <c r="F605" t="s">
        <v>27</v>
      </c>
      <c r="G605" t="s">
        <v>27</v>
      </c>
      <c r="H605" t="s">
        <v>27</v>
      </c>
      <c r="I605" t="s">
        <v>28</v>
      </c>
      <c r="J605" t="s">
        <v>828</v>
      </c>
      <c r="K605" t="s">
        <v>941</v>
      </c>
      <c r="L605" t="s">
        <v>2593</v>
      </c>
      <c r="M605" s="100" t="str">
        <f t="shared" si="18"/>
        <v>TC_146_Try1_Liquid__1L_CPD.MF4.xz</v>
      </c>
      <c r="N605" s="59" t="str">
        <f t="shared" si="19"/>
        <v>_Liquid__1L_CPD.MF4.xz</v>
      </c>
      <c r="O605" s="134" t="s">
        <v>942</v>
      </c>
      <c r="P605" s="134"/>
    </row>
    <row r="606" spans="1:16">
      <c r="A606" s="38">
        <v>146</v>
      </c>
      <c r="B606" s="92" t="s">
        <v>940</v>
      </c>
      <c r="D606" s="97" t="e">
        <f>_xlfn.XLOOKUP(A606,[1]CPD_SOP_new!$A:$A,[1]CPD_SOP_new!#REF!,"not found",0 )</f>
        <v>#REF!</v>
      </c>
      <c r="E606" s="97" t="s">
        <v>112</v>
      </c>
      <c r="F606" t="s">
        <v>27</v>
      </c>
      <c r="G606" t="s">
        <v>27</v>
      </c>
      <c r="H606" t="s">
        <v>27</v>
      </c>
      <c r="I606" t="s">
        <v>28</v>
      </c>
      <c r="J606" t="s">
        <v>828</v>
      </c>
      <c r="K606" t="s">
        <v>944</v>
      </c>
      <c r="L606" t="s">
        <v>2594</v>
      </c>
      <c r="M606" s="100" t="str">
        <f t="shared" si="18"/>
        <v>TC_146_Try2_Liquid__1L_CPD.MF4.xz</v>
      </c>
      <c r="N606" s="59" t="str">
        <f t="shared" si="19"/>
        <v>_Liquid__1L_CPD.MF4.xz</v>
      </c>
      <c r="O606" s="134" t="s">
        <v>942</v>
      </c>
      <c r="P606" s="134"/>
    </row>
    <row r="607" spans="1:16">
      <c r="A607" s="38">
        <v>146</v>
      </c>
      <c r="B607" s="92" t="s">
        <v>940</v>
      </c>
      <c r="D607" s="97" t="e">
        <f>_xlfn.XLOOKUP(A607,[1]CPD_SOP_new!$A:$A,[1]CPD_SOP_new!#REF!,"not found",0 )</f>
        <v>#REF!</v>
      </c>
      <c r="E607" s="97" t="s">
        <v>112</v>
      </c>
      <c r="F607" t="s">
        <v>27</v>
      </c>
      <c r="G607" t="s">
        <v>27</v>
      </c>
      <c r="H607" t="s">
        <v>27</v>
      </c>
      <c r="I607" t="s">
        <v>28</v>
      </c>
      <c r="J607" t="s">
        <v>828</v>
      </c>
      <c r="K607" t="s">
        <v>945</v>
      </c>
      <c r="L607" t="s">
        <v>2595</v>
      </c>
      <c r="M607" s="100" t="str">
        <f t="shared" si="18"/>
        <v>TC_146_Try3_Liquid__1L_CPD.MF4.xz</v>
      </c>
      <c r="N607" s="59" t="str">
        <f t="shared" si="19"/>
        <v>_Liquid__1L_CPD.MF4.xz</v>
      </c>
      <c r="O607" s="134" t="s">
        <v>942</v>
      </c>
      <c r="P607" s="134"/>
    </row>
    <row r="608" spans="1:16">
      <c r="A608" s="38">
        <v>147</v>
      </c>
      <c r="B608" s="92" t="s">
        <v>940</v>
      </c>
      <c r="D608" s="97" t="e">
        <f>_xlfn.XLOOKUP(A608,[1]CPD_SOP_new!$A:$A,[1]CPD_SOP_new!#REF!,"not found",0 )</f>
        <v>#REF!</v>
      </c>
      <c r="E608" s="97" t="s">
        <v>26</v>
      </c>
      <c r="F608" t="s">
        <v>27</v>
      </c>
      <c r="G608" t="s">
        <v>236</v>
      </c>
      <c r="H608" t="s">
        <v>236</v>
      </c>
      <c r="I608" t="s">
        <v>28</v>
      </c>
      <c r="J608" t="s">
        <v>828</v>
      </c>
      <c r="K608" t="s">
        <v>947</v>
      </c>
      <c r="L608" t="s">
        <v>2596</v>
      </c>
      <c r="M608" s="100" t="str">
        <f t="shared" si="18"/>
        <v>TC_147_Try1_Liquid__1R_CPD.MF4.xz</v>
      </c>
      <c r="N608" s="59" t="str">
        <f t="shared" si="19"/>
        <v>_Liquid__1R_CPD.MF4.xz</v>
      </c>
      <c r="O608" s="134" t="s">
        <v>942</v>
      </c>
      <c r="P608" s="134"/>
    </row>
    <row r="609" spans="1:21">
      <c r="A609" s="38">
        <v>147</v>
      </c>
      <c r="B609" s="92" t="s">
        <v>940</v>
      </c>
      <c r="D609" s="97" t="e">
        <f>_xlfn.XLOOKUP(A609,[1]CPD_SOP_new!$A:$A,[1]CPD_SOP_new!#REF!,"not found",0 )</f>
        <v>#REF!</v>
      </c>
      <c r="E609" s="97" t="s">
        <v>26</v>
      </c>
      <c r="F609" t="s">
        <v>27</v>
      </c>
      <c r="G609" t="s">
        <v>236</v>
      </c>
      <c r="H609" t="s">
        <v>236</v>
      </c>
      <c r="I609" t="s">
        <v>28</v>
      </c>
      <c r="J609" t="s">
        <v>828</v>
      </c>
      <c r="K609" t="s">
        <v>949</v>
      </c>
      <c r="L609" t="s">
        <v>2597</v>
      </c>
      <c r="M609" s="100" t="str">
        <f t="shared" si="18"/>
        <v>TC_147_Try2_Liquid__1R_CPD.MF4.xz</v>
      </c>
      <c r="N609" s="59" t="str">
        <f t="shared" si="19"/>
        <v>_Liquid__1R_CPD.MF4.xz</v>
      </c>
      <c r="O609" s="134" t="s">
        <v>942</v>
      </c>
      <c r="P609" s="134"/>
    </row>
    <row r="610" spans="1:21">
      <c r="A610" s="38">
        <v>147</v>
      </c>
      <c r="B610" s="92" t="s">
        <v>940</v>
      </c>
      <c r="D610" s="97" t="e">
        <f>_xlfn.XLOOKUP(A610,[1]CPD_SOP_new!$A:$A,[1]CPD_SOP_new!#REF!,"not found",0 )</f>
        <v>#REF!</v>
      </c>
      <c r="E610" s="97" t="s">
        <v>26</v>
      </c>
      <c r="F610" t="s">
        <v>27</v>
      </c>
      <c r="G610" t="s">
        <v>236</v>
      </c>
      <c r="H610" t="s">
        <v>236</v>
      </c>
      <c r="I610" t="s">
        <v>28</v>
      </c>
      <c r="J610" t="s">
        <v>828</v>
      </c>
      <c r="K610" t="s">
        <v>950</v>
      </c>
      <c r="L610" t="s">
        <v>2598</v>
      </c>
      <c r="M610" s="100" t="str">
        <f t="shared" si="18"/>
        <v>TC_147_Try3_Liquid__1R_CPD.MF4.xz</v>
      </c>
      <c r="N610" s="59" t="str">
        <f t="shared" si="19"/>
        <v>_Liquid__1R_CPD.MF4.xz</v>
      </c>
      <c r="O610" s="134" t="s">
        <v>942</v>
      </c>
      <c r="P610" s="134"/>
    </row>
    <row r="611" spans="1:21">
      <c r="A611" s="38">
        <v>148</v>
      </c>
      <c r="B611" s="92" t="s">
        <v>940</v>
      </c>
      <c r="D611" s="97" t="e">
        <f>_xlfn.XLOOKUP(A611,[1]CPD_SOP_new!$A:$A,[1]CPD_SOP_new!#REF!,"not found",0 )</f>
        <v>#REF!</v>
      </c>
      <c r="E611" s="97" t="str">
        <f>_xlfn.XLOOKUP(A611,[1]CPD_SOP_new!$A:$A,[1]CPD_SOP_new!$K:$K,"not found",0 )</f>
        <v>2R</v>
      </c>
      <c r="F611" t="s">
        <v>27</v>
      </c>
      <c r="G611" t="s">
        <v>236</v>
      </c>
      <c r="H611" t="s">
        <v>236</v>
      </c>
      <c r="I611" t="s">
        <v>28</v>
      </c>
      <c r="J611" t="s">
        <v>828</v>
      </c>
      <c r="K611" t="s">
        <v>953</v>
      </c>
      <c r="L611" t="s">
        <v>2599</v>
      </c>
      <c r="M611" s="100" t="str">
        <f t="shared" si="18"/>
        <v>TC_148_Try1_Liquid__2R_CPD.MF4.xz</v>
      </c>
      <c r="N611" s="59" t="str">
        <f t="shared" si="19"/>
        <v>_Liquid__2R_CPD.MF4.xz</v>
      </c>
      <c r="O611" s="134" t="s">
        <v>942</v>
      </c>
      <c r="P611" s="134"/>
    </row>
    <row r="612" spans="1:21">
      <c r="A612" s="38">
        <v>148</v>
      </c>
      <c r="B612" s="92" t="s">
        <v>940</v>
      </c>
      <c r="D612" s="97" t="e">
        <f>_xlfn.XLOOKUP(A612,[1]CPD_SOP_new!$A:$A,[1]CPD_SOP_new!#REF!,"not found",0 )</f>
        <v>#REF!</v>
      </c>
      <c r="E612" s="97" t="str">
        <f>_xlfn.XLOOKUP(A612,[1]CPD_SOP_new!$A:$A,[1]CPD_SOP_new!$K:$K,"not found",0 )</f>
        <v>2R</v>
      </c>
      <c r="F612" t="s">
        <v>27</v>
      </c>
      <c r="G612" t="s">
        <v>236</v>
      </c>
      <c r="H612" t="s">
        <v>236</v>
      </c>
      <c r="I612" t="s">
        <v>28</v>
      </c>
      <c r="J612" t="s">
        <v>828</v>
      </c>
      <c r="K612" t="s">
        <v>955</v>
      </c>
      <c r="L612" t="s">
        <v>2600</v>
      </c>
      <c r="M612" s="100" t="str">
        <f t="shared" si="18"/>
        <v>TC_148_Try2_Liquid__2R_CPD.MF4.xz</v>
      </c>
      <c r="N612" s="59" t="str">
        <f t="shared" si="19"/>
        <v>_Liquid__2R_CPD.MF4.xz</v>
      </c>
      <c r="O612" s="134" t="s">
        <v>942</v>
      </c>
      <c r="P612" s="134"/>
    </row>
    <row r="613" spans="1:21">
      <c r="A613" s="38">
        <v>148</v>
      </c>
      <c r="B613" s="92" t="s">
        <v>940</v>
      </c>
      <c r="D613" s="97" t="e">
        <f>_xlfn.XLOOKUP(A613,[1]CPD_SOP_new!$A:$A,[1]CPD_SOP_new!#REF!,"not found",0 )</f>
        <v>#REF!</v>
      </c>
      <c r="E613" s="97" t="str">
        <f>_xlfn.XLOOKUP(A613,[1]CPD_SOP_new!$A:$A,[1]CPD_SOP_new!$K:$K,"not found",0 )</f>
        <v>2R</v>
      </c>
      <c r="F613" t="s">
        <v>27</v>
      </c>
      <c r="G613" t="s">
        <v>236</v>
      </c>
      <c r="H613" t="s">
        <v>236</v>
      </c>
      <c r="I613" t="s">
        <v>28</v>
      </c>
      <c r="J613" t="s">
        <v>828</v>
      </c>
      <c r="K613" t="s">
        <v>956</v>
      </c>
      <c r="L613" t="s">
        <v>2601</v>
      </c>
      <c r="M613" s="100" t="str">
        <f t="shared" si="18"/>
        <v>TC_148_Try3_Liquid__2R_CPD.MF4.xz</v>
      </c>
      <c r="N613" s="59" t="str">
        <f t="shared" si="19"/>
        <v>_Liquid__2R_CPD.MF4.xz</v>
      </c>
      <c r="O613" s="134" t="s">
        <v>942</v>
      </c>
      <c r="P613" s="134"/>
    </row>
    <row r="614" spans="1:21">
      <c r="A614" s="38">
        <v>149</v>
      </c>
      <c r="B614" s="92" t="s">
        <v>940</v>
      </c>
      <c r="D614" s="97" t="e">
        <f>_xlfn.XLOOKUP(A614,[1]CPD_SOP_new!$A:$A,[1]CPD_SOP_new!#REF!,"not found",0 )</f>
        <v>#REF!</v>
      </c>
      <c r="E614" s="97" t="str">
        <f>_xlfn.XLOOKUP(A614,[1]CPD_SOP_new!$A:$A,[1]CPD_SOP_new!$K:$K,"not found",0 )</f>
        <v>2L</v>
      </c>
      <c r="F614" t="s">
        <v>27</v>
      </c>
      <c r="G614" t="s">
        <v>27</v>
      </c>
      <c r="H614" t="s">
        <v>27</v>
      </c>
      <c r="I614" t="s">
        <v>28</v>
      </c>
      <c r="J614" t="s">
        <v>828</v>
      </c>
      <c r="K614" t="s">
        <v>958</v>
      </c>
      <c r="L614" t="s">
        <v>2602</v>
      </c>
      <c r="M614" s="100" t="str">
        <f t="shared" si="18"/>
        <v>TC_149_Try1_Liquid__2L_CPD.MF4.xz</v>
      </c>
      <c r="N614" s="59" t="str">
        <f t="shared" si="19"/>
        <v>_Liquid__2L_CPD.MF4.xz</v>
      </c>
      <c r="O614" s="134" t="s">
        <v>942</v>
      </c>
      <c r="P614" s="134"/>
    </row>
    <row r="615" spans="1:21">
      <c r="A615" s="38">
        <v>149</v>
      </c>
      <c r="B615" s="92" t="s">
        <v>940</v>
      </c>
      <c r="D615" s="97" t="e">
        <f>_xlfn.XLOOKUP(A615,[1]CPD_SOP_new!$A:$A,[1]CPD_SOP_new!#REF!,"not found",0 )</f>
        <v>#REF!</v>
      </c>
      <c r="E615" s="97" t="str">
        <f>_xlfn.XLOOKUP(A615,[1]CPD_SOP_new!$A:$A,[1]CPD_SOP_new!$K:$K,"not found",0 )</f>
        <v>2L</v>
      </c>
      <c r="F615" t="s">
        <v>27</v>
      </c>
      <c r="G615" t="s">
        <v>27</v>
      </c>
      <c r="H615" t="s">
        <v>27</v>
      </c>
      <c r="I615" t="s">
        <v>28</v>
      </c>
      <c r="J615" t="s">
        <v>828</v>
      </c>
      <c r="K615" t="s">
        <v>960</v>
      </c>
      <c r="L615" t="s">
        <v>2603</v>
      </c>
      <c r="M615" s="100" t="str">
        <f t="shared" si="18"/>
        <v>TC_149_Try2_Liquid__2L_CPD.MF4.xz</v>
      </c>
      <c r="N615" s="59" t="str">
        <f t="shared" si="19"/>
        <v>_Liquid__2L_CPD.MF4.xz</v>
      </c>
      <c r="O615" s="134" t="s">
        <v>942</v>
      </c>
      <c r="P615" s="134"/>
    </row>
    <row r="616" spans="1:21">
      <c r="A616" s="38">
        <v>149</v>
      </c>
      <c r="B616" s="92" t="s">
        <v>940</v>
      </c>
      <c r="D616" s="97" t="e">
        <f>_xlfn.XLOOKUP(A616,[1]CPD_SOP_new!$A:$A,[1]CPD_SOP_new!#REF!,"not found",0 )</f>
        <v>#REF!</v>
      </c>
      <c r="E616" s="97" t="str">
        <f>_xlfn.XLOOKUP(A616,[1]CPD_SOP_new!$A:$A,[1]CPD_SOP_new!$K:$K,"not found",0 )</f>
        <v>2L</v>
      </c>
      <c r="F616" t="s">
        <v>27</v>
      </c>
      <c r="G616" t="s">
        <v>27</v>
      </c>
      <c r="H616" t="s">
        <v>27</v>
      </c>
      <c r="I616" t="s">
        <v>28</v>
      </c>
      <c r="J616" t="s">
        <v>828</v>
      </c>
      <c r="K616" t="s">
        <v>961</v>
      </c>
      <c r="L616" t="s">
        <v>2604</v>
      </c>
      <c r="M616" s="100" t="str">
        <f t="shared" si="18"/>
        <v>TC_149_Try3_Liquid__2L_CPD.MF4.xz</v>
      </c>
      <c r="N616" s="59" t="str">
        <f t="shared" si="19"/>
        <v>_Liquid__2L_CPD.MF4.xz</v>
      </c>
      <c r="O616" s="134" t="s">
        <v>942</v>
      </c>
      <c r="P616" s="134"/>
    </row>
    <row r="617" spans="1:21">
      <c r="A617" s="77">
        <v>150</v>
      </c>
      <c r="B617" s="92" t="s">
        <v>940</v>
      </c>
      <c r="D617" s="97" t="e">
        <f>_xlfn.XLOOKUP(A617,[1]CPD_SOP_new!$A:$A,[1]CPD_SOP_new!#REF!,"not found",0 )</f>
        <v>#REF!</v>
      </c>
      <c r="E617" s="97" t="str">
        <f>_xlfn.XLOOKUP(A617,[1]CPD_SOP_new!$A:$A,[1]CPD_SOP_new!$K:$K,"not found",0 )</f>
        <v>2C</v>
      </c>
      <c r="F617" t="s">
        <v>27</v>
      </c>
      <c r="G617" t="s">
        <v>27</v>
      </c>
      <c r="H617" t="s">
        <v>27</v>
      </c>
      <c r="I617" t="s">
        <v>28</v>
      </c>
      <c r="J617" t="s">
        <v>828</v>
      </c>
      <c r="K617" t="s">
        <v>965</v>
      </c>
      <c r="L617" t="s">
        <v>2605</v>
      </c>
      <c r="M617" s="100" t="str">
        <f t="shared" si="18"/>
        <v>CSR_XCP_Signals_Recorder_2026-01-29_15-38-54_TC150_NCAP_1_2_Liquid__2C_CPD.MF4.xz</v>
      </c>
      <c r="N617" s="59" t="str">
        <f t="shared" si="19"/>
        <v>_Liquid__2C_CPD.MF4.xz</v>
      </c>
      <c r="O617" t="s">
        <v>353</v>
      </c>
      <c r="Q617" t="s">
        <v>828</v>
      </c>
      <c r="R617" t="s">
        <v>828</v>
      </c>
      <c r="S617">
        <v>0</v>
      </c>
      <c r="T617">
        <v>0</v>
      </c>
      <c r="U617">
        <v>0</v>
      </c>
    </row>
    <row r="618" spans="1:21">
      <c r="A618" s="77">
        <v>150</v>
      </c>
      <c r="B618" s="92" t="s">
        <v>940</v>
      </c>
      <c r="D618" s="97" t="e">
        <f>_xlfn.XLOOKUP(A618,[1]CPD_SOP_new!$A:$A,[1]CPD_SOP_new!#REF!,"not found",0 )</f>
        <v>#REF!</v>
      </c>
      <c r="E618" s="97" t="str">
        <f>_xlfn.XLOOKUP(A618,[1]CPD_SOP_new!$A:$A,[1]CPD_SOP_new!$K:$K,"not found",0 )</f>
        <v>2C</v>
      </c>
      <c r="F618" t="s">
        <v>27</v>
      </c>
      <c r="G618" t="s">
        <v>27</v>
      </c>
      <c r="H618" t="s">
        <v>27</v>
      </c>
      <c r="I618" t="s">
        <v>28</v>
      </c>
      <c r="J618" t="s">
        <v>828</v>
      </c>
      <c r="K618" t="s">
        <v>967</v>
      </c>
      <c r="L618" t="s">
        <v>2606</v>
      </c>
      <c r="M618" s="100" t="str">
        <f t="shared" si="18"/>
        <v>CSR_XCP_Signals_Recorder_2026-01-29_15-40-14_TC150_NCAP_1_2_Liquid__2C_CPD.MF4.xz</v>
      </c>
      <c r="N618" s="59" t="str">
        <f t="shared" si="19"/>
        <v>_Liquid__2C_CPD.MF4.xz</v>
      </c>
      <c r="O618" t="s">
        <v>353</v>
      </c>
      <c r="Q618" t="s">
        <v>828</v>
      </c>
      <c r="R618" t="s">
        <v>828</v>
      </c>
      <c r="S618">
        <v>0</v>
      </c>
      <c r="T618">
        <v>0</v>
      </c>
      <c r="U618">
        <v>0</v>
      </c>
    </row>
    <row r="619" spans="1:21">
      <c r="A619" s="77">
        <v>150</v>
      </c>
      <c r="B619" s="92" t="s">
        <v>940</v>
      </c>
      <c r="D619" s="97" t="e">
        <f>_xlfn.XLOOKUP(A619,[1]CPD_SOP_new!$A:$A,[1]CPD_SOP_new!#REF!,"not found",0 )</f>
        <v>#REF!</v>
      </c>
      <c r="E619" s="97" t="str">
        <f>_xlfn.XLOOKUP(A619,[1]CPD_SOP_new!$A:$A,[1]CPD_SOP_new!$K:$K,"not found",0 )</f>
        <v>2C</v>
      </c>
      <c r="F619" t="s">
        <v>27</v>
      </c>
      <c r="G619" t="s">
        <v>27</v>
      </c>
      <c r="H619" t="s">
        <v>27</v>
      </c>
      <c r="I619" t="s">
        <v>28</v>
      </c>
      <c r="J619" t="s">
        <v>828</v>
      </c>
      <c r="K619" t="s">
        <v>968</v>
      </c>
      <c r="L619" t="s">
        <v>2607</v>
      </c>
      <c r="M619" s="100" t="str">
        <f t="shared" si="18"/>
        <v>CSR_XCP_Signals_Recorder_2026-01-29_15-41-21_TC150_NCAP_1_2_Liquid__2C_CPD.MF4.xz</v>
      </c>
      <c r="N619" s="59" t="str">
        <f t="shared" si="19"/>
        <v>_Liquid__2C_CPD.MF4.xz</v>
      </c>
      <c r="O619" t="s">
        <v>353</v>
      </c>
      <c r="Q619" t="s">
        <v>828</v>
      </c>
      <c r="R619" t="s">
        <v>828</v>
      </c>
      <c r="S619">
        <v>0</v>
      </c>
      <c r="T619">
        <v>0</v>
      </c>
      <c r="U619">
        <v>0</v>
      </c>
    </row>
    <row r="620" spans="1:21" s="130" customFormat="1">
      <c r="A620" s="78">
        <v>150</v>
      </c>
      <c r="B620" s="93" t="s">
        <v>940</v>
      </c>
      <c r="D620" s="97" t="e">
        <f>_xlfn.XLOOKUP(A620,[1]CPD_SOP_new!$A:$A,[1]CPD_SOP_new!#REF!,"not found",0 )</f>
        <v>#REF!</v>
      </c>
      <c r="E620" s="97" t="str">
        <f>_xlfn.XLOOKUP(A620,[1]CPD_SOP_new!$A:$A,[1]CPD_SOP_new!$K:$K,"not found",0 )</f>
        <v>2C</v>
      </c>
      <c r="F620" s="130" t="s">
        <v>27</v>
      </c>
      <c r="G620" s="130" t="s">
        <v>27</v>
      </c>
      <c r="H620" s="130" t="s">
        <v>27</v>
      </c>
      <c r="I620" s="130" t="s">
        <v>27</v>
      </c>
      <c r="J620" s="130" t="s">
        <v>237</v>
      </c>
      <c r="K620" s="130" t="s">
        <v>1042</v>
      </c>
      <c r="L620" s="130" t="s">
        <v>723</v>
      </c>
      <c r="M620" s="100" t="str">
        <f t="shared" si="18"/>
        <v>Wrong measurement</v>
      </c>
      <c r="N620" s="59" t="str">
        <f t="shared" si="19"/>
        <v>Wrong measurement</v>
      </c>
      <c r="O620" s="130" t="s">
        <v>353</v>
      </c>
      <c r="Q620" s="130" t="s">
        <v>828</v>
      </c>
      <c r="R620" s="130" t="s">
        <v>828</v>
      </c>
      <c r="S620" s="130">
        <v>0</v>
      </c>
      <c r="T620" s="130">
        <v>0</v>
      </c>
      <c r="U620" s="130">
        <v>0</v>
      </c>
    </row>
    <row r="621" spans="1:21" s="130" customFormat="1">
      <c r="A621" s="78">
        <v>150</v>
      </c>
      <c r="B621" s="93" t="s">
        <v>940</v>
      </c>
      <c r="D621" s="97" t="e">
        <f>_xlfn.XLOOKUP(A621,[1]CPD_SOP_new!$A:$A,[1]CPD_SOP_new!#REF!,"not found",0 )</f>
        <v>#REF!</v>
      </c>
      <c r="E621" s="97" t="str">
        <f>_xlfn.XLOOKUP(A621,[1]CPD_SOP_new!$A:$A,[1]CPD_SOP_new!$K:$K,"not found",0 )</f>
        <v>2C</v>
      </c>
      <c r="F621" s="130" t="s">
        <v>27</v>
      </c>
      <c r="G621" s="130" t="s">
        <v>27</v>
      </c>
      <c r="H621" s="130" t="s">
        <v>27</v>
      </c>
      <c r="I621" s="130" t="s">
        <v>27</v>
      </c>
      <c r="J621" s="130" t="s">
        <v>237</v>
      </c>
      <c r="K621" s="130" t="s">
        <v>1049</v>
      </c>
      <c r="L621" s="130" t="s">
        <v>723</v>
      </c>
      <c r="M621" s="100" t="str">
        <f t="shared" si="18"/>
        <v>Wrong measurement</v>
      </c>
      <c r="N621" s="59" t="str">
        <f t="shared" si="19"/>
        <v>Wrong measurement</v>
      </c>
      <c r="O621" s="130" t="s">
        <v>353</v>
      </c>
      <c r="Q621" s="130" t="s">
        <v>828</v>
      </c>
      <c r="R621" s="130" t="s">
        <v>828</v>
      </c>
      <c r="S621" s="130">
        <v>0</v>
      </c>
      <c r="T621" s="130">
        <v>0</v>
      </c>
      <c r="U621" s="130">
        <v>0</v>
      </c>
    </row>
    <row r="622" spans="1:21" s="130" customFormat="1">
      <c r="A622" s="78">
        <v>150</v>
      </c>
      <c r="B622" s="93" t="s">
        <v>940</v>
      </c>
      <c r="D622" s="97" t="e">
        <f>_xlfn.XLOOKUP(A622,[1]CPD_SOP_new!$A:$A,[1]CPD_SOP_new!#REF!,"not found",0 )</f>
        <v>#REF!</v>
      </c>
      <c r="E622" s="97" t="str">
        <f>_xlfn.XLOOKUP(A622,[1]CPD_SOP_new!$A:$A,[1]CPD_SOP_new!$K:$K,"not found",0 )</f>
        <v>2C</v>
      </c>
      <c r="F622" s="130" t="s">
        <v>27</v>
      </c>
      <c r="G622" s="130" t="s">
        <v>27</v>
      </c>
      <c r="H622" s="130" t="s">
        <v>27</v>
      </c>
      <c r="I622" s="130" t="s">
        <v>27</v>
      </c>
      <c r="J622" s="130" t="s">
        <v>237</v>
      </c>
      <c r="K622" s="130" t="s">
        <v>1050</v>
      </c>
      <c r="L622" s="130" t="s">
        <v>723</v>
      </c>
      <c r="M622" s="100" t="str">
        <f t="shared" si="18"/>
        <v>Wrong measurement</v>
      </c>
      <c r="N622" s="59" t="str">
        <f t="shared" si="19"/>
        <v>Wrong measurement</v>
      </c>
      <c r="O622" s="130" t="s">
        <v>353</v>
      </c>
      <c r="Q622" s="130" t="s">
        <v>828</v>
      </c>
      <c r="R622" s="130" t="s">
        <v>828</v>
      </c>
      <c r="S622" s="130">
        <v>0</v>
      </c>
      <c r="T622" s="130">
        <v>0</v>
      </c>
      <c r="U622" s="130">
        <v>0</v>
      </c>
    </row>
    <row r="623" spans="1:21" s="130" customFormat="1">
      <c r="A623" s="78">
        <v>151</v>
      </c>
      <c r="B623" s="93" t="s">
        <v>940</v>
      </c>
      <c r="D623" s="97" t="e">
        <f>_xlfn.XLOOKUP(A623,[1]CPD_SOP_new!$A:$A,[1]CPD_SOP_new!#REF!,"not found",0 )</f>
        <v>#REF!</v>
      </c>
      <c r="E623" s="97" t="str">
        <f>_xlfn.XLOOKUP(A623,[1]CPD_SOP_new!$A:$A,[1]CPD_SOP_new!$K:$K,"not found",0 )</f>
        <v>3R</v>
      </c>
      <c r="F623" s="130" t="s">
        <v>27</v>
      </c>
      <c r="G623" s="130" t="s">
        <v>27</v>
      </c>
      <c r="H623" s="130" t="s">
        <v>27</v>
      </c>
      <c r="I623" s="130" t="s">
        <v>27</v>
      </c>
      <c r="J623" s="130" t="s">
        <v>237</v>
      </c>
      <c r="K623" s="130" t="s">
        <v>974</v>
      </c>
      <c r="L623" s="130" t="s">
        <v>723</v>
      </c>
      <c r="M623" s="100" t="str">
        <f t="shared" si="18"/>
        <v>Wrong measurement</v>
      </c>
      <c r="N623" s="59" t="str">
        <f t="shared" si="19"/>
        <v>Wrong measurement</v>
      </c>
      <c r="O623" s="130" t="s">
        <v>975</v>
      </c>
    </row>
    <row r="624" spans="1:21" s="130" customFormat="1">
      <c r="A624" s="78">
        <v>151</v>
      </c>
      <c r="B624" s="93" t="s">
        <v>940</v>
      </c>
      <c r="D624" s="97" t="e">
        <f>_xlfn.XLOOKUP(A624,[1]CPD_SOP_new!$A:$A,[1]CPD_SOP_new!#REF!,"not found",0 )</f>
        <v>#REF!</v>
      </c>
      <c r="E624" s="97" t="str">
        <f>_xlfn.XLOOKUP(A624,[1]CPD_SOP_new!$A:$A,[1]CPD_SOP_new!$K:$K,"not found",0 )</f>
        <v>3R</v>
      </c>
      <c r="F624" s="130" t="s">
        <v>27</v>
      </c>
      <c r="G624" s="130" t="s">
        <v>27</v>
      </c>
      <c r="H624" s="130" t="s">
        <v>27</v>
      </c>
      <c r="I624" s="130" t="s">
        <v>27</v>
      </c>
      <c r="J624" s="130" t="s">
        <v>237</v>
      </c>
      <c r="K624" s="130" t="s">
        <v>976</v>
      </c>
      <c r="L624" s="130" t="s">
        <v>723</v>
      </c>
      <c r="M624" s="100" t="str">
        <f t="shared" si="18"/>
        <v>Wrong measurement</v>
      </c>
      <c r="N624" s="59" t="str">
        <f t="shared" si="19"/>
        <v>Wrong measurement</v>
      </c>
      <c r="O624" s="130" t="s">
        <v>975</v>
      </c>
    </row>
    <row r="625" spans="1:15" s="130" customFormat="1">
      <c r="A625" s="78">
        <v>151</v>
      </c>
      <c r="B625" s="93" t="s">
        <v>940</v>
      </c>
      <c r="D625" s="97" t="e">
        <f>_xlfn.XLOOKUP(A625,[1]CPD_SOP_new!$A:$A,[1]CPD_SOP_new!#REF!,"not found",0 )</f>
        <v>#REF!</v>
      </c>
      <c r="E625" s="97" t="str">
        <f>_xlfn.XLOOKUP(A625,[1]CPD_SOP_new!$A:$A,[1]CPD_SOP_new!$K:$K,"not found",0 )</f>
        <v>3R</v>
      </c>
      <c r="F625" s="130" t="s">
        <v>27</v>
      </c>
      <c r="G625" s="130" t="s">
        <v>27</v>
      </c>
      <c r="H625" s="130" t="s">
        <v>27</v>
      </c>
      <c r="I625" s="130" t="s">
        <v>27</v>
      </c>
      <c r="J625" s="130" t="s">
        <v>237</v>
      </c>
      <c r="K625" s="130" t="s">
        <v>977</v>
      </c>
      <c r="L625" s="130" t="s">
        <v>723</v>
      </c>
      <c r="M625" s="100" t="str">
        <f t="shared" si="18"/>
        <v>Wrong measurement</v>
      </c>
      <c r="N625" s="59" t="str">
        <f t="shared" si="19"/>
        <v>Wrong measurement</v>
      </c>
      <c r="O625" s="130" t="s">
        <v>975</v>
      </c>
    </row>
    <row r="626" spans="1:15" s="130" customFormat="1">
      <c r="A626" s="78">
        <v>152</v>
      </c>
      <c r="B626" s="93" t="s">
        <v>940</v>
      </c>
      <c r="D626" s="97" t="e">
        <f>_xlfn.XLOOKUP(A626,[1]CPD_SOP_new!$A:$A,[1]CPD_SOP_new!#REF!,"not found",0 )</f>
        <v>#REF!</v>
      </c>
      <c r="E626" s="97" t="str">
        <f>_xlfn.XLOOKUP(A626,[1]CPD_SOP_new!$A:$A,[1]CPD_SOP_new!$K:$K,"not found",0 )</f>
        <v>3L</v>
      </c>
      <c r="F626" s="130" t="s">
        <v>27</v>
      </c>
      <c r="G626" s="130" t="s">
        <v>27</v>
      </c>
      <c r="H626" s="130" t="s">
        <v>27</v>
      </c>
      <c r="I626" s="130" t="s">
        <v>27</v>
      </c>
      <c r="J626" s="130" t="s">
        <v>237</v>
      </c>
      <c r="K626" s="130" t="s">
        <v>986</v>
      </c>
      <c r="L626" s="130" t="s">
        <v>723</v>
      </c>
      <c r="M626" s="100" t="str">
        <f t="shared" si="18"/>
        <v>Wrong measurement</v>
      </c>
      <c r="N626" s="59" t="str">
        <f t="shared" si="19"/>
        <v>Wrong measurement</v>
      </c>
      <c r="O626" s="130" t="s">
        <v>975</v>
      </c>
    </row>
    <row r="627" spans="1:15" s="130" customFormat="1">
      <c r="A627" s="78">
        <v>152</v>
      </c>
      <c r="B627" s="93" t="s">
        <v>940</v>
      </c>
      <c r="D627" s="97" t="e">
        <f>_xlfn.XLOOKUP(A627,[1]CPD_SOP_new!$A:$A,[1]CPD_SOP_new!#REF!,"not found",0 )</f>
        <v>#REF!</v>
      </c>
      <c r="E627" s="97" t="str">
        <f>_xlfn.XLOOKUP(A627,[1]CPD_SOP_new!$A:$A,[1]CPD_SOP_new!$K:$K,"not found",0 )</f>
        <v>3L</v>
      </c>
      <c r="F627" s="130" t="s">
        <v>27</v>
      </c>
      <c r="G627" s="130" t="s">
        <v>27</v>
      </c>
      <c r="H627" s="130" t="s">
        <v>27</v>
      </c>
      <c r="I627" s="130" t="s">
        <v>27</v>
      </c>
      <c r="J627" s="130" t="s">
        <v>237</v>
      </c>
      <c r="K627" s="130" t="s">
        <v>987</v>
      </c>
      <c r="L627" s="130" t="s">
        <v>723</v>
      </c>
      <c r="M627" s="100" t="str">
        <f t="shared" si="18"/>
        <v>Wrong measurement</v>
      </c>
      <c r="N627" s="59" t="str">
        <f t="shared" si="19"/>
        <v>Wrong measurement</v>
      </c>
      <c r="O627" s="130" t="s">
        <v>975</v>
      </c>
    </row>
    <row r="628" spans="1:15" s="130" customFormat="1">
      <c r="A628" s="78">
        <v>152</v>
      </c>
      <c r="B628" s="93" t="s">
        <v>940</v>
      </c>
      <c r="D628" s="97" t="e">
        <f>_xlfn.XLOOKUP(A628,[1]CPD_SOP_new!$A:$A,[1]CPD_SOP_new!#REF!,"not found",0 )</f>
        <v>#REF!</v>
      </c>
      <c r="E628" s="97" t="str">
        <f>_xlfn.XLOOKUP(A628,[1]CPD_SOP_new!$A:$A,[1]CPD_SOP_new!$K:$K,"not found",0 )</f>
        <v>3L</v>
      </c>
      <c r="F628" s="130" t="s">
        <v>27</v>
      </c>
      <c r="G628" s="130" t="s">
        <v>27</v>
      </c>
      <c r="H628" s="130" t="s">
        <v>27</v>
      </c>
      <c r="I628" s="130" t="s">
        <v>27</v>
      </c>
      <c r="J628" s="130" t="s">
        <v>237</v>
      </c>
      <c r="K628" s="130" t="s">
        <v>988</v>
      </c>
      <c r="L628" s="130" t="s">
        <v>723</v>
      </c>
      <c r="M628" s="100" t="str">
        <f t="shared" si="18"/>
        <v>Wrong measurement</v>
      </c>
      <c r="N628" s="59" t="str">
        <f t="shared" si="19"/>
        <v>Wrong measurement</v>
      </c>
      <c r="O628" s="130" t="s">
        <v>975</v>
      </c>
    </row>
    <row r="629" spans="1:15">
      <c r="A629" s="38">
        <v>153</v>
      </c>
      <c r="B629" s="92" t="s">
        <v>940</v>
      </c>
      <c r="D629" s="97" t="e">
        <f>_xlfn.XLOOKUP(A629,[1]CPD_SOP_new!$A:$A,[1]CPD_SOP_new!#REF!,"not found",0 )</f>
        <v>#REF!</v>
      </c>
      <c r="E629" s="97" t="str">
        <f>_xlfn.XLOOKUP(A629,[1]CPD_SOP_new!$A:$A,[1]CPD_SOP_new!$K:$K,"not found",0 )</f>
        <v>F1D</v>
      </c>
      <c r="F629" t="s">
        <v>27</v>
      </c>
      <c r="G629" t="s">
        <v>27</v>
      </c>
      <c r="H629" t="s">
        <v>27</v>
      </c>
      <c r="I629" t="s">
        <v>28</v>
      </c>
      <c r="J629" t="s">
        <v>828</v>
      </c>
      <c r="K629" t="s">
        <v>992</v>
      </c>
      <c r="L629" t="s">
        <v>2608</v>
      </c>
      <c r="M629" s="100" t="str">
        <f t="shared" si="18"/>
        <v>CSR_XCP_Signals_Recorder_2025-12-11_15-17-04_TC153_Liquid1LFW_CPD_Liquid__F1D_CPD.MF4.xz</v>
      </c>
      <c r="N629" s="59" t="str">
        <f t="shared" si="19"/>
        <v>_Liquid__F1D_CPD.MF4.xz</v>
      </c>
      <c r="O629" t="s">
        <v>975</v>
      </c>
    </row>
    <row r="630" spans="1:15">
      <c r="A630" s="38">
        <v>153</v>
      </c>
      <c r="B630" s="92" t="s">
        <v>940</v>
      </c>
      <c r="D630" s="97" t="e">
        <f>_xlfn.XLOOKUP(A630,[1]CPD_SOP_new!$A:$A,[1]CPD_SOP_new!#REF!,"not found",0 )</f>
        <v>#REF!</v>
      </c>
      <c r="E630" s="97" t="str">
        <f>_xlfn.XLOOKUP(A630,[1]CPD_SOP_new!$A:$A,[1]CPD_SOP_new!$K:$K,"not found",0 )</f>
        <v>F1D</v>
      </c>
      <c r="F630" t="s">
        <v>27</v>
      </c>
      <c r="G630" t="s">
        <v>27</v>
      </c>
      <c r="H630" t="s">
        <v>27</v>
      </c>
      <c r="I630" t="s">
        <v>28</v>
      </c>
      <c r="J630" t="s">
        <v>828</v>
      </c>
      <c r="K630" t="s">
        <v>994</v>
      </c>
      <c r="L630" t="s">
        <v>2609</v>
      </c>
      <c r="M630" s="100" t="str">
        <f t="shared" si="18"/>
        <v>CSR_XCP_Signals_Recorder_2025-12-11_15-18-56_TC153_Liquid1LFW_CPD_Liquid__F1D_CPD.MF4.xz</v>
      </c>
      <c r="N630" s="59" t="str">
        <f t="shared" si="19"/>
        <v>_Liquid__F1D_CPD.MF4.xz</v>
      </c>
      <c r="O630" t="s">
        <v>975</v>
      </c>
    </row>
    <row r="631" spans="1:15">
      <c r="A631" s="38">
        <v>153</v>
      </c>
      <c r="B631" s="92" t="s">
        <v>940</v>
      </c>
      <c r="D631" s="97" t="e">
        <f>_xlfn.XLOOKUP(A631,[1]CPD_SOP_new!$A:$A,[1]CPD_SOP_new!#REF!,"not found",0 )</f>
        <v>#REF!</v>
      </c>
      <c r="E631" s="97" t="str">
        <f>_xlfn.XLOOKUP(A631,[1]CPD_SOP_new!$A:$A,[1]CPD_SOP_new!$K:$K,"not found",0 )</f>
        <v>F1D</v>
      </c>
      <c r="F631" t="s">
        <v>27</v>
      </c>
      <c r="G631" t="s">
        <v>27</v>
      </c>
      <c r="H631" t="s">
        <v>27</v>
      </c>
      <c r="I631" t="s">
        <v>28</v>
      </c>
      <c r="J631" t="s">
        <v>828</v>
      </c>
      <c r="K631" t="s">
        <v>995</v>
      </c>
      <c r="L631" t="s">
        <v>2610</v>
      </c>
      <c r="M631" s="100" t="str">
        <f t="shared" si="18"/>
        <v>CSR_XCP_Signals_Recorder_2025-12-11_15-20-36_TC153_Liquid1LFW_CPD_Liquid__F1D_CPD.MF4.xz</v>
      </c>
      <c r="N631" s="59" t="str">
        <f t="shared" si="19"/>
        <v>_Liquid__F1D_CPD.MF4.xz</v>
      </c>
      <c r="O631" t="s">
        <v>975</v>
      </c>
    </row>
    <row r="632" spans="1:15">
      <c r="A632" s="38">
        <v>154</v>
      </c>
      <c r="B632" s="92" t="s">
        <v>940</v>
      </c>
      <c r="D632" s="97" t="e">
        <f>_xlfn.XLOOKUP(A632,[1]CPD_SOP_new!$A:$A,[1]CPD_SOP_new!#REF!,"not found",0 )</f>
        <v>#REF!</v>
      </c>
      <c r="E632" s="97" t="str">
        <f>_xlfn.XLOOKUP(A632,[1]CPD_SOP_new!$A:$A,[1]CPD_SOP_new!$K:$K,"not found",0 )</f>
        <v>F1P</v>
      </c>
      <c r="F632" t="s">
        <v>27</v>
      </c>
      <c r="G632" t="s">
        <v>27</v>
      </c>
      <c r="H632" t="s">
        <v>27</v>
      </c>
      <c r="I632" t="s">
        <v>28</v>
      </c>
      <c r="J632" t="s">
        <v>828</v>
      </c>
      <c r="K632" t="s">
        <v>996</v>
      </c>
      <c r="L632" t="s">
        <v>2611</v>
      </c>
      <c r="M632" s="100" t="str">
        <f t="shared" si="18"/>
        <v>CSR_XCP_Signals_Recorder_2025-12-11_15-24-02_TC154_Liquid1RFW_CPD_Liquid__F1P_CPD.MF4.xz</v>
      </c>
      <c r="N632" s="59" t="str">
        <f t="shared" si="19"/>
        <v>_Liquid__F1P_CPD.MF4.xz</v>
      </c>
      <c r="O632" t="s">
        <v>975</v>
      </c>
    </row>
    <row r="633" spans="1:15">
      <c r="A633" s="38">
        <v>154</v>
      </c>
      <c r="B633" s="92" t="s">
        <v>940</v>
      </c>
      <c r="D633" s="97" t="e">
        <f>_xlfn.XLOOKUP(A633,[1]CPD_SOP_new!$A:$A,[1]CPD_SOP_new!#REF!,"not found",0 )</f>
        <v>#REF!</v>
      </c>
      <c r="E633" s="97" t="str">
        <f>_xlfn.XLOOKUP(A633,[1]CPD_SOP_new!$A:$A,[1]CPD_SOP_new!$K:$K,"not found",0 )</f>
        <v>F1P</v>
      </c>
      <c r="F633" t="s">
        <v>27</v>
      </c>
      <c r="G633" t="s">
        <v>27</v>
      </c>
      <c r="H633" t="s">
        <v>27</v>
      </c>
      <c r="I633" t="s">
        <v>28</v>
      </c>
      <c r="J633" t="s">
        <v>828</v>
      </c>
      <c r="K633" t="s">
        <v>998</v>
      </c>
      <c r="L633" t="s">
        <v>2612</v>
      </c>
      <c r="M633" s="100" t="str">
        <f t="shared" si="18"/>
        <v>CSR_XCP_Signals_Recorder_2025-12-11_15-25-48_TC154_Liquid1RFW_CPD_Liquid__F1P_CPD.MF4.xz</v>
      </c>
      <c r="N633" s="59" t="str">
        <f t="shared" si="19"/>
        <v>_Liquid__F1P_CPD.MF4.xz</v>
      </c>
      <c r="O633" t="s">
        <v>975</v>
      </c>
    </row>
    <row r="634" spans="1:15">
      <c r="A634" s="38">
        <v>154</v>
      </c>
      <c r="B634" s="92" t="s">
        <v>940</v>
      </c>
      <c r="D634" s="97" t="e">
        <f>_xlfn.XLOOKUP(A634,[1]CPD_SOP_new!$A:$A,[1]CPD_SOP_new!#REF!,"not found",0 )</f>
        <v>#REF!</v>
      </c>
      <c r="E634" s="97" t="str">
        <f>_xlfn.XLOOKUP(A634,[1]CPD_SOP_new!$A:$A,[1]CPD_SOP_new!$K:$K,"not found",0 )</f>
        <v>F1P</v>
      </c>
      <c r="F634" t="s">
        <v>27</v>
      </c>
      <c r="G634" t="s">
        <v>27</v>
      </c>
      <c r="H634" t="s">
        <v>27</v>
      </c>
      <c r="I634" t="s">
        <v>28</v>
      </c>
      <c r="J634" t="s">
        <v>828</v>
      </c>
      <c r="K634" t="s">
        <v>999</v>
      </c>
      <c r="L634" t="s">
        <v>2613</v>
      </c>
      <c r="M634" s="100" t="str">
        <f t="shared" si="18"/>
        <v>CSR_XCP_Signals_Recorder_2025-12-11_15-28-53_TC154_Liquid1RFW_CPD_Liquid__F1P_CPD.MF4.xz</v>
      </c>
      <c r="N634" s="59" t="str">
        <f t="shared" si="19"/>
        <v>_Liquid__F1P_CPD.MF4.xz</v>
      </c>
      <c r="O634" t="s">
        <v>975</v>
      </c>
    </row>
    <row r="635" spans="1:15">
      <c r="A635" s="38">
        <v>155</v>
      </c>
      <c r="B635" s="92" t="s">
        <v>940</v>
      </c>
      <c r="D635" s="97" t="e">
        <f>_xlfn.XLOOKUP(A635,[1]CPD_SOP_new!$A:$A,[1]CPD_SOP_new!#REF!,"not found",0 )</f>
        <v>#REF!</v>
      </c>
      <c r="E635" s="97" t="str">
        <f>_xlfn.XLOOKUP(A635,[1]CPD_SOP_new!$A:$A,[1]CPD_SOP_new!$K:$K,"not found",0 )</f>
        <v>F2R</v>
      </c>
      <c r="F635" t="s">
        <v>27</v>
      </c>
      <c r="G635" t="s">
        <v>27</v>
      </c>
      <c r="H635" t="s">
        <v>27</v>
      </c>
      <c r="I635" t="s">
        <v>28</v>
      </c>
      <c r="J635" t="s">
        <v>828</v>
      </c>
      <c r="K635" t="s">
        <v>1000</v>
      </c>
      <c r="L635" t="s">
        <v>2614</v>
      </c>
      <c r="M635" s="100" t="str">
        <f t="shared" si="18"/>
        <v>CSR_XCP_Signals_Recorder_2025-12-11_15-36-26_TC155_Liquid2RFW_CPD_Liquid__F2R_CPD.MF4.xz</v>
      </c>
      <c r="N635" s="59" t="str">
        <f t="shared" si="19"/>
        <v>_Liquid__F2R_CPD.MF4.xz</v>
      </c>
      <c r="O635" t="s">
        <v>975</v>
      </c>
    </row>
    <row r="636" spans="1:15">
      <c r="A636" s="38">
        <v>155</v>
      </c>
      <c r="B636" s="92" t="s">
        <v>940</v>
      </c>
      <c r="D636" s="97" t="e">
        <f>_xlfn.XLOOKUP(A636,[1]CPD_SOP_new!$A:$A,[1]CPD_SOP_new!#REF!,"not found",0 )</f>
        <v>#REF!</v>
      </c>
      <c r="E636" s="97" t="str">
        <f>_xlfn.XLOOKUP(A636,[1]CPD_SOP_new!$A:$A,[1]CPD_SOP_new!$K:$K,"not found",0 )</f>
        <v>F2R</v>
      </c>
      <c r="F636" t="s">
        <v>27</v>
      </c>
      <c r="G636" t="s">
        <v>27</v>
      </c>
      <c r="H636" t="s">
        <v>27</v>
      </c>
      <c r="I636" t="s">
        <v>28</v>
      </c>
      <c r="J636" t="s">
        <v>828</v>
      </c>
      <c r="K636" t="s">
        <v>1002</v>
      </c>
      <c r="L636" t="s">
        <v>2615</v>
      </c>
      <c r="M636" s="100" t="str">
        <f t="shared" si="18"/>
        <v>CSR_XCP_Signals_Recorder_2025-12-11_15-38-09_TC155_Liquid2RFW_CPD_Liquid__F2R_CPD.MF4.xz</v>
      </c>
      <c r="N636" s="59" t="str">
        <f t="shared" si="19"/>
        <v>_Liquid__F2R_CPD.MF4.xz</v>
      </c>
      <c r="O636" t="s">
        <v>975</v>
      </c>
    </row>
    <row r="637" spans="1:15">
      <c r="A637" s="38">
        <v>155</v>
      </c>
      <c r="B637" s="92" t="s">
        <v>940</v>
      </c>
      <c r="D637" s="97" t="e">
        <f>_xlfn.XLOOKUP(A637,[1]CPD_SOP_new!$A:$A,[1]CPD_SOP_new!#REF!,"not found",0 )</f>
        <v>#REF!</v>
      </c>
      <c r="E637" s="97" t="str">
        <f>_xlfn.XLOOKUP(A637,[1]CPD_SOP_new!$A:$A,[1]CPD_SOP_new!$K:$K,"not found",0 )</f>
        <v>F2R</v>
      </c>
      <c r="F637" t="s">
        <v>27</v>
      </c>
      <c r="G637" t="s">
        <v>27</v>
      </c>
      <c r="H637" t="s">
        <v>27</v>
      </c>
      <c r="I637" t="s">
        <v>28</v>
      </c>
      <c r="J637" t="s">
        <v>828</v>
      </c>
      <c r="K637" t="s">
        <v>1003</v>
      </c>
      <c r="L637" t="s">
        <v>2616</v>
      </c>
      <c r="M637" s="100" t="str">
        <f t="shared" si="18"/>
        <v>CSR_XCP_Signals_Recorder_2025-12-11_15-39-51_TC155_Liquid2RFW_CPD_Liquid__F2R_CPD.MF4.xz</v>
      </c>
      <c r="N637" s="59" t="str">
        <f t="shared" si="19"/>
        <v>_Liquid__F2R_CPD.MF4.xz</v>
      </c>
      <c r="O637" t="s">
        <v>975</v>
      </c>
    </row>
    <row r="638" spans="1:15">
      <c r="A638" s="38">
        <v>156</v>
      </c>
      <c r="B638" s="92" t="s">
        <v>940</v>
      </c>
      <c r="D638" s="97" t="e">
        <f>_xlfn.XLOOKUP(A638,[1]CPD_SOP_new!$A:$A,[1]CPD_SOP_new!#REF!,"not found",0 )</f>
        <v>#REF!</v>
      </c>
      <c r="E638" s="97" t="str">
        <f>_xlfn.XLOOKUP(A638,[1]CPD_SOP_new!$A:$A,[1]CPD_SOP_new!$K:$K,"not found",0 )</f>
        <v>F2L</v>
      </c>
      <c r="F638" t="s">
        <v>27</v>
      </c>
      <c r="G638" t="s">
        <v>27</v>
      </c>
      <c r="H638" t="s">
        <v>27</v>
      </c>
      <c r="I638" t="s">
        <v>28</v>
      </c>
      <c r="J638" t="s">
        <v>828</v>
      </c>
      <c r="K638" t="s">
        <v>1004</v>
      </c>
      <c r="L638" t="s">
        <v>2617</v>
      </c>
      <c r="M638" s="100" t="str">
        <f t="shared" si="18"/>
        <v>CSR_XCP_Signals_Recorder_2025-12-11_15-42-36_TC156_Liquid2LFW_CPD_Liquid__F2L_CPD.MF4.xz</v>
      </c>
      <c r="N638" s="59" t="str">
        <f t="shared" si="19"/>
        <v>_Liquid__F2L_CPD.MF4.xz</v>
      </c>
      <c r="O638" t="s">
        <v>975</v>
      </c>
    </row>
    <row r="639" spans="1:15">
      <c r="A639" s="38">
        <v>156</v>
      </c>
      <c r="B639" s="92" t="s">
        <v>940</v>
      </c>
      <c r="D639" s="97" t="e">
        <f>_xlfn.XLOOKUP(A639,[1]CPD_SOP_new!$A:$A,[1]CPD_SOP_new!#REF!,"not found",0 )</f>
        <v>#REF!</v>
      </c>
      <c r="E639" s="97" t="str">
        <f>_xlfn.XLOOKUP(A639,[1]CPD_SOP_new!$A:$A,[1]CPD_SOP_new!$K:$K,"not found",0 )</f>
        <v>F2L</v>
      </c>
      <c r="F639" t="s">
        <v>27</v>
      </c>
      <c r="G639" t="s">
        <v>27</v>
      </c>
      <c r="H639" t="s">
        <v>27</v>
      </c>
      <c r="I639" t="s">
        <v>28</v>
      </c>
      <c r="J639" t="s">
        <v>828</v>
      </c>
      <c r="K639" t="s">
        <v>1006</v>
      </c>
      <c r="L639" t="s">
        <v>2618</v>
      </c>
      <c r="M639" s="100" t="str">
        <f t="shared" si="18"/>
        <v>CSR_XCP_Signals_Recorder_2025-12-11_15-44-21_TC156_Liquid2LFW_CPD_Liquid__F2L_CPD.MF4.xz</v>
      </c>
      <c r="N639" s="59" t="str">
        <f t="shared" si="19"/>
        <v>_Liquid__F2L_CPD.MF4.xz</v>
      </c>
      <c r="O639" t="s">
        <v>975</v>
      </c>
    </row>
    <row r="640" spans="1:15">
      <c r="A640" s="38">
        <v>156</v>
      </c>
      <c r="B640" s="92" t="s">
        <v>940</v>
      </c>
      <c r="D640" s="97" t="e">
        <f>_xlfn.XLOOKUP(A640,[1]CPD_SOP_new!$A:$A,[1]CPD_SOP_new!#REF!,"not found",0 )</f>
        <v>#REF!</v>
      </c>
      <c r="E640" s="97" t="str">
        <f>_xlfn.XLOOKUP(A640,[1]CPD_SOP_new!$A:$A,[1]CPD_SOP_new!$K:$K,"not found",0 )</f>
        <v>F2L</v>
      </c>
      <c r="F640" t="s">
        <v>27</v>
      </c>
      <c r="G640" t="s">
        <v>27</v>
      </c>
      <c r="H640" t="s">
        <v>27</v>
      </c>
      <c r="I640" t="s">
        <v>28</v>
      </c>
      <c r="J640" t="s">
        <v>828</v>
      </c>
      <c r="K640" t="s">
        <v>1007</v>
      </c>
      <c r="L640" t="s">
        <v>2619</v>
      </c>
      <c r="M640" s="100" t="str">
        <f t="shared" si="18"/>
        <v>CSR_XCP_Signals_Recorder_2025-12-11_15-46-14_TC156_Liquid2LFW_CPD_Liquid__F2L_CPD.MF4.xz</v>
      </c>
      <c r="N640" s="59" t="str">
        <f t="shared" si="19"/>
        <v>_Liquid__F2L_CPD.MF4.xz</v>
      </c>
      <c r="O640" t="s">
        <v>975</v>
      </c>
    </row>
    <row r="641" spans="1:21">
      <c r="A641" s="38">
        <v>157</v>
      </c>
      <c r="B641" s="92" t="s">
        <v>940</v>
      </c>
      <c r="D641" s="97" t="e">
        <f>_xlfn.XLOOKUP(A641,[1]CPD_SOP_new!$A:$A,[1]CPD_SOP_new!#REF!,"not found",0 )</f>
        <v>#REF!</v>
      </c>
      <c r="E641" s="97" t="str">
        <f>_xlfn.XLOOKUP(A641,[1]CPD_SOP_new!$A:$A,[1]CPD_SOP_new!$K:$K,"not found",0 )</f>
        <v>F2C</v>
      </c>
      <c r="F641" t="s">
        <v>27</v>
      </c>
      <c r="G641" t="s">
        <v>27</v>
      </c>
      <c r="H641" t="s">
        <v>27</v>
      </c>
      <c r="I641" t="s">
        <v>28</v>
      </c>
      <c r="J641" t="s">
        <v>828</v>
      </c>
      <c r="K641" t="s">
        <v>1008</v>
      </c>
      <c r="L641" t="s">
        <v>2620</v>
      </c>
      <c r="M641" s="100" t="str">
        <f t="shared" si="18"/>
        <v>CSR_XCP_Signals_Recorder_2025-12-11_15-49-03_TC157_Liquid2CFW_CPD_Liquid__F2C_CPD.MF4.xz</v>
      </c>
      <c r="N641" s="59" t="str">
        <f t="shared" si="19"/>
        <v>_Liquid__F2C_CPD.MF4.xz</v>
      </c>
      <c r="O641" t="s">
        <v>975</v>
      </c>
    </row>
    <row r="642" spans="1:21">
      <c r="A642" s="38">
        <v>157</v>
      </c>
      <c r="B642" s="92" t="s">
        <v>940</v>
      </c>
      <c r="D642" s="97" t="e">
        <f>_xlfn.XLOOKUP(A642,[1]CPD_SOP_new!$A:$A,[1]CPD_SOP_new!#REF!,"not found",0 )</f>
        <v>#REF!</v>
      </c>
      <c r="E642" s="97" t="str">
        <f>_xlfn.XLOOKUP(A642,[1]CPD_SOP_new!$A:$A,[1]CPD_SOP_new!$K:$K,"not found",0 )</f>
        <v>F2C</v>
      </c>
      <c r="F642" t="s">
        <v>27</v>
      </c>
      <c r="G642" t="s">
        <v>27</v>
      </c>
      <c r="H642" t="s">
        <v>27</v>
      </c>
      <c r="I642" t="s">
        <v>28</v>
      </c>
      <c r="J642" t="s">
        <v>828</v>
      </c>
      <c r="K642" t="s">
        <v>1010</v>
      </c>
      <c r="L642" t="s">
        <v>2621</v>
      </c>
      <c r="M642" s="100" t="str">
        <f t="shared" ref="M642:M705" si="20">IF(NOT(N642="Wrong measurement"),SUBSTITUTE(K642,".MF4.xz",N642),"Wrong measurement")</f>
        <v>CSR_XCP_Signals_Recorder_2025-12-11_15-50-49_TC157_Liquid2CFW_CPD_Liquid__F2C_CPD.MF4.xz</v>
      </c>
      <c r="N642" s="59" t="str">
        <f t="shared" ref="N642:N705" si="21">IF(I642="Y",("_"&amp;B642 &amp;"_"&amp; IF(C642="","",C642)&amp;"_"&amp;E642&amp;"_CPD.MF4.xz"),"Wrong measurement")</f>
        <v>_Liquid__F2C_CPD.MF4.xz</v>
      </c>
      <c r="O642" t="s">
        <v>975</v>
      </c>
    </row>
    <row r="643" spans="1:21">
      <c r="A643" s="38">
        <v>157</v>
      </c>
      <c r="B643" s="92" t="s">
        <v>940</v>
      </c>
      <c r="D643" s="97" t="e">
        <f>_xlfn.XLOOKUP(A643,[1]CPD_SOP_new!$A:$A,[1]CPD_SOP_new!#REF!,"not found",0 )</f>
        <v>#REF!</v>
      </c>
      <c r="E643" s="97" t="str">
        <f>_xlfn.XLOOKUP(A643,[1]CPD_SOP_new!$A:$A,[1]CPD_SOP_new!$K:$K,"not found",0 )</f>
        <v>F2C</v>
      </c>
      <c r="F643" t="s">
        <v>27</v>
      </c>
      <c r="G643" t="s">
        <v>27</v>
      </c>
      <c r="H643" t="s">
        <v>27</v>
      </c>
      <c r="I643" t="s">
        <v>28</v>
      </c>
      <c r="J643" t="s">
        <v>828</v>
      </c>
      <c r="K643" t="s">
        <v>1011</v>
      </c>
      <c r="L643" t="s">
        <v>2622</v>
      </c>
      <c r="M643" s="100" t="str">
        <f t="shared" si="20"/>
        <v>CSR_XCP_Signals_Recorder_2025-12-11_15-52-39_TC157_Liquid2CFW_CPD_Liquid__F2C_CPD.MF4.xz</v>
      </c>
      <c r="N643" s="59" t="str">
        <f t="shared" si="21"/>
        <v>_Liquid__F2C_CPD.MF4.xz</v>
      </c>
      <c r="O643" t="s">
        <v>975</v>
      </c>
    </row>
    <row r="644" spans="1:21">
      <c r="A644" s="38">
        <v>158</v>
      </c>
      <c r="B644" s="92" t="s">
        <v>940</v>
      </c>
      <c r="D644" s="97" t="e">
        <f>_xlfn.XLOOKUP(A644,[1]CPD_SOP_new!$A:$A,[1]CPD_SOP_new!#REF!,"not found",0 )</f>
        <v>#REF!</v>
      </c>
      <c r="E644" s="97" t="str">
        <f>_xlfn.XLOOKUP(A644,[1]CPD_SOP_new!$A:$A,[1]CPD_SOP_new!$K:$K,"not found",0 )</f>
        <v>F3R</v>
      </c>
      <c r="F644" t="s">
        <v>27</v>
      </c>
      <c r="G644" t="s">
        <v>27</v>
      </c>
      <c r="H644" t="s">
        <v>27</v>
      </c>
      <c r="I644" t="s">
        <v>28</v>
      </c>
      <c r="J644" t="s">
        <v>828</v>
      </c>
      <c r="K644" t="s">
        <v>1012</v>
      </c>
      <c r="L644" t="s">
        <v>2623</v>
      </c>
      <c r="M644" s="100" t="str">
        <f t="shared" si="20"/>
        <v>CSR_XCP_Signals_Recorder_2025-12-11_15-56-08_TC158_Liquid3RFW_CPD_Liquid__F3R_CPD.MF4.xz</v>
      </c>
      <c r="N644" s="59" t="str">
        <f t="shared" si="21"/>
        <v>_Liquid__F3R_CPD.MF4.xz</v>
      </c>
      <c r="O644" t="s">
        <v>975</v>
      </c>
    </row>
    <row r="645" spans="1:21">
      <c r="A645" s="38">
        <v>158</v>
      </c>
      <c r="B645" s="92" t="s">
        <v>940</v>
      </c>
      <c r="D645" s="97" t="e">
        <f>_xlfn.XLOOKUP(A645,[1]CPD_SOP_new!$A:$A,[1]CPD_SOP_new!#REF!,"not found",0 )</f>
        <v>#REF!</v>
      </c>
      <c r="E645" s="97" t="str">
        <f>_xlfn.XLOOKUP(A645,[1]CPD_SOP_new!$A:$A,[1]CPD_SOP_new!$K:$K,"not found",0 )</f>
        <v>F3R</v>
      </c>
      <c r="F645" t="s">
        <v>27</v>
      </c>
      <c r="G645" t="s">
        <v>27</v>
      </c>
      <c r="H645" t="s">
        <v>27</v>
      </c>
      <c r="I645" t="s">
        <v>28</v>
      </c>
      <c r="J645" t="s">
        <v>828</v>
      </c>
      <c r="K645" t="s">
        <v>1014</v>
      </c>
      <c r="L645" t="s">
        <v>2624</v>
      </c>
      <c r="M645" s="100" t="str">
        <f t="shared" si="20"/>
        <v>CSR_XCP_Signals_Recorder_2025-12-11_15-57-45_TC158_Liquid3RFW_CPD_Liquid__F3R_CPD.MF4.xz</v>
      </c>
      <c r="N645" s="59" t="str">
        <f t="shared" si="21"/>
        <v>_Liquid__F3R_CPD.MF4.xz</v>
      </c>
      <c r="O645" t="s">
        <v>975</v>
      </c>
    </row>
    <row r="646" spans="1:21">
      <c r="A646" s="38">
        <v>158</v>
      </c>
      <c r="B646" s="92" t="s">
        <v>940</v>
      </c>
      <c r="D646" s="97" t="e">
        <f>_xlfn.XLOOKUP(A646,[1]CPD_SOP_new!$A:$A,[1]CPD_SOP_new!#REF!,"not found",0 )</f>
        <v>#REF!</v>
      </c>
      <c r="E646" s="97" t="str">
        <f>_xlfn.XLOOKUP(A646,[1]CPD_SOP_new!$A:$A,[1]CPD_SOP_new!$K:$K,"not found",0 )</f>
        <v>F3R</v>
      </c>
      <c r="F646" t="s">
        <v>27</v>
      </c>
      <c r="G646" t="s">
        <v>27</v>
      </c>
      <c r="H646" t="s">
        <v>27</v>
      </c>
      <c r="I646" t="s">
        <v>28</v>
      </c>
      <c r="J646" t="s">
        <v>828</v>
      </c>
      <c r="K646" t="s">
        <v>1015</v>
      </c>
      <c r="L646" t="s">
        <v>2625</v>
      </c>
      <c r="M646" s="100" t="str">
        <f t="shared" si="20"/>
        <v>CSR_XCP_Signals_Recorder_2025-12-11_15-59-30_TC158_Liquid3RFW_CPD_Liquid__F3R_CPD.MF4.xz</v>
      </c>
      <c r="N646" s="59" t="str">
        <f t="shared" si="21"/>
        <v>_Liquid__F3R_CPD.MF4.xz</v>
      </c>
      <c r="O646" t="s">
        <v>975</v>
      </c>
    </row>
    <row r="647" spans="1:21">
      <c r="A647" s="38">
        <v>159</v>
      </c>
      <c r="B647" s="92" t="s">
        <v>940</v>
      </c>
      <c r="D647" s="97" t="e">
        <f>_xlfn.XLOOKUP(A647,[1]CPD_SOP_new!$A:$A,[1]CPD_SOP_new!#REF!,"not found",0 )</f>
        <v>#REF!</v>
      </c>
      <c r="E647" s="97" t="str">
        <f>_xlfn.XLOOKUP(A647,[1]CPD_SOP_new!$A:$A,[1]CPD_SOP_new!$K:$K,"not found",0 )</f>
        <v>F3L</v>
      </c>
      <c r="F647" t="s">
        <v>27</v>
      </c>
      <c r="G647" t="s">
        <v>27</v>
      </c>
      <c r="H647" t="s">
        <v>27</v>
      </c>
      <c r="I647" t="s">
        <v>28</v>
      </c>
      <c r="J647" t="s">
        <v>828</v>
      </c>
      <c r="K647" t="s">
        <v>1016</v>
      </c>
      <c r="L647" t="s">
        <v>2626</v>
      </c>
      <c r="M647" s="100" t="str">
        <f t="shared" si="20"/>
        <v>CSR_XCP_Signals_Recorder_2025-12-11_16-03-18_TC159_Liquid3LFW_CPD_Liquid__F3L_CPD.MF4.xz</v>
      </c>
      <c r="N647" s="59" t="str">
        <f t="shared" si="21"/>
        <v>_Liquid__F3L_CPD.MF4.xz</v>
      </c>
      <c r="O647" t="s">
        <v>975</v>
      </c>
    </row>
    <row r="648" spans="1:21">
      <c r="A648" s="38">
        <v>159</v>
      </c>
      <c r="B648" s="92" t="s">
        <v>940</v>
      </c>
      <c r="D648" s="97" t="e">
        <f>_xlfn.XLOOKUP(A648,[1]CPD_SOP_new!$A:$A,[1]CPD_SOP_new!#REF!,"not found",0 )</f>
        <v>#REF!</v>
      </c>
      <c r="E648" s="97" t="str">
        <f>_xlfn.XLOOKUP(A648,[1]CPD_SOP_new!$A:$A,[1]CPD_SOP_new!$K:$K,"not found",0 )</f>
        <v>F3L</v>
      </c>
      <c r="F648" t="s">
        <v>27</v>
      </c>
      <c r="G648" t="s">
        <v>27</v>
      </c>
      <c r="H648" t="s">
        <v>27</v>
      </c>
      <c r="I648" t="s">
        <v>28</v>
      </c>
      <c r="J648" t="s">
        <v>828</v>
      </c>
      <c r="K648" t="s">
        <v>1018</v>
      </c>
      <c r="L648" t="s">
        <v>2627</v>
      </c>
      <c r="M648" s="100" t="str">
        <f t="shared" si="20"/>
        <v>CSR_XCP_Signals_Recorder_2025-12-11_16-05-02_TC159_Liquid3LFW_CPD_Liquid__F3L_CPD.MF4.xz</v>
      </c>
      <c r="N648" s="59" t="str">
        <f t="shared" si="21"/>
        <v>_Liquid__F3L_CPD.MF4.xz</v>
      </c>
      <c r="O648" t="s">
        <v>975</v>
      </c>
    </row>
    <row r="649" spans="1:21">
      <c r="A649" s="38">
        <v>159</v>
      </c>
      <c r="B649" s="92" t="s">
        <v>940</v>
      </c>
      <c r="D649" s="97" t="e">
        <f>_xlfn.XLOOKUP(A649,[1]CPD_SOP_new!$A:$A,[1]CPD_SOP_new!#REF!,"not found",0 )</f>
        <v>#REF!</v>
      </c>
      <c r="E649" s="97" t="str">
        <f>_xlfn.XLOOKUP(A649,[1]CPD_SOP_new!$A:$A,[1]CPD_SOP_new!$K:$K,"not found",0 )</f>
        <v>F3L</v>
      </c>
      <c r="F649" t="s">
        <v>27</v>
      </c>
      <c r="G649" t="s">
        <v>27</v>
      </c>
      <c r="H649" t="s">
        <v>27</v>
      </c>
      <c r="I649" t="s">
        <v>28</v>
      </c>
      <c r="J649" t="s">
        <v>828</v>
      </c>
      <c r="K649" t="s">
        <v>1019</v>
      </c>
      <c r="L649" t="s">
        <v>2628</v>
      </c>
      <c r="M649" s="100" t="str">
        <f t="shared" si="20"/>
        <v>CSR_XCP_Signals_Recorder_2025-12-11_16-07-00_TC159_Liquid3LFW_CPD_Liquid__F3L_CPD.MF4.xz</v>
      </c>
      <c r="N649" s="59" t="str">
        <f t="shared" si="21"/>
        <v>_Liquid__F3L_CPD.MF4.xz</v>
      </c>
      <c r="O649" t="s">
        <v>975</v>
      </c>
    </row>
    <row r="650" spans="1:21">
      <c r="A650" s="38">
        <v>160</v>
      </c>
      <c r="B650" t="s">
        <v>405</v>
      </c>
      <c r="D650" s="97" t="e">
        <f>_xlfn.XLOOKUP(A650,[1]CPD_SOP_new!$A:$A,[1]CPD_SOP_new!#REF!,"not found",0 )</f>
        <v>#REF!</v>
      </c>
      <c r="E650" s="97" t="s">
        <v>26</v>
      </c>
      <c r="F650" t="s">
        <v>27</v>
      </c>
      <c r="G650" t="s">
        <v>27</v>
      </c>
      <c r="H650" t="s">
        <v>27</v>
      </c>
      <c r="I650" s="130" t="s">
        <v>27</v>
      </c>
      <c r="J650" s="130" t="s">
        <v>237</v>
      </c>
      <c r="K650" t="s">
        <v>1020</v>
      </c>
      <c r="L650" t="s">
        <v>723</v>
      </c>
      <c r="M650" s="100" t="str">
        <f t="shared" si="20"/>
        <v>Wrong measurement</v>
      </c>
      <c r="N650" s="59" t="str">
        <f t="shared" si="21"/>
        <v>Wrong measurement</v>
      </c>
      <c r="O650" s="134" t="s">
        <v>239</v>
      </c>
      <c r="P650" s="134"/>
    </row>
    <row r="651" spans="1:21">
      <c r="A651" s="38">
        <v>160</v>
      </c>
      <c r="B651" t="s">
        <v>405</v>
      </c>
      <c r="D651" s="97" t="e">
        <f>_xlfn.XLOOKUP(A651,[1]CPD_SOP_new!$A:$A,[1]CPD_SOP_new!#REF!,"not found",0 )</f>
        <v>#REF!</v>
      </c>
      <c r="E651" s="97" t="s">
        <v>26</v>
      </c>
      <c r="F651" t="s">
        <v>27</v>
      </c>
      <c r="G651" t="s">
        <v>27</v>
      </c>
      <c r="H651" t="s">
        <v>27</v>
      </c>
      <c r="I651" s="130" t="s">
        <v>27</v>
      </c>
      <c r="J651" s="130" t="s">
        <v>237</v>
      </c>
      <c r="K651" t="s">
        <v>1021</v>
      </c>
      <c r="L651" t="s">
        <v>723</v>
      </c>
      <c r="M651" s="100" t="str">
        <f t="shared" si="20"/>
        <v>Wrong measurement</v>
      </c>
      <c r="N651" s="59" t="str">
        <f t="shared" si="21"/>
        <v>Wrong measurement</v>
      </c>
      <c r="O651" s="134" t="s">
        <v>239</v>
      </c>
      <c r="P651" s="134"/>
    </row>
    <row r="652" spans="1:21">
      <c r="A652" s="38">
        <v>160</v>
      </c>
      <c r="B652" t="s">
        <v>405</v>
      </c>
      <c r="D652" s="97" t="e">
        <f>_xlfn.XLOOKUP(A652,[1]CPD_SOP_new!$A:$A,[1]CPD_SOP_new!#REF!,"not found",0 )</f>
        <v>#REF!</v>
      </c>
      <c r="E652" s="97" t="s">
        <v>26</v>
      </c>
      <c r="F652" t="s">
        <v>27</v>
      </c>
      <c r="G652" t="s">
        <v>27</v>
      </c>
      <c r="H652" t="s">
        <v>27</v>
      </c>
      <c r="I652" s="130" t="s">
        <v>27</v>
      </c>
      <c r="J652" s="130" t="s">
        <v>237</v>
      </c>
      <c r="K652" t="s">
        <v>1022</v>
      </c>
      <c r="L652" t="s">
        <v>723</v>
      </c>
      <c r="M652" s="100" t="str">
        <f t="shared" si="20"/>
        <v>Wrong measurement</v>
      </c>
      <c r="N652" s="59" t="str">
        <f t="shared" si="21"/>
        <v>Wrong measurement</v>
      </c>
      <c r="O652" s="134" t="s">
        <v>239</v>
      </c>
      <c r="P652" s="134"/>
    </row>
    <row r="653" spans="1:21">
      <c r="A653" s="38">
        <v>161</v>
      </c>
      <c r="B653" t="s">
        <v>405</v>
      </c>
      <c r="D653" s="97" t="e">
        <f>_xlfn.XLOOKUP(A653,[1]CPD_SOP_new!$A:$A,[1]CPD_SOP_new!#REF!,"not found",0 )</f>
        <v>#REF!</v>
      </c>
      <c r="E653" s="97" t="s">
        <v>112</v>
      </c>
      <c r="F653" t="s">
        <v>27</v>
      </c>
      <c r="G653" t="s">
        <v>28</v>
      </c>
      <c r="H653" t="s">
        <v>28</v>
      </c>
      <c r="I653" s="130" t="s">
        <v>27</v>
      </c>
      <c r="J653" s="130" t="s">
        <v>237</v>
      </c>
      <c r="K653" t="s">
        <v>406</v>
      </c>
      <c r="L653" t="s">
        <v>723</v>
      </c>
      <c r="M653" s="100" t="str">
        <f t="shared" si="20"/>
        <v>Wrong measurement</v>
      </c>
      <c r="N653" s="59" t="str">
        <f t="shared" si="21"/>
        <v>Wrong measurement</v>
      </c>
      <c r="O653" s="134" t="s">
        <v>239</v>
      </c>
      <c r="P653" s="134"/>
    </row>
    <row r="654" spans="1:21">
      <c r="A654" s="38">
        <v>161</v>
      </c>
      <c r="B654" t="s">
        <v>405</v>
      </c>
      <c r="D654" s="97" t="e">
        <f>_xlfn.XLOOKUP(A654,[1]CPD_SOP_new!$A:$A,[1]CPD_SOP_new!#REF!,"not found",0 )</f>
        <v>#REF!</v>
      </c>
      <c r="E654" s="97" t="s">
        <v>112</v>
      </c>
      <c r="F654" t="s">
        <v>27</v>
      </c>
      <c r="G654" t="s">
        <v>28</v>
      </c>
      <c r="H654" t="s">
        <v>28</v>
      </c>
      <c r="I654" s="130" t="s">
        <v>27</v>
      </c>
      <c r="J654" s="130" t="s">
        <v>237</v>
      </c>
      <c r="K654" t="s">
        <v>407</v>
      </c>
      <c r="L654" t="s">
        <v>723</v>
      </c>
      <c r="M654" s="100" t="str">
        <f t="shared" si="20"/>
        <v>Wrong measurement</v>
      </c>
      <c r="N654" s="59" t="str">
        <f t="shared" si="21"/>
        <v>Wrong measurement</v>
      </c>
      <c r="O654" s="134" t="s">
        <v>239</v>
      </c>
      <c r="P654" s="134"/>
    </row>
    <row r="655" spans="1:21">
      <c r="A655" s="38">
        <v>161</v>
      </c>
      <c r="B655" t="s">
        <v>405</v>
      </c>
      <c r="D655" s="97" t="e">
        <f>_xlfn.XLOOKUP(A655,[1]CPD_SOP_new!$A:$A,[1]CPD_SOP_new!#REF!,"not found",0 )</f>
        <v>#REF!</v>
      </c>
      <c r="E655" s="97" t="s">
        <v>112</v>
      </c>
      <c r="F655" t="s">
        <v>27</v>
      </c>
      <c r="G655" t="s">
        <v>28</v>
      </c>
      <c r="H655" t="s">
        <v>28</v>
      </c>
      <c r="I655" s="130" t="s">
        <v>27</v>
      </c>
      <c r="J655" s="130" t="s">
        <v>237</v>
      </c>
      <c r="K655" t="s">
        <v>408</v>
      </c>
      <c r="L655" t="s">
        <v>723</v>
      </c>
      <c r="M655" s="100" t="str">
        <f t="shared" si="20"/>
        <v>Wrong measurement</v>
      </c>
      <c r="N655" s="59" t="str">
        <f t="shared" si="21"/>
        <v>Wrong measurement</v>
      </c>
      <c r="O655" s="134" t="s">
        <v>239</v>
      </c>
      <c r="P655" s="134"/>
    </row>
    <row r="656" spans="1:21">
      <c r="A656" s="77">
        <v>162</v>
      </c>
      <c r="B656" t="s">
        <v>405</v>
      </c>
      <c r="D656" s="97" t="e">
        <f>_xlfn.XLOOKUP(A656,[1]CPD_SOP_new!$A:$A,[1]CPD_SOP_new!#REF!,"not found",0 )</f>
        <v>#REF!</v>
      </c>
      <c r="E656" s="97" t="str">
        <f>_xlfn.XLOOKUP(A656,[1]CPD_SOP_new!$A:$A,[1]CPD_SOP_new!$K:$K,"not found",0 )</f>
        <v>2R</v>
      </c>
      <c r="F656" t="s">
        <v>27</v>
      </c>
      <c r="G656" t="s">
        <v>27</v>
      </c>
      <c r="H656" t="s">
        <v>27</v>
      </c>
      <c r="I656" t="s">
        <v>28</v>
      </c>
      <c r="J656" t="s">
        <v>828</v>
      </c>
      <c r="K656" t="s">
        <v>1026</v>
      </c>
      <c r="L656" t="s">
        <v>2629</v>
      </c>
      <c r="M656" s="100" t="str">
        <f t="shared" si="20"/>
        <v>CSR_XCP_Signals_Recorder_2026-01-29_17-22-58_TC162_NCAP_1_2_Phone__2R_CPD.MF4.xz</v>
      </c>
      <c r="N656" s="59" t="str">
        <f t="shared" si="21"/>
        <v>_Phone__2R_CPD.MF4.xz</v>
      </c>
      <c r="O656" t="s">
        <v>353</v>
      </c>
      <c r="Q656" t="s">
        <v>828</v>
      </c>
      <c r="R656" t="s">
        <v>828</v>
      </c>
      <c r="S656">
        <v>0</v>
      </c>
      <c r="T656">
        <v>0</v>
      </c>
      <c r="U656">
        <v>0</v>
      </c>
    </row>
    <row r="657" spans="1:21">
      <c r="A657" s="77">
        <v>162</v>
      </c>
      <c r="B657" t="s">
        <v>405</v>
      </c>
      <c r="D657" s="97" t="e">
        <f>_xlfn.XLOOKUP(A657,[1]CPD_SOP_new!$A:$A,[1]CPD_SOP_new!#REF!,"not found",0 )</f>
        <v>#REF!</v>
      </c>
      <c r="E657" s="97" t="str">
        <f>_xlfn.XLOOKUP(A657,[1]CPD_SOP_new!$A:$A,[1]CPD_SOP_new!$K:$K,"not found",0 )</f>
        <v>2R</v>
      </c>
      <c r="F657" t="s">
        <v>27</v>
      </c>
      <c r="G657" t="s">
        <v>27</v>
      </c>
      <c r="H657" t="s">
        <v>27</v>
      </c>
      <c r="I657" t="s">
        <v>28</v>
      </c>
      <c r="J657" t="s">
        <v>828</v>
      </c>
      <c r="K657" t="s">
        <v>1028</v>
      </c>
      <c r="L657" t="s">
        <v>2630</v>
      </c>
      <c r="M657" s="100" t="str">
        <f t="shared" si="20"/>
        <v>CSR_XCP_Signals_Recorder_2026-01-29_17-23-45_TC162_NCAP_1_2_Phone__2R_CPD.MF4.xz</v>
      </c>
      <c r="N657" s="59" t="str">
        <f t="shared" si="21"/>
        <v>_Phone__2R_CPD.MF4.xz</v>
      </c>
      <c r="O657" t="s">
        <v>353</v>
      </c>
      <c r="Q657" t="s">
        <v>828</v>
      </c>
      <c r="R657" t="s">
        <v>828</v>
      </c>
      <c r="S657">
        <v>0</v>
      </c>
      <c r="T657">
        <v>0</v>
      </c>
      <c r="U657">
        <v>0</v>
      </c>
    </row>
    <row r="658" spans="1:21" s="130" customFormat="1">
      <c r="A658" s="78">
        <v>162</v>
      </c>
      <c r="B658" s="130" t="s">
        <v>405</v>
      </c>
      <c r="D658" s="97" t="e">
        <f>_xlfn.XLOOKUP(A658,[1]CPD_SOP_new!$A:$A,[1]CPD_SOP_new!#REF!,"not found",0 )</f>
        <v>#REF!</v>
      </c>
      <c r="E658" s="97" t="str">
        <f>_xlfn.XLOOKUP(A658,[1]CPD_SOP_new!$A:$A,[1]CPD_SOP_new!$K:$K,"not found",0 )</f>
        <v>2R</v>
      </c>
      <c r="F658" s="130" t="s">
        <v>27</v>
      </c>
      <c r="G658" s="130" t="s">
        <v>27</v>
      </c>
      <c r="H658" s="130" t="s">
        <v>27</v>
      </c>
      <c r="I658" s="130" t="s">
        <v>27</v>
      </c>
      <c r="J658" s="130" t="s">
        <v>237</v>
      </c>
      <c r="K658" s="130" t="s">
        <v>1051</v>
      </c>
      <c r="L658" s="130" t="s">
        <v>723</v>
      </c>
      <c r="M658" s="100" t="str">
        <f t="shared" si="20"/>
        <v>Wrong measurement</v>
      </c>
      <c r="N658" s="59" t="str">
        <f t="shared" si="21"/>
        <v>Wrong measurement</v>
      </c>
      <c r="O658" s="130" t="s">
        <v>353</v>
      </c>
      <c r="Q658" s="130" t="s">
        <v>828</v>
      </c>
      <c r="R658" s="130" t="s">
        <v>828</v>
      </c>
      <c r="S658" s="130">
        <v>0</v>
      </c>
      <c r="T658" s="130">
        <v>0</v>
      </c>
      <c r="U658" s="130">
        <v>0</v>
      </c>
    </row>
    <row r="659" spans="1:21" s="130" customFormat="1">
      <c r="A659" s="78">
        <v>162</v>
      </c>
      <c r="B659" s="130" t="s">
        <v>405</v>
      </c>
      <c r="D659" s="97" t="e">
        <f>_xlfn.XLOOKUP(A659,[1]CPD_SOP_new!$A:$A,[1]CPD_SOP_new!#REF!,"not found",0 )</f>
        <v>#REF!</v>
      </c>
      <c r="E659" s="97" t="str">
        <f>_xlfn.XLOOKUP(A659,[1]CPD_SOP_new!$A:$A,[1]CPD_SOP_new!$K:$K,"not found",0 )</f>
        <v>2R</v>
      </c>
      <c r="F659" s="130" t="s">
        <v>27</v>
      </c>
      <c r="G659" s="130" t="s">
        <v>27</v>
      </c>
      <c r="H659" s="130" t="s">
        <v>27</v>
      </c>
      <c r="I659" s="130" t="s">
        <v>27</v>
      </c>
      <c r="J659" s="130" t="s">
        <v>237</v>
      </c>
      <c r="K659" s="130" t="s">
        <v>1095</v>
      </c>
      <c r="L659" s="130" t="s">
        <v>723</v>
      </c>
      <c r="M659" s="100" t="str">
        <f t="shared" si="20"/>
        <v>Wrong measurement</v>
      </c>
      <c r="N659" s="59" t="str">
        <f t="shared" si="21"/>
        <v>Wrong measurement</v>
      </c>
      <c r="O659" s="130" t="s">
        <v>353</v>
      </c>
      <c r="Q659" s="130" t="s">
        <v>828</v>
      </c>
      <c r="R659" s="130" t="s">
        <v>828</v>
      </c>
      <c r="S659" s="130">
        <v>0</v>
      </c>
      <c r="T659" s="130">
        <v>0</v>
      </c>
      <c r="U659" s="130">
        <v>0</v>
      </c>
    </row>
    <row r="660" spans="1:21" s="130" customFormat="1">
      <c r="A660" s="78">
        <v>162</v>
      </c>
      <c r="B660" s="130" t="s">
        <v>405</v>
      </c>
      <c r="D660" s="97" t="e">
        <f>_xlfn.XLOOKUP(A660,[1]CPD_SOP_new!$A:$A,[1]CPD_SOP_new!#REF!,"not found",0 )</f>
        <v>#REF!</v>
      </c>
      <c r="E660" s="97" t="str">
        <f>_xlfn.XLOOKUP(A660,[1]CPD_SOP_new!$A:$A,[1]CPD_SOP_new!$K:$K,"not found",0 )</f>
        <v>2R</v>
      </c>
      <c r="F660" s="130" t="s">
        <v>27</v>
      </c>
      <c r="G660" s="130" t="s">
        <v>27</v>
      </c>
      <c r="H660" s="130" t="s">
        <v>27</v>
      </c>
      <c r="I660" s="130" t="s">
        <v>27</v>
      </c>
      <c r="J660" s="130" t="s">
        <v>237</v>
      </c>
      <c r="K660" s="130" t="s">
        <v>1096</v>
      </c>
      <c r="L660" s="130" t="s">
        <v>723</v>
      </c>
      <c r="M660" s="100" t="str">
        <f t="shared" si="20"/>
        <v>Wrong measurement</v>
      </c>
      <c r="N660" s="59" t="str">
        <f t="shared" si="21"/>
        <v>Wrong measurement</v>
      </c>
      <c r="O660" s="130" t="s">
        <v>353</v>
      </c>
      <c r="Q660" s="130" t="s">
        <v>828</v>
      </c>
      <c r="R660" s="130" t="s">
        <v>828</v>
      </c>
      <c r="S660" s="130">
        <v>0</v>
      </c>
      <c r="T660" s="130">
        <v>0</v>
      </c>
      <c r="U660" s="130">
        <v>0</v>
      </c>
    </row>
    <row r="661" spans="1:21">
      <c r="A661" s="38">
        <v>162</v>
      </c>
      <c r="B661" t="s">
        <v>405</v>
      </c>
      <c r="D661" s="97" t="e">
        <f>_xlfn.XLOOKUP(A661,[1]CPD_SOP_new!$A:$A,[1]CPD_SOP_new!#REF!,"not found",0 )</f>
        <v>#REF!</v>
      </c>
      <c r="E661" s="97" t="str">
        <f>_xlfn.XLOOKUP(A661,[1]CPD_SOP_new!$A:$A,[1]CPD_SOP_new!$K:$K,"not found",0 )</f>
        <v>2R</v>
      </c>
      <c r="F661" t="s">
        <v>27</v>
      </c>
      <c r="G661" t="s">
        <v>27</v>
      </c>
      <c r="H661" t="s">
        <v>27</v>
      </c>
      <c r="I661" s="130" t="s">
        <v>27</v>
      </c>
      <c r="J661" s="130" t="s">
        <v>237</v>
      </c>
      <c r="K661" t="s">
        <v>1034</v>
      </c>
      <c r="L661" t="s">
        <v>723</v>
      </c>
      <c r="M661" s="100" t="str">
        <f t="shared" si="20"/>
        <v>Wrong measurement</v>
      </c>
      <c r="N661" s="59" t="str">
        <f t="shared" si="21"/>
        <v>Wrong measurement</v>
      </c>
      <c r="O661" s="134" t="s">
        <v>239</v>
      </c>
      <c r="P661" s="134"/>
    </row>
    <row r="662" spans="1:21">
      <c r="A662" s="38">
        <v>162</v>
      </c>
      <c r="B662" t="s">
        <v>405</v>
      </c>
      <c r="D662" s="97" t="e">
        <f>_xlfn.XLOOKUP(A662,[1]CPD_SOP_new!$A:$A,[1]CPD_SOP_new!#REF!,"not found",0 )</f>
        <v>#REF!</v>
      </c>
      <c r="E662" s="97" t="str">
        <f>_xlfn.XLOOKUP(A662,[1]CPD_SOP_new!$A:$A,[1]CPD_SOP_new!$K:$K,"not found",0 )</f>
        <v>2R</v>
      </c>
      <c r="F662" t="s">
        <v>27</v>
      </c>
      <c r="G662" t="s">
        <v>27</v>
      </c>
      <c r="H662" t="s">
        <v>27</v>
      </c>
      <c r="I662" s="130" t="s">
        <v>27</v>
      </c>
      <c r="J662" s="130" t="s">
        <v>237</v>
      </c>
      <c r="K662" t="s">
        <v>1035</v>
      </c>
      <c r="L662" t="s">
        <v>723</v>
      </c>
      <c r="M662" s="100" t="str">
        <f t="shared" si="20"/>
        <v>Wrong measurement</v>
      </c>
      <c r="N662" s="59" t="str">
        <f t="shared" si="21"/>
        <v>Wrong measurement</v>
      </c>
      <c r="O662" s="134" t="s">
        <v>239</v>
      </c>
      <c r="P662" s="134"/>
    </row>
    <row r="663" spans="1:21">
      <c r="A663" s="38">
        <v>162</v>
      </c>
      <c r="B663" t="s">
        <v>405</v>
      </c>
      <c r="D663" s="97" t="e">
        <f>_xlfn.XLOOKUP(A663,[1]CPD_SOP_new!$A:$A,[1]CPD_SOP_new!#REF!,"not found",0 )</f>
        <v>#REF!</v>
      </c>
      <c r="E663" s="97" t="str">
        <f>_xlfn.XLOOKUP(A663,[1]CPD_SOP_new!$A:$A,[1]CPD_SOP_new!$K:$K,"not found",0 )</f>
        <v>2R</v>
      </c>
      <c r="F663" t="s">
        <v>27</v>
      </c>
      <c r="G663" t="s">
        <v>27</v>
      </c>
      <c r="H663" t="s">
        <v>27</v>
      </c>
      <c r="I663" s="130" t="s">
        <v>27</v>
      </c>
      <c r="J663" s="130" t="s">
        <v>237</v>
      </c>
      <c r="K663" t="s">
        <v>1036</v>
      </c>
      <c r="L663" t="s">
        <v>723</v>
      </c>
      <c r="M663" s="100" t="str">
        <f t="shared" si="20"/>
        <v>Wrong measurement</v>
      </c>
      <c r="N663" s="59" t="str">
        <f t="shared" si="21"/>
        <v>Wrong measurement</v>
      </c>
      <c r="O663" s="134" t="s">
        <v>239</v>
      </c>
      <c r="P663" s="134"/>
    </row>
    <row r="664" spans="1:21">
      <c r="A664" s="38">
        <v>163</v>
      </c>
      <c r="B664" t="s">
        <v>405</v>
      </c>
      <c r="D664" s="97" t="e">
        <f>_xlfn.XLOOKUP(A664,[1]CPD_SOP_new!$A:$A,[1]CPD_SOP_new!#REF!,"not found",0 )</f>
        <v>#REF!</v>
      </c>
      <c r="E664" s="97" t="str">
        <f>_xlfn.XLOOKUP(A664,[1]CPD_SOP_new!$A:$A,[1]CPD_SOP_new!$K:$K,"not found",0 )</f>
        <v>2L</v>
      </c>
      <c r="F664" t="s">
        <v>27</v>
      </c>
      <c r="G664" t="s">
        <v>27</v>
      </c>
      <c r="H664" t="s">
        <v>27</v>
      </c>
      <c r="I664" s="130" t="s">
        <v>27</v>
      </c>
      <c r="J664" s="130" t="s">
        <v>237</v>
      </c>
      <c r="K664" t="s">
        <v>1043</v>
      </c>
      <c r="L664" t="s">
        <v>723</v>
      </c>
      <c r="M664" s="100" t="str">
        <f t="shared" si="20"/>
        <v>Wrong measurement</v>
      </c>
      <c r="N664" s="59" t="str">
        <f t="shared" si="21"/>
        <v>Wrong measurement</v>
      </c>
      <c r="O664" s="134" t="s">
        <v>239</v>
      </c>
      <c r="P664" s="134"/>
    </row>
    <row r="665" spans="1:21">
      <c r="A665" s="38">
        <v>163</v>
      </c>
      <c r="B665" t="s">
        <v>405</v>
      </c>
      <c r="D665" s="97" t="e">
        <f>_xlfn.XLOOKUP(A665,[1]CPD_SOP_new!$A:$A,[1]CPD_SOP_new!#REF!,"not found",0 )</f>
        <v>#REF!</v>
      </c>
      <c r="E665" s="97" t="str">
        <f>_xlfn.XLOOKUP(A665,[1]CPD_SOP_new!$A:$A,[1]CPD_SOP_new!$K:$K,"not found",0 )</f>
        <v>2L</v>
      </c>
      <c r="F665" t="s">
        <v>27</v>
      </c>
      <c r="G665" t="s">
        <v>27</v>
      </c>
      <c r="H665" t="s">
        <v>27</v>
      </c>
      <c r="I665" s="130" t="s">
        <v>27</v>
      </c>
      <c r="J665" s="130" t="s">
        <v>237</v>
      </c>
      <c r="K665" t="s">
        <v>1044</v>
      </c>
      <c r="L665" t="s">
        <v>723</v>
      </c>
      <c r="M665" s="100" t="str">
        <f t="shared" si="20"/>
        <v>Wrong measurement</v>
      </c>
      <c r="N665" s="59" t="str">
        <f t="shared" si="21"/>
        <v>Wrong measurement</v>
      </c>
      <c r="O665" s="134" t="s">
        <v>239</v>
      </c>
      <c r="P665" s="134"/>
    </row>
    <row r="666" spans="1:21">
      <c r="A666" s="38">
        <v>163</v>
      </c>
      <c r="B666" t="s">
        <v>405</v>
      </c>
      <c r="D666" s="97" t="e">
        <f>_xlfn.XLOOKUP(A666,[1]CPD_SOP_new!$A:$A,[1]CPD_SOP_new!#REF!,"not found",0 )</f>
        <v>#REF!</v>
      </c>
      <c r="E666" s="97" t="str">
        <f>_xlfn.XLOOKUP(A666,[1]CPD_SOP_new!$A:$A,[1]CPD_SOP_new!$K:$K,"not found",0 )</f>
        <v>2L</v>
      </c>
      <c r="F666" t="s">
        <v>27</v>
      </c>
      <c r="G666" t="s">
        <v>27</v>
      </c>
      <c r="H666" t="s">
        <v>27</v>
      </c>
      <c r="I666" s="130" t="s">
        <v>27</v>
      </c>
      <c r="J666" s="130" t="s">
        <v>237</v>
      </c>
      <c r="K666" t="s">
        <v>1045</v>
      </c>
      <c r="L666" t="s">
        <v>723</v>
      </c>
      <c r="M666" s="100" t="str">
        <f t="shared" si="20"/>
        <v>Wrong measurement</v>
      </c>
      <c r="N666" s="59" t="str">
        <f t="shared" si="21"/>
        <v>Wrong measurement</v>
      </c>
      <c r="O666" s="134" t="s">
        <v>239</v>
      </c>
      <c r="P666" s="134"/>
    </row>
    <row r="667" spans="1:21">
      <c r="A667" s="38">
        <v>164</v>
      </c>
      <c r="B667" t="s">
        <v>405</v>
      </c>
      <c r="D667" s="97" t="e">
        <f>_xlfn.XLOOKUP(A667,[1]CPD_SOP_new!$A:$A,[1]CPD_SOP_new!#REF!,"not found",0 )</f>
        <v>#REF!</v>
      </c>
      <c r="E667" s="97" t="str">
        <f>_xlfn.XLOOKUP(A667,[1]CPD_SOP_new!$A:$A,[1]CPD_SOP_new!$K:$K,"not found",0 )</f>
        <v>2C</v>
      </c>
      <c r="F667" t="s">
        <v>27</v>
      </c>
      <c r="G667" t="s">
        <v>27</v>
      </c>
      <c r="H667" t="s">
        <v>27</v>
      </c>
      <c r="I667" s="130" t="s">
        <v>27</v>
      </c>
      <c r="J667" s="130" t="s">
        <v>237</v>
      </c>
      <c r="K667" t="s">
        <v>1046</v>
      </c>
      <c r="L667" t="s">
        <v>723</v>
      </c>
      <c r="M667" s="100" t="str">
        <f t="shared" si="20"/>
        <v>Wrong measurement</v>
      </c>
      <c r="N667" s="59" t="str">
        <f t="shared" si="21"/>
        <v>Wrong measurement</v>
      </c>
      <c r="O667" s="134" t="s">
        <v>239</v>
      </c>
      <c r="P667" s="134"/>
    </row>
    <row r="668" spans="1:21">
      <c r="A668" s="38">
        <v>164</v>
      </c>
      <c r="B668" t="s">
        <v>405</v>
      </c>
      <c r="D668" s="97" t="e">
        <f>_xlfn.XLOOKUP(A668,[1]CPD_SOP_new!$A:$A,[1]CPD_SOP_new!#REF!,"not found",0 )</f>
        <v>#REF!</v>
      </c>
      <c r="E668" s="97" t="str">
        <f>_xlfn.XLOOKUP(A668,[1]CPD_SOP_new!$A:$A,[1]CPD_SOP_new!$K:$K,"not found",0 )</f>
        <v>2C</v>
      </c>
      <c r="F668" t="s">
        <v>27</v>
      </c>
      <c r="G668" t="s">
        <v>27</v>
      </c>
      <c r="H668" t="s">
        <v>27</v>
      </c>
      <c r="I668" s="130" t="s">
        <v>27</v>
      </c>
      <c r="J668" s="130" t="s">
        <v>237</v>
      </c>
      <c r="K668" t="s">
        <v>1047</v>
      </c>
      <c r="L668" t="s">
        <v>723</v>
      </c>
      <c r="M668" s="100" t="str">
        <f t="shared" si="20"/>
        <v>Wrong measurement</v>
      </c>
      <c r="N668" s="59" t="str">
        <f t="shared" si="21"/>
        <v>Wrong measurement</v>
      </c>
      <c r="O668" s="134" t="s">
        <v>239</v>
      </c>
      <c r="P668" s="134"/>
    </row>
    <row r="669" spans="1:21">
      <c r="A669" s="38">
        <v>164</v>
      </c>
      <c r="B669" t="s">
        <v>405</v>
      </c>
      <c r="D669" s="97" t="e">
        <f>_xlfn.XLOOKUP(A669,[1]CPD_SOP_new!$A:$A,[1]CPD_SOP_new!#REF!,"not found",0 )</f>
        <v>#REF!</v>
      </c>
      <c r="E669" s="97" t="str">
        <f>_xlfn.XLOOKUP(A669,[1]CPD_SOP_new!$A:$A,[1]CPD_SOP_new!$K:$K,"not found",0 )</f>
        <v>2C</v>
      </c>
      <c r="F669" t="s">
        <v>27</v>
      </c>
      <c r="G669" t="s">
        <v>27</v>
      </c>
      <c r="H669" t="s">
        <v>27</v>
      </c>
      <c r="I669" s="130" t="s">
        <v>27</v>
      </c>
      <c r="J669" s="130" t="s">
        <v>237</v>
      </c>
      <c r="K669" t="s">
        <v>1048</v>
      </c>
      <c r="L669" t="s">
        <v>723</v>
      </c>
      <c r="M669" s="100" t="str">
        <f t="shared" si="20"/>
        <v>Wrong measurement</v>
      </c>
      <c r="N669" s="59" t="str">
        <f t="shared" si="21"/>
        <v>Wrong measurement</v>
      </c>
      <c r="O669" s="134" t="s">
        <v>239</v>
      </c>
      <c r="P669" s="134"/>
    </row>
    <row r="670" spans="1:21">
      <c r="A670" s="38">
        <v>165</v>
      </c>
      <c r="B670" t="s">
        <v>405</v>
      </c>
      <c r="D670" s="97" t="e">
        <f>_xlfn.XLOOKUP(A670,[1]CPD_SOP_new!$A:$A,[1]CPD_SOP_new!#REF!,"not found",0 )</f>
        <v>#REF!</v>
      </c>
      <c r="E670" s="97" t="str">
        <f>_xlfn.XLOOKUP(A670,[1]CPD_SOP_new!$A:$A,[1]CPD_SOP_new!$K:$K,"not found",0 )</f>
        <v>3R</v>
      </c>
      <c r="F670" t="s">
        <v>27</v>
      </c>
      <c r="G670" t="s">
        <v>28</v>
      </c>
      <c r="H670" t="s">
        <v>28</v>
      </c>
      <c r="I670" s="130" t="s">
        <v>27</v>
      </c>
      <c r="J670" s="130" t="s">
        <v>237</v>
      </c>
      <c r="K670" t="s">
        <v>449</v>
      </c>
      <c r="L670" t="s">
        <v>723</v>
      </c>
      <c r="M670" s="100" t="str">
        <f t="shared" si="20"/>
        <v>Wrong measurement</v>
      </c>
      <c r="N670" s="59" t="str">
        <f t="shared" si="21"/>
        <v>Wrong measurement</v>
      </c>
      <c r="O670" s="134" t="s">
        <v>239</v>
      </c>
      <c r="P670" s="134"/>
    </row>
    <row r="671" spans="1:21">
      <c r="A671" s="38">
        <v>165</v>
      </c>
      <c r="B671" t="s">
        <v>405</v>
      </c>
      <c r="D671" s="97" t="e">
        <f>_xlfn.XLOOKUP(A671,[1]CPD_SOP_new!$A:$A,[1]CPD_SOP_new!#REF!,"not found",0 )</f>
        <v>#REF!</v>
      </c>
      <c r="E671" s="97" t="str">
        <f>_xlfn.XLOOKUP(A671,[1]CPD_SOP_new!$A:$A,[1]CPD_SOP_new!$K:$K,"not found",0 )</f>
        <v>3R</v>
      </c>
      <c r="F671" t="s">
        <v>27</v>
      </c>
      <c r="G671" t="s">
        <v>28</v>
      </c>
      <c r="H671" t="s">
        <v>28</v>
      </c>
      <c r="I671" s="130" t="s">
        <v>27</v>
      </c>
      <c r="J671" s="130" t="s">
        <v>237</v>
      </c>
      <c r="K671" t="s">
        <v>450</v>
      </c>
      <c r="L671" t="s">
        <v>723</v>
      </c>
      <c r="M671" s="100" t="str">
        <f t="shared" si="20"/>
        <v>Wrong measurement</v>
      </c>
      <c r="N671" s="59" t="str">
        <f t="shared" si="21"/>
        <v>Wrong measurement</v>
      </c>
      <c r="O671" s="134" t="s">
        <v>239</v>
      </c>
      <c r="P671" s="134"/>
    </row>
    <row r="672" spans="1:21">
      <c r="A672" s="38">
        <v>165</v>
      </c>
      <c r="B672" t="s">
        <v>405</v>
      </c>
      <c r="D672" s="97" t="e">
        <f>_xlfn.XLOOKUP(A672,[1]CPD_SOP_new!$A:$A,[1]CPD_SOP_new!#REF!,"not found",0 )</f>
        <v>#REF!</v>
      </c>
      <c r="E672" s="97" t="str">
        <f>_xlfn.XLOOKUP(A672,[1]CPD_SOP_new!$A:$A,[1]CPD_SOP_new!$K:$K,"not found",0 )</f>
        <v>3R</v>
      </c>
      <c r="F672" t="s">
        <v>27</v>
      </c>
      <c r="G672" t="s">
        <v>28</v>
      </c>
      <c r="H672" t="s">
        <v>28</v>
      </c>
      <c r="I672" s="130" t="s">
        <v>27</v>
      </c>
      <c r="J672" s="130" t="s">
        <v>237</v>
      </c>
      <c r="K672" t="s">
        <v>451</v>
      </c>
      <c r="L672" t="s">
        <v>723</v>
      </c>
      <c r="M672" s="100" t="str">
        <f t="shared" si="20"/>
        <v>Wrong measurement</v>
      </c>
      <c r="N672" s="59" t="str">
        <f t="shared" si="21"/>
        <v>Wrong measurement</v>
      </c>
      <c r="O672" s="134" t="s">
        <v>239</v>
      </c>
      <c r="P672" s="134"/>
    </row>
    <row r="673" spans="1:16">
      <c r="A673" s="38">
        <v>166</v>
      </c>
      <c r="B673" t="s">
        <v>405</v>
      </c>
      <c r="D673" s="97" t="e">
        <f>_xlfn.XLOOKUP(A673,[1]CPD_SOP_new!$A:$A,[1]CPD_SOP_new!#REF!,"not found",0 )</f>
        <v>#REF!</v>
      </c>
      <c r="E673" s="97" t="str">
        <f>_xlfn.XLOOKUP(A673,[1]CPD_SOP_new!$A:$A,[1]CPD_SOP_new!$K:$K,"not found",0 )</f>
        <v>3L</v>
      </c>
      <c r="F673" t="s">
        <v>27</v>
      </c>
      <c r="G673" t="s">
        <v>27</v>
      </c>
      <c r="H673" t="s">
        <v>27</v>
      </c>
      <c r="I673" s="130" t="s">
        <v>27</v>
      </c>
      <c r="J673" s="130" t="s">
        <v>237</v>
      </c>
      <c r="K673" t="s">
        <v>1052</v>
      </c>
      <c r="L673" t="s">
        <v>723</v>
      </c>
      <c r="M673" s="100" t="str">
        <f t="shared" si="20"/>
        <v>Wrong measurement</v>
      </c>
      <c r="N673" s="59" t="str">
        <f t="shared" si="21"/>
        <v>Wrong measurement</v>
      </c>
      <c r="O673" s="134" t="s">
        <v>239</v>
      </c>
      <c r="P673" s="134"/>
    </row>
    <row r="674" spans="1:16">
      <c r="A674" s="38">
        <v>166</v>
      </c>
      <c r="B674" t="s">
        <v>405</v>
      </c>
      <c r="D674" s="97" t="e">
        <f>_xlfn.XLOOKUP(A674,[1]CPD_SOP_new!$A:$A,[1]CPD_SOP_new!#REF!,"not found",0 )</f>
        <v>#REF!</v>
      </c>
      <c r="E674" s="97" t="str">
        <f>_xlfn.XLOOKUP(A674,[1]CPD_SOP_new!$A:$A,[1]CPD_SOP_new!$K:$K,"not found",0 )</f>
        <v>3L</v>
      </c>
      <c r="F674" t="s">
        <v>27</v>
      </c>
      <c r="G674" t="s">
        <v>27</v>
      </c>
      <c r="H674" t="s">
        <v>27</v>
      </c>
      <c r="I674" s="130" t="s">
        <v>27</v>
      </c>
      <c r="J674" s="130" t="s">
        <v>237</v>
      </c>
      <c r="K674" t="s">
        <v>1053</v>
      </c>
      <c r="L674" t="s">
        <v>723</v>
      </c>
      <c r="M674" s="100" t="str">
        <f t="shared" si="20"/>
        <v>Wrong measurement</v>
      </c>
      <c r="N674" s="59" t="str">
        <f t="shared" si="21"/>
        <v>Wrong measurement</v>
      </c>
      <c r="O674" s="134" t="s">
        <v>239</v>
      </c>
      <c r="P674" s="134"/>
    </row>
    <row r="675" spans="1:16">
      <c r="A675" s="38">
        <v>166</v>
      </c>
      <c r="B675" t="s">
        <v>405</v>
      </c>
      <c r="D675" s="97" t="e">
        <f>_xlfn.XLOOKUP(A675,[1]CPD_SOP_new!$A:$A,[1]CPD_SOP_new!#REF!,"not found",0 )</f>
        <v>#REF!</v>
      </c>
      <c r="E675" s="97" t="str">
        <f>_xlfn.XLOOKUP(A675,[1]CPD_SOP_new!$A:$A,[1]CPD_SOP_new!$K:$K,"not found",0 )</f>
        <v>3L</v>
      </c>
      <c r="F675" t="s">
        <v>27</v>
      </c>
      <c r="G675" t="s">
        <v>27</v>
      </c>
      <c r="H675" t="s">
        <v>27</v>
      </c>
      <c r="I675" t="s">
        <v>28</v>
      </c>
      <c r="J675" t="s">
        <v>828</v>
      </c>
      <c r="K675" t="s">
        <v>1054</v>
      </c>
      <c r="L675" t="s">
        <v>2631</v>
      </c>
      <c r="M675" s="100" t="str">
        <f t="shared" si="20"/>
        <v>TC166_Try_3_Phone__3L_CPD.MF4.xz</v>
      </c>
      <c r="N675" s="59" t="str">
        <f t="shared" si="21"/>
        <v>_Phone__3L_CPD.MF4.xz</v>
      </c>
      <c r="O675" s="134" t="s">
        <v>239</v>
      </c>
      <c r="P675" s="134"/>
    </row>
    <row r="676" spans="1:16">
      <c r="A676" s="38">
        <v>167</v>
      </c>
      <c r="B676" t="s">
        <v>405</v>
      </c>
      <c r="D676" s="97" t="e">
        <f>_xlfn.XLOOKUP(A676,[1]CPD_SOP_new!$A:$A,[1]CPD_SOP_new!#REF!,"not found",0 )</f>
        <v>#REF!</v>
      </c>
      <c r="E676" s="97" t="str">
        <f>_xlfn.XLOOKUP(A676,[1]CPD_SOP_new!$A:$A,[1]CPD_SOP_new!$K:$K,"not found",0 )</f>
        <v>F1D</v>
      </c>
      <c r="F676" t="s">
        <v>27</v>
      </c>
      <c r="G676" t="s">
        <v>27</v>
      </c>
      <c r="H676" t="s">
        <v>27</v>
      </c>
      <c r="I676" t="s">
        <v>28</v>
      </c>
      <c r="J676" t="s">
        <v>828</v>
      </c>
      <c r="K676" t="s">
        <v>1056</v>
      </c>
      <c r="L676" t="s">
        <v>2632</v>
      </c>
      <c r="M676" s="100" t="str">
        <f t="shared" si="20"/>
        <v>TC167_Try_1_Phone__F1D_CPD.MF4.xz</v>
      </c>
      <c r="N676" s="59" t="str">
        <f t="shared" si="21"/>
        <v>_Phone__F1D_CPD.MF4.xz</v>
      </c>
      <c r="O676" s="134" t="s">
        <v>239</v>
      </c>
      <c r="P676" s="134"/>
    </row>
    <row r="677" spans="1:16">
      <c r="A677" s="38">
        <v>167</v>
      </c>
      <c r="B677" t="s">
        <v>405</v>
      </c>
      <c r="D677" s="97" t="e">
        <f>_xlfn.XLOOKUP(A677,[1]CPD_SOP_new!$A:$A,[1]CPD_SOP_new!#REF!,"not found",0 )</f>
        <v>#REF!</v>
      </c>
      <c r="E677" s="97" t="str">
        <f>_xlfn.XLOOKUP(A677,[1]CPD_SOP_new!$A:$A,[1]CPD_SOP_new!$K:$K,"not found",0 )</f>
        <v>F1D</v>
      </c>
      <c r="F677" t="s">
        <v>27</v>
      </c>
      <c r="G677" t="s">
        <v>27</v>
      </c>
      <c r="H677" t="s">
        <v>27</v>
      </c>
      <c r="I677" t="s">
        <v>28</v>
      </c>
      <c r="J677" t="s">
        <v>828</v>
      </c>
      <c r="K677" t="s">
        <v>1058</v>
      </c>
      <c r="L677" t="s">
        <v>2633</v>
      </c>
      <c r="M677" s="100" t="str">
        <f t="shared" si="20"/>
        <v>TC167_Try_2_Phone__F1D_CPD.MF4.xz</v>
      </c>
      <c r="N677" s="59" t="str">
        <f t="shared" si="21"/>
        <v>_Phone__F1D_CPD.MF4.xz</v>
      </c>
      <c r="O677" s="134" t="s">
        <v>239</v>
      </c>
      <c r="P677" s="134"/>
    </row>
    <row r="678" spans="1:16">
      <c r="A678" s="38">
        <v>167</v>
      </c>
      <c r="B678" t="s">
        <v>405</v>
      </c>
      <c r="D678" s="97" t="e">
        <f>_xlfn.XLOOKUP(A678,[1]CPD_SOP_new!$A:$A,[1]CPD_SOP_new!#REF!,"not found",0 )</f>
        <v>#REF!</v>
      </c>
      <c r="E678" s="97" t="str">
        <f>_xlfn.XLOOKUP(A678,[1]CPD_SOP_new!$A:$A,[1]CPD_SOP_new!$K:$K,"not found",0 )</f>
        <v>F1D</v>
      </c>
      <c r="F678" t="s">
        <v>27</v>
      </c>
      <c r="G678" t="s">
        <v>27</v>
      </c>
      <c r="H678" t="s">
        <v>27</v>
      </c>
      <c r="I678" t="s">
        <v>28</v>
      </c>
      <c r="J678" t="s">
        <v>828</v>
      </c>
      <c r="K678" t="s">
        <v>1059</v>
      </c>
      <c r="L678" t="s">
        <v>2634</v>
      </c>
      <c r="M678" s="100" t="str">
        <f t="shared" si="20"/>
        <v>TC167_Try_3_Phone__F1D_CPD.MF4.xz</v>
      </c>
      <c r="N678" s="59" t="str">
        <f t="shared" si="21"/>
        <v>_Phone__F1D_CPD.MF4.xz</v>
      </c>
      <c r="O678" s="134" t="s">
        <v>239</v>
      </c>
      <c r="P678" s="134"/>
    </row>
    <row r="679" spans="1:16">
      <c r="A679" s="38">
        <v>168</v>
      </c>
      <c r="B679" t="s">
        <v>405</v>
      </c>
      <c r="D679" s="97" t="e">
        <f>_xlfn.XLOOKUP(A679,[1]CPD_SOP_new!$A:$A,[1]CPD_SOP_new!#REF!,"not found",0 )</f>
        <v>#REF!</v>
      </c>
      <c r="E679" s="97" t="str">
        <f>_xlfn.XLOOKUP(A679,[1]CPD_SOP_new!$A:$A,[1]CPD_SOP_new!$K:$K,"not found",0 )</f>
        <v>F1P</v>
      </c>
      <c r="F679" t="s">
        <v>27</v>
      </c>
      <c r="G679" t="s">
        <v>27</v>
      </c>
      <c r="H679" t="s">
        <v>27</v>
      </c>
      <c r="I679" t="s">
        <v>28</v>
      </c>
      <c r="J679" t="s">
        <v>828</v>
      </c>
      <c r="K679" t="s">
        <v>1060</v>
      </c>
      <c r="L679" t="s">
        <v>2635</v>
      </c>
      <c r="M679" s="100" t="str">
        <f t="shared" si="20"/>
        <v>TC168_Try_1_Phone__F1P_CPD.MF4.xz</v>
      </c>
      <c r="N679" s="59" t="str">
        <f t="shared" si="21"/>
        <v>_Phone__F1P_CPD.MF4.xz</v>
      </c>
      <c r="O679" s="134" t="s">
        <v>239</v>
      </c>
      <c r="P679" s="134"/>
    </row>
    <row r="680" spans="1:16">
      <c r="A680" s="38">
        <v>168</v>
      </c>
      <c r="B680" t="s">
        <v>405</v>
      </c>
      <c r="D680" s="97" t="e">
        <f>_xlfn.XLOOKUP(A680,[1]CPD_SOP_new!$A:$A,[1]CPD_SOP_new!#REF!,"not found",0 )</f>
        <v>#REF!</v>
      </c>
      <c r="E680" s="97" t="str">
        <f>_xlfn.XLOOKUP(A680,[1]CPD_SOP_new!$A:$A,[1]CPD_SOP_new!$K:$K,"not found",0 )</f>
        <v>F1P</v>
      </c>
      <c r="F680" t="s">
        <v>27</v>
      </c>
      <c r="G680" t="s">
        <v>27</v>
      </c>
      <c r="H680" t="s">
        <v>27</v>
      </c>
      <c r="I680" t="s">
        <v>28</v>
      </c>
      <c r="J680" t="s">
        <v>828</v>
      </c>
      <c r="K680" t="s">
        <v>1062</v>
      </c>
      <c r="L680" t="s">
        <v>2636</v>
      </c>
      <c r="M680" s="100" t="str">
        <f t="shared" si="20"/>
        <v>TC168_Try_2_Phone__F1P_CPD.MF4.xz</v>
      </c>
      <c r="N680" s="59" t="str">
        <f t="shared" si="21"/>
        <v>_Phone__F1P_CPD.MF4.xz</v>
      </c>
      <c r="O680" s="134" t="s">
        <v>239</v>
      </c>
      <c r="P680" s="134"/>
    </row>
    <row r="681" spans="1:16">
      <c r="A681" s="38">
        <v>168</v>
      </c>
      <c r="B681" t="s">
        <v>405</v>
      </c>
      <c r="D681" s="97" t="e">
        <f>_xlfn.XLOOKUP(A681,[1]CPD_SOP_new!$A:$A,[1]CPD_SOP_new!#REF!,"not found",0 )</f>
        <v>#REF!</v>
      </c>
      <c r="E681" s="97" t="str">
        <f>_xlfn.XLOOKUP(A681,[1]CPD_SOP_new!$A:$A,[1]CPD_SOP_new!$K:$K,"not found",0 )</f>
        <v>F1P</v>
      </c>
      <c r="F681" t="s">
        <v>27</v>
      </c>
      <c r="G681" t="s">
        <v>27</v>
      </c>
      <c r="H681" t="s">
        <v>27</v>
      </c>
      <c r="I681" t="s">
        <v>28</v>
      </c>
      <c r="J681" t="s">
        <v>828</v>
      </c>
      <c r="K681" t="s">
        <v>1063</v>
      </c>
      <c r="L681" t="s">
        <v>2637</v>
      </c>
      <c r="M681" s="100" t="str">
        <f t="shared" si="20"/>
        <v>TC168_Try_3_Phone__F1P_CPD.MF4.xz</v>
      </c>
      <c r="N681" s="59" t="str">
        <f t="shared" si="21"/>
        <v>_Phone__F1P_CPD.MF4.xz</v>
      </c>
      <c r="O681" s="134" t="s">
        <v>239</v>
      </c>
      <c r="P681" s="134"/>
    </row>
    <row r="682" spans="1:16">
      <c r="A682" s="38">
        <v>169</v>
      </c>
      <c r="B682" t="s">
        <v>405</v>
      </c>
      <c r="D682" s="97" t="e">
        <f>_xlfn.XLOOKUP(A682,[1]CPD_SOP_new!$A:$A,[1]CPD_SOP_new!#REF!,"not found",0 )</f>
        <v>#REF!</v>
      </c>
      <c r="E682" s="97" t="str">
        <f>_xlfn.XLOOKUP(A682,[1]CPD_SOP_new!$A:$A,[1]CPD_SOP_new!$K:$K,"not found",0 )</f>
        <v>F2R</v>
      </c>
      <c r="F682" t="s">
        <v>27</v>
      </c>
      <c r="G682" t="s">
        <v>27</v>
      </c>
      <c r="H682" t="s">
        <v>27</v>
      </c>
      <c r="I682" t="s">
        <v>28</v>
      </c>
      <c r="J682" t="s">
        <v>828</v>
      </c>
      <c r="K682" t="s">
        <v>1064</v>
      </c>
      <c r="L682" t="s">
        <v>2638</v>
      </c>
      <c r="M682" s="100" t="str">
        <f t="shared" si="20"/>
        <v>TC169_Try_1_Phone__F2R_CPD.MF4.xz</v>
      </c>
      <c r="N682" s="59" t="str">
        <f t="shared" si="21"/>
        <v>_Phone__F2R_CPD.MF4.xz</v>
      </c>
      <c r="O682" s="134" t="s">
        <v>239</v>
      </c>
      <c r="P682" s="134"/>
    </row>
    <row r="683" spans="1:16">
      <c r="A683" s="38">
        <v>169</v>
      </c>
      <c r="B683" t="s">
        <v>405</v>
      </c>
      <c r="D683" s="97" t="e">
        <f>_xlfn.XLOOKUP(A683,[1]CPD_SOP_new!$A:$A,[1]CPD_SOP_new!#REF!,"not found",0 )</f>
        <v>#REF!</v>
      </c>
      <c r="E683" s="97" t="str">
        <f>_xlfn.XLOOKUP(A683,[1]CPD_SOP_new!$A:$A,[1]CPD_SOP_new!$K:$K,"not found",0 )</f>
        <v>F2R</v>
      </c>
      <c r="F683" t="s">
        <v>27</v>
      </c>
      <c r="G683" t="s">
        <v>27</v>
      </c>
      <c r="H683" t="s">
        <v>27</v>
      </c>
      <c r="I683" t="s">
        <v>28</v>
      </c>
      <c r="J683" t="s">
        <v>828</v>
      </c>
      <c r="K683" t="s">
        <v>1066</v>
      </c>
      <c r="L683" t="s">
        <v>2639</v>
      </c>
      <c r="M683" s="100" t="str">
        <f t="shared" si="20"/>
        <v>TC169_Try_2_Phone__F2R_CPD.MF4.xz</v>
      </c>
      <c r="N683" s="59" t="str">
        <f t="shared" si="21"/>
        <v>_Phone__F2R_CPD.MF4.xz</v>
      </c>
      <c r="O683" s="134" t="s">
        <v>239</v>
      </c>
      <c r="P683" s="134"/>
    </row>
    <row r="684" spans="1:16">
      <c r="A684" s="38">
        <v>169</v>
      </c>
      <c r="B684" t="s">
        <v>405</v>
      </c>
      <c r="D684" s="97" t="e">
        <f>_xlfn.XLOOKUP(A684,[1]CPD_SOP_new!$A:$A,[1]CPD_SOP_new!#REF!,"not found",0 )</f>
        <v>#REF!</v>
      </c>
      <c r="E684" s="97" t="str">
        <f>_xlfn.XLOOKUP(A684,[1]CPD_SOP_new!$A:$A,[1]CPD_SOP_new!$K:$K,"not found",0 )</f>
        <v>F2R</v>
      </c>
      <c r="F684" t="s">
        <v>27</v>
      </c>
      <c r="G684" t="s">
        <v>27</v>
      </c>
      <c r="H684" t="s">
        <v>27</v>
      </c>
      <c r="I684" t="s">
        <v>28</v>
      </c>
      <c r="J684" t="s">
        <v>828</v>
      </c>
      <c r="K684" t="s">
        <v>1067</v>
      </c>
      <c r="L684" t="s">
        <v>2640</v>
      </c>
      <c r="M684" s="100" t="str">
        <f t="shared" si="20"/>
        <v>TC169_Try_3_Phone__F2R_CPD.MF4.xz</v>
      </c>
      <c r="N684" s="59" t="str">
        <f t="shared" si="21"/>
        <v>_Phone__F2R_CPD.MF4.xz</v>
      </c>
      <c r="O684" s="134" t="s">
        <v>239</v>
      </c>
      <c r="P684" s="134"/>
    </row>
    <row r="685" spans="1:16">
      <c r="A685" s="38">
        <v>170</v>
      </c>
      <c r="B685" t="s">
        <v>405</v>
      </c>
      <c r="D685" s="97" t="e">
        <f>_xlfn.XLOOKUP(A685,[1]CPD_SOP_new!$A:$A,[1]CPD_SOP_new!#REF!,"not found",0 )</f>
        <v>#REF!</v>
      </c>
      <c r="E685" s="97" t="str">
        <f>_xlfn.XLOOKUP(A685,[1]CPD_SOP_new!$A:$A,[1]CPD_SOP_new!$K:$K,"not found",0 )</f>
        <v>F2L</v>
      </c>
      <c r="F685" t="s">
        <v>27</v>
      </c>
      <c r="G685" t="s">
        <v>27</v>
      </c>
      <c r="H685" t="s">
        <v>27</v>
      </c>
      <c r="I685" t="s">
        <v>28</v>
      </c>
      <c r="J685" t="s">
        <v>828</v>
      </c>
      <c r="K685" t="s">
        <v>1068</v>
      </c>
      <c r="L685" t="s">
        <v>2641</v>
      </c>
      <c r="M685" s="100" t="str">
        <f t="shared" si="20"/>
        <v>TC170_Try_1_Phone__F2L_CPD.MF4.xz</v>
      </c>
      <c r="N685" s="59" t="str">
        <f t="shared" si="21"/>
        <v>_Phone__F2L_CPD.MF4.xz</v>
      </c>
      <c r="O685" s="134" t="s">
        <v>239</v>
      </c>
      <c r="P685" s="134"/>
    </row>
    <row r="686" spans="1:16">
      <c r="A686" s="38">
        <v>170</v>
      </c>
      <c r="B686" t="s">
        <v>405</v>
      </c>
      <c r="D686" s="97" t="e">
        <f>_xlfn.XLOOKUP(A686,[1]CPD_SOP_new!$A:$A,[1]CPD_SOP_new!#REF!,"not found",0 )</f>
        <v>#REF!</v>
      </c>
      <c r="E686" s="97" t="str">
        <f>_xlfn.XLOOKUP(A686,[1]CPD_SOP_new!$A:$A,[1]CPD_SOP_new!$K:$K,"not found",0 )</f>
        <v>F2L</v>
      </c>
      <c r="F686" t="s">
        <v>27</v>
      </c>
      <c r="G686" t="s">
        <v>27</v>
      </c>
      <c r="H686" t="s">
        <v>27</v>
      </c>
      <c r="I686" t="s">
        <v>28</v>
      </c>
      <c r="J686" t="s">
        <v>828</v>
      </c>
      <c r="K686" t="s">
        <v>1070</v>
      </c>
      <c r="L686" t="s">
        <v>2642</v>
      </c>
      <c r="M686" s="100" t="str">
        <f t="shared" si="20"/>
        <v>TC170_Try_2_Phone__F2L_CPD.MF4.xz</v>
      </c>
      <c r="N686" s="59" t="str">
        <f t="shared" si="21"/>
        <v>_Phone__F2L_CPD.MF4.xz</v>
      </c>
      <c r="O686" s="134" t="s">
        <v>239</v>
      </c>
      <c r="P686" s="134"/>
    </row>
    <row r="687" spans="1:16">
      <c r="A687" s="38">
        <v>170</v>
      </c>
      <c r="B687" t="s">
        <v>405</v>
      </c>
      <c r="D687" s="97" t="e">
        <f>_xlfn.XLOOKUP(A687,[1]CPD_SOP_new!$A:$A,[1]CPD_SOP_new!#REF!,"not found",0 )</f>
        <v>#REF!</v>
      </c>
      <c r="E687" s="97" t="str">
        <f>_xlfn.XLOOKUP(A687,[1]CPD_SOP_new!$A:$A,[1]CPD_SOP_new!$K:$K,"not found",0 )</f>
        <v>F2L</v>
      </c>
      <c r="F687" t="s">
        <v>27</v>
      </c>
      <c r="G687" t="s">
        <v>27</v>
      </c>
      <c r="H687" t="s">
        <v>27</v>
      </c>
      <c r="I687" t="s">
        <v>28</v>
      </c>
      <c r="J687" t="s">
        <v>828</v>
      </c>
      <c r="K687" t="s">
        <v>1071</v>
      </c>
      <c r="L687" t="s">
        <v>2643</v>
      </c>
      <c r="M687" s="100" t="str">
        <f t="shared" si="20"/>
        <v>TC170_Try_3_Phone__F2L_CPD.MF4.xz</v>
      </c>
      <c r="N687" s="59" t="str">
        <f t="shared" si="21"/>
        <v>_Phone__F2L_CPD.MF4.xz</v>
      </c>
      <c r="O687" s="134" t="s">
        <v>239</v>
      </c>
      <c r="P687" s="134"/>
    </row>
    <row r="688" spans="1:16">
      <c r="A688" s="38">
        <v>171</v>
      </c>
      <c r="B688" t="s">
        <v>405</v>
      </c>
      <c r="D688" s="97" t="e">
        <f>_xlfn.XLOOKUP(A688,[1]CPD_SOP_new!$A:$A,[1]CPD_SOP_new!#REF!,"not found",0 )</f>
        <v>#REF!</v>
      </c>
      <c r="E688" s="97" t="str">
        <f>_xlfn.XLOOKUP(A688,[1]CPD_SOP_new!$A:$A,[1]CPD_SOP_new!$K:$K,"not found",0 )</f>
        <v>F2C</v>
      </c>
      <c r="F688" t="s">
        <v>27</v>
      </c>
      <c r="G688" t="s">
        <v>27</v>
      </c>
      <c r="H688" t="s">
        <v>27</v>
      </c>
      <c r="I688" t="s">
        <v>28</v>
      </c>
      <c r="J688" t="s">
        <v>828</v>
      </c>
      <c r="K688" t="s">
        <v>1072</v>
      </c>
      <c r="L688" t="s">
        <v>2644</v>
      </c>
      <c r="M688" s="100" t="str">
        <f t="shared" si="20"/>
        <v>TC171_Try_1_Phone__F2C_CPD.MF4.xz</v>
      </c>
      <c r="N688" s="59" t="str">
        <f t="shared" si="21"/>
        <v>_Phone__F2C_CPD.MF4.xz</v>
      </c>
      <c r="O688" s="134" t="s">
        <v>239</v>
      </c>
      <c r="P688" s="134"/>
    </row>
    <row r="689" spans="1:21">
      <c r="A689" s="38">
        <v>171</v>
      </c>
      <c r="B689" t="s">
        <v>405</v>
      </c>
      <c r="D689" s="97" t="e">
        <f>_xlfn.XLOOKUP(A689,[1]CPD_SOP_new!$A:$A,[1]CPD_SOP_new!#REF!,"not found",0 )</f>
        <v>#REF!</v>
      </c>
      <c r="E689" s="97" t="str">
        <f>_xlfn.XLOOKUP(A689,[1]CPD_SOP_new!$A:$A,[1]CPD_SOP_new!$K:$K,"not found",0 )</f>
        <v>F2C</v>
      </c>
      <c r="F689" t="s">
        <v>27</v>
      </c>
      <c r="G689" t="s">
        <v>27</v>
      </c>
      <c r="H689" t="s">
        <v>27</v>
      </c>
      <c r="I689" t="s">
        <v>28</v>
      </c>
      <c r="J689" t="s">
        <v>828</v>
      </c>
      <c r="K689" t="s">
        <v>1074</v>
      </c>
      <c r="L689" t="s">
        <v>2645</v>
      </c>
      <c r="M689" s="100" t="str">
        <f t="shared" si="20"/>
        <v>TC171_Try_2_Phone__F2C_CPD.MF4.xz</v>
      </c>
      <c r="N689" s="59" t="str">
        <f t="shared" si="21"/>
        <v>_Phone__F2C_CPD.MF4.xz</v>
      </c>
      <c r="O689" s="134" t="s">
        <v>239</v>
      </c>
      <c r="P689" s="134"/>
    </row>
    <row r="690" spans="1:21">
      <c r="A690" s="38">
        <v>171</v>
      </c>
      <c r="B690" t="s">
        <v>405</v>
      </c>
      <c r="D690" s="97" t="e">
        <f>_xlfn.XLOOKUP(A690,[1]CPD_SOP_new!$A:$A,[1]CPD_SOP_new!#REF!,"not found",0 )</f>
        <v>#REF!</v>
      </c>
      <c r="E690" s="97" t="str">
        <f>_xlfn.XLOOKUP(A690,[1]CPD_SOP_new!$A:$A,[1]CPD_SOP_new!$K:$K,"not found",0 )</f>
        <v>F2C</v>
      </c>
      <c r="F690" t="s">
        <v>27</v>
      </c>
      <c r="G690" t="s">
        <v>27</v>
      </c>
      <c r="H690" t="s">
        <v>27</v>
      </c>
      <c r="I690" t="s">
        <v>28</v>
      </c>
      <c r="J690" t="s">
        <v>828</v>
      </c>
      <c r="K690" t="s">
        <v>1075</v>
      </c>
      <c r="L690" t="s">
        <v>2646</v>
      </c>
      <c r="M690" s="100" t="str">
        <f t="shared" si="20"/>
        <v>TC171_Try_3_Phone__F2C_CPD.MF4.xz</v>
      </c>
      <c r="N690" s="59" t="str">
        <f t="shared" si="21"/>
        <v>_Phone__F2C_CPD.MF4.xz</v>
      </c>
      <c r="O690" s="134" t="s">
        <v>239</v>
      </c>
      <c r="P690" s="134"/>
    </row>
    <row r="691" spans="1:21">
      <c r="A691" s="38">
        <v>172</v>
      </c>
      <c r="B691" t="s">
        <v>405</v>
      </c>
      <c r="D691" s="97" t="e">
        <f>_xlfn.XLOOKUP(A691,[1]CPD_SOP_new!$A:$A,[1]CPD_SOP_new!#REF!,"not found",0 )</f>
        <v>#REF!</v>
      </c>
      <c r="E691" s="97" t="str">
        <f>_xlfn.XLOOKUP(A691,[1]CPD_SOP_new!$A:$A,[1]CPD_SOP_new!$K:$K,"not found",0 )</f>
        <v>F3R</v>
      </c>
      <c r="F691" t="s">
        <v>27</v>
      </c>
      <c r="G691" t="s">
        <v>27</v>
      </c>
      <c r="H691" t="s">
        <v>27</v>
      </c>
      <c r="I691" t="s">
        <v>28</v>
      </c>
      <c r="J691" t="s">
        <v>828</v>
      </c>
      <c r="K691" t="s">
        <v>1076</v>
      </c>
      <c r="L691" t="s">
        <v>2647</v>
      </c>
      <c r="M691" s="100" t="str">
        <f t="shared" si="20"/>
        <v>TC172_Try_1_Phone__F3R_CPD.MF4.xz</v>
      </c>
      <c r="N691" s="59" t="str">
        <f t="shared" si="21"/>
        <v>_Phone__F3R_CPD.MF4.xz</v>
      </c>
      <c r="O691" s="134" t="s">
        <v>239</v>
      </c>
      <c r="P691" s="134"/>
    </row>
    <row r="692" spans="1:21">
      <c r="A692" s="38">
        <v>172</v>
      </c>
      <c r="B692" t="s">
        <v>405</v>
      </c>
      <c r="D692" s="97" t="e">
        <f>_xlfn.XLOOKUP(A692,[1]CPD_SOP_new!$A:$A,[1]CPD_SOP_new!#REF!,"not found",0 )</f>
        <v>#REF!</v>
      </c>
      <c r="E692" s="97" t="str">
        <f>_xlfn.XLOOKUP(A692,[1]CPD_SOP_new!$A:$A,[1]CPD_SOP_new!$K:$K,"not found",0 )</f>
        <v>F3R</v>
      </c>
      <c r="F692" t="s">
        <v>27</v>
      </c>
      <c r="G692" t="s">
        <v>27</v>
      </c>
      <c r="H692" t="s">
        <v>27</v>
      </c>
      <c r="I692" t="s">
        <v>28</v>
      </c>
      <c r="J692" t="s">
        <v>828</v>
      </c>
      <c r="K692" t="s">
        <v>1078</v>
      </c>
      <c r="L692" t="s">
        <v>2648</v>
      </c>
      <c r="M692" s="100" t="str">
        <f t="shared" si="20"/>
        <v>TC172_Try_2_Phone__F3R_CPD.MF4.xz</v>
      </c>
      <c r="N692" s="59" t="str">
        <f t="shared" si="21"/>
        <v>_Phone__F3R_CPD.MF4.xz</v>
      </c>
      <c r="O692" s="134" t="s">
        <v>239</v>
      </c>
      <c r="P692" s="134"/>
    </row>
    <row r="693" spans="1:21">
      <c r="A693" s="38">
        <v>172</v>
      </c>
      <c r="B693" t="s">
        <v>405</v>
      </c>
      <c r="D693" s="97" t="e">
        <f>_xlfn.XLOOKUP(A693,[1]CPD_SOP_new!$A:$A,[1]CPD_SOP_new!#REF!,"not found",0 )</f>
        <v>#REF!</v>
      </c>
      <c r="E693" s="97" t="str">
        <f>_xlfn.XLOOKUP(A693,[1]CPD_SOP_new!$A:$A,[1]CPD_SOP_new!$K:$K,"not found",0 )</f>
        <v>F3R</v>
      </c>
      <c r="F693" t="s">
        <v>27</v>
      </c>
      <c r="G693" t="s">
        <v>27</v>
      </c>
      <c r="H693" t="s">
        <v>27</v>
      </c>
      <c r="I693" t="s">
        <v>28</v>
      </c>
      <c r="J693" t="s">
        <v>828</v>
      </c>
      <c r="K693" t="s">
        <v>1079</v>
      </c>
      <c r="L693" t="s">
        <v>2649</v>
      </c>
      <c r="M693" s="100" t="str">
        <f t="shared" si="20"/>
        <v>TC172_Try_3_Phone__F3R_CPD.MF4.xz</v>
      </c>
      <c r="N693" s="59" t="str">
        <f t="shared" si="21"/>
        <v>_Phone__F3R_CPD.MF4.xz</v>
      </c>
      <c r="O693" s="134" t="s">
        <v>239</v>
      </c>
      <c r="P693" s="134"/>
    </row>
    <row r="694" spans="1:21">
      <c r="A694" s="38">
        <v>173</v>
      </c>
      <c r="B694" t="s">
        <v>405</v>
      </c>
      <c r="D694" s="97" t="e">
        <f>_xlfn.XLOOKUP(A694,[1]CPD_SOP_new!$A:$A,[1]CPD_SOP_new!#REF!,"not found",0 )</f>
        <v>#REF!</v>
      </c>
      <c r="E694" s="97" t="str">
        <f>_xlfn.XLOOKUP(A694,[1]CPD_SOP_new!$A:$A,[1]CPD_SOP_new!$K:$K,"not found",0 )</f>
        <v>F3L</v>
      </c>
      <c r="F694" t="s">
        <v>27</v>
      </c>
      <c r="G694" t="s">
        <v>27</v>
      </c>
      <c r="H694" t="s">
        <v>27</v>
      </c>
      <c r="I694" t="s">
        <v>28</v>
      </c>
      <c r="J694" t="s">
        <v>828</v>
      </c>
      <c r="K694" t="s">
        <v>1080</v>
      </c>
      <c r="L694" t="s">
        <v>2650</v>
      </c>
      <c r="M694" s="100" t="str">
        <f t="shared" si="20"/>
        <v>TC173_Try_1blf_Phone__F3L_CPD.MF4.xz</v>
      </c>
      <c r="N694" s="59" t="str">
        <f t="shared" si="21"/>
        <v>_Phone__F3L_CPD.MF4.xz</v>
      </c>
      <c r="O694" s="134" t="s">
        <v>239</v>
      </c>
      <c r="P694" s="134"/>
    </row>
    <row r="695" spans="1:21">
      <c r="A695" s="38">
        <v>173</v>
      </c>
      <c r="B695" t="s">
        <v>405</v>
      </c>
      <c r="D695" s="97" t="e">
        <f>_xlfn.XLOOKUP(A695,[1]CPD_SOP_new!$A:$A,[1]CPD_SOP_new!#REF!,"not found",0 )</f>
        <v>#REF!</v>
      </c>
      <c r="E695" s="97" t="str">
        <f>_xlfn.XLOOKUP(A695,[1]CPD_SOP_new!$A:$A,[1]CPD_SOP_new!$K:$K,"not found",0 )</f>
        <v>F3L</v>
      </c>
      <c r="F695" t="s">
        <v>27</v>
      </c>
      <c r="G695" t="s">
        <v>27</v>
      </c>
      <c r="H695" t="s">
        <v>27</v>
      </c>
      <c r="I695" t="s">
        <v>28</v>
      </c>
      <c r="J695" t="s">
        <v>828</v>
      </c>
      <c r="K695" t="s">
        <v>1082</v>
      </c>
      <c r="L695" t="s">
        <v>2651</v>
      </c>
      <c r="M695" s="100" t="str">
        <f t="shared" si="20"/>
        <v>TC173_Try_2_Phone__F3L_CPD.MF4.xz</v>
      </c>
      <c r="N695" s="59" t="str">
        <f t="shared" si="21"/>
        <v>_Phone__F3L_CPD.MF4.xz</v>
      </c>
      <c r="O695" s="134" t="s">
        <v>239</v>
      </c>
      <c r="P695" s="134"/>
    </row>
    <row r="696" spans="1:21">
      <c r="A696" s="38">
        <v>173</v>
      </c>
      <c r="B696" t="s">
        <v>405</v>
      </c>
      <c r="D696" s="97" t="e">
        <f>_xlfn.XLOOKUP(A696,[1]CPD_SOP_new!$A:$A,[1]CPD_SOP_new!#REF!,"not found",0 )</f>
        <v>#REF!</v>
      </c>
      <c r="E696" s="97" t="str">
        <f>_xlfn.XLOOKUP(A696,[1]CPD_SOP_new!$A:$A,[1]CPD_SOP_new!$K:$K,"not found",0 )</f>
        <v>F3L</v>
      </c>
      <c r="F696" t="s">
        <v>27</v>
      </c>
      <c r="G696" t="s">
        <v>27</v>
      </c>
      <c r="H696" t="s">
        <v>27</v>
      </c>
      <c r="I696" t="s">
        <v>28</v>
      </c>
      <c r="J696" t="s">
        <v>828</v>
      </c>
      <c r="K696" t="s">
        <v>1083</v>
      </c>
      <c r="L696" t="s">
        <v>2652</v>
      </c>
      <c r="M696" s="100" t="str">
        <f t="shared" si="20"/>
        <v>TC173_Try_3_Phone__F3L_CPD.MF4.xz</v>
      </c>
      <c r="N696" s="59" t="str">
        <f t="shared" si="21"/>
        <v>_Phone__F3L_CPD.MF4.xz</v>
      </c>
      <c r="O696" s="134" t="s">
        <v>239</v>
      </c>
      <c r="P696" s="134"/>
    </row>
    <row r="697" spans="1:21">
      <c r="A697" s="77">
        <v>176</v>
      </c>
      <c r="B697" t="s">
        <v>1084</v>
      </c>
      <c r="D697" s="97" t="e">
        <f>_xlfn.XLOOKUP(A697,[1]CPD_SOP_new!$A:$A,[1]CPD_SOP_new!#REF!,"not found",0 )</f>
        <v>#REF!</v>
      </c>
      <c r="E697" s="97" t="str">
        <f>_xlfn.XLOOKUP(A697,[1]CPD_SOP_new!$A:$A,[1]CPD_SOP_new!$K:$K,"not found",0 )</f>
        <v>2R</v>
      </c>
      <c r="F697" t="s">
        <v>27</v>
      </c>
      <c r="G697" t="s">
        <v>28</v>
      </c>
      <c r="H697" t="s">
        <v>28</v>
      </c>
      <c r="I697" t="s">
        <v>28</v>
      </c>
      <c r="J697" t="s">
        <v>828</v>
      </c>
      <c r="K697" t="s">
        <v>1085</v>
      </c>
      <c r="L697" t="s">
        <v>1085</v>
      </c>
      <c r="M697" s="100" t="str">
        <f t="shared" si="20"/>
        <v>CSR_XCP_Signals_Recorder_2026-01-29_11-59-03_TS176.mf4.xz</v>
      </c>
      <c r="N697" s="59" t="str">
        <f t="shared" si="21"/>
        <v>_Outside__2R_CPD.MF4.xz</v>
      </c>
      <c r="O697" t="s">
        <v>1086</v>
      </c>
      <c r="Q697" t="s">
        <v>828</v>
      </c>
      <c r="R697" t="s">
        <v>828</v>
      </c>
      <c r="S697">
        <v>0</v>
      </c>
      <c r="T697">
        <v>0</v>
      </c>
      <c r="U697">
        <v>0</v>
      </c>
    </row>
    <row r="698" spans="1:21">
      <c r="A698" s="77">
        <v>176</v>
      </c>
      <c r="B698" t="s">
        <v>1084</v>
      </c>
      <c r="D698" s="97" t="e">
        <f>_xlfn.XLOOKUP(A698,[1]CPD_SOP_new!$A:$A,[1]CPD_SOP_new!#REF!,"not found",0 )</f>
        <v>#REF!</v>
      </c>
      <c r="E698" s="97" t="str">
        <f>_xlfn.XLOOKUP(A698,[1]CPD_SOP_new!$A:$A,[1]CPD_SOP_new!$K:$K,"not found",0 )</f>
        <v>2R</v>
      </c>
      <c r="F698" t="s">
        <v>27</v>
      </c>
      <c r="G698" t="s">
        <v>28</v>
      </c>
      <c r="H698" t="s">
        <v>28</v>
      </c>
      <c r="I698" t="s">
        <v>28</v>
      </c>
      <c r="J698" t="s">
        <v>828</v>
      </c>
      <c r="K698" t="s">
        <v>1087</v>
      </c>
      <c r="L698" t="s">
        <v>1087</v>
      </c>
      <c r="M698" s="100" t="str">
        <f t="shared" si="20"/>
        <v>CSR_XCP_Signals_Recorder_2026-01-29_12-01-45_TS176.mf4.xz</v>
      </c>
      <c r="N698" s="59" t="str">
        <f t="shared" si="21"/>
        <v>_Outside__2R_CPD.MF4.xz</v>
      </c>
      <c r="O698" t="s">
        <v>1086</v>
      </c>
      <c r="Q698" t="s">
        <v>828</v>
      </c>
      <c r="R698" t="s">
        <v>828</v>
      </c>
      <c r="S698">
        <v>0</v>
      </c>
      <c r="T698">
        <v>0</v>
      </c>
      <c r="U698">
        <v>0</v>
      </c>
    </row>
    <row r="699" spans="1:21">
      <c r="A699" s="77">
        <v>176</v>
      </c>
      <c r="B699" t="s">
        <v>1084</v>
      </c>
      <c r="D699" s="97" t="e">
        <f>_xlfn.XLOOKUP(A699,[1]CPD_SOP_new!$A:$A,[1]CPD_SOP_new!#REF!,"not found",0 )</f>
        <v>#REF!</v>
      </c>
      <c r="E699" s="97" t="str">
        <f>_xlfn.XLOOKUP(A699,[1]CPD_SOP_new!$A:$A,[1]CPD_SOP_new!$K:$K,"not found",0 )</f>
        <v>2R</v>
      </c>
      <c r="F699" t="s">
        <v>27</v>
      </c>
      <c r="G699" t="s">
        <v>28</v>
      </c>
      <c r="H699" t="s">
        <v>28</v>
      </c>
      <c r="I699" t="s">
        <v>28</v>
      </c>
      <c r="J699" t="s">
        <v>828</v>
      </c>
      <c r="K699" t="s">
        <v>1088</v>
      </c>
      <c r="L699" t="s">
        <v>1088</v>
      </c>
      <c r="M699" s="100" t="str">
        <f t="shared" si="20"/>
        <v>CSR_XCP_Signals_Recorder_2026-01-29_12-03-19_TS176.mf4.xz</v>
      </c>
      <c r="N699" s="59" t="str">
        <f t="shared" si="21"/>
        <v>_Outside__2R_CPD.MF4.xz</v>
      </c>
      <c r="O699" t="s">
        <v>1086</v>
      </c>
      <c r="Q699" t="s">
        <v>828</v>
      </c>
      <c r="R699" t="s">
        <v>828</v>
      </c>
      <c r="S699">
        <v>0</v>
      </c>
      <c r="T699">
        <v>0</v>
      </c>
      <c r="U699">
        <v>0</v>
      </c>
    </row>
    <row r="700" spans="1:21">
      <c r="A700" s="77">
        <v>176</v>
      </c>
      <c r="B700" t="s">
        <v>1084</v>
      </c>
      <c r="D700" s="97" t="e">
        <f>_xlfn.XLOOKUP(A700,[1]CPD_SOP_new!$A:$A,[1]CPD_SOP_new!#REF!,"not found",0 )</f>
        <v>#REF!</v>
      </c>
      <c r="E700" s="97" t="str">
        <f>_xlfn.XLOOKUP(A700,[1]CPD_SOP_new!$A:$A,[1]CPD_SOP_new!$K:$K,"not found",0 )</f>
        <v>2R</v>
      </c>
      <c r="F700" t="s">
        <v>27</v>
      </c>
      <c r="G700" t="s">
        <v>28</v>
      </c>
      <c r="H700" t="s">
        <v>28</v>
      </c>
      <c r="I700" t="s">
        <v>28</v>
      </c>
      <c r="J700" t="s">
        <v>828</v>
      </c>
      <c r="K700" t="s">
        <v>1089</v>
      </c>
      <c r="L700" t="s">
        <v>1089</v>
      </c>
      <c r="M700" s="100" t="str">
        <f t="shared" si="20"/>
        <v>CSR_XCP_Signals_Recorder_2026-01-29_12-04-51_TS176.mf4.xz</v>
      </c>
      <c r="N700" s="59" t="str">
        <f t="shared" si="21"/>
        <v>_Outside__2R_CPD.MF4.xz</v>
      </c>
      <c r="O700" t="s">
        <v>1086</v>
      </c>
      <c r="Q700" t="s">
        <v>828</v>
      </c>
      <c r="R700" t="s">
        <v>828</v>
      </c>
      <c r="S700">
        <v>0</v>
      </c>
      <c r="T700">
        <v>0</v>
      </c>
      <c r="U700">
        <v>0</v>
      </c>
    </row>
    <row r="701" spans="1:21">
      <c r="A701" s="77">
        <v>176</v>
      </c>
      <c r="B701" t="s">
        <v>1084</v>
      </c>
      <c r="D701" s="97" t="e">
        <f>_xlfn.XLOOKUP(A701,[1]CPD_SOP_new!$A:$A,[1]CPD_SOP_new!#REF!,"not found",0 )</f>
        <v>#REF!</v>
      </c>
      <c r="E701" s="97" t="str">
        <f>_xlfn.XLOOKUP(A701,[1]CPD_SOP_new!$A:$A,[1]CPD_SOP_new!$K:$K,"not found",0 )</f>
        <v>2R</v>
      </c>
      <c r="F701" t="s">
        <v>27</v>
      </c>
      <c r="G701" t="s">
        <v>28</v>
      </c>
      <c r="H701" t="s">
        <v>28</v>
      </c>
      <c r="I701" t="s">
        <v>28</v>
      </c>
      <c r="J701" t="s">
        <v>828</v>
      </c>
      <c r="K701" s="137" t="s">
        <v>1090</v>
      </c>
      <c r="L701" s="137" t="s">
        <v>2653</v>
      </c>
      <c r="M701" s="100" t="str">
        <f t="shared" si="20"/>
        <v>CSR_XCP_Signals_Recorder_2026-01-29_17-38-42_TC176_NCAP_1_2_Outside__2R_CPD.MF4.xz</v>
      </c>
      <c r="N701" s="59" t="str">
        <f t="shared" si="21"/>
        <v>_Outside__2R_CPD.MF4.xz</v>
      </c>
      <c r="O701" t="s">
        <v>353</v>
      </c>
      <c r="Q701" t="s">
        <v>828</v>
      </c>
      <c r="R701" t="s">
        <v>828</v>
      </c>
      <c r="S701">
        <v>0</v>
      </c>
      <c r="T701">
        <v>0</v>
      </c>
      <c r="U701">
        <v>0</v>
      </c>
    </row>
    <row r="702" spans="1:21">
      <c r="A702" s="77">
        <v>176</v>
      </c>
      <c r="B702" t="s">
        <v>1084</v>
      </c>
      <c r="D702" s="97" t="e">
        <f>_xlfn.XLOOKUP(A702,[1]CPD_SOP_new!$A:$A,[1]CPD_SOP_new!#REF!,"not found",0 )</f>
        <v>#REF!</v>
      </c>
      <c r="E702" s="97" t="str">
        <f>_xlfn.XLOOKUP(A702,[1]CPD_SOP_new!$A:$A,[1]CPD_SOP_new!$K:$K,"not found",0 )</f>
        <v>2R</v>
      </c>
      <c r="F702" t="s">
        <v>27</v>
      </c>
      <c r="G702" t="s">
        <v>28</v>
      </c>
      <c r="H702" t="s">
        <v>28</v>
      </c>
      <c r="I702" t="s">
        <v>28</v>
      </c>
      <c r="J702" t="s">
        <v>828</v>
      </c>
      <c r="K702" s="94" t="s">
        <v>1093</v>
      </c>
      <c r="L702" s="94" t="s">
        <v>2654</v>
      </c>
      <c r="M702" s="100" t="str">
        <f t="shared" si="20"/>
        <v>CSR_XCP_Signals_Recorder_2026-01-29_17-39-32_TC176_NCAP_1_2_Outside__2R_CPD.MF4.xz</v>
      </c>
      <c r="N702" s="59" t="str">
        <f t="shared" si="21"/>
        <v>_Outside__2R_CPD.MF4.xz</v>
      </c>
      <c r="O702" s="69" t="s">
        <v>353</v>
      </c>
      <c r="Q702" t="s">
        <v>828</v>
      </c>
      <c r="R702" t="s">
        <v>828</v>
      </c>
      <c r="S702">
        <v>0</v>
      </c>
      <c r="T702">
        <v>0</v>
      </c>
      <c r="U702">
        <v>0</v>
      </c>
    </row>
    <row r="703" spans="1:21">
      <c r="A703" s="77">
        <v>176</v>
      </c>
      <c r="B703" t="s">
        <v>1084</v>
      </c>
      <c r="D703" s="97" t="e">
        <f>_xlfn.XLOOKUP(A703,[1]CPD_SOP_new!$A:$A,[1]CPD_SOP_new!#REF!,"not found",0 )</f>
        <v>#REF!</v>
      </c>
      <c r="E703" s="97" t="str">
        <f>_xlfn.XLOOKUP(A703,[1]CPD_SOP_new!$A:$A,[1]CPD_SOP_new!$K:$K,"not found",0 )</f>
        <v>2R</v>
      </c>
      <c r="F703" t="s">
        <v>27</v>
      </c>
      <c r="G703" t="s">
        <v>28</v>
      </c>
      <c r="H703" t="s">
        <v>28</v>
      </c>
      <c r="I703" t="s">
        <v>28</v>
      </c>
      <c r="J703" t="s">
        <v>828</v>
      </c>
      <c r="K703" s="94" t="s">
        <v>1094</v>
      </c>
      <c r="L703" s="94" t="s">
        <v>2655</v>
      </c>
      <c r="M703" s="100" t="str">
        <f t="shared" si="20"/>
        <v>CSR_XCP_Signals_Recorder_2026-01-29_17-40-17_TC176_NCAP_1_2_Outside__2R_CPD.MF4.xz</v>
      </c>
      <c r="N703" s="59" t="str">
        <f t="shared" si="21"/>
        <v>_Outside__2R_CPD.MF4.xz</v>
      </c>
      <c r="O703" t="s">
        <v>353</v>
      </c>
      <c r="Q703" t="s">
        <v>828</v>
      </c>
      <c r="R703" t="s">
        <v>828</v>
      </c>
      <c r="S703">
        <v>0</v>
      </c>
      <c r="T703">
        <v>0</v>
      </c>
      <c r="U703">
        <v>0</v>
      </c>
    </row>
    <row r="704" spans="1:21" s="130" customFormat="1">
      <c r="A704" s="78">
        <v>176</v>
      </c>
      <c r="B704" s="130" t="s">
        <v>1084</v>
      </c>
      <c r="D704" s="97" t="e">
        <f>_xlfn.XLOOKUP(A704,[1]CPD_SOP_new!$A:$A,[1]CPD_SOP_new!#REF!,"not found",0 )</f>
        <v>#REF!</v>
      </c>
      <c r="E704" s="97" t="str">
        <f>_xlfn.XLOOKUP(A704,[1]CPD_SOP_new!$A:$A,[1]CPD_SOP_new!$K:$K,"not found",0 )</f>
        <v>2R</v>
      </c>
      <c r="F704" s="130" t="s">
        <v>27</v>
      </c>
      <c r="G704" s="130" t="s">
        <v>28</v>
      </c>
      <c r="H704" s="130" t="s">
        <v>27</v>
      </c>
      <c r="I704" s="130" t="s">
        <v>27</v>
      </c>
      <c r="J704" s="130" t="s">
        <v>237</v>
      </c>
      <c r="K704" s="130" t="s">
        <v>1097</v>
      </c>
      <c r="L704" s="130" t="s">
        <v>723</v>
      </c>
      <c r="M704" s="100" t="str">
        <f t="shared" si="20"/>
        <v>Wrong measurement</v>
      </c>
      <c r="N704" s="59" t="str">
        <f t="shared" si="21"/>
        <v>Wrong measurement</v>
      </c>
      <c r="O704" s="130" t="s">
        <v>353</v>
      </c>
      <c r="Q704" s="130" t="s">
        <v>828</v>
      </c>
      <c r="R704" s="130" t="s">
        <v>828</v>
      </c>
      <c r="S704" s="130">
        <v>0</v>
      </c>
      <c r="T704" s="130">
        <v>0</v>
      </c>
      <c r="U704" s="130">
        <v>0</v>
      </c>
    </row>
    <row r="705" spans="1:21" s="130" customFormat="1">
      <c r="A705" s="78">
        <v>176</v>
      </c>
      <c r="B705" s="130" t="s">
        <v>1084</v>
      </c>
      <c r="D705" s="97" t="e">
        <f>_xlfn.XLOOKUP(A705,[1]CPD_SOP_new!$A:$A,[1]CPD_SOP_new!#REF!,"not found",0 )</f>
        <v>#REF!</v>
      </c>
      <c r="E705" s="97" t="str">
        <f>_xlfn.XLOOKUP(A705,[1]CPD_SOP_new!$A:$A,[1]CPD_SOP_new!$K:$K,"not found",0 )</f>
        <v>2R</v>
      </c>
      <c r="F705" s="130" t="s">
        <v>27</v>
      </c>
      <c r="G705" s="130" t="s">
        <v>28</v>
      </c>
      <c r="H705" s="130" t="s">
        <v>27</v>
      </c>
      <c r="I705" s="130" t="s">
        <v>27</v>
      </c>
      <c r="J705" s="130" t="s">
        <v>237</v>
      </c>
      <c r="K705" s="130" t="s">
        <v>1098</v>
      </c>
      <c r="L705" s="130" t="s">
        <v>723</v>
      </c>
      <c r="M705" s="100" t="str">
        <f t="shared" si="20"/>
        <v>Wrong measurement</v>
      </c>
      <c r="N705" s="59" t="str">
        <f t="shared" si="21"/>
        <v>Wrong measurement</v>
      </c>
      <c r="O705" s="130" t="s">
        <v>353</v>
      </c>
      <c r="Q705" s="130" t="s">
        <v>828</v>
      </c>
      <c r="R705" s="130" t="s">
        <v>828</v>
      </c>
      <c r="S705" s="130">
        <v>0</v>
      </c>
      <c r="T705" s="130">
        <v>0</v>
      </c>
      <c r="U705" s="130">
        <v>0</v>
      </c>
    </row>
    <row r="706" spans="1:21" s="130" customFormat="1">
      <c r="A706" s="78">
        <v>176</v>
      </c>
      <c r="B706" s="130" t="s">
        <v>1084</v>
      </c>
      <c r="D706" s="97" t="e">
        <f>_xlfn.XLOOKUP(A706,[1]CPD_SOP_new!$A:$A,[1]CPD_SOP_new!#REF!,"not found",0 )</f>
        <v>#REF!</v>
      </c>
      <c r="E706" s="97" t="str">
        <f>_xlfn.XLOOKUP(A706,[1]CPD_SOP_new!$A:$A,[1]CPD_SOP_new!$K:$K,"not found",0 )</f>
        <v>2R</v>
      </c>
      <c r="F706" s="130" t="s">
        <v>27</v>
      </c>
      <c r="G706" s="130" t="s">
        <v>28</v>
      </c>
      <c r="H706" s="130" t="s">
        <v>27</v>
      </c>
      <c r="I706" s="130" t="s">
        <v>27</v>
      </c>
      <c r="J706" s="130" t="s">
        <v>237</v>
      </c>
      <c r="K706" s="130" t="s">
        <v>1099</v>
      </c>
      <c r="L706" s="130" t="s">
        <v>723</v>
      </c>
      <c r="M706" s="100" t="str">
        <f t="shared" ref="M706:M769" si="22">IF(NOT(N706="Wrong measurement"),SUBSTITUTE(K706,".MF4.xz",N706),"Wrong measurement")</f>
        <v>Wrong measurement</v>
      </c>
      <c r="N706" s="59" t="str">
        <f t="shared" ref="N706:N769" si="23">IF(I706="Y",("_"&amp;B706 &amp;"_"&amp; IF(C706="","",C706)&amp;"_"&amp;E706&amp;"_CPD.MF4.xz"),"Wrong measurement")</f>
        <v>Wrong measurement</v>
      </c>
      <c r="O706" s="130" t="s">
        <v>353</v>
      </c>
      <c r="Q706" s="130" t="s">
        <v>828</v>
      </c>
      <c r="R706" s="130" t="s">
        <v>828</v>
      </c>
      <c r="S706" s="130">
        <v>0</v>
      </c>
      <c r="T706" s="130">
        <v>0</v>
      </c>
      <c r="U706" s="130">
        <v>0</v>
      </c>
    </row>
    <row r="707" spans="1:21" s="130" customFormat="1">
      <c r="A707" s="78">
        <v>177</v>
      </c>
      <c r="B707" s="130" t="s">
        <v>1084</v>
      </c>
      <c r="D707" s="97" t="e">
        <f>_xlfn.XLOOKUP(A707,[1]CPD_SOP_new!$A:$A,[1]CPD_SOP_new!#REF!,"not found",0 )</f>
        <v>#REF!</v>
      </c>
      <c r="E707" s="97" t="str">
        <f>_xlfn.XLOOKUP(A707,[1]CPD_SOP_new!$A:$A,[1]CPD_SOP_new!$K:$K,"not found",0 )</f>
        <v>2L</v>
      </c>
      <c r="F707" s="130" t="s">
        <v>27</v>
      </c>
      <c r="G707" s="130" t="s">
        <v>27</v>
      </c>
      <c r="H707" s="130" t="s">
        <v>27</v>
      </c>
      <c r="I707" s="130" t="s">
        <v>27</v>
      </c>
      <c r="J707" s="130" t="s">
        <v>237</v>
      </c>
      <c r="K707" s="130" t="s">
        <v>1103</v>
      </c>
      <c r="L707" s="130" t="s">
        <v>723</v>
      </c>
      <c r="M707" s="100" t="str">
        <f t="shared" si="22"/>
        <v>Wrong measurement</v>
      </c>
      <c r="N707" s="59" t="str">
        <f t="shared" si="23"/>
        <v>Wrong measurement</v>
      </c>
      <c r="O707" s="130" t="s">
        <v>1086</v>
      </c>
      <c r="Q707" s="130" t="s">
        <v>828</v>
      </c>
      <c r="R707" s="130" t="s">
        <v>828</v>
      </c>
      <c r="S707" s="130">
        <v>0</v>
      </c>
      <c r="T707" s="130">
        <v>0</v>
      </c>
      <c r="U707" s="130">
        <v>0</v>
      </c>
    </row>
    <row r="708" spans="1:21" s="130" customFormat="1">
      <c r="A708" s="78">
        <v>177</v>
      </c>
      <c r="B708" s="130" t="s">
        <v>1084</v>
      </c>
      <c r="D708" s="97" t="e">
        <f>_xlfn.XLOOKUP(A708,[1]CPD_SOP_new!$A:$A,[1]CPD_SOP_new!#REF!,"not found",0 )</f>
        <v>#REF!</v>
      </c>
      <c r="E708" s="97" t="str">
        <f>_xlfn.XLOOKUP(A708,[1]CPD_SOP_new!$A:$A,[1]CPD_SOP_new!$K:$K,"not found",0 )</f>
        <v>2L</v>
      </c>
      <c r="F708" s="130" t="s">
        <v>27</v>
      </c>
      <c r="G708" s="130" t="s">
        <v>27</v>
      </c>
      <c r="H708" s="130" t="s">
        <v>27</v>
      </c>
      <c r="I708" s="130" t="s">
        <v>27</v>
      </c>
      <c r="J708" s="130" t="s">
        <v>237</v>
      </c>
      <c r="K708" s="130" t="s">
        <v>1104</v>
      </c>
      <c r="L708" s="130" t="s">
        <v>723</v>
      </c>
      <c r="M708" s="100" t="str">
        <f t="shared" si="22"/>
        <v>Wrong measurement</v>
      </c>
      <c r="N708" s="59" t="str">
        <f t="shared" si="23"/>
        <v>Wrong measurement</v>
      </c>
      <c r="O708" s="95" t="s">
        <v>1086</v>
      </c>
      <c r="Q708" s="130" t="s">
        <v>828</v>
      </c>
      <c r="R708" s="130" t="s">
        <v>828</v>
      </c>
      <c r="S708" s="130">
        <v>0</v>
      </c>
      <c r="T708" s="130">
        <v>0</v>
      </c>
      <c r="U708" s="130">
        <v>0</v>
      </c>
    </row>
    <row r="709" spans="1:21" s="130" customFormat="1">
      <c r="A709" s="78">
        <v>177</v>
      </c>
      <c r="B709" s="130" t="s">
        <v>1084</v>
      </c>
      <c r="D709" s="97" t="e">
        <f>_xlfn.XLOOKUP(A709,[1]CPD_SOP_new!$A:$A,[1]CPD_SOP_new!#REF!,"not found",0 )</f>
        <v>#REF!</v>
      </c>
      <c r="E709" s="97" t="str">
        <f>_xlfn.XLOOKUP(A709,[1]CPD_SOP_new!$A:$A,[1]CPD_SOP_new!$K:$K,"not found",0 )</f>
        <v>2L</v>
      </c>
      <c r="F709" s="130" t="s">
        <v>27</v>
      </c>
      <c r="G709" s="130" t="s">
        <v>27</v>
      </c>
      <c r="H709" s="130" t="s">
        <v>27</v>
      </c>
      <c r="I709" s="130" t="s">
        <v>27</v>
      </c>
      <c r="J709" s="130" t="s">
        <v>237</v>
      </c>
      <c r="K709" s="130" t="s">
        <v>1105</v>
      </c>
      <c r="L709" s="130" t="s">
        <v>723</v>
      </c>
      <c r="M709" s="100" t="str">
        <f t="shared" si="22"/>
        <v>Wrong measurement</v>
      </c>
      <c r="N709" s="59" t="str">
        <f t="shared" si="23"/>
        <v>Wrong measurement</v>
      </c>
      <c r="O709" s="130" t="s">
        <v>1086</v>
      </c>
      <c r="Q709" s="130" t="s">
        <v>828</v>
      </c>
      <c r="R709" s="130" t="s">
        <v>828</v>
      </c>
      <c r="S709" s="130">
        <v>0</v>
      </c>
      <c r="T709" s="130">
        <v>0</v>
      </c>
      <c r="U709" s="130">
        <v>0</v>
      </c>
    </row>
    <row r="710" spans="1:21" s="130" customFormat="1">
      <c r="A710" s="78">
        <v>177</v>
      </c>
      <c r="B710" s="130" t="s">
        <v>1084</v>
      </c>
      <c r="D710" s="97" t="e">
        <f>_xlfn.XLOOKUP(A710,[1]CPD_SOP_new!$A:$A,[1]CPD_SOP_new!#REF!,"not found",0 )</f>
        <v>#REF!</v>
      </c>
      <c r="E710" s="97" t="str">
        <f>_xlfn.XLOOKUP(A710,[1]CPD_SOP_new!$A:$A,[1]CPD_SOP_new!$K:$K,"not found",0 )</f>
        <v>2L</v>
      </c>
      <c r="F710" s="130" t="s">
        <v>27</v>
      </c>
      <c r="G710" s="130" t="s">
        <v>27</v>
      </c>
      <c r="H710" s="130" t="s">
        <v>27</v>
      </c>
      <c r="I710" s="130" t="s">
        <v>27</v>
      </c>
      <c r="J710" s="130" t="s">
        <v>237</v>
      </c>
      <c r="K710" s="130" t="s">
        <v>1106</v>
      </c>
      <c r="L710" s="130" t="s">
        <v>723</v>
      </c>
      <c r="M710" s="100" t="str">
        <f t="shared" si="22"/>
        <v>Wrong measurement</v>
      </c>
      <c r="N710" s="59" t="str">
        <f t="shared" si="23"/>
        <v>Wrong measurement</v>
      </c>
      <c r="O710" s="130" t="s">
        <v>1086</v>
      </c>
      <c r="Q710" s="130" t="s">
        <v>828</v>
      </c>
      <c r="R710" s="130" t="s">
        <v>828</v>
      </c>
      <c r="S710" s="130">
        <v>0</v>
      </c>
      <c r="T710" s="130">
        <v>0</v>
      </c>
      <c r="U710" s="130">
        <v>0</v>
      </c>
    </row>
    <row r="711" spans="1:21" s="130" customFormat="1">
      <c r="A711" s="78">
        <v>180</v>
      </c>
      <c r="B711" s="130" t="s">
        <v>1084</v>
      </c>
      <c r="D711" s="97" t="e">
        <f>_xlfn.XLOOKUP(A711,[1]CPD_SOP_new!$A:$A,[1]CPD_SOP_new!#REF!,"not found",0 )</f>
        <v>#REF!</v>
      </c>
      <c r="E711" s="97" t="str">
        <f>_xlfn.XLOOKUP(A711,[1]CPD_SOP_new!$A:$A,[1]CPD_SOP_new!$K:$K,"not found",0 )</f>
        <v>3R</v>
      </c>
      <c r="F711" s="130" t="s">
        <v>27</v>
      </c>
      <c r="G711" s="130" t="s">
        <v>28</v>
      </c>
      <c r="H711" s="130" t="s">
        <v>28</v>
      </c>
      <c r="I711" s="130" t="s">
        <v>27</v>
      </c>
      <c r="J711" s="130" t="s">
        <v>237</v>
      </c>
      <c r="K711" s="130" t="s">
        <v>1115</v>
      </c>
      <c r="L711" s="130" t="s">
        <v>723</v>
      </c>
      <c r="M711" s="100" t="str">
        <f t="shared" si="22"/>
        <v>Wrong measurement</v>
      </c>
      <c r="N711" s="59" t="str">
        <f t="shared" si="23"/>
        <v>Wrong measurement</v>
      </c>
      <c r="O711" s="130" t="s">
        <v>1086</v>
      </c>
      <c r="Q711" s="130" t="s">
        <v>828</v>
      </c>
      <c r="R711" s="130" t="s">
        <v>828</v>
      </c>
      <c r="S711" s="130">
        <v>0</v>
      </c>
      <c r="T711" s="130">
        <v>0</v>
      </c>
      <c r="U711" s="130">
        <v>0</v>
      </c>
    </row>
    <row r="712" spans="1:21" s="130" customFormat="1">
      <c r="A712" s="78">
        <v>180</v>
      </c>
      <c r="B712" s="130" t="s">
        <v>1084</v>
      </c>
      <c r="D712" s="97" t="e">
        <f>_xlfn.XLOOKUP(A712,[1]CPD_SOP_new!$A:$A,[1]CPD_SOP_new!#REF!,"not found",0 )</f>
        <v>#REF!</v>
      </c>
      <c r="E712" s="97" t="str">
        <f>_xlfn.XLOOKUP(A712,[1]CPD_SOP_new!$A:$A,[1]CPD_SOP_new!$K:$K,"not found",0 )</f>
        <v>3R</v>
      </c>
      <c r="F712" s="130" t="s">
        <v>27</v>
      </c>
      <c r="G712" s="130" t="s">
        <v>28</v>
      </c>
      <c r="H712" s="130" t="s">
        <v>28</v>
      </c>
      <c r="I712" s="130" t="s">
        <v>27</v>
      </c>
      <c r="J712" s="130" t="s">
        <v>237</v>
      </c>
      <c r="K712" s="130" t="s">
        <v>1116</v>
      </c>
      <c r="L712" s="130" t="s">
        <v>723</v>
      </c>
      <c r="M712" s="100" t="str">
        <f t="shared" si="22"/>
        <v>Wrong measurement</v>
      </c>
      <c r="N712" s="59" t="str">
        <f t="shared" si="23"/>
        <v>Wrong measurement</v>
      </c>
      <c r="O712" s="130" t="s">
        <v>1086</v>
      </c>
      <c r="Q712" s="130" t="s">
        <v>828</v>
      </c>
      <c r="R712" s="130" t="s">
        <v>828</v>
      </c>
      <c r="S712" s="130">
        <v>0</v>
      </c>
      <c r="T712" s="130">
        <v>0</v>
      </c>
      <c r="U712" s="130">
        <v>0</v>
      </c>
    </row>
    <row r="713" spans="1:21" s="130" customFormat="1">
      <c r="A713" s="78">
        <v>180</v>
      </c>
      <c r="B713" s="130" t="s">
        <v>1084</v>
      </c>
      <c r="D713" s="97" t="e">
        <f>_xlfn.XLOOKUP(A713,[1]CPD_SOP_new!$A:$A,[1]CPD_SOP_new!#REF!,"not found",0 )</f>
        <v>#REF!</v>
      </c>
      <c r="E713" s="97" t="str">
        <f>_xlfn.XLOOKUP(A713,[1]CPD_SOP_new!$A:$A,[1]CPD_SOP_new!$K:$K,"not found",0 )</f>
        <v>3R</v>
      </c>
      <c r="F713" s="130" t="s">
        <v>27</v>
      </c>
      <c r="G713" s="130" t="s">
        <v>28</v>
      </c>
      <c r="H713" s="130" t="s">
        <v>28</v>
      </c>
      <c r="I713" s="130" t="s">
        <v>27</v>
      </c>
      <c r="J713" s="130" t="s">
        <v>237</v>
      </c>
      <c r="K713" s="130" t="s">
        <v>1117</v>
      </c>
      <c r="L713" s="130" t="s">
        <v>723</v>
      </c>
      <c r="M713" s="100" t="str">
        <f t="shared" si="22"/>
        <v>Wrong measurement</v>
      </c>
      <c r="N713" s="59" t="str">
        <f t="shared" si="23"/>
        <v>Wrong measurement</v>
      </c>
      <c r="O713" s="130" t="s">
        <v>1086</v>
      </c>
      <c r="Q713" s="130" t="s">
        <v>828</v>
      </c>
      <c r="R713" s="130" t="s">
        <v>828</v>
      </c>
      <c r="S713" s="130">
        <v>0</v>
      </c>
      <c r="T713" s="130">
        <v>0</v>
      </c>
      <c r="U713" s="130">
        <v>0</v>
      </c>
    </row>
    <row r="714" spans="1:21" s="130" customFormat="1">
      <c r="A714" s="78">
        <v>180</v>
      </c>
      <c r="B714" s="130" t="s">
        <v>1084</v>
      </c>
      <c r="D714" s="97" t="e">
        <f>_xlfn.XLOOKUP(A714,[1]CPD_SOP_new!$A:$A,[1]CPD_SOP_new!#REF!,"not found",0 )</f>
        <v>#REF!</v>
      </c>
      <c r="E714" s="97" t="str">
        <f>_xlfn.XLOOKUP(A714,[1]CPD_SOP_new!$A:$A,[1]CPD_SOP_new!$K:$K,"not found",0 )</f>
        <v>3R</v>
      </c>
      <c r="F714" s="130" t="s">
        <v>27</v>
      </c>
      <c r="G714" s="130" t="s">
        <v>28</v>
      </c>
      <c r="H714" s="130" t="s">
        <v>28</v>
      </c>
      <c r="I714" s="130" t="s">
        <v>27</v>
      </c>
      <c r="J714" s="130" t="s">
        <v>237</v>
      </c>
      <c r="K714" s="61" t="s">
        <v>1118</v>
      </c>
      <c r="L714" s="61" t="s">
        <v>723</v>
      </c>
      <c r="M714" s="100" t="str">
        <f t="shared" si="22"/>
        <v>Wrong measurement</v>
      </c>
      <c r="N714" s="59" t="str">
        <f t="shared" si="23"/>
        <v>Wrong measurement</v>
      </c>
      <c r="O714" s="61" t="s">
        <v>1086</v>
      </c>
      <c r="Q714" s="130" t="s">
        <v>828</v>
      </c>
      <c r="R714" s="130" t="s">
        <v>828</v>
      </c>
      <c r="S714" s="130">
        <v>0</v>
      </c>
      <c r="T714" s="130">
        <v>0</v>
      </c>
      <c r="U714" s="130">
        <v>0</v>
      </c>
    </row>
    <row r="715" spans="1:21" s="130" customFormat="1">
      <c r="A715" s="78">
        <v>181</v>
      </c>
      <c r="B715" s="130" t="s">
        <v>1084</v>
      </c>
      <c r="D715" s="97" t="e">
        <f>_xlfn.XLOOKUP(A715,[1]CPD_SOP_new!$A:$A,[1]CPD_SOP_new!#REF!,"not found",0 )</f>
        <v>#REF!</v>
      </c>
      <c r="E715" s="97" t="str">
        <f>_xlfn.XLOOKUP(A715,[1]CPD_SOP_new!$A:$A,[1]CPD_SOP_new!$K:$K,"not found",0 )</f>
        <v>3L</v>
      </c>
      <c r="F715" s="130" t="s">
        <v>27</v>
      </c>
      <c r="G715" s="130" t="s">
        <v>27</v>
      </c>
      <c r="H715" s="130" t="s">
        <v>27</v>
      </c>
      <c r="I715" s="130" t="s">
        <v>27</v>
      </c>
      <c r="J715" s="130" t="s">
        <v>237</v>
      </c>
      <c r="K715" s="61" t="s">
        <v>1119</v>
      </c>
      <c r="L715" s="61" t="s">
        <v>723</v>
      </c>
      <c r="M715" s="100" t="str">
        <f t="shared" si="22"/>
        <v>Wrong measurement</v>
      </c>
      <c r="N715" s="59" t="str">
        <f t="shared" si="23"/>
        <v>Wrong measurement</v>
      </c>
      <c r="O715" s="61" t="s">
        <v>1086</v>
      </c>
      <c r="Q715" s="130" t="s">
        <v>828</v>
      </c>
      <c r="R715" s="130" t="s">
        <v>828</v>
      </c>
      <c r="S715" s="130">
        <v>0</v>
      </c>
      <c r="T715" s="130">
        <v>0</v>
      </c>
      <c r="U715" s="130">
        <v>0</v>
      </c>
    </row>
    <row r="716" spans="1:21" s="130" customFormat="1">
      <c r="A716" s="78">
        <v>181</v>
      </c>
      <c r="B716" s="130" t="s">
        <v>1084</v>
      </c>
      <c r="D716" s="97" t="e">
        <f>_xlfn.XLOOKUP(A716,[1]CPD_SOP_new!$A:$A,[1]CPD_SOP_new!#REF!,"not found",0 )</f>
        <v>#REF!</v>
      </c>
      <c r="E716" s="97" t="str">
        <f>_xlfn.XLOOKUP(A716,[1]CPD_SOP_new!$A:$A,[1]CPD_SOP_new!$K:$K,"not found",0 )</f>
        <v>3L</v>
      </c>
      <c r="F716" s="130" t="s">
        <v>27</v>
      </c>
      <c r="G716" s="130" t="s">
        <v>27</v>
      </c>
      <c r="H716" s="130" t="s">
        <v>27</v>
      </c>
      <c r="I716" s="130" t="s">
        <v>27</v>
      </c>
      <c r="J716" s="130" t="s">
        <v>237</v>
      </c>
      <c r="K716" s="61" t="s">
        <v>1120</v>
      </c>
      <c r="L716" s="61" t="s">
        <v>723</v>
      </c>
      <c r="M716" s="100" t="str">
        <f t="shared" si="22"/>
        <v>Wrong measurement</v>
      </c>
      <c r="N716" s="59" t="str">
        <f t="shared" si="23"/>
        <v>Wrong measurement</v>
      </c>
      <c r="O716" s="61" t="s">
        <v>1086</v>
      </c>
      <c r="Q716" s="130" t="s">
        <v>828</v>
      </c>
      <c r="R716" s="130" t="s">
        <v>828</v>
      </c>
      <c r="S716" s="130">
        <v>0</v>
      </c>
      <c r="T716" s="130">
        <v>0</v>
      </c>
      <c r="U716" s="130">
        <v>0</v>
      </c>
    </row>
    <row r="717" spans="1:21" s="130" customFormat="1">
      <c r="A717" s="83">
        <v>181</v>
      </c>
      <c r="B717" s="75" t="s">
        <v>1084</v>
      </c>
      <c r="C717" s="75"/>
      <c r="D717" s="97" t="e">
        <f>_xlfn.XLOOKUP(A717,[1]CPD_SOP_new!$A:$A,[1]CPD_SOP_new!#REF!,"not found",0 )</f>
        <v>#REF!</v>
      </c>
      <c r="E717" s="97" t="str">
        <f>_xlfn.XLOOKUP(A717,[1]CPD_SOP_new!$A:$A,[1]CPD_SOP_new!$K:$K,"not found",0 )</f>
        <v>3L</v>
      </c>
      <c r="F717" s="130" t="s">
        <v>27</v>
      </c>
      <c r="G717" s="130" t="s">
        <v>27</v>
      </c>
      <c r="H717" s="130" t="s">
        <v>27</v>
      </c>
      <c r="I717" s="130" t="s">
        <v>27</v>
      </c>
      <c r="J717" s="130" t="s">
        <v>237</v>
      </c>
      <c r="K717" s="75" t="s">
        <v>1121</v>
      </c>
      <c r="L717" s="130" t="s">
        <v>723</v>
      </c>
      <c r="M717" s="100" t="str">
        <f t="shared" si="22"/>
        <v>Wrong measurement</v>
      </c>
      <c r="N717" s="59" t="str">
        <f t="shared" si="23"/>
        <v>Wrong measurement</v>
      </c>
      <c r="O717" s="61" t="s">
        <v>1086</v>
      </c>
      <c r="Q717" s="130" t="s">
        <v>828</v>
      </c>
      <c r="R717" s="130" t="s">
        <v>828</v>
      </c>
      <c r="S717" s="130">
        <v>0</v>
      </c>
      <c r="T717" s="130">
        <v>0</v>
      </c>
      <c r="U717" s="130">
        <v>0</v>
      </c>
    </row>
    <row r="718" spans="1:21" s="130" customFormat="1">
      <c r="A718" s="83">
        <v>181</v>
      </c>
      <c r="B718" s="75" t="s">
        <v>1084</v>
      </c>
      <c r="C718" s="75"/>
      <c r="D718" s="97" t="e">
        <f>_xlfn.XLOOKUP(A718,[1]CPD_SOP_new!$A:$A,[1]CPD_SOP_new!#REF!,"not found",0 )</f>
        <v>#REF!</v>
      </c>
      <c r="E718" s="97" t="str">
        <f>_xlfn.XLOOKUP(A718,[1]CPD_SOP_new!$A:$A,[1]CPD_SOP_new!$K:$K,"not found",0 )</f>
        <v>3L</v>
      </c>
      <c r="F718" s="130" t="s">
        <v>27</v>
      </c>
      <c r="G718" s="130" t="s">
        <v>27</v>
      </c>
      <c r="H718" s="130" t="s">
        <v>27</v>
      </c>
      <c r="I718" s="130" t="s">
        <v>27</v>
      </c>
      <c r="J718" s="130" t="s">
        <v>237</v>
      </c>
      <c r="K718" s="75" t="s">
        <v>1122</v>
      </c>
      <c r="L718" s="130" t="s">
        <v>723</v>
      </c>
      <c r="M718" s="100" t="str">
        <f t="shared" si="22"/>
        <v>Wrong measurement</v>
      </c>
      <c r="N718" s="59" t="str">
        <f t="shared" si="23"/>
        <v>Wrong measurement</v>
      </c>
      <c r="O718" s="61" t="s">
        <v>1086</v>
      </c>
      <c r="Q718" s="130" t="s">
        <v>828</v>
      </c>
      <c r="R718" s="130" t="s">
        <v>828</v>
      </c>
      <c r="S718" s="130">
        <v>0</v>
      </c>
      <c r="T718" s="130">
        <v>0</v>
      </c>
      <c r="U718" s="130">
        <v>0</v>
      </c>
    </row>
    <row r="719" spans="1:21" s="130" customFormat="1">
      <c r="A719" s="83">
        <v>182</v>
      </c>
      <c r="B719" s="75" t="s">
        <v>2133</v>
      </c>
      <c r="C719" s="75" t="s">
        <v>43</v>
      </c>
      <c r="D719" s="97" t="e">
        <f>_xlfn.XLOOKUP(A719,[1]CPD_SOP_new!$A:$A,[1]CPD_SOP_new!#REF!,"not found",0 )</f>
        <v>#REF!</v>
      </c>
      <c r="E719" s="97" t="s">
        <v>26</v>
      </c>
      <c r="F719" s="130" t="s">
        <v>27</v>
      </c>
      <c r="G719" s="130" t="s">
        <v>28</v>
      </c>
      <c r="H719" s="130" t="s">
        <v>28</v>
      </c>
      <c r="I719" s="130" t="s">
        <v>27</v>
      </c>
      <c r="J719" t="s">
        <v>29</v>
      </c>
      <c r="K719" s="75" t="s">
        <v>1128</v>
      </c>
      <c r="L719" s="130" t="s">
        <v>723</v>
      </c>
      <c r="M719" s="100" t="str">
        <f t="shared" si="22"/>
        <v>Wrong measurement</v>
      </c>
      <c r="N719" s="59" t="str">
        <f t="shared" si="23"/>
        <v>Wrong measurement</v>
      </c>
      <c r="O719" s="61" t="s">
        <v>33</v>
      </c>
    </row>
    <row r="720" spans="1:21" s="130" customFormat="1">
      <c r="A720" s="83">
        <v>182</v>
      </c>
      <c r="B720" s="75" t="s">
        <v>2133</v>
      </c>
      <c r="C720" s="75" t="s">
        <v>43</v>
      </c>
      <c r="D720" s="97" t="e">
        <f>_xlfn.XLOOKUP(A720,[1]CPD_SOP_new!$A:$A,[1]CPD_SOP_new!#REF!,"not found",0 )</f>
        <v>#REF!</v>
      </c>
      <c r="E720" s="97" t="s">
        <v>26</v>
      </c>
      <c r="F720" s="130" t="s">
        <v>27</v>
      </c>
      <c r="G720" s="130" t="s">
        <v>28</v>
      </c>
      <c r="H720" s="130" t="s">
        <v>28</v>
      </c>
      <c r="I720" s="130" t="s">
        <v>27</v>
      </c>
      <c r="J720" t="s">
        <v>29</v>
      </c>
      <c r="K720" s="75" t="s">
        <v>753</v>
      </c>
      <c r="L720" s="130" t="s">
        <v>723</v>
      </c>
      <c r="M720" s="100" t="str">
        <f t="shared" si="22"/>
        <v>Wrong measurement</v>
      </c>
      <c r="N720" s="59" t="str">
        <f t="shared" si="23"/>
        <v>Wrong measurement</v>
      </c>
      <c r="O720" s="61" t="s">
        <v>754</v>
      </c>
    </row>
    <row r="721" spans="1:21" s="130" customFormat="1">
      <c r="A721" s="83">
        <v>182</v>
      </c>
      <c r="B721" s="75" t="s">
        <v>2133</v>
      </c>
      <c r="C721" s="75" t="s">
        <v>43</v>
      </c>
      <c r="D721" s="97" t="e">
        <f>_xlfn.XLOOKUP(A721,[1]CPD_SOP_new!$A:$A,[1]CPD_SOP_new!#REF!,"not found",0 )</f>
        <v>#REF!</v>
      </c>
      <c r="E721" s="97" t="s">
        <v>26</v>
      </c>
      <c r="F721" s="130" t="s">
        <v>27</v>
      </c>
      <c r="G721" s="130" t="s">
        <v>28</v>
      </c>
      <c r="H721" s="130" t="s">
        <v>28</v>
      </c>
      <c r="I721" s="130" t="s">
        <v>27</v>
      </c>
      <c r="J721" t="s">
        <v>29</v>
      </c>
      <c r="K721" s="75" t="s">
        <v>758</v>
      </c>
      <c r="L721" s="130" t="s">
        <v>723</v>
      </c>
      <c r="M721" s="100" t="str">
        <f t="shared" si="22"/>
        <v>Wrong measurement</v>
      </c>
      <c r="N721" s="59" t="str">
        <f t="shared" si="23"/>
        <v>Wrong measurement</v>
      </c>
      <c r="O721" s="61" t="s">
        <v>754</v>
      </c>
    </row>
    <row r="722" spans="1:21" s="130" customFormat="1">
      <c r="A722" s="83">
        <v>182</v>
      </c>
      <c r="B722" s="75" t="s">
        <v>2133</v>
      </c>
      <c r="C722" s="75" t="s">
        <v>43</v>
      </c>
      <c r="D722" s="97" t="e">
        <f>_xlfn.XLOOKUP(A722,[1]CPD_SOP_new!$A:$A,[1]CPD_SOP_new!#REF!,"not found",0 )</f>
        <v>#REF!</v>
      </c>
      <c r="E722" s="97" t="s">
        <v>26</v>
      </c>
      <c r="F722" s="130" t="s">
        <v>27</v>
      </c>
      <c r="G722" s="130" t="s">
        <v>28</v>
      </c>
      <c r="H722" s="130" t="s">
        <v>28</v>
      </c>
      <c r="I722" s="130" t="s">
        <v>27</v>
      </c>
      <c r="J722" t="s">
        <v>29</v>
      </c>
      <c r="K722" s="75" t="s">
        <v>763</v>
      </c>
      <c r="L722" s="130" t="s">
        <v>723</v>
      </c>
      <c r="M722" s="100" t="str">
        <f t="shared" si="22"/>
        <v>Wrong measurement</v>
      </c>
      <c r="N722" s="59" t="str">
        <f t="shared" si="23"/>
        <v>Wrong measurement</v>
      </c>
      <c r="O722" s="61" t="s">
        <v>754</v>
      </c>
    </row>
    <row r="723" spans="1:21" s="130" customFormat="1">
      <c r="A723" s="83">
        <v>182</v>
      </c>
      <c r="B723" s="75" t="s">
        <v>2133</v>
      </c>
      <c r="C723" s="75" t="s">
        <v>43</v>
      </c>
      <c r="D723" s="97" t="e">
        <f>_xlfn.XLOOKUP(A723,[1]CPD_SOP_new!$A:$A,[1]CPD_SOP_new!#REF!,"not found",0 )</f>
        <v>#REF!</v>
      </c>
      <c r="E723" s="97" t="s">
        <v>26</v>
      </c>
      <c r="F723" s="130" t="s">
        <v>27</v>
      </c>
      <c r="G723" s="130" t="s">
        <v>28</v>
      </c>
      <c r="H723" s="130" t="s">
        <v>28</v>
      </c>
      <c r="I723" s="130" t="s">
        <v>27</v>
      </c>
      <c r="J723" t="s">
        <v>29</v>
      </c>
      <c r="K723" s="80" t="s">
        <v>1460</v>
      </c>
      <c r="L723" s="136" t="s">
        <v>723</v>
      </c>
      <c r="M723" s="100" t="str">
        <f t="shared" si="22"/>
        <v>Wrong measurement</v>
      </c>
      <c r="N723" s="59" t="str">
        <f t="shared" si="23"/>
        <v>Wrong measurement</v>
      </c>
      <c r="O723" s="61" t="s">
        <v>41</v>
      </c>
    </row>
    <row r="724" spans="1:21" s="130" customFormat="1">
      <c r="A724" s="83">
        <v>182</v>
      </c>
      <c r="B724" s="75" t="s">
        <v>1133</v>
      </c>
      <c r="C724" s="75"/>
      <c r="D724" s="97" t="e">
        <f>_xlfn.XLOOKUP(A724,[1]CPD_SOP_new!$A:$A,[1]CPD_SOP_new!#REF!,"not found",0 )</f>
        <v>#REF!</v>
      </c>
      <c r="E724" s="97" t="s">
        <v>26</v>
      </c>
      <c r="G724" s="130" t="s">
        <v>28</v>
      </c>
      <c r="H724" s="130" t="s">
        <v>28</v>
      </c>
      <c r="I724" s="130" t="s">
        <v>27</v>
      </c>
      <c r="J724" t="s">
        <v>29</v>
      </c>
      <c r="K724" s="76" t="s">
        <v>1134</v>
      </c>
      <c r="L724" s="131" t="s">
        <v>723</v>
      </c>
      <c r="M724" s="100" t="str">
        <f t="shared" si="22"/>
        <v>Wrong measurement</v>
      </c>
      <c r="N724" s="59" t="str">
        <f t="shared" si="23"/>
        <v>Wrong measurement</v>
      </c>
      <c r="O724" s="61" t="s">
        <v>173</v>
      </c>
    </row>
    <row r="725" spans="1:21" s="130" customFormat="1">
      <c r="A725" s="83">
        <v>182</v>
      </c>
      <c r="B725" s="75" t="s">
        <v>2133</v>
      </c>
      <c r="C725" s="75" t="s">
        <v>43</v>
      </c>
      <c r="D725" s="97" t="e">
        <f>_xlfn.XLOOKUP(A725,[1]CPD_SOP_new!$A:$A,[1]CPD_SOP_new!#REF!,"not found",0 )</f>
        <v>#REF!</v>
      </c>
      <c r="E725" s="97" t="s">
        <v>26</v>
      </c>
      <c r="F725" s="130" t="s">
        <v>27</v>
      </c>
      <c r="G725" s="130" t="s">
        <v>28</v>
      </c>
      <c r="H725" s="130" t="s">
        <v>28</v>
      </c>
      <c r="I725" s="130" t="s">
        <v>27</v>
      </c>
      <c r="J725" t="s">
        <v>29</v>
      </c>
      <c r="K725" s="75" t="s">
        <v>172</v>
      </c>
      <c r="L725" s="130" t="s">
        <v>723</v>
      </c>
      <c r="M725" s="100" t="str">
        <f t="shared" si="22"/>
        <v>Wrong measurement</v>
      </c>
      <c r="N725" s="59" t="str">
        <f t="shared" si="23"/>
        <v>Wrong measurement</v>
      </c>
      <c r="O725" s="61" t="s">
        <v>173</v>
      </c>
    </row>
    <row r="726" spans="1:21" s="130" customFormat="1">
      <c r="A726" s="83">
        <v>182</v>
      </c>
      <c r="B726" s="75" t="s">
        <v>2133</v>
      </c>
      <c r="C726" s="75" t="s">
        <v>43</v>
      </c>
      <c r="D726" s="97" t="e">
        <f>_xlfn.XLOOKUP(A726,[1]CPD_SOP_new!$A:$A,[1]CPD_SOP_new!#REF!,"not found",0 )</f>
        <v>#REF!</v>
      </c>
      <c r="E726" s="97" t="s">
        <v>26</v>
      </c>
      <c r="F726" s="130" t="s">
        <v>27</v>
      </c>
      <c r="G726" s="130" t="s">
        <v>28</v>
      </c>
      <c r="H726" s="130" t="s">
        <v>28</v>
      </c>
      <c r="I726" s="130" t="s">
        <v>27</v>
      </c>
      <c r="J726" t="s">
        <v>29</v>
      </c>
      <c r="K726" s="75" t="s">
        <v>189</v>
      </c>
      <c r="L726" s="130" t="s">
        <v>723</v>
      </c>
      <c r="M726" s="100" t="str">
        <f t="shared" si="22"/>
        <v>Wrong measurement</v>
      </c>
      <c r="N726" s="59" t="str">
        <f t="shared" si="23"/>
        <v>Wrong measurement</v>
      </c>
      <c r="O726" s="61" t="s">
        <v>173</v>
      </c>
    </row>
    <row r="727" spans="1:21" s="130" customFormat="1">
      <c r="A727" s="83">
        <v>182</v>
      </c>
      <c r="B727" s="75" t="s">
        <v>2133</v>
      </c>
      <c r="C727" s="75" t="s">
        <v>43</v>
      </c>
      <c r="D727" s="97" t="e">
        <f>_xlfn.XLOOKUP(A727,[1]CPD_SOP_new!$A:$A,[1]CPD_SOP_new!#REF!,"not found",0 )</f>
        <v>#REF!</v>
      </c>
      <c r="E727" s="97" t="s">
        <v>26</v>
      </c>
      <c r="F727" s="130" t="s">
        <v>27</v>
      </c>
      <c r="G727" s="130" t="s">
        <v>28</v>
      </c>
      <c r="H727" s="130" t="s">
        <v>28</v>
      </c>
      <c r="I727" s="130" t="s">
        <v>27</v>
      </c>
      <c r="J727" t="s">
        <v>29</v>
      </c>
      <c r="K727" s="75" t="s">
        <v>193</v>
      </c>
      <c r="L727" s="130" t="s">
        <v>723</v>
      </c>
      <c r="M727" s="100" t="str">
        <f t="shared" si="22"/>
        <v>Wrong measurement</v>
      </c>
      <c r="N727" s="59" t="str">
        <f t="shared" si="23"/>
        <v>Wrong measurement</v>
      </c>
      <c r="O727" s="61" t="s">
        <v>173</v>
      </c>
    </row>
    <row r="728" spans="1:21" s="130" customFormat="1">
      <c r="A728" s="83">
        <v>182</v>
      </c>
      <c r="B728" s="75" t="s">
        <v>2133</v>
      </c>
      <c r="C728" s="75" t="s">
        <v>43</v>
      </c>
      <c r="D728" s="97" t="e">
        <f>_xlfn.XLOOKUP(A728,[1]CPD_SOP_new!$A:$A,[1]CPD_SOP_new!#REF!,"not found",0 )</f>
        <v>#REF!</v>
      </c>
      <c r="E728" s="97" t="s">
        <v>26</v>
      </c>
      <c r="F728" s="130" t="s">
        <v>27</v>
      </c>
      <c r="G728" s="130" t="s">
        <v>28</v>
      </c>
      <c r="H728" s="130" t="s">
        <v>28</v>
      </c>
      <c r="I728" s="130" t="s">
        <v>27</v>
      </c>
      <c r="J728" t="s">
        <v>29</v>
      </c>
      <c r="K728" s="75" t="s">
        <v>214</v>
      </c>
      <c r="L728" s="130" t="s">
        <v>723</v>
      </c>
      <c r="M728" s="100" t="str">
        <f t="shared" si="22"/>
        <v>Wrong measurement</v>
      </c>
      <c r="N728" s="59" t="str">
        <f t="shared" si="23"/>
        <v>Wrong measurement</v>
      </c>
      <c r="O728" s="61" t="s">
        <v>173</v>
      </c>
    </row>
    <row r="729" spans="1:21">
      <c r="A729" s="82">
        <v>182</v>
      </c>
      <c r="B729" s="70" t="s">
        <v>2133</v>
      </c>
      <c r="C729" s="70" t="s">
        <v>43</v>
      </c>
      <c r="D729" s="97" t="e">
        <f>_xlfn.XLOOKUP(A729,[1]CPD_SOP_new!$A:$A,[1]CPD_SOP_new!#REF!,"not found",0 )</f>
        <v>#REF!</v>
      </c>
      <c r="E729" s="97" t="s">
        <v>26</v>
      </c>
      <c r="F729" t="s">
        <v>27</v>
      </c>
      <c r="G729" s="81" t="s">
        <v>28</v>
      </c>
      <c r="H729" s="81" t="s">
        <v>28</v>
      </c>
      <c r="I729" t="s">
        <v>28</v>
      </c>
      <c r="J729" t="s">
        <v>29</v>
      </c>
      <c r="K729" s="70" t="s">
        <v>1140</v>
      </c>
      <c r="L729" t="s">
        <v>2656</v>
      </c>
      <c r="M729" s="100" t="str">
        <f t="shared" si="22"/>
        <v>CSR_XCP_Signals_Recorder_2026-01-29_16-59-51_TC182_NCAP12_NB_1R_CPD.MF4.xz</v>
      </c>
      <c r="N729" s="59" t="str">
        <f t="shared" si="23"/>
        <v>_NCAP12_NB_1R_CPD.MF4.xz</v>
      </c>
      <c r="O729" s="60" t="s">
        <v>213</v>
      </c>
      <c r="Q729" t="s">
        <v>29</v>
      </c>
      <c r="R729" t="s">
        <v>29</v>
      </c>
      <c r="S729">
        <v>1</v>
      </c>
      <c r="T729">
        <v>0</v>
      </c>
      <c r="U729">
        <v>0</v>
      </c>
    </row>
    <row r="730" spans="1:21">
      <c r="A730" s="82">
        <v>182</v>
      </c>
      <c r="B730" s="70" t="s">
        <v>2133</v>
      </c>
      <c r="C730" s="70" t="s">
        <v>43</v>
      </c>
      <c r="D730" s="97" t="e">
        <f>_xlfn.XLOOKUP(A730,[1]CPD_SOP_new!$A:$A,[1]CPD_SOP_new!#REF!,"not found",0 )</f>
        <v>#REF!</v>
      </c>
      <c r="E730" s="97" t="s">
        <v>26</v>
      </c>
      <c r="F730" t="s">
        <v>27</v>
      </c>
      <c r="G730" s="81" t="s">
        <v>28</v>
      </c>
      <c r="H730" s="81" t="s">
        <v>28</v>
      </c>
      <c r="I730" t="s">
        <v>28</v>
      </c>
      <c r="J730" t="s">
        <v>29</v>
      </c>
      <c r="K730" s="70" t="s">
        <v>1142</v>
      </c>
      <c r="L730" t="s">
        <v>2657</v>
      </c>
      <c r="M730" s="100" t="str">
        <f t="shared" si="22"/>
        <v>CSR_XCP_Signals_Recorder_2026-01-29_17-00-54_TC182_NCAP12_NB_1R_CPD.MF4.xz</v>
      </c>
      <c r="N730" s="59" t="str">
        <f t="shared" si="23"/>
        <v>_NCAP12_NB_1R_CPD.MF4.xz</v>
      </c>
      <c r="O730" s="60" t="s">
        <v>213</v>
      </c>
      <c r="Q730" t="s">
        <v>29</v>
      </c>
      <c r="R730" t="s">
        <v>29</v>
      </c>
      <c r="S730">
        <v>1</v>
      </c>
      <c r="T730">
        <v>0</v>
      </c>
      <c r="U730">
        <v>0</v>
      </c>
    </row>
    <row r="731" spans="1:21">
      <c r="A731" s="82">
        <v>182</v>
      </c>
      <c r="B731" s="70" t="s">
        <v>2133</v>
      </c>
      <c r="C731" s="70" t="s">
        <v>43</v>
      </c>
      <c r="D731" s="97" t="e">
        <f>_xlfn.XLOOKUP(A731,[1]CPD_SOP_new!$A:$A,[1]CPD_SOP_new!#REF!,"not found",0 )</f>
        <v>#REF!</v>
      </c>
      <c r="E731" s="97" t="s">
        <v>26</v>
      </c>
      <c r="F731" t="s">
        <v>27</v>
      </c>
      <c r="G731" s="81" t="s">
        <v>28</v>
      </c>
      <c r="H731" s="81" t="s">
        <v>28</v>
      </c>
      <c r="I731" t="s">
        <v>28</v>
      </c>
      <c r="J731" t="s">
        <v>29</v>
      </c>
      <c r="K731" s="70" t="s">
        <v>1143</v>
      </c>
      <c r="L731" t="s">
        <v>2658</v>
      </c>
      <c r="M731" s="100" t="str">
        <f t="shared" si="22"/>
        <v>CSR_XCP_Signals_Recorder_2026-01-29_17-01-46_TC182_NCAP12_NB_1R_CPD.MF4.xz</v>
      </c>
      <c r="N731" s="59" t="str">
        <f t="shared" si="23"/>
        <v>_NCAP12_NB_1R_CPD.MF4.xz</v>
      </c>
      <c r="O731" s="60" t="s">
        <v>213</v>
      </c>
      <c r="Q731" t="s">
        <v>29</v>
      </c>
      <c r="R731" t="s">
        <v>29</v>
      </c>
      <c r="S731">
        <v>1</v>
      </c>
      <c r="T731">
        <v>0</v>
      </c>
      <c r="U731">
        <v>0</v>
      </c>
    </row>
    <row r="732" spans="1:21">
      <c r="A732" s="82">
        <v>182</v>
      </c>
      <c r="B732" s="70" t="s">
        <v>2133</v>
      </c>
      <c r="C732" s="70" t="s">
        <v>43</v>
      </c>
      <c r="D732" s="97" t="e">
        <f>_xlfn.XLOOKUP(A732,[1]CPD_SOP_new!$A:$A,[1]CPD_SOP_new!#REF!,"not found",0 )</f>
        <v>#REF!</v>
      </c>
      <c r="E732" s="97" t="s">
        <v>26</v>
      </c>
      <c r="F732" t="s">
        <v>27</v>
      </c>
      <c r="G732" s="81" t="s">
        <v>28</v>
      </c>
      <c r="H732" s="81" t="s">
        <v>28</v>
      </c>
      <c r="I732" t="s">
        <v>28</v>
      </c>
      <c r="J732" t="s">
        <v>29</v>
      </c>
      <c r="K732" s="70" t="s">
        <v>1144</v>
      </c>
      <c r="L732" t="s">
        <v>2659</v>
      </c>
      <c r="M732" s="100" t="str">
        <f t="shared" si="22"/>
        <v>CSR_XCP_Signals_Recorder_2026-01-29_17-03-34_TC182_NCAP12_NB_1R_CPD.MF4.xz</v>
      </c>
      <c r="N732" s="59" t="str">
        <f t="shared" si="23"/>
        <v>_NCAP12_NB_1R_CPD.MF4.xz</v>
      </c>
      <c r="O732" s="60" t="s">
        <v>213</v>
      </c>
      <c r="Q732" t="s">
        <v>29</v>
      </c>
      <c r="R732" t="s">
        <v>29</v>
      </c>
      <c r="S732">
        <v>1</v>
      </c>
      <c r="T732">
        <v>0</v>
      </c>
      <c r="U732">
        <v>0</v>
      </c>
    </row>
    <row r="733" spans="1:21" s="130" customFormat="1">
      <c r="A733" s="83">
        <v>182</v>
      </c>
      <c r="B733" s="75" t="s">
        <v>2133</v>
      </c>
      <c r="C733" s="75" t="s">
        <v>43</v>
      </c>
      <c r="D733" s="97" t="e">
        <f>_xlfn.XLOOKUP(A733,[1]CPD_SOP_new!$A:$A,[1]CPD_SOP_new!#REF!,"not found",0 )</f>
        <v>#REF!</v>
      </c>
      <c r="E733" s="97" t="s">
        <v>26</v>
      </c>
      <c r="F733" s="130" t="s">
        <v>27</v>
      </c>
      <c r="G733" s="130" t="s">
        <v>28</v>
      </c>
      <c r="H733" s="130" t="s">
        <v>28</v>
      </c>
      <c r="I733" s="130" t="s">
        <v>27</v>
      </c>
      <c r="J733" t="s">
        <v>29</v>
      </c>
      <c r="K733" s="130" t="s">
        <v>1145</v>
      </c>
      <c r="L733" s="130" t="s">
        <v>723</v>
      </c>
      <c r="M733" s="100" t="str">
        <f t="shared" si="22"/>
        <v>Wrong measurement</v>
      </c>
      <c r="N733" s="59" t="str">
        <f t="shared" si="23"/>
        <v>Wrong measurement</v>
      </c>
      <c r="O733" s="61" t="s">
        <v>1146</v>
      </c>
    </row>
    <row r="734" spans="1:21" s="130" customFormat="1">
      <c r="A734" s="83">
        <v>182</v>
      </c>
      <c r="B734" s="75" t="s">
        <v>2133</v>
      </c>
      <c r="C734" s="75" t="s">
        <v>43</v>
      </c>
      <c r="D734" s="97" t="e">
        <f>_xlfn.XLOOKUP(A734,[1]CPD_SOP_new!$A:$A,[1]CPD_SOP_new!#REF!,"not found",0 )</f>
        <v>#REF!</v>
      </c>
      <c r="E734" s="97" t="s">
        <v>26</v>
      </c>
      <c r="F734" s="130" t="s">
        <v>27</v>
      </c>
      <c r="G734" s="130" t="s">
        <v>28</v>
      </c>
      <c r="H734" s="130" t="s">
        <v>28</v>
      </c>
      <c r="I734" s="130" t="s">
        <v>27</v>
      </c>
      <c r="J734" t="s">
        <v>29</v>
      </c>
      <c r="K734" s="130" t="s">
        <v>1147</v>
      </c>
      <c r="L734" s="130" t="s">
        <v>723</v>
      </c>
      <c r="M734" s="100" t="str">
        <f t="shared" si="22"/>
        <v>Wrong measurement</v>
      </c>
      <c r="N734" s="59" t="str">
        <f t="shared" si="23"/>
        <v>Wrong measurement</v>
      </c>
      <c r="O734" s="61" t="s">
        <v>1146</v>
      </c>
    </row>
    <row r="735" spans="1:21" s="130" customFormat="1">
      <c r="A735" s="83">
        <v>182</v>
      </c>
      <c r="B735" s="75" t="s">
        <v>2133</v>
      </c>
      <c r="C735" s="75" t="s">
        <v>43</v>
      </c>
      <c r="D735" s="97" t="e">
        <f>_xlfn.XLOOKUP(A735,[1]CPD_SOP_new!$A:$A,[1]CPD_SOP_new!#REF!,"not found",0 )</f>
        <v>#REF!</v>
      </c>
      <c r="E735" s="97" t="s">
        <v>26</v>
      </c>
      <c r="F735" s="130" t="s">
        <v>27</v>
      </c>
      <c r="G735" s="130" t="s">
        <v>28</v>
      </c>
      <c r="H735" s="130" t="s">
        <v>28</v>
      </c>
      <c r="I735" s="130" t="s">
        <v>27</v>
      </c>
      <c r="J735" t="s">
        <v>29</v>
      </c>
      <c r="K735" s="130" t="s">
        <v>1148</v>
      </c>
      <c r="L735" s="130" t="s">
        <v>723</v>
      </c>
      <c r="M735" s="100" t="str">
        <f t="shared" si="22"/>
        <v>Wrong measurement</v>
      </c>
      <c r="N735" s="59" t="str">
        <f t="shared" si="23"/>
        <v>Wrong measurement</v>
      </c>
      <c r="O735" s="61" t="s">
        <v>1146</v>
      </c>
    </row>
    <row r="736" spans="1:21" s="130" customFormat="1">
      <c r="A736" s="83">
        <v>182</v>
      </c>
      <c r="B736" s="75" t="s">
        <v>2133</v>
      </c>
      <c r="C736" s="75" t="s">
        <v>43</v>
      </c>
      <c r="D736" s="97" t="e">
        <f>_xlfn.XLOOKUP(A736,[1]CPD_SOP_new!$A:$A,[1]CPD_SOP_new!#REF!,"not found",0 )</f>
        <v>#REF!</v>
      </c>
      <c r="E736" s="97" t="s">
        <v>26</v>
      </c>
      <c r="F736" s="130" t="s">
        <v>27</v>
      </c>
      <c r="G736" s="130" t="s">
        <v>28</v>
      </c>
      <c r="H736" s="130" t="s">
        <v>28</v>
      </c>
      <c r="I736" s="130" t="s">
        <v>27</v>
      </c>
      <c r="J736" t="s">
        <v>29</v>
      </c>
      <c r="K736" s="130" t="s">
        <v>1149</v>
      </c>
      <c r="L736" s="130" t="s">
        <v>723</v>
      </c>
      <c r="M736" s="100" t="str">
        <f t="shared" si="22"/>
        <v>Wrong measurement</v>
      </c>
      <c r="N736" s="59" t="str">
        <f t="shared" si="23"/>
        <v>Wrong measurement</v>
      </c>
      <c r="O736" s="61" t="s">
        <v>1146</v>
      </c>
    </row>
    <row r="737" spans="1:15" s="130" customFormat="1">
      <c r="A737" s="79">
        <v>182</v>
      </c>
      <c r="B737" s="75" t="s">
        <v>2133</v>
      </c>
      <c r="C737" s="75" t="s">
        <v>43</v>
      </c>
      <c r="D737" s="97" t="e">
        <f>_xlfn.XLOOKUP(A737,[1]CPD_SOP_new!$A:$A,[1]CPD_SOP_new!#REF!,"not found",0 )</f>
        <v>#REF!</v>
      </c>
      <c r="E737" s="97" t="s">
        <v>26</v>
      </c>
      <c r="F737" s="130" t="s">
        <v>27</v>
      </c>
      <c r="G737" s="130" t="s">
        <v>28</v>
      </c>
      <c r="H737" s="130" t="s">
        <v>28</v>
      </c>
      <c r="I737" s="130" t="s">
        <v>27</v>
      </c>
      <c r="J737" s="137" t="s">
        <v>1133</v>
      </c>
      <c r="K737" s="130" t="s">
        <v>1149</v>
      </c>
      <c r="L737" s="130" t="s">
        <v>723</v>
      </c>
      <c r="M737" s="100" t="str">
        <f t="shared" si="22"/>
        <v>Wrong measurement</v>
      </c>
      <c r="N737" s="59" t="str">
        <f t="shared" si="23"/>
        <v>Wrong measurement</v>
      </c>
      <c r="O737" s="61" t="s">
        <v>1146</v>
      </c>
    </row>
    <row r="738" spans="1:15">
      <c r="A738" s="82">
        <v>183</v>
      </c>
      <c r="B738" s="70" t="s">
        <v>2133</v>
      </c>
      <c r="C738" s="70" t="s">
        <v>43</v>
      </c>
      <c r="D738" s="97" t="e">
        <f>_xlfn.XLOOKUP(A738,[1]CPD_SOP_new!$A:$A,[1]CPD_SOP_new!#REF!,"not found",0 )</f>
        <v>#REF!</v>
      </c>
      <c r="E738" s="97" t="str">
        <f>_xlfn.XLOOKUP(A738,[1]CPD_SOP_new!$A:$A,[1]CPD_SOP_new!$K:$K,"not found",0 )</f>
        <v>2R</v>
      </c>
      <c r="F738" t="s">
        <v>27</v>
      </c>
      <c r="G738" t="s">
        <v>28</v>
      </c>
      <c r="H738" t="s">
        <v>28</v>
      </c>
      <c r="I738" t="s">
        <v>28</v>
      </c>
      <c r="J738" t="s">
        <v>29</v>
      </c>
      <c r="K738" s="70" t="s">
        <v>1150</v>
      </c>
      <c r="L738" t="s">
        <v>2660</v>
      </c>
      <c r="M738" s="100" t="str">
        <f t="shared" si="22"/>
        <v>TC_183_NCAP12_NB_2R_CPD.MF4.xz</v>
      </c>
      <c r="N738" s="59" t="str">
        <f t="shared" si="23"/>
        <v>_NCAP12_NB_2R_CPD.MF4.xz</v>
      </c>
      <c r="O738" s="60" t="s">
        <v>33</v>
      </c>
    </row>
    <row r="739" spans="1:15">
      <c r="A739" s="82">
        <v>183</v>
      </c>
      <c r="B739" s="70" t="s">
        <v>2133</v>
      </c>
      <c r="C739" s="70" t="s">
        <v>43</v>
      </c>
      <c r="D739" s="97" t="e">
        <f>_xlfn.XLOOKUP(A739,[1]CPD_SOP_new!$A:$A,[1]CPD_SOP_new!#REF!,"not found",0 )</f>
        <v>#REF!</v>
      </c>
      <c r="E739" s="97" t="str">
        <f>_xlfn.XLOOKUP(A739,[1]CPD_SOP_new!$A:$A,[1]CPD_SOP_new!$K:$K,"not found",0 )</f>
        <v>2R</v>
      </c>
      <c r="F739" t="s">
        <v>27</v>
      </c>
      <c r="G739" t="s">
        <v>28</v>
      </c>
      <c r="H739" t="s">
        <v>28</v>
      </c>
      <c r="I739" t="s">
        <v>28</v>
      </c>
      <c r="J739" t="s">
        <v>29</v>
      </c>
      <c r="K739" s="70" t="s">
        <v>1152</v>
      </c>
      <c r="L739" t="s">
        <v>2661</v>
      </c>
      <c r="M739" s="100" t="str">
        <f t="shared" si="22"/>
        <v>TC_183_Try1_NCAP12_NB_2R_CPD.MF4.xz</v>
      </c>
      <c r="N739" s="59" t="str">
        <f t="shared" si="23"/>
        <v>_NCAP12_NB_2R_CPD.MF4.xz</v>
      </c>
      <c r="O739" s="60" t="s">
        <v>754</v>
      </c>
    </row>
    <row r="740" spans="1:15">
      <c r="A740" s="82">
        <v>183</v>
      </c>
      <c r="B740" s="70" t="s">
        <v>2133</v>
      </c>
      <c r="C740" s="70" t="s">
        <v>43</v>
      </c>
      <c r="D740" s="97" t="e">
        <f>_xlfn.XLOOKUP(A740,[1]CPD_SOP_new!$A:$A,[1]CPD_SOP_new!#REF!,"not found",0 )</f>
        <v>#REF!</v>
      </c>
      <c r="E740" s="97" t="str">
        <f>_xlfn.XLOOKUP(A740,[1]CPD_SOP_new!$A:$A,[1]CPD_SOP_new!$K:$K,"not found",0 )</f>
        <v>2R</v>
      </c>
      <c r="F740" t="s">
        <v>27</v>
      </c>
      <c r="G740" t="s">
        <v>28</v>
      </c>
      <c r="H740" t="s">
        <v>28</v>
      </c>
      <c r="I740" t="s">
        <v>28</v>
      </c>
      <c r="J740" t="s">
        <v>29</v>
      </c>
      <c r="K740" s="70" t="s">
        <v>1153</v>
      </c>
      <c r="L740" t="s">
        <v>2662</v>
      </c>
      <c r="M740" s="100" t="str">
        <f t="shared" si="22"/>
        <v>TC_183_Try2_NCAP12_NB_2R_CPD.MF4.xz</v>
      </c>
      <c r="N740" s="59" t="str">
        <f t="shared" si="23"/>
        <v>_NCAP12_NB_2R_CPD.MF4.xz</v>
      </c>
      <c r="O740" s="60" t="s">
        <v>754</v>
      </c>
    </row>
    <row r="741" spans="1:15">
      <c r="A741" s="82">
        <v>183</v>
      </c>
      <c r="B741" s="70" t="s">
        <v>2133</v>
      </c>
      <c r="C741" s="70" t="s">
        <v>43</v>
      </c>
      <c r="D741" s="97" t="e">
        <f>_xlfn.XLOOKUP(A741,[1]CPD_SOP_new!$A:$A,[1]CPD_SOP_new!#REF!,"not found",0 )</f>
        <v>#REF!</v>
      </c>
      <c r="E741" s="97" t="str">
        <f>_xlfn.XLOOKUP(A741,[1]CPD_SOP_new!$A:$A,[1]CPD_SOP_new!$K:$K,"not found",0 )</f>
        <v>2R</v>
      </c>
      <c r="F741" t="s">
        <v>27</v>
      </c>
      <c r="G741" t="s">
        <v>28</v>
      </c>
      <c r="H741" t="s">
        <v>28</v>
      </c>
      <c r="I741" t="s">
        <v>28</v>
      </c>
      <c r="J741" t="s">
        <v>29</v>
      </c>
      <c r="K741" s="70" t="s">
        <v>764</v>
      </c>
      <c r="L741" t="s">
        <v>2663</v>
      </c>
      <c r="M741" s="100" t="str">
        <f t="shared" si="22"/>
        <v>TC_183_Try3_NCAP12_NB_2R_CPD.MF4.xz</v>
      </c>
      <c r="N741" s="59" t="str">
        <f t="shared" si="23"/>
        <v>_NCAP12_NB_2R_CPD.MF4.xz</v>
      </c>
      <c r="O741" s="60" t="s">
        <v>754</v>
      </c>
    </row>
    <row r="742" spans="1:15">
      <c r="A742" s="82">
        <v>184</v>
      </c>
      <c r="B742" s="70" t="s">
        <v>2133</v>
      </c>
      <c r="C742" s="70" t="s">
        <v>43</v>
      </c>
      <c r="D742" s="97" t="e">
        <f>_xlfn.XLOOKUP(A742,[1]CPD_SOP_new!$A:$A,[1]CPD_SOP_new!#REF!,"not found",0 )</f>
        <v>#REF!</v>
      </c>
      <c r="E742" s="97" t="str">
        <f>_xlfn.XLOOKUP(A742,[1]CPD_SOP_new!$A:$A,[1]CPD_SOP_new!$K:$K,"not found",0 )</f>
        <v>2L</v>
      </c>
      <c r="F742" t="s">
        <v>27</v>
      </c>
      <c r="G742" t="s">
        <v>28</v>
      </c>
      <c r="H742" t="s">
        <v>28</v>
      </c>
      <c r="I742" t="s">
        <v>28</v>
      </c>
      <c r="J742" t="s">
        <v>29</v>
      </c>
      <c r="K742" s="70" t="s">
        <v>1155</v>
      </c>
      <c r="L742" t="s">
        <v>2664</v>
      </c>
      <c r="M742" s="100" t="str">
        <f t="shared" si="22"/>
        <v>TC_184_NCAP12_NB_2L_CPD.MF4.xz</v>
      </c>
      <c r="N742" s="59" t="str">
        <f t="shared" si="23"/>
        <v>_NCAP12_NB_2L_CPD.MF4.xz</v>
      </c>
      <c r="O742" s="60" t="s">
        <v>33</v>
      </c>
    </row>
    <row r="743" spans="1:15">
      <c r="A743" s="82">
        <v>184</v>
      </c>
      <c r="B743" s="70" t="s">
        <v>2133</v>
      </c>
      <c r="C743" s="70" t="s">
        <v>43</v>
      </c>
      <c r="D743" s="97" t="e">
        <f>_xlfn.XLOOKUP(A743,[1]CPD_SOP_new!$A:$A,[1]CPD_SOP_new!#REF!,"not found",0 )</f>
        <v>#REF!</v>
      </c>
      <c r="E743" s="97" t="str">
        <f>_xlfn.XLOOKUP(A743,[1]CPD_SOP_new!$A:$A,[1]CPD_SOP_new!$K:$K,"not found",0 )</f>
        <v>2L</v>
      </c>
      <c r="F743" t="s">
        <v>27</v>
      </c>
      <c r="G743" t="s">
        <v>28</v>
      </c>
      <c r="H743" t="s">
        <v>28</v>
      </c>
      <c r="I743" t="s">
        <v>28</v>
      </c>
      <c r="J743" t="s">
        <v>29</v>
      </c>
      <c r="K743" s="70" t="s">
        <v>1157</v>
      </c>
      <c r="L743" t="s">
        <v>2665</v>
      </c>
      <c r="M743" s="100" t="str">
        <f t="shared" si="22"/>
        <v>TC_184_Try1_NCAP12_NB_2L_CPD.MF4.xz</v>
      </c>
      <c r="N743" s="59" t="str">
        <f t="shared" si="23"/>
        <v>_NCAP12_NB_2L_CPD.MF4.xz</v>
      </c>
      <c r="O743" s="60" t="s">
        <v>754</v>
      </c>
    </row>
    <row r="744" spans="1:15">
      <c r="A744" s="82">
        <v>184</v>
      </c>
      <c r="B744" s="70" t="s">
        <v>2133</v>
      </c>
      <c r="C744" s="70" t="s">
        <v>43</v>
      </c>
      <c r="D744" s="97" t="e">
        <f>_xlfn.XLOOKUP(A744,[1]CPD_SOP_new!$A:$A,[1]CPD_SOP_new!#REF!,"not found",0 )</f>
        <v>#REF!</v>
      </c>
      <c r="E744" s="97" t="str">
        <f>_xlfn.XLOOKUP(A744,[1]CPD_SOP_new!$A:$A,[1]CPD_SOP_new!$K:$K,"not found",0 )</f>
        <v>2L</v>
      </c>
      <c r="F744" t="s">
        <v>27</v>
      </c>
      <c r="G744" t="s">
        <v>28</v>
      </c>
      <c r="H744" t="s">
        <v>28</v>
      </c>
      <c r="I744" t="s">
        <v>28</v>
      </c>
      <c r="J744" t="s">
        <v>29</v>
      </c>
      <c r="K744" s="70" t="s">
        <v>1158</v>
      </c>
      <c r="L744" t="s">
        <v>2666</v>
      </c>
      <c r="M744" s="100" t="str">
        <f t="shared" si="22"/>
        <v>TC_184_Try2_NCAP12_NB_2L_CPD.MF4.xz</v>
      </c>
      <c r="N744" s="59" t="str">
        <f t="shared" si="23"/>
        <v>_NCAP12_NB_2L_CPD.MF4.xz</v>
      </c>
      <c r="O744" s="60" t="s">
        <v>754</v>
      </c>
    </row>
    <row r="745" spans="1:15" s="137" customFormat="1">
      <c r="A745" s="82">
        <v>184</v>
      </c>
      <c r="B745" s="70" t="s">
        <v>2133</v>
      </c>
      <c r="C745" s="70" t="s">
        <v>43</v>
      </c>
      <c r="D745" s="97" t="e">
        <f>_xlfn.XLOOKUP(A745,[1]CPD_SOP_new!$A:$A,[1]CPD_SOP_new!#REF!,"not found",0 )</f>
        <v>#REF!</v>
      </c>
      <c r="E745" s="97" t="str">
        <f>_xlfn.XLOOKUP(A745,[1]CPD_SOP_new!$A:$A,[1]CPD_SOP_new!$K:$K,"not found",0 )</f>
        <v>2L</v>
      </c>
      <c r="F745" t="s">
        <v>27</v>
      </c>
      <c r="G745" t="s">
        <v>28</v>
      </c>
      <c r="H745" t="s">
        <v>28</v>
      </c>
      <c r="I745" t="s">
        <v>28</v>
      </c>
      <c r="J745" t="s">
        <v>29</v>
      </c>
      <c r="K745" s="70" t="s">
        <v>1159</v>
      </c>
      <c r="L745" t="s">
        <v>2667</v>
      </c>
      <c r="M745" s="100" t="str">
        <f t="shared" si="22"/>
        <v>TC_184_Try3_NCAP12_NB_2L_CPD.MF4.xz</v>
      </c>
      <c r="N745" s="59" t="str">
        <f t="shared" si="23"/>
        <v>_NCAP12_NB_2L_CPD.MF4.xz</v>
      </c>
      <c r="O745" s="60" t="s">
        <v>754</v>
      </c>
    </row>
    <row r="746" spans="1:15">
      <c r="A746" s="82">
        <v>184</v>
      </c>
      <c r="B746" s="70" t="s">
        <v>2133</v>
      </c>
      <c r="C746" s="70" t="s">
        <v>43</v>
      </c>
      <c r="D746" s="97" t="e">
        <f>_xlfn.XLOOKUP(A746,[1]CPD_SOP_new!$A:$A,[1]CPD_SOP_new!#REF!,"not found",0 )</f>
        <v>#REF!</v>
      </c>
      <c r="E746" s="97" t="str">
        <f>_xlfn.XLOOKUP(A746,[1]CPD_SOP_new!$A:$A,[1]CPD_SOP_new!$K:$K,"not found",0 )</f>
        <v>2L</v>
      </c>
      <c r="F746" t="s">
        <v>27</v>
      </c>
      <c r="G746" t="s">
        <v>28</v>
      </c>
      <c r="H746" t="s">
        <v>28</v>
      </c>
      <c r="I746" t="s">
        <v>28</v>
      </c>
      <c r="J746" t="s">
        <v>29</v>
      </c>
      <c r="K746" s="71" t="s">
        <v>1160</v>
      </c>
      <c r="L746" s="132" t="s">
        <v>2668</v>
      </c>
      <c r="M746" s="100" t="str">
        <f t="shared" si="22"/>
        <v>CSR_XCP_Signals_Recorder_2026-01-12_13-59-22_TC184_NCAP12_NB_2L_CPD.MF4.xz</v>
      </c>
      <c r="N746" s="59" t="str">
        <f t="shared" si="23"/>
        <v>_NCAP12_NB_2L_CPD.MF4.xz</v>
      </c>
      <c r="O746" s="60" t="s">
        <v>41</v>
      </c>
    </row>
    <row r="747" spans="1:15">
      <c r="A747" s="82">
        <v>185</v>
      </c>
      <c r="B747" s="70" t="s">
        <v>2133</v>
      </c>
      <c r="C747" s="70" t="s">
        <v>43</v>
      </c>
      <c r="D747" s="97" t="e">
        <f>_xlfn.XLOOKUP(A747,[1]CPD_SOP_new!$A:$A,[1]CPD_SOP_new!#REF!,"not found",0 )</f>
        <v>#REF!</v>
      </c>
      <c r="E747" s="97" t="str">
        <f>_xlfn.XLOOKUP(A747,[1]CPD_SOP_new!$A:$A,[1]CPD_SOP_new!$K:$K,"not found",0 )</f>
        <v>2C</v>
      </c>
      <c r="F747" t="s">
        <v>27</v>
      </c>
      <c r="G747" t="s">
        <v>28</v>
      </c>
      <c r="H747" t="s">
        <v>28</v>
      </c>
      <c r="I747" t="s">
        <v>28</v>
      </c>
      <c r="J747" t="s">
        <v>29</v>
      </c>
      <c r="K747" s="70" t="s">
        <v>1163</v>
      </c>
      <c r="L747" t="s">
        <v>2669</v>
      </c>
      <c r="M747" s="100" t="str">
        <f t="shared" si="22"/>
        <v>TC_185_NCAP12_NB_2C_CPD.MF4.xz</v>
      </c>
      <c r="N747" s="59" t="str">
        <f t="shared" si="23"/>
        <v>_NCAP12_NB_2C_CPD.MF4.xz</v>
      </c>
      <c r="O747" s="60" t="s">
        <v>33</v>
      </c>
    </row>
    <row r="748" spans="1:15">
      <c r="A748" s="82">
        <v>185</v>
      </c>
      <c r="B748" s="70" t="s">
        <v>2133</v>
      </c>
      <c r="C748" s="70" t="s">
        <v>43</v>
      </c>
      <c r="D748" s="97" t="e">
        <f>_xlfn.XLOOKUP(A748,[1]CPD_SOP_new!$A:$A,[1]CPD_SOP_new!#REF!,"not found",0 )</f>
        <v>#REF!</v>
      </c>
      <c r="E748" s="97" t="str">
        <f>_xlfn.XLOOKUP(A748,[1]CPD_SOP_new!$A:$A,[1]CPD_SOP_new!$K:$K,"not found",0 )</f>
        <v>2C</v>
      </c>
      <c r="F748" t="s">
        <v>27</v>
      </c>
      <c r="G748" t="s">
        <v>28</v>
      </c>
      <c r="H748" t="s">
        <v>28</v>
      </c>
      <c r="I748" t="s">
        <v>28</v>
      </c>
      <c r="J748" t="s">
        <v>29</v>
      </c>
      <c r="K748" s="70" t="s">
        <v>1164</v>
      </c>
      <c r="L748" t="s">
        <v>2670</v>
      </c>
      <c r="M748" s="100" t="str">
        <f t="shared" si="22"/>
        <v>TC_185_Try1_NCAP12_NB_2C_CPD.MF4.xz</v>
      </c>
      <c r="N748" s="59" t="str">
        <f t="shared" si="23"/>
        <v>_NCAP12_NB_2C_CPD.MF4.xz</v>
      </c>
      <c r="O748" s="60" t="s">
        <v>754</v>
      </c>
    </row>
    <row r="749" spans="1:15">
      <c r="A749" s="82">
        <v>185</v>
      </c>
      <c r="B749" s="70" t="s">
        <v>2133</v>
      </c>
      <c r="C749" s="70" t="s">
        <v>43</v>
      </c>
      <c r="D749" s="97" t="e">
        <f>_xlfn.XLOOKUP(A749,[1]CPD_SOP_new!$A:$A,[1]CPD_SOP_new!#REF!,"not found",0 )</f>
        <v>#REF!</v>
      </c>
      <c r="E749" s="97" t="str">
        <f>_xlfn.XLOOKUP(A749,[1]CPD_SOP_new!$A:$A,[1]CPD_SOP_new!$K:$K,"not found",0 )</f>
        <v>2C</v>
      </c>
      <c r="F749" t="s">
        <v>27</v>
      </c>
      <c r="G749" t="s">
        <v>28</v>
      </c>
      <c r="H749" t="s">
        <v>28</v>
      </c>
      <c r="I749" t="s">
        <v>28</v>
      </c>
      <c r="J749" t="s">
        <v>29</v>
      </c>
      <c r="K749" s="70" t="s">
        <v>1166</v>
      </c>
      <c r="L749" t="s">
        <v>2671</v>
      </c>
      <c r="M749" s="100" t="str">
        <f t="shared" si="22"/>
        <v>TC_185_Try2_NCAP12_NB_2C_CPD.MF4.xz</v>
      </c>
      <c r="N749" s="59" t="str">
        <f t="shared" si="23"/>
        <v>_NCAP12_NB_2C_CPD.MF4.xz</v>
      </c>
      <c r="O749" s="60" t="s">
        <v>754</v>
      </c>
    </row>
    <row r="750" spans="1:15">
      <c r="A750" s="82">
        <v>185</v>
      </c>
      <c r="B750" s="70" t="s">
        <v>2133</v>
      </c>
      <c r="C750" s="70" t="s">
        <v>43</v>
      </c>
      <c r="D750" s="97" t="e">
        <f>_xlfn.XLOOKUP(A750,[1]CPD_SOP_new!$A:$A,[1]CPD_SOP_new!#REF!,"not found",0 )</f>
        <v>#REF!</v>
      </c>
      <c r="E750" s="97" t="str">
        <f>_xlfn.XLOOKUP(A750,[1]CPD_SOP_new!$A:$A,[1]CPD_SOP_new!$K:$K,"not found",0 )</f>
        <v>2C</v>
      </c>
      <c r="F750" t="s">
        <v>27</v>
      </c>
      <c r="G750" t="s">
        <v>28</v>
      </c>
      <c r="H750" t="s">
        <v>28</v>
      </c>
      <c r="I750" t="s">
        <v>28</v>
      </c>
      <c r="J750" t="s">
        <v>29</v>
      </c>
      <c r="K750" s="70" t="s">
        <v>1167</v>
      </c>
      <c r="L750" t="s">
        <v>2672</v>
      </c>
      <c r="M750" s="100" t="str">
        <f t="shared" si="22"/>
        <v>TC_185_Try3_NCAP12_NB_2C_CPD.MF4.xz</v>
      </c>
      <c r="N750" s="59" t="str">
        <f t="shared" si="23"/>
        <v>_NCAP12_NB_2C_CPD.MF4.xz</v>
      </c>
      <c r="O750" s="60" t="s">
        <v>754</v>
      </c>
    </row>
    <row r="751" spans="1:15">
      <c r="A751" s="82">
        <v>186</v>
      </c>
      <c r="B751" s="70" t="s">
        <v>2133</v>
      </c>
      <c r="C751" s="70" t="s">
        <v>43</v>
      </c>
      <c r="D751" s="97" t="e">
        <f>_xlfn.XLOOKUP(A751,[1]CPD_SOP_new!$A:$A,[1]CPD_SOP_new!#REF!,"not found",0 )</f>
        <v>#REF!</v>
      </c>
      <c r="E751" s="97" t="str">
        <f>_xlfn.XLOOKUP(A751,[1]CPD_SOP_new!$A:$A,[1]CPD_SOP_new!$K:$K,"not found",0 )</f>
        <v>3R</v>
      </c>
      <c r="F751" t="s">
        <v>27</v>
      </c>
      <c r="G751" t="s">
        <v>28</v>
      </c>
      <c r="H751" t="s">
        <v>28</v>
      </c>
      <c r="I751" t="s">
        <v>28</v>
      </c>
      <c r="J751" t="s">
        <v>29</v>
      </c>
      <c r="K751" s="70" t="s">
        <v>1168</v>
      </c>
      <c r="L751" t="s">
        <v>2673</v>
      </c>
      <c r="M751" s="100" t="str">
        <f t="shared" si="22"/>
        <v>TC_186_NCAP12_NB_3R_CPD.MF4.xz</v>
      </c>
      <c r="N751" s="59" t="str">
        <f t="shared" si="23"/>
        <v>_NCAP12_NB_3R_CPD.MF4.xz</v>
      </c>
      <c r="O751" s="60" t="s">
        <v>33</v>
      </c>
    </row>
    <row r="752" spans="1:15">
      <c r="A752" s="82">
        <v>186</v>
      </c>
      <c r="B752" s="70" t="s">
        <v>2133</v>
      </c>
      <c r="C752" s="70" t="s">
        <v>43</v>
      </c>
      <c r="D752" s="97" t="e">
        <f>_xlfn.XLOOKUP(A752,[1]CPD_SOP_new!$A:$A,[1]CPD_SOP_new!#REF!,"not found",0 )</f>
        <v>#REF!</v>
      </c>
      <c r="E752" s="97" t="str">
        <f>_xlfn.XLOOKUP(A752,[1]CPD_SOP_new!$A:$A,[1]CPD_SOP_new!$K:$K,"not found",0 )</f>
        <v>3R</v>
      </c>
      <c r="F752" t="s">
        <v>27</v>
      </c>
      <c r="G752" t="s">
        <v>28</v>
      </c>
      <c r="H752" t="s">
        <v>28</v>
      </c>
      <c r="I752" t="s">
        <v>28</v>
      </c>
      <c r="J752" t="s">
        <v>29</v>
      </c>
      <c r="K752" s="70" t="s">
        <v>1170</v>
      </c>
      <c r="L752" t="s">
        <v>2674</v>
      </c>
      <c r="M752" s="100" t="str">
        <f t="shared" si="22"/>
        <v>TC_186_Try1_NCAP12_NB_3R_CPD.MF4.xz</v>
      </c>
      <c r="N752" s="59" t="str">
        <f t="shared" si="23"/>
        <v>_NCAP12_NB_3R_CPD.MF4.xz</v>
      </c>
      <c r="O752" s="60" t="s">
        <v>754</v>
      </c>
    </row>
    <row r="753" spans="1:16">
      <c r="A753" s="82">
        <v>186</v>
      </c>
      <c r="B753" s="70" t="s">
        <v>2133</v>
      </c>
      <c r="C753" s="70" t="s">
        <v>43</v>
      </c>
      <c r="D753" s="97" t="e">
        <f>_xlfn.XLOOKUP(A753,[1]CPD_SOP_new!$A:$A,[1]CPD_SOP_new!#REF!,"not found",0 )</f>
        <v>#REF!</v>
      </c>
      <c r="E753" s="97" t="str">
        <f>_xlfn.XLOOKUP(A753,[1]CPD_SOP_new!$A:$A,[1]CPD_SOP_new!$K:$K,"not found",0 )</f>
        <v>3R</v>
      </c>
      <c r="F753" t="s">
        <v>27</v>
      </c>
      <c r="G753" t="s">
        <v>28</v>
      </c>
      <c r="H753" t="s">
        <v>28</v>
      </c>
      <c r="I753" t="s">
        <v>28</v>
      </c>
      <c r="J753" t="s">
        <v>29</v>
      </c>
      <c r="K753" s="70" t="s">
        <v>1171</v>
      </c>
      <c r="L753" t="s">
        <v>2675</v>
      </c>
      <c r="M753" s="100" t="str">
        <f t="shared" si="22"/>
        <v>TC_186_Try2_NCAP12_NB_3R_CPD.MF4.xz</v>
      </c>
      <c r="N753" s="59" t="str">
        <f t="shared" si="23"/>
        <v>_NCAP12_NB_3R_CPD.MF4.xz</v>
      </c>
      <c r="O753" s="60" t="s">
        <v>754</v>
      </c>
    </row>
    <row r="754" spans="1:16">
      <c r="A754" s="82">
        <v>186</v>
      </c>
      <c r="B754" s="70" t="s">
        <v>2133</v>
      </c>
      <c r="C754" s="70" t="s">
        <v>43</v>
      </c>
      <c r="D754" s="97" t="e">
        <f>_xlfn.XLOOKUP(A754,[1]CPD_SOP_new!$A:$A,[1]CPD_SOP_new!#REF!,"not found",0 )</f>
        <v>#REF!</v>
      </c>
      <c r="E754" s="97" t="str">
        <f>_xlfn.XLOOKUP(A754,[1]CPD_SOP_new!$A:$A,[1]CPD_SOP_new!$K:$K,"not found",0 )</f>
        <v>3R</v>
      </c>
      <c r="F754" t="s">
        <v>27</v>
      </c>
      <c r="G754" t="s">
        <v>28</v>
      </c>
      <c r="H754" t="s">
        <v>28</v>
      </c>
      <c r="I754" t="s">
        <v>28</v>
      </c>
      <c r="J754" t="s">
        <v>29</v>
      </c>
      <c r="K754" s="70" t="s">
        <v>1172</v>
      </c>
      <c r="L754" t="s">
        <v>2676</v>
      </c>
      <c r="M754" s="100" t="str">
        <f t="shared" si="22"/>
        <v>TC_186_Try3_NCAP12_NB_3R_CPD.MF4.xz</v>
      </c>
      <c r="N754" s="59" t="str">
        <f t="shared" si="23"/>
        <v>_NCAP12_NB_3R_CPD.MF4.xz</v>
      </c>
      <c r="O754" s="60" t="s">
        <v>754</v>
      </c>
    </row>
    <row r="755" spans="1:16">
      <c r="A755" s="82">
        <v>187</v>
      </c>
      <c r="B755" s="70" t="s">
        <v>2133</v>
      </c>
      <c r="C755" s="70" t="s">
        <v>43</v>
      </c>
      <c r="D755" s="97" t="e">
        <f>_xlfn.XLOOKUP(A755,[1]CPD_SOP_new!$A:$A,[1]CPD_SOP_new!#REF!,"not found",0 )</f>
        <v>#REF!</v>
      </c>
      <c r="E755" s="97" t="str">
        <f>_xlfn.XLOOKUP(A755,[1]CPD_SOP_new!$A:$A,[1]CPD_SOP_new!$K:$K,"not found",0 )</f>
        <v>3L</v>
      </c>
      <c r="F755" t="s">
        <v>27</v>
      </c>
      <c r="G755" t="s">
        <v>28</v>
      </c>
      <c r="H755" t="s">
        <v>28</v>
      </c>
      <c r="I755" t="s">
        <v>28</v>
      </c>
      <c r="J755" t="s">
        <v>29</v>
      </c>
      <c r="K755" s="70" t="s">
        <v>1173</v>
      </c>
      <c r="L755" t="s">
        <v>2677</v>
      </c>
      <c r="M755" s="100" t="str">
        <f t="shared" si="22"/>
        <v>TC_187_NCAP12_NB_3L_CPD.MF4.xz</v>
      </c>
      <c r="N755" s="59" t="str">
        <f t="shared" si="23"/>
        <v>_NCAP12_NB_3L_CPD.MF4.xz</v>
      </c>
      <c r="O755" s="60" t="s">
        <v>33</v>
      </c>
    </row>
    <row r="756" spans="1:16">
      <c r="A756" s="82">
        <v>187</v>
      </c>
      <c r="B756" s="70" t="s">
        <v>2133</v>
      </c>
      <c r="C756" s="70" t="s">
        <v>43</v>
      </c>
      <c r="D756" s="97" t="e">
        <f>_xlfn.XLOOKUP(A756,[1]CPD_SOP_new!$A:$A,[1]CPD_SOP_new!#REF!,"not found",0 )</f>
        <v>#REF!</v>
      </c>
      <c r="E756" s="97" t="str">
        <f>_xlfn.XLOOKUP(A756,[1]CPD_SOP_new!$A:$A,[1]CPD_SOP_new!$K:$K,"not found",0 )</f>
        <v>3L</v>
      </c>
      <c r="F756" t="s">
        <v>27</v>
      </c>
      <c r="G756" t="s">
        <v>28</v>
      </c>
      <c r="H756" t="s">
        <v>28</v>
      </c>
      <c r="I756" t="s">
        <v>28</v>
      </c>
      <c r="J756" t="s">
        <v>29</v>
      </c>
      <c r="K756" s="70" t="s">
        <v>1175</v>
      </c>
      <c r="L756" t="s">
        <v>2678</v>
      </c>
      <c r="M756" s="100" t="str">
        <f t="shared" si="22"/>
        <v>TC_187_Try1_NCAP12_NB_3L_CPD.MF4.xz</v>
      </c>
      <c r="N756" s="59" t="str">
        <f t="shared" si="23"/>
        <v>_NCAP12_NB_3L_CPD.MF4.xz</v>
      </c>
      <c r="O756" s="60" t="s">
        <v>1176</v>
      </c>
    </row>
    <row r="757" spans="1:16">
      <c r="A757" s="82">
        <v>187</v>
      </c>
      <c r="B757" s="70" t="s">
        <v>2133</v>
      </c>
      <c r="C757" s="70" t="s">
        <v>43</v>
      </c>
      <c r="D757" s="97" t="e">
        <f>_xlfn.XLOOKUP(A757,[1]CPD_SOP_new!$A:$A,[1]CPD_SOP_new!#REF!,"not found",0 )</f>
        <v>#REF!</v>
      </c>
      <c r="E757" s="97" t="str">
        <f>_xlfn.XLOOKUP(A757,[1]CPD_SOP_new!$A:$A,[1]CPD_SOP_new!$K:$K,"not found",0 )</f>
        <v>3L</v>
      </c>
      <c r="F757" t="s">
        <v>27</v>
      </c>
      <c r="G757" t="s">
        <v>28</v>
      </c>
      <c r="H757" t="s">
        <v>28</v>
      </c>
      <c r="I757" t="s">
        <v>28</v>
      </c>
      <c r="J757" t="s">
        <v>29</v>
      </c>
      <c r="K757" s="70" t="s">
        <v>1178</v>
      </c>
      <c r="L757" t="s">
        <v>2679</v>
      </c>
      <c r="M757" s="100" t="str">
        <f t="shared" si="22"/>
        <v>TC_187_Try2_NCAP12_NB_3L_CPD.MF4.xz</v>
      </c>
      <c r="N757" s="59" t="str">
        <f t="shared" si="23"/>
        <v>_NCAP12_NB_3L_CPD.MF4.xz</v>
      </c>
      <c r="O757" s="60" t="s">
        <v>1176</v>
      </c>
    </row>
    <row r="758" spans="1:16">
      <c r="A758" s="82">
        <v>187</v>
      </c>
      <c r="B758" s="70" t="s">
        <v>2133</v>
      </c>
      <c r="C758" s="70" t="s">
        <v>43</v>
      </c>
      <c r="D758" s="97" t="e">
        <f>_xlfn.XLOOKUP(A758,[1]CPD_SOP_new!$A:$A,[1]CPD_SOP_new!#REF!,"not found",0 )</f>
        <v>#REF!</v>
      </c>
      <c r="E758" s="97" t="str">
        <f>_xlfn.XLOOKUP(A758,[1]CPD_SOP_new!$A:$A,[1]CPD_SOP_new!$K:$K,"not found",0 )</f>
        <v>3L</v>
      </c>
      <c r="F758" t="s">
        <v>27</v>
      </c>
      <c r="G758" t="s">
        <v>28</v>
      </c>
      <c r="H758" t="s">
        <v>28</v>
      </c>
      <c r="I758" t="s">
        <v>28</v>
      </c>
      <c r="J758" t="s">
        <v>29</v>
      </c>
      <c r="K758" s="70" t="s">
        <v>1180</v>
      </c>
      <c r="L758" t="s">
        <v>2680</v>
      </c>
      <c r="M758" s="100" t="str">
        <f t="shared" si="22"/>
        <v>TC_187_Try3_NCAP12_NB_3L_CPD.MF4.xz</v>
      </c>
      <c r="N758" s="59" t="str">
        <f t="shared" si="23"/>
        <v>_NCAP12_NB_3L_CPD.MF4.xz</v>
      </c>
      <c r="O758" s="60" t="s">
        <v>1176</v>
      </c>
    </row>
    <row r="759" spans="1:16">
      <c r="A759" s="82">
        <v>188</v>
      </c>
      <c r="B759" s="70" t="s">
        <v>2133</v>
      </c>
      <c r="C759" s="70" t="s">
        <v>48</v>
      </c>
      <c r="D759" s="97" t="e">
        <f>_xlfn.XLOOKUP(A759,[1]CPD_SOP_new!$A:$A,[1]CPD_SOP_new!#REF!,"not found",0 )</f>
        <v>#REF!</v>
      </c>
      <c r="E759" s="97" t="s">
        <v>26</v>
      </c>
      <c r="F759" t="s">
        <v>27</v>
      </c>
      <c r="G759" t="s">
        <v>28</v>
      </c>
      <c r="H759" t="s">
        <v>27</v>
      </c>
      <c r="I759" t="s">
        <v>28</v>
      </c>
      <c r="J759" t="s">
        <v>29</v>
      </c>
      <c r="K759" s="70" t="s">
        <v>1182</v>
      </c>
      <c r="L759" t="s">
        <v>2681</v>
      </c>
      <c r="M759" s="100" t="str">
        <f t="shared" si="22"/>
        <v>TC_188_NCAP12_1YO_1R_CPD.MF4.xz</v>
      </c>
      <c r="N759" s="59" t="str">
        <f t="shared" si="23"/>
        <v>_NCAP12_1YO_1R_CPD.MF4.xz</v>
      </c>
      <c r="O759" s="11" t="s">
        <v>93</v>
      </c>
      <c r="P759" s="132"/>
    </row>
    <row r="760" spans="1:16">
      <c r="A760" s="82">
        <v>188</v>
      </c>
      <c r="B760" s="70" t="s">
        <v>2133</v>
      </c>
      <c r="C760" s="70" t="s">
        <v>48</v>
      </c>
      <c r="D760" s="97" t="e">
        <f>_xlfn.XLOOKUP(A760,[1]CPD_SOP_new!$A:$A,[1]CPD_SOP_new!#REF!,"not found",0 )</f>
        <v>#REF!</v>
      </c>
      <c r="E760" s="97" t="s">
        <v>26</v>
      </c>
      <c r="F760" t="s">
        <v>27</v>
      </c>
      <c r="G760" t="s">
        <v>28</v>
      </c>
      <c r="H760" t="s">
        <v>27</v>
      </c>
      <c r="I760" t="s">
        <v>28</v>
      </c>
      <c r="J760" t="s">
        <v>29</v>
      </c>
      <c r="K760" s="60" t="s">
        <v>1184</v>
      </c>
      <c r="L760" s="60" t="s">
        <v>2682</v>
      </c>
      <c r="M760" s="100" t="str">
        <f t="shared" si="22"/>
        <v>TC_188_Try1_NCAP12_1YO_1R_CPD.MF4.xz</v>
      </c>
      <c r="N760" s="59" t="str">
        <f t="shared" si="23"/>
        <v>_NCAP12_1YO_1R_CPD.MF4.xz</v>
      </c>
      <c r="O760" s="11" t="s">
        <v>752</v>
      </c>
      <c r="P760" s="132"/>
    </row>
    <row r="761" spans="1:16">
      <c r="A761" s="82">
        <v>188</v>
      </c>
      <c r="B761" s="70" t="s">
        <v>2133</v>
      </c>
      <c r="C761" s="70" t="s">
        <v>48</v>
      </c>
      <c r="D761" s="97" t="e">
        <f>_xlfn.XLOOKUP(A761,[1]CPD_SOP_new!$A:$A,[1]CPD_SOP_new!#REF!,"not found",0 )</f>
        <v>#REF!</v>
      </c>
      <c r="E761" s="97" t="s">
        <v>26</v>
      </c>
      <c r="F761" t="s">
        <v>27</v>
      </c>
      <c r="G761" t="s">
        <v>28</v>
      </c>
      <c r="H761" t="s">
        <v>27</v>
      </c>
      <c r="I761" t="s">
        <v>28</v>
      </c>
      <c r="J761" t="s">
        <v>29</v>
      </c>
      <c r="K761" s="60" t="s">
        <v>1186</v>
      </c>
      <c r="L761" s="60" t="s">
        <v>2683</v>
      </c>
      <c r="M761" s="100" t="str">
        <f t="shared" si="22"/>
        <v>TC_188_Try2_NCAP12_1YO_1R_CPD.MF4.xz</v>
      </c>
      <c r="N761" s="59" t="str">
        <f t="shared" si="23"/>
        <v>_NCAP12_1YO_1R_CPD.MF4.xz</v>
      </c>
      <c r="O761" s="11" t="s">
        <v>752</v>
      </c>
      <c r="P761" s="132"/>
    </row>
    <row r="762" spans="1:16" s="130" customFormat="1">
      <c r="A762" s="83">
        <v>188</v>
      </c>
      <c r="B762" s="75" t="s">
        <v>2133</v>
      </c>
      <c r="C762" s="75" t="s">
        <v>48</v>
      </c>
      <c r="D762" s="97" t="e">
        <f>_xlfn.XLOOKUP(A762,[1]CPD_SOP_new!$A:$A,[1]CPD_SOP_new!#REF!,"not found",0 )</f>
        <v>#REF!</v>
      </c>
      <c r="E762" s="97" t="s">
        <v>26</v>
      </c>
      <c r="F762" s="130" t="s">
        <v>27</v>
      </c>
      <c r="G762" s="130" t="s">
        <v>28</v>
      </c>
      <c r="H762" s="130" t="s">
        <v>27</v>
      </c>
      <c r="I762" s="130" t="s">
        <v>27</v>
      </c>
      <c r="J762" s="130" t="s">
        <v>1187</v>
      </c>
      <c r="K762" s="75" t="s">
        <v>1188</v>
      </c>
      <c r="L762" s="130" t="s">
        <v>723</v>
      </c>
      <c r="M762" s="100" t="str">
        <f t="shared" si="22"/>
        <v>Wrong measurement</v>
      </c>
      <c r="N762" s="59" t="str">
        <f t="shared" si="23"/>
        <v>Wrong measurement</v>
      </c>
      <c r="O762" s="62" t="s">
        <v>752</v>
      </c>
      <c r="P762" s="136"/>
    </row>
    <row r="763" spans="1:16" s="130" customFormat="1">
      <c r="A763" s="83">
        <v>189</v>
      </c>
      <c r="B763" s="75" t="s">
        <v>2133</v>
      </c>
      <c r="C763" s="75" t="s">
        <v>48</v>
      </c>
      <c r="D763" s="97" t="e">
        <f>_xlfn.XLOOKUP(A763,[1]CPD_SOP_new!$A:$A,[1]CPD_SOP_new!#REF!,"not found",0 )</f>
        <v>#REF!</v>
      </c>
      <c r="E763" s="97" t="str">
        <f>_xlfn.XLOOKUP(A763,[1]CPD_SOP_new!$A:$A,[1]CPD_SOP_new!$K:$K,"not found",0 )</f>
        <v>2R</v>
      </c>
      <c r="F763" s="130" t="s">
        <v>27</v>
      </c>
      <c r="G763" s="130" t="s">
        <v>28</v>
      </c>
      <c r="H763" s="130" t="s">
        <v>27</v>
      </c>
      <c r="I763" s="130" t="s">
        <v>27</v>
      </c>
      <c r="J763" s="130" t="s">
        <v>1187</v>
      </c>
      <c r="K763" s="75" t="s">
        <v>1189</v>
      </c>
      <c r="L763" s="130" t="s">
        <v>723</v>
      </c>
      <c r="M763" s="100" t="str">
        <f t="shared" si="22"/>
        <v>Wrong measurement</v>
      </c>
      <c r="N763" s="59" t="str">
        <f t="shared" si="23"/>
        <v>Wrong measurement</v>
      </c>
      <c r="O763" s="62" t="s">
        <v>380</v>
      </c>
      <c r="P763" s="136"/>
    </row>
    <row r="764" spans="1:16" s="130" customFormat="1">
      <c r="A764" s="83">
        <v>189</v>
      </c>
      <c r="B764" s="75" t="s">
        <v>2133</v>
      </c>
      <c r="C764" s="75" t="s">
        <v>48</v>
      </c>
      <c r="D764" s="97" t="e">
        <f>_xlfn.XLOOKUP(A764,[1]CPD_SOP_new!$A:$A,[1]CPD_SOP_new!#REF!,"not found",0 )</f>
        <v>#REF!</v>
      </c>
      <c r="E764" s="97" t="str">
        <f>_xlfn.XLOOKUP(A764,[1]CPD_SOP_new!$A:$A,[1]CPD_SOP_new!$K:$K,"not found",0 )</f>
        <v>2R</v>
      </c>
      <c r="F764" s="130" t="s">
        <v>27</v>
      </c>
      <c r="G764" s="130" t="s">
        <v>28</v>
      </c>
      <c r="H764" s="130" t="s">
        <v>27</v>
      </c>
      <c r="I764" s="130" t="s">
        <v>27</v>
      </c>
      <c r="J764" s="130" t="s">
        <v>1187</v>
      </c>
      <c r="K764" s="75" t="s">
        <v>1190</v>
      </c>
      <c r="L764" s="130" t="s">
        <v>723</v>
      </c>
      <c r="M764" s="100" t="str">
        <f t="shared" si="22"/>
        <v>Wrong measurement</v>
      </c>
      <c r="N764" s="59" t="str">
        <f t="shared" si="23"/>
        <v>Wrong measurement</v>
      </c>
      <c r="O764" s="62" t="s">
        <v>380</v>
      </c>
      <c r="P764" s="136"/>
    </row>
    <row r="765" spans="1:16" s="130" customFormat="1">
      <c r="A765" s="83">
        <v>189</v>
      </c>
      <c r="B765" s="75" t="s">
        <v>2133</v>
      </c>
      <c r="C765" s="75" t="s">
        <v>48</v>
      </c>
      <c r="D765" s="97" t="e">
        <f>_xlfn.XLOOKUP(A765,[1]CPD_SOP_new!$A:$A,[1]CPD_SOP_new!#REF!,"not found",0 )</f>
        <v>#REF!</v>
      </c>
      <c r="E765" s="97" t="str">
        <f>_xlfn.XLOOKUP(A765,[1]CPD_SOP_new!$A:$A,[1]CPD_SOP_new!$K:$K,"not found",0 )</f>
        <v>2R</v>
      </c>
      <c r="F765" s="130" t="s">
        <v>27</v>
      </c>
      <c r="G765" s="130" t="s">
        <v>28</v>
      </c>
      <c r="H765" s="130" t="s">
        <v>27</v>
      </c>
      <c r="I765" s="130" t="s">
        <v>27</v>
      </c>
      <c r="J765" s="130" t="s">
        <v>1187</v>
      </c>
      <c r="K765" s="75" t="s">
        <v>1191</v>
      </c>
      <c r="L765" s="130" t="s">
        <v>723</v>
      </c>
      <c r="M765" s="100" t="str">
        <f t="shared" si="22"/>
        <v>Wrong measurement</v>
      </c>
      <c r="N765" s="59" t="str">
        <f t="shared" si="23"/>
        <v>Wrong measurement</v>
      </c>
      <c r="O765" s="62" t="s">
        <v>380</v>
      </c>
      <c r="P765" s="136"/>
    </row>
    <row r="766" spans="1:16">
      <c r="A766" s="84">
        <v>189</v>
      </c>
      <c r="B766" s="72" t="s">
        <v>2133</v>
      </c>
      <c r="C766" s="72" t="s">
        <v>48</v>
      </c>
      <c r="D766" s="97" t="e">
        <f>_xlfn.XLOOKUP(A766,[1]CPD_SOP_new!$A:$A,[1]CPD_SOP_new!#REF!,"not found",0 )</f>
        <v>#REF!</v>
      </c>
      <c r="E766" s="97" t="str">
        <f>_xlfn.XLOOKUP(A766,[1]CPD_SOP_new!$A:$A,[1]CPD_SOP_new!$K:$K,"not found",0 )</f>
        <v>2R</v>
      </c>
      <c r="F766" t="s">
        <v>27</v>
      </c>
      <c r="G766" t="s">
        <v>28</v>
      </c>
      <c r="H766" t="s">
        <v>27</v>
      </c>
      <c r="I766" t="s">
        <v>28</v>
      </c>
      <c r="J766" t="s">
        <v>29</v>
      </c>
      <c r="K766" s="71" t="s">
        <v>1192</v>
      </c>
      <c r="L766" s="132" t="s">
        <v>2684</v>
      </c>
      <c r="M766" s="100" t="str">
        <f t="shared" si="22"/>
        <v>TC189_Try_1_NCAP12_1YO_2R_CPD.MF4.xz</v>
      </c>
      <c r="N766" s="59" t="str">
        <f t="shared" si="23"/>
        <v>_NCAP12_1YO_2R_CPD.MF4.xz</v>
      </c>
      <c r="O766" s="11" t="s">
        <v>475</v>
      </c>
      <c r="P766" s="132"/>
    </row>
    <row r="767" spans="1:16">
      <c r="A767" s="84">
        <v>189</v>
      </c>
      <c r="B767" s="72" t="s">
        <v>2133</v>
      </c>
      <c r="C767" s="72" t="s">
        <v>48</v>
      </c>
      <c r="D767" s="97" t="e">
        <f>_xlfn.XLOOKUP(A767,[1]CPD_SOP_new!$A:$A,[1]CPD_SOP_new!#REF!,"not found",0 )</f>
        <v>#REF!</v>
      </c>
      <c r="E767" s="97" t="str">
        <f>_xlfn.XLOOKUP(A767,[1]CPD_SOP_new!$A:$A,[1]CPD_SOP_new!$K:$K,"not found",0 )</f>
        <v>2R</v>
      </c>
      <c r="F767" t="s">
        <v>27</v>
      </c>
      <c r="G767" t="s">
        <v>28</v>
      </c>
      <c r="H767" t="s">
        <v>27</v>
      </c>
      <c r="I767" t="s">
        <v>28</v>
      </c>
      <c r="J767" t="s">
        <v>29</v>
      </c>
      <c r="K767" s="71" t="s">
        <v>1194</v>
      </c>
      <c r="L767" s="132" t="s">
        <v>2685</v>
      </c>
      <c r="M767" s="100" t="str">
        <f t="shared" si="22"/>
        <v>TC189_Try_2_NCAP12_1YO_2R_CPD.MF4.xz</v>
      </c>
      <c r="N767" s="59" t="str">
        <f t="shared" si="23"/>
        <v>_NCAP12_1YO_2R_CPD.MF4.xz</v>
      </c>
      <c r="O767" s="11" t="s">
        <v>475</v>
      </c>
      <c r="P767" s="132"/>
    </row>
    <row r="768" spans="1:16">
      <c r="A768" s="84">
        <v>189</v>
      </c>
      <c r="B768" s="72" t="s">
        <v>2133</v>
      </c>
      <c r="C768" s="72" t="s">
        <v>48</v>
      </c>
      <c r="D768" s="97" t="e">
        <f>_xlfn.XLOOKUP(A768,[1]CPD_SOP_new!$A:$A,[1]CPD_SOP_new!#REF!,"not found",0 )</f>
        <v>#REF!</v>
      </c>
      <c r="E768" s="97" t="str">
        <f>_xlfn.XLOOKUP(A768,[1]CPD_SOP_new!$A:$A,[1]CPD_SOP_new!$K:$K,"not found",0 )</f>
        <v>2R</v>
      </c>
      <c r="F768" t="s">
        <v>27</v>
      </c>
      <c r="G768" t="s">
        <v>28</v>
      </c>
      <c r="H768" t="s">
        <v>27</v>
      </c>
      <c r="I768" t="s">
        <v>28</v>
      </c>
      <c r="J768" t="s">
        <v>29</v>
      </c>
      <c r="K768" s="71" t="s">
        <v>1195</v>
      </c>
      <c r="L768" s="132" t="s">
        <v>2686</v>
      </c>
      <c r="M768" s="100" t="str">
        <f t="shared" si="22"/>
        <v>TC189_Try_3_NCAP12_1YO_2R_CPD.MF4.xz</v>
      </c>
      <c r="N768" s="59" t="str">
        <f t="shared" si="23"/>
        <v>_NCAP12_1YO_2R_CPD.MF4.xz</v>
      </c>
      <c r="O768" s="11" t="s">
        <v>475</v>
      </c>
      <c r="P768" s="132"/>
    </row>
    <row r="769" spans="1:16">
      <c r="A769" s="82">
        <v>190</v>
      </c>
      <c r="B769" s="70" t="s">
        <v>2133</v>
      </c>
      <c r="C769" s="70" t="s">
        <v>48</v>
      </c>
      <c r="D769" s="97" t="e">
        <f>_xlfn.XLOOKUP(A769,[1]CPD_SOP_new!$A:$A,[1]CPD_SOP_new!#REF!,"not found",0 )</f>
        <v>#REF!</v>
      </c>
      <c r="E769" s="97" t="str">
        <f>_xlfn.XLOOKUP(A769,[1]CPD_SOP_new!$A:$A,[1]CPD_SOP_new!$K:$K,"not found",0 )</f>
        <v>2L</v>
      </c>
      <c r="F769" t="s">
        <v>27</v>
      </c>
      <c r="G769" t="s">
        <v>28</v>
      </c>
      <c r="H769" t="s">
        <v>27</v>
      </c>
      <c r="I769" t="s">
        <v>28</v>
      </c>
      <c r="J769" t="s">
        <v>29</v>
      </c>
      <c r="K769" s="70" t="s">
        <v>722</v>
      </c>
      <c r="L769" t="s">
        <v>2687</v>
      </c>
      <c r="M769" s="100" t="str">
        <f t="shared" si="22"/>
        <v>TC_190_NCAP12_1YO_2L_CPD.MF4.xz</v>
      </c>
      <c r="N769" s="59" t="str">
        <f t="shared" si="23"/>
        <v>_NCAP12_1YO_2L_CPD.MF4.xz</v>
      </c>
      <c r="O769" s="11" t="s">
        <v>93</v>
      </c>
      <c r="P769" s="132"/>
    </row>
    <row r="770" spans="1:16">
      <c r="A770" s="82">
        <v>190</v>
      </c>
      <c r="B770" s="70" t="s">
        <v>2133</v>
      </c>
      <c r="C770" s="70" t="s">
        <v>48</v>
      </c>
      <c r="D770" s="97" t="e">
        <f>_xlfn.XLOOKUP(A770,[1]CPD_SOP_new!$A:$A,[1]CPD_SOP_new!#REF!,"not found",0 )</f>
        <v>#REF!</v>
      </c>
      <c r="E770" s="97" t="str">
        <f>_xlfn.XLOOKUP(A770,[1]CPD_SOP_new!$A:$A,[1]CPD_SOP_new!$K:$K,"not found",0 )</f>
        <v>2L</v>
      </c>
      <c r="F770" t="s">
        <v>27</v>
      </c>
      <c r="G770" t="s">
        <v>28</v>
      </c>
      <c r="H770" t="s">
        <v>27</v>
      </c>
      <c r="I770" t="s">
        <v>28</v>
      </c>
      <c r="J770" t="s">
        <v>29</v>
      </c>
      <c r="K770" s="70" t="s">
        <v>1197</v>
      </c>
      <c r="L770" t="s">
        <v>2688</v>
      </c>
      <c r="M770" s="100" t="str">
        <f t="shared" ref="M770:M833" si="24">IF(NOT(N770="Wrong measurement"),SUBSTITUTE(K770,".MF4.xz",N770),"Wrong measurement")</f>
        <v>TC_190_Try1_NCAP12_1YO_2L_CPD.MF4.xz</v>
      </c>
      <c r="N770" s="59" t="str">
        <f t="shared" ref="N770:N833" si="25">IF(I770="Y",("_"&amp;B770 &amp;"_"&amp; IF(C770="","",C770)&amp;"_"&amp;E770&amp;"_CPD.MF4.xz"),"Wrong measurement")</f>
        <v>_NCAP12_1YO_2L_CPD.MF4.xz</v>
      </c>
      <c r="O770" s="11" t="s">
        <v>752</v>
      </c>
      <c r="P770" s="132"/>
    </row>
    <row r="771" spans="1:16">
      <c r="A771" s="82">
        <v>190</v>
      </c>
      <c r="B771" s="70" t="s">
        <v>2133</v>
      </c>
      <c r="C771" s="70" t="s">
        <v>48</v>
      </c>
      <c r="D771" s="97" t="e">
        <f>_xlfn.XLOOKUP(A771,[1]CPD_SOP_new!$A:$A,[1]CPD_SOP_new!#REF!,"not found",0 )</f>
        <v>#REF!</v>
      </c>
      <c r="E771" s="97" t="str">
        <f>_xlfn.XLOOKUP(A771,[1]CPD_SOP_new!$A:$A,[1]CPD_SOP_new!$K:$K,"not found",0 )</f>
        <v>2L</v>
      </c>
      <c r="F771" t="s">
        <v>27</v>
      </c>
      <c r="G771" t="s">
        <v>28</v>
      </c>
      <c r="H771" t="s">
        <v>27</v>
      </c>
      <c r="I771" t="s">
        <v>28</v>
      </c>
      <c r="J771" t="s">
        <v>29</v>
      </c>
      <c r="K771" s="70" t="s">
        <v>1199</v>
      </c>
      <c r="L771" t="s">
        <v>2689</v>
      </c>
      <c r="M771" s="100" t="str">
        <f t="shared" si="24"/>
        <v>TC_190_Try2_NCAP12_1YO_2L_CPD.MF4.xz</v>
      </c>
      <c r="N771" s="59" t="str">
        <f t="shared" si="25"/>
        <v>_NCAP12_1YO_2L_CPD.MF4.xz</v>
      </c>
      <c r="O771" s="11" t="s">
        <v>752</v>
      </c>
      <c r="P771" s="132"/>
    </row>
    <row r="772" spans="1:16">
      <c r="A772" s="82">
        <v>190</v>
      </c>
      <c r="B772" s="70" t="s">
        <v>2133</v>
      </c>
      <c r="C772" s="70" t="s">
        <v>48</v>
      </c>
      <c r="D772" s="97" t="e">
        <f>_xlfn.XLOOKUP(A772,[1]CPD_SOP_new!$A:$A,[1]CPD_SOP_new!#REF!,"not found",0 )</f>
        <v>#REF!</v>
      </c>
      <c r="E772" s="97" t="str">
        <f>_xlfn.XLOOKUP(A772,[1]CPD_SOP_new!$A:$A,[1]CPD_SOP_new!$K:$K,"not found",0 )</f>
        <v>2L</v>
      </c>
      <c r="F772" t="s">
        <v>27</v>
      </c>
      <c r="G772" t="s">
        <v>28</v>
      </c>
      <c r="H772" t="s">
        <v>27</v>
      </c>
      <c r="I772" t="s">
        <v>28</v>
      </c>
      <c r="J772" t="s">
        <v>29</v>
      </c>
      <c r="K772" s="70" t="s">
        <v>751</v>
      </c>
      <c r="L772" t="s">
        <v>2690</v>
      </c>
      <c r="M772" s="100" t="str">
        <f t="shared" si="24"/>
        <v>TC_190_Try3_NCAP12_1YO_2L_CPD.MF4.xz</v>
      </c>
      <c r="N772" s="59" t="str">
        <f t="shared" si="25"/>
        <v>_NCAP12_1YO_2L_CPD.MF4.xz</v>
      </c>
      <c r="O772" s="11" t="s">
        <v>752</v>
      </c>
      <c r="P772" s="132"/>
    </row>
    <row r="773" spans="1:16">
      <c r="A773" s="82">
        <v>191</v>
      </c>
      <c r="B773" s="70" t="s">
        <v>2133</v>
      </c>
      <c r="C773" s="70" t="s">
        <v>48</v>
      </c>
      <c r="D773" s="97" t="e">
        <f>_xlfn.XLOOKUP(A773,[1]CPD_SOP_new!$A:$A,[1]CPD_SOP_new!#REF!,"not found",0 )</f>
        <v>#REF!</v>
      </c>
      <c r="E773" s="97" t="str">
        <f>_xlfn.XLOOKUP(A773,[1]CPD_SOP_new!$A:$A,[1]CPD_SOP_new!$K:$K,"not found",0 )</f>
        <v>2C</v>
      </c>
      <c r="F773" t="s">
        <v>27</v>
      </c>
      <c r="G773" t="s">
        <v>28</v>
      </c>
      <c r="H773" t="s">
        <v>27</v>
      </c>
      <c r="I773" t="s">
        <v>28</v>
      </c>
      <c r="J773" t="s">
        <v>29</v>
      </c>
      <c r="K773" s="70" t="s">
        <v>1202</v>
      </c>
      <c r="L773" t="s">
        <v>2691</v>
      </c>
      <c r="M773" s="100" t="str">
        <f t="shared" si="24"/>
        <v>TC191_Try_1_NCAP12_1YO_2C_CPD.MF4.xz</v>
      </c>
      <c r="N773" s="59" t="str">
        <f t="shared" si="25"/>
        <v>_NCAP12_1YO_2C_CPD.MF4.xz</v>
      </c>
      <c r="O773" s="11" t="s">
        <v>475</v>
      </c>
      <c r="P773" s="132"/>
    </row>
    <row r="774" spans="1:16">
      <c r="A774" s="82">
        <v>191</v>
      </c>
      <c r="B774" s="70" t="s">
        <v>2133</v>
      </c>
      <c r="C774" s="70" t="s">
        <v>48</v>
      </c>
      <c r="D774" s="97" t="e">
        <f>_xlfn.XLOOKUP(A774,[1]CPD_SOP_new!$A:$A,[1]CPD_SOP_new!#REF!,"not found",0 )</f>
        <v>#REF!</v>
      </c>
      <c r="E774" s="97" t="str">
        <f>_xlfn.XLOOKUP(A774,[1]CPD_SOP_new!$A:$A,[1]CPD_SOP_new!$K:$K,"not found",0 )</f>
        <v>2C</v>
      </c>
      <c r="F774" t="s">
        <v>27</v>
      </c>
      <c r="G774" t="s">
        <v>28</v>
      </c>
      <c r="H774" t="s">
        <v>27</v>
      </c>
      <c r="I774" t="s">
        <v>28</v>
      </c>
      <c r="J774" t="s">
        <v>29</v>
      </c>
      <c r="K774" s="70" t="s">
        <v>1204</v>
      </c>
      <c r="L774" t="s">
        <v>2692</v>
      </c>
      <c r="M774" s="100" t="str">
        <f t="shared" si="24"/>
        <v>TC191_Try_2_NCAP12_1YO_2C_CPD.MF4.xz</v>
      </c>
      <c r="N774" s="59" t="str">
        <f t="shared" si="25"/>
        <v>_NCAP12_1YO_2C_CPD.MF4.xz</v>
      </c>
      <c r="O774" s="11" t="s">
        <v>475</v>
      </c>
      <c r="P774" s="132"/>
    </row>
    <row r="775" spans="1:16">
      <c r="A775" s="82">
        <v>191</v>
      </c>
      <c r="B775" s="70" t="s">
        <v>2133</v>
      </c>
      <c r="C775" s="70" t="s">
        <v>48</v>
      </c>
      <c r="D775" s="97" t="e">
        <f>_xlfn.XLOOKUP(A775,[1]CPD_SOP_new!$A:$A,[1]CPD_SOP_new!#REF!,"not found",0 )</f>
        <v>#REF!</v>
      </c>
      <c r="E775" s="97" t="str">
        <f>_xlfn.XLOOKUP(A775,[1]CPD_SOP_new!$A:$A,[1]CPD_SOP_new!$K:$K,"not found",0 )</f>
        <v>2C</v>
      </c>
      <c r="F775" t="s">
        <v>27</v>
      </c>
      <c r="G775" t="s">
        <v>28</v>
      </c>
      <c r="H775" t="s">
        <v>27</v>
      </c>
      <c r="I775" t="s">
        <v>28</v>
      </c>
      <c r="J775" t="s">
        <v>29</v>
      </c>
      <c r="K775" s="70" t="s">
        <v>1205</v>
      </c>
      <c r="L775" t="s">
        <v>2693</v>
      </c>
      <c r="M775" s="100" t="str">
        <f t="shared" si="24"/>
        <v>TC191_Try_3_NCAP12_1YO_2C_CPD.MF4.xz</v>
      </c>
      <c r="N775" s="59" t="str">
        <f t="shared" si="25"/>
        <v>_NCAP12_1YO_2C_CPD.MF4.xz</v>
      </c>
      <c r="O775" s="11" t="s">
        <v>475</v>
      </c>
      <c r="P775" s="132"/>
    </row>
    <row r="776" spans="1:16">
      <c r="A776" s="82">
        <v>192</v>
      </c>
      <c r="B776" s="70" t="s">
        <v>2133</v>
      </c>
      <c r="C776" s="70" t="s">
        <v>48</v>
      </c>
      <c r="D776" s="97" t="e">
        <f>_xlfn.XLOOKUP(A776,[1]CPD_SOP_new!$A:$A,[1]CPD_SOP_new!#REF!,"not found",0 )</f>
        <v>#REF!</v>
      </c>
      <c r="E776" s="97" t="str">
        <f>_xlfn.XLOOKUP(A776,[1]CPD_SOP_new!$A:$A,[1]CPD_SOP_new!$K:$K,"not found",0 )</f>
        <v>3R</v>
      </c>
      <c r="F776" t="s">
        <v>27</v>
      </c>
      <c r="G776" t="s">
        <v>28</v>
      </c>
      <c r="H776" t="s">
        <v>27</v>
      </c>
      <c r="I776" t="s">
        <v>28</v>
      </c>
      <c r="J776" t="s">
        <v>29</v>
      </c>
      <c r="K776" s="70" t="s">
        <v>1206</v>
      </c>
      <c r="L776" t="s">
        <v>2694</v>
      </c>
      <c r="M776" s="100" t="str">
        <f t="shared" si="24"/>
        <v>TC_192_NCAP12_1YO_3R_CPD.MF4.xz</v>
      </c>
      <c r="N776" s="59" t="str">
        <f t="shared" si="25"/>
        <v>_NCAP12_1YO_3R_CPD.MF4.xz</v>
      </c>
      <c r="O776" s="11" t="s">
        <v>93</v>
      </c>
      <c r="P776" s="132"/>
    </row>
    <row r="777" spans="1:16">
      <c r="A777" s="82">
        <v>192</v>
      </c>
      <c r="B777" s="70" t="s">
        <v>2133</v>
      </c>
      <c r="C777" s="70" t="s">
        <v>48</v>
      </c>
      <c r="D777" s="97" t="e">
        <f>_xlfn.XLOOKUP(A777,[1]CPD_SOP_new!$A:$A,[1]CPD_SOP_new!#REF!,"not found",0 )</f>
        <v>#REF!</v>
      </c>
      <c r="E777" s="97" t="str">
        <f>_xlfn.XLOOKUP(A777,[1]CPD_SOP_new!$A:$A,[1]CPD_SOP_new!$K:$K,"not found",0 )</f>
        <v>3R</v>
      </c>
      <c r="F777" t="s">
        <v>27</v>
      </c>
      <c r="G777" t="s">
        <v>28</v>
      </c>
      <c r="H777" t="s">
        <v>27</v>
      </c>
      <c r="I777" t="s">
        <v>28</v>
      </c>
      <c r="J777" t="s">
        <v>29</v>
      </c>
      <c r="K777" s="70" t="s">
        <v>1208</v>
      </c>
      <c r="L777" t="s">
        <v>2695</v>
      </c>
      <c r="M777" s="100" t="str">
        <f t="shared" si="24"/>
        <v>TC_192_Try1_NCAP12_1YO_3R_CPD.MF4.xz</v>
      </c>
      <c r="N777" s="59" t="str">
        <f t="shared" si="25"/>
        <v>_NCAP12_1YO_3R_CPD.MF4.xz</v>
      </c>
      <c r="O777" s="11" t="s">
        <v>752</v>
      </c>
      <c r="P777" s="132"/>
    </row>
    <row r="778" spans="1:16">
      <c r="A778" s="82">
        <v>192</v>
      </c>
      <c r="B778" s="70" t="s">
        <v>2133</v>
      </c>
      <c r="C778" s="70" t="s">
        <v>48</v>
      </c>
      <c r="D778" s="97" t="e">
        <f>_xlfn.XLOOKUP(A778,[1]CPD_SOP_new!$A:$A,[1]CPD_SOP_new!#REF!,"not found",0 )</f>
        <v>#REF!</v>
      </c>
      <c r="E778" s="97" t="str">
        <f>_xlfn.XLOOKUP(A778,[1]CPD_SOP_new!$A:$A,[1]CPD_SOP_new!$K:$K,"not found",0 )</f>
        <v>3R</v>
      </c>
      <c r="F778" t="s">
        <v>27</v>
      </c>
      <c r="G778" t="s">
        <v>28</v>
      </c>
      <c r="H778" t="s">
        <v>27</v>
      </c>
      <c r="I778" t="s">
        <v>28</v>
      </c>
      <c r="J778" t="s">
        <v>29</v>
      </c>
      <c r="K778" s="70" t="s">
        <v>1209</v>
      </c>
      <c r="L778" t="s">
        <v>2696</v>
      </c>
      <c r="M778" s="100" t="str">
        <f t="shared" si="24"/>
        <v>TC_192_Try2_NCAP12_1YO_3R_CPD.MF4.xz</v>
      </c>
      <c r="N778" s="59" t="str">
        <f t="shared" si="25"/>
        <v>_NCAP12_1YO_3R_CPD.MF4.xz</v>
      </c>
      <c r="O778" s="11" t="s">
        <v>752</v>
      </c>
      <c r="P778" s="132"/>
    </row>
    <row r="779" spans="1:16">
      <c r="A779" s="82">
        <v>192</v>
      </c>
      <c r="B779" s="70" t="s">
        <v>2133</v>
      </c>
      <c r="C779" s="70" t="s">
        <v>48</v>
      </c>
      <c r="D779" s="97" t="e">
        <f>_xlfn.XLOOKUP(A779,[1]CPD_SOP_new!$A:$A,[1]CPD_SOP_new!#REF!,"not found",0 )</f>
        <v>#REF!</v>
      </c>
      <c r="E779" s="97" t="str">
        <f>_xlfn.XLOOKUP(A779,[1]CPD_SOP_new!$A:$A,[1]CPD_SOP_new!$K:$K,"not found",0 )</f>
        <v>3R</v>
      </c>
      <c r="F779" t="s">
        <v>27</v>
      </c>
      <c r="G779" t="s">
        <v>28</v>
      </c>
      <c r="H779" t="s">
        <v>27</v>
      </c>
      <c r="I779" t="s">
        <v>28</v>
      </c>
      <c r="J779" t="s">
        <v>29</v>
      </c>
      <c r="K779" s="70" t="s">
        <v>1210</v>
      </c>
      <c r="L779" t="s">
        <v>2697</v>
      </c>
      <c r="M779" s="100" t="str">
        <f t="shared" si="24"/>
        <v>TC_192_Try3_NCAP12_1YO_3R_CPD.MF4.xz</v>
      </c>
      <c r="N779" s="59" t="str">
        <f t="shared" si="25"/>
        <v>_NCAP12_1YO_3R_CPD.MF4.xz</v>
      </c>
      <c r="O779" s="11" t="s">
        <v>752</v>
      </c>
      <c r="P779" s="132"/>
    </row>
    <row r="780" spans="1:16">
      <c r="A780" s="82">
        <v>192</v>
      </c>
      <c r="B780" s="70" t="s">
        <v>2133</v>
      </c>
      <c r="C780" s="70" t="s">
        <v>48</v>
      </c>
      <c r="D780" s="97" t="e">
        <f>_xlfn.XLOOKUP(A780,[1]CPD_SOP_new!$A:$A,[1]CPD_SOP_new!#REF!,"not found",0 )</f>
        <v>#REF!</v>
      </c>
      <c r="E780" s="97" t="str">
        <f>_xlfn.XLOOKUP(A780,[1]CPD_SOP_new!$A:$A,[1]CPD_SOP_new!$K:$K,"not found",0 )</f>
        <v>3R</v>
      </c>
      <c r="F780" t="s">
        <v>28</v>
      </c>
      <c r="G780" t="s">
        <v>28</v>
      </c>
      <c r="H780" t="s">
        <v>27</v>
      </c>
      <c r="I780" t="s">
        <v>28</v>
      </c>
      <c r="J780" t="s">
        <v>29</v>
      </c>
      <c r="K780" t="s">
        <v>1211</v>
      </c>
      <c r="L780" t="s">
        <v>2698</v>
      </c>
      <c r="M780" s="100" t="str">
        <f t="shared" si="24"/>
        <v>CPD_TC192_Try1_NCAP12_1YO_3R_CPD.MF4.xz</v>
      </c>
      <c r="N780" s="59" t="str">
        <f t="shared" si="25"/>
        <v>_NCAP12_1YO_3R_CPD.MF4.xz</v>
      </c>
      <c r="O780" s="11" t="s">
        <v>191</v>
      </c>
      <c r="P780" s="132"/>
    </row>
    <row r="781" spans="1:16">
      <c r="A781" s="82">
        <v>192</v>
      </c>
      <c r="B781" s="70" t="s">
        <v>2133</v>
      </c>
      <c r="C781" s="70" t="s">
        <v>48</v>
      </c>
      <c r="D781" s="97" t="e">
        <f>_xlfn.XLOOKUP(A781,[1]CPD_SOP_new!$A:$A,[1]CPD_SOP_new!#REF!,"not found",0 )</f>
        <v>#REF!</v>
      </c>
      <c r="E781" s="97" t="str">
        <f>_xlfn.XLOOKUP(A781,[1]CPD_SOP_new!$A:$A,[1]CPD_SOP_new!$K:$K,"not found",0 )</f>
        <v>3R</v>
      </c>
      <c r="F781" t="s">
        <v>28</v>
      </c>
      <c r="G781" t="s">
        <v>28</v>
      </c>
      <c r="H781" t="s">
        <v>27</v>
      </c>
      <c r="I781" t="s">
        <v>28</v>
      </c>
      <c r="J781" t="s">
        <v>29</v>
      </c>
      <c r="K781" t="s">
        <v>1213</v>
      </c>
      <c r="L781" t="s">
        <v>2699</v>
      </c>
      <c r="M781" s="100" t="str">
        <f t="shared" si="24"/>
        <v>CPD_TC192_Try2_NCAP12_1YO_3R_CPD.MF4.xz</v>
      </c>
      <c r="N781" s="59" t="str">
        <f t="shared" si="25"/>
        <v>_NCAP12_1YO_3R_CPD.MF4.xz</v>
      </c>
      <c r="O781" s="11" t="s">
        <v>191</v>
      </c>
      <c r="P781" s="132"/>
    </row>
    <row r="782" spans="1:16">
      <c r="A782" s="82">
        <v>192</v>
      </c>
      <c r="B782" s="70" t="s">
        <v>2133</v>
      </c>
      <c r="C782" s="70" t="s">
        <v>48</v>
      </c>
      <c r="D782" s="97" t="e">
        <f>_xlfn.XLOOKUP(A782,[1]CPD_SOP_new!$A:$A,[1]CPD_SOP_new!#REF!,"not found",0 )</f>
        <v>#REF!</v>
      </c>
      <c r="E782" s="97" t="str">
        <f>_xlfn.XLOOKUP(A782,[1]CPD_SOP_new!$A:$A,[1]CPD_SOP_new!$K:$K,"not found",0 )</f>
        <v>3R</v>
      </c>
      <c r="F782" t="s">
        <v>28</v>
      </c>
      <c r="G782" t="s">
        <v>28</v>
      </c>
      <c r="H782" t="s">
        <v>27</v>
      </c>
      <c r="I782" t="s">
        <v>28</v>
      </c>
      <c r="J782" t="s">
        <v>29</v>
      </c>
      <c r="K782" t="s">
        <v>1214</v>
      </c>
      <c r="L782" t="s">
        <v>2700</v>
      </c>
      <c r="M782" s="100" t="str">
        <f t="shared" si="24"/>
        <v>CPD_TC192_Try3_NCAP12_1YO_3R_CPD.MF4.xz</v>
      </c>
      <c r="N782" s="59" t="str">
        <f t="shared" si="25"/>
        <v>_NCAP12_1YO_3R_CPD.MF4.xz</v>
      </c>
      <c r="O782" s="11" t="s">
        <v>191</v>
      </c>
      <c r="P782" s="132"/>
    </row>
    <row r="783" spans="1:16">
      <c r="A783" s="82">
        <v>192</v>
      </c>
      <c r="B783" s="70" t="s">
        <v>2133</v>
      </c>
      <c r="C783" s="70" t="s">
        <v>48</v>
      </c>
      <c r="D783" s="97" t="e">
        <f>_xlfn.XLOOKUP(A783,[1]CPD_SOP_new!$A:$A,[1]CPD_SOP_new!#REF!,"not found",0 )</f>
        <v>#REF!</v>
      </c>
      <c r="E783" s="97" t="str">
        <f>_xlfn.XLOOKUP(A783,[1]CPD_SOP_new!$A:$A,[1]CPD_SOP_new!$K:$K,"not found",0 )</f>
        <v>3R</v>
      </c>
      <c r="F783" t="s">
        <v>28</v>
      </c>
      <c r="G783" t="s">
        <v>28</v>
      </c>
      <c r="H783" t="s">
        <v>27</v>
      </c>
      <c r="I783" t="s">
        <v>28</v>
      </c>
      <c r="J783" t="s">
        <v>29</v>
      </c>
      <c r="K783" t="s">
        <v>1215</v>
      </c>
      <c r="L783" t="s">
        <v>2701</v>
      </c>
      <c r="M783" s="100" t="str">
        <f t="shared" si="24"/>
        <v>CPD_TC192_Try4_NCAP12_1YO_3R_CPD.MF4.xz</v>
      </c>
      <c r="N783" s="59" t="str">
        <f t="shared" si="25"/>
        <v>_NCAP12_1YO_3R_CPD.MF4.xz</v>
      </c>
      <c r="O783" s="11" t="s">
        <v>191</v>
      </c>
      <c r="P783" s="132"/>
    </row>
    <row r="784" spans="1:16">
      <c r="A784" s="82">
        <v>192</v>
      </c>
      <c r="B784" s="70" t="s">
        <v>2133</v>
      </c>
      <c r="C784" s="70" t="s">
        <v>48</v>
      </c>
      <c r="D784" s="97" t="e">
        <f>_xlfn.XLOOKUP(A784,[1]CPD_SOP_new!$A:$A,[1]CPD_SOP_new!#REF!,"not found",0 )</f>
        <v>#REF!</v>
      </c>
      <c r="E784" s="97" t="str">
        <f>_xlfn.XLOOKUP(A784,[1]CPD_SOP_new!$A:$A,[1]CPD_SOP_new!$K:$K,"not found",0 )</f>
        <v>3R</v>
      </c>
      <c r="F784" t="s">
        <v>28</v>
      </c>
      <c r="G784" t="s">
        <v>28</v>
      </c>
      <c r="H784" t="s">
        <v>27</v>
      </c>
      <c r="I784" t="s">
        <v>28</v>
      </c>
      <c r="J784" t="s">
        <v>29</v>
      </c>
      <c r="K784" t="s">
        <v>1216</v>
      </c>
      <c r="L784" t="s">
        <v>2702</v>
      </c>
      <c r="M784" s="100" t="str">
        <f t="shared" si="24"/>
        <v>CPD_TC192_Try5_NCAP12_1YO_3R_CPD.MF4.xz</v>
      </c>
      <c r="N784" s="59" t="str">
        <f t="shared" si="25"/>
        <v>_NCAP12_1YO_3R_CPD.MF4.xz</v>
      </c>
      <c r="O784" s="11" t="s">
        <v>191</v>
      </c>
      <c r="P784" s="132"/>
    </row>
    <row r="785" spans="1:16">
      <c r="A785" s="82">
        <v>193</v>
      </c>
      <c r="B785" s="70" t="s">
        <v>2133</v>
      </c>
      <c r="C785" s="70" t="s">
        <v>48</v>
      </c>
      <c r="D785" s="97" t="e">
        <f>_xlfn.XLOOKUP(A785,[1]CPD_SOP_new!$A:$A,[1]CPD_SOP_new!#REF!,"not found",0 )</f>
        <v>#REF!</v>
      </c>
      <c r="E785" s="97" t="str">
        <f>_xlfn.XLOOKUP(A785,[1]CPD_SOP_new!$A:$A,[1]CPD_SOP_new!$K:$K,"not found",0 )</f>
        <v>3L</v>
      </c>
      <c r="F785" t="s">
        <v>27</v>
      </c>
      <c r="G785" t="s">
        <v>28</v>
      </c>
      <c r="H785" t="s">
        <v>27</v>
      </c>
      <c r="I785" t="s">
        <v>28</v>
      </c>
      <c r="J785" t="s">
        <v>29</v>
      </c>
      <c r="K785" s="70" t="s">
        <v>1217</v>
      </c>
      <c r="L785" t="s">
        <v>2703</v>
      </c>
      <c r="M785" s="100" t="str">
        <f t="shared" si="24"/>
        <v>TC193_Try_1_NCAP12_1YO_3L_CPD.MF4.xz</v>
      </c>
      <c r="N785" s="59" t="str">
        <f t="shared" si="25"/>
        <v>_NCAP12_1YO_3L_CPD.MF4.xz</v>
      </c>
      <c r="O785" s="11" t="s">
        <v>475</v>
      </c>
      <c r="P785" s="132"/>
    </row>
    <row r="786" spans="1:16">
      <c r="A786" s="82">
        <v>193</v>
      </c>
      <c r="B786" s="70" t="s">
        <v>2133</v>
      </c>
      <c r="C786" s="70" t="s">
        <v>48</v>
      </c>
      <c r="D786" s="97" t="e">
        <f>_xlfn.XLOOKUP(A786,[1]CPD_SOP_new!$A:$A,[1]CPD_SOP_new!#REF!,"not found",0 )</f>
        <v>#REF!</v>
      </c>
      <c r="E786" s="97" t="str">
        <f>_xlfn.XLOOKUP(A786,[1]CPD_SOP_new!$A:$A,[1]CPD_SOP_new!$K:$K,"not found",0 )</f>
        <v>3L</v>
      </c>
      <c r="F786" t="s">
        <v>27</v>
      </c>
      <c r="G786" t="s">
        <v>28</v>
      </c>
      <c r="H786" t="s">
        <v>27</v>
      </c>
      <c r="I786" t="s">
        <v>28</v>
      </c>
      <c r="J786" t="s">
        <v>29</v>
      </c>
      <c r="K786" s="70" t="s">
        <v>1219</v>
      </c>
      <c r="L786" t="s">
        <v>2704</v>
      </c>
      <c r="M786" s="100" t="str">
        <f t="shared" si="24"/>
        <v>TC193_Try_2_NCAP12_1YO_3L_CPD.MF4.xz</v>
      </c>
      <c r="N786" s="59" t="str">
        <f t="shared" si="25"/>
        <v>_NCAP12_1YO_3L_CPD.MF4.xz</v>
      </c>
      <c r="O786" s="11" t="s">
        <v>475</v>
      </c>
      <c r="P786" s="132"/>
    </row>
    <row r="787" spans="1:16">
      <c r="A787" s="82">
        <v>193</v>
      </c>
      <c r="B787" s="70" t="s">
        <v>2133</v>
      </c>
      <c r="C787" s="70" t="s">
        <v>48</v>
      </c>
      <c r="D787" s="97" t="e">
        <f>_xlfn.XLOOKUP(A787,[1]CPD_SOP_new!$A:$A,[1]CPD_SOP_new!#REF!,"not found",0 )</f>
        <v>#REF!</v>
      </c>
      <c r="E787" s="97" t="str">
        <f>_xlfn.XLOOKUP(A787,[1]CPD_SOP_new!$A:$A,[1]CPD_SOP_new!$K:$K,"not found",0 )</f>
        <v>3L</v>
      </c>
      <c r="F787" t="s">
        <v>27</v>
      </c>
      <c r="G787" t="s">
        <v>28</v>
      </c>
      <c r="H787" t="s">
        <v>27</v>
      </c>
      <c r="I787" t="s">
        <v>28</v>
      </c>
      <c r="J787" t="s">
        <v>29</v>
      </c>
      <c r="K787" s="70" t="s">
        <v>1220</v>
      </c>
      <c r="L787" t="s">
        <v>2705</v>
      </c>
      <c r="M787" s="100" t="str">
        <f t="shared" si="24"/>
        <v>TC193_Try_3_NCAP12_1YO_3L_CPD.MF4.xz</v>
      </c>
      <c r="N787" s="59" t="str">
        <f t="shared" si="25"/>
        <v>_NCAP12_1YO_3L_CPD.MF4.xz</v>
      </c>
      <c r="O787" s="11" t="s">
        <v>475</v>
      </c>
      <c r="P787" s="132"/>
    </row>
    <row r="788" spans="1:16">
      <c r="A788" s="82">
        <v>194</v>
      </c>
      <c r="B788" s="70" t="s">
        <v>2706</v>
      </c>
      <c r="C788" s="70" t="s">
        <v>43</v>
      </c>
      <c r="D788" s="97" t="e">
        <f>_xlfn.XLOOKUP(A788,[1]CPD_SOP_new!$A:$A,[1]CPD_SOP_new!#REF!,"not found",0 )</f>
        <v>#REF!</v>
      </c>
      <c r="E788" s="97" t="s">
        <v>26</v>
      </c>
      <c r="F788" t="s">
        <v>27</v>
      </c>
      <c r="G788" t="s">
        <v>27</v>
      </c>
      <c r="H788" t="s">
        <v>27</v>
      </c>
      <c r="I788" t="s">
        <v>28</v>
      </c>
      <c r="J788" t="s">
        <v>29</v>
      </c>
      <c r="K788" t="s">
        <v>1222</v>
      </c>
      <c r="L788" t="s">
        <v>2707</v>
      </c>
      <c r="M788" s="100" t="str">
        <f t="shared" si="24"/>
        <v>TC_194_NB_awake_NB_1R_CPD.MF4.xz</v>
      </c>
      <c r="N788" s="59" t="str">
        <f t="shared" si="25"/>
        <v>_NB_awake_NB_1R_CPD.MF4.xz</v>
      </c>
      <c r="O788" s="11" t="s">
        <v>2708</v>
      </c>
      <c r="P788" s="132"/>
    </row>
    <row r="789" spans="1:16">
      <c r="A789" s="82">
        <v>194</v>
      </c>
      <c r="B789" s="70" t="s">
        <v>2706</v>
      </c>
      <c r="C789" s="70" t="s">
        <v>43</v>
      </c>
      <c r="D789" s="97" t="e">
        <f>_xlfn.XLOOKUP(A789,[1]CPD_SOP_new!$A:$A,[1]CPD_SOP_new!#REF!,"not found",0 )</f>
        <v>#REF!</v>
      </c>
      <c r="E789" s="97" t="s">
        <v>26</v>
      </c>
      <c r="F789" t="s">
        <v>27</v>
      </c>
      <c r="G789" t="s">
        <v>27</v>
      </c>
      <c r="H789" t="s">
        <v>27</v>
      </c>
      <c r="I789" t="s">
        <v>28</v>
      </c>
      <c r="J789" t="s">
        <v>29</v>
      </c>
      <c r="K789" t="s">
        <v>1223</v>
      </c>
      <c r="L789" t="s">
        <v>2709</v>
      </c>
      <c r="M789" s="100" t="str">
        <f t="shared" si="24"/>
        <v>TC_194_Try1_NB_awake_NB_1R_CPD.MF4.xz</v>
      </c>
      <c r="N789" s="59" t="str">
        <f t="shared" si="25"/>
        <v>_NB_awake_NB_1R_CPD.MF4.xz</v>
      </c>
      <c r="O789" s="11" t="s">
        <v>2710</v>
      </c>
      <c r="P789" s="132"/>
    </row>
    <row r="790" spans="1:16">
      <c r="A790" s="82">
        <v>194</v>
      </c>
      <c r="B790" s="70" t="s">
        <v>2706</v>
      </c>
      <c r="C790" s="70" t="s">
        <v>43</v>
      </c>
      <c r="D790" s="97" t="e">
        <f>_xlfn.XLOOKUP(A790,[1]CPD_SOP_new!$A:$A,[1]CPD_SOP_new!#REF!,"not found",0 )</f>
        <v>#REF!</v>
      </c>
      <c r="E790" s="97" t="s">
        <v>26</v>
      </c>
      <c r="F790" t="s">
        <v>27</v>
      </c>
      <c r="G790" t="s">
        <v>27</v>
      </c>
      <c r="H790" t="s">
        <v>27</v>
      </c>
      <c r="I790" t="s">
        <v>28</v>
      </c>
      <c r="J790" t="s">
        <v>29</v>
      </c>
      <c r="K790" t="s">
        <v>1225</v>
      </c>
      <c r="L790" t="s">
        <v>2711</v>
      </c>
      <c r="M790" s="100" t="str">
        <f t="shared" si="24"/>
        <v>TC_194_Try2_NB_awake_NB_1R_CPD.MF4.xz</v>
      </c>
      <c r="N790" s="59" t="str">
        <f t="shared" si="25"/>
        <v>_NB_awake_NB_1R_CPD.MF4.xz</v>
      </c>
      <c r="O790" s="11" t="s">
        <v>2710</v>
      </c>
      <c r="P790" s="132"/>
    </row>
    <row r="791" spans="1:16">
      <c r="A791" s="82">
        <v>194</v>
      </c>
      <c r="B791" s="70" t="s">
        <v>2706</v>
      </c>
      <c r="C791" s="70" t="s">
        <v>43</v>
      </c>
      <c r="D791" s="97" t="e">
        <f>_xlfn.XLOOKUP(A791,[1]CPD_SOP_new!$A:$A,[1]CPD_SOP_new!#REF!,"not found",0 )</f>
        <v>#REF!</v>
      </c>
      <c r="E791" s="97" t="s">
        <v>26</v>
      </c>
      <c r="F791" t="s">
        <v>27</v>
      </c>
      <c r="G791" t="s">
        <v>27</v>
      </c>
      <c r="H791" t="s">
        <v>27</v>
      </c>
      <c r="I791" t="s">
        <v>28</v>
      </c>
      <c r="J791" t="s">
        <v>29</v>
      </c>
      <c r="K791" t="s">
        <v>1226</v>
      </c>
      <c r="L791" t="s">
        <v>2712</v>
      </c>
      <c r="M791" s="100" t="str">
        <f t="shared" si="24"/>
        <v>TC_194_Try3_NB_awake_NB_1R_CPD.MF4.xz</v>
      </c>
      <c r="N791" s="59" t="str">
        <f t="shared" si="25"/>
        <v>_NB_awake_NB_1R_CPD.MF4.xz</v>
      </c>
      <c r="O791" s="11" t="s">
        <v>2710</v>
      </c>
      <c r="P791" s="132"/>
    </row>
    <row r="792" spans="1:16">
      <c r="A792" s="82">
        <v>195</v>
      </c>
      <c r="B792" s="70" t="s">
        <v>2706</v>
      </c>
      <c r="C792" s="70" t="s">
        <v>43</v>
      </c>
      <c r="D792" s="97" t="e">
        <f>_xlfn.XLOOKUP(A792,[1]CPD_SOP_new!$A:$A,[1]CPD_SOP_new!#REF!,"not found",0 )</f>
        <v>#REF!</v>
      </c>
      <c r="E792" s="97" t="str">
        <f>_xlfn.XLOOKUP(A792,[1]CPD_SOP_new!$A:$A,[1]CPD_SOP_new!$K:$K,"not found",0 )</f>
        <v>2R</v>
      </c>
      <c r="F792" t="s">
        <v>27</v>
      </c>
      <c r="G792" t="s">
        <v>28</v>
      </c>
      <c r="H792" t="s">
        <v>27</v>
      </c>
      <c r="I792" t="s">
        <v>28</v>
      </c>
      <c r="J792" t="s">
        <v>29</v>
      </c>
      <c r="K792" s="70" t="s">
        <v>1227</v>
      </c>
      <c r="L792" t="s">
        <v>2713</v>
      </c>
      <c r="M792" s="100" t="str">
        <f t="shared" si="24"/>
        <v>TC195_Try_1_NB_awake_NB_2R_CPD.MF4.xz</v>
      </c>
      <c r="N792" s="59" t="str">
        <f t="shared" si="25"/>
        <v>_NB_awake_NB_2R_CPD.MF4.xz</v>
      </c>
      <c r="O792" s="66" t="s">
        <v>475</v>
      </c>
      <c r="P792" s="129"/>
    </row>
    <row r="793" spans="1:16">
      <c r="A793" s="82">
        <v>195</v>
      </c>
      <c r="B793" s="70" t="s">
        <v>2706</v>
      </c>
      <c r="C793" s="70" t="s">
        <v>43</v>
      </c>
      <c r="D793" s="97" t="e">
        <f>_xlfn.XLOOKUP(A793,[1]CPD_SOP_new!$A:$A,[1]CPD_SOP_new!#REF!,"not found",0 )</f>
        <v>#REF!</v>
      </c>
      <c r="E793" s="97" t="str">
        <f>_xlfn.XLOOKUP(A793,[1]CPD_SOP_new!$A:$A,[1]CPD_SOP_new!$K:$K,"not found",0 )</f>
        <v>2R</v>
      </c>
      <c r="F793" t="s">
        <v>27</v>
      </c>
      <c r="G793" t="s">
        <v>28</v>
      </c>
      <c r="H793" t="s">
        <v>27</v>
      </c>
      <c r="I793" t="s">
        <v>28</v>
      </c>
      <c r="J793" t="s">
        <v>29</v>
      </c>
      <c r="K793" s="70" t="s">
        <v>1229</v>
      </c>
      <c r="L793" t="s">
        <v>2714</v>
      </c>
      <c r="M793" s="100" t="str">
        <f t="shared" si="24"/>
        <v>TC195_Try_2_NB_awake_NB_2R_CPD.MF4.xz</v>
      </c>
      <c r="N793" s="59" t="str">
        <f t="shared" si="25"/>
        <v>_NB_awake_NB_2R_CPD.MF4.xz</v>
      </c>
      <c r="O793" s="66" t="s">
        <v>475</v>
      </c>
      <c r="P793" s="129"/>
    </row>
    <row r="794" spans="1:16">
      <c r="A794" s="82">
        <v>195</v>
      </c>
      <c r="B794" s="70" t="s">
        <v>2706</v>
      </c>
      <c r="C794" s="70" t="s">
        <v>43</v>
      </c>
      <c r="D794" s="97" t="e">
        <f>_xlfn.XLOOKUP(A794,[1]CPD_SOP_new!$A:$A,[1]CPD_SOP_new!#REF!,"not found",0 )</f>
        <v>#REF!</v>
      </c>
      <c r="E794" s="97" t="str">
        <f>_xlfn.XLOOKUP(A794,[1]CPD_SOP_new!$A:$A,[1]CPD_SOP_new!$K:$K,"not found",0 )</f>
        <v>2R</v>
      </c>
      <c r="F794" t="s">
        <v>27</v>
      </c>
      <c r="G794" t="s">
        <v>28</v>
      </c>
      <c r="H794" t="s">
        <v>27</v>
      </c>
      <c r="I794" t="s">
        <v>28</v>
      </c>
      <c r="J794" t="s">
        <v>29</v>
      </c>
      <c r="K794" s="70" t="s">
        <v>1230</v>
      </c>
      <c r="L794" t="s">
        <v>2715</v>
      </c>
      <c r="M794" s="100" t="str">
        <f t="shared" si="24"/>
        <v>TC195_Try_3_NB_awake_NB_2R_CPD.MF4.xz</v>
      </c>
      <c r="N794" s="59" t="str">
        <f t="shared" si="25"/>
        <v>_NB_awake_NB_2R_CPD.MF4.xz</v>
      </c>
      <c r="O794" s="66" t="s">
        <v>475</v>
      </c>
      <c r="P794" s="129"/>
    </row>
    <row r="795" spans="1:16">
      <c r="A795" s="82">
        <v>195</v>
      </c>
      <c r="B795" s="70" t="s">
        <v>2706</v>
      </c>
      <c r="C795" s="70" t="s">
        <v>43</v>
      </c>
      <c r="D795" s="97" t="e">
        <f>_xlfn.XLOOKUP(A795,[1]CPD_SOP_new!$A:$A,[1]CPD_SOP_new!#REF!,"not found",0 )</f>
        <v>#REF!</v>
      </c>
      <c r="E795" s="97" t="str">
        <f>_xlfn.XLOOKUP(A795,[1]CPD_SOP_new!$A:$A,[1]CPD_SOP_new!$K:$K,"not found",0 )</f>
        <v>2R</v>
      </c>
      <c r="F795" t="s">
        <v>27</v>
      </c>
      <c r="G795" t="s">
        <v>28</v>
      </c>
      <c r="H795" t="s">
        <v>27</v>
      </c>
      <c r="I795" t="s">
        <v>28</v>
      </c>
      <c r="J795" t="s">
        <v>29</v>
      </c>
      <c r="K795" s="71" t="s">
        <v>1231</v>
      </c>
      <c r="L795" s="132" t="s">
        <v>2716</v>
      </c>
      <c r="M795" s="100" t="str">
        <f t="shared" si="24"/>
        <v>CSR_XCP_Signals_Recorder_2026-01-12_13-53-44_TC195_NB_awake_NB_2R_CPD.MF4.xz</v>
      </c>
      <c r="N795" s="59" t="str">
        <f t="shared" si="25"/>
        <v>_NB_awake_NB_2R_CPD.MF4.xz</v>
      </c>
      <c r="O795" s="66" t="s">
        <v>41</v>
      </c>
      <c r="P795" s="129"/>
    </row>
    <row r="796" spans="1:16">
      <c r="A796" s="38">
        <v>196</v>
      </c>
      <c r="B796" s="70" t="s">
        <v>2706</v>
      </c>
      <c r="C796" s="70" t="s">
        <v>43</v>
      </c>
      <c r="D796" s="97" t="e">
        <f>_xlfn.XLOOKUP(A796,[1]CPD_SOP_new!$A:$A,[1]CPD_SOP_new!#REF!,"not found",0 )</f>
        <v>#REF!</v>
      </c>
      <c r="E796" s="97" t="str">
        <f>_xlfn.XLOOKUP(A796,[1]CPD_SOP_new!$A:$A,[1]CPD_SOP_new!$K:$K,"not found",0 )</f>
        <v>2L</v>
      </c>
      <c r="F796" t="s">
        <v>27</v>
      </c>
      <c r="G796" t="s">
        <v>27</v>
      </c>
      <c r="H796" t="s">
        <v>27</v>
      </c>
      <c r="I796" t="s">
        <v>28</v>
      </c>
      <c r="J796" t="s">
        <v>29</v>
      </c>
      <c r="K796" t="s">
        <v>1232</v>
      </c>
      <c r="L796" t="s">
        <v>2717</v>
      </c>
      <c r="M796" s="100" t="str">
        <f t="shared" si="24"/>
        <v>TC_196_NB_awake_NB_2L_CPD.MF4.xz</v>
      </c>
      <c r="N796" s="59" t="str">
        <f t="shared" si="25"/>
        <v>_NB_awake_NB_2L_CPD.MF4.xz</v>
      </c>
      <c r="O796" s="11" t="s">
        <v>2708</v>
      </c>
      <c r="P796" s="132"/>
    </row>
    <row r="797" spans="1:16">
      <c r="A797" s="38">
        <v>196</v>
      </c>
      <c r="B797" s="70" t="s">
        <v>2706</v>
      </c>
      <c r="C797" s="70" t="s">
        <v>43</v>
      </c>
      <c r="D797" s="97" t="e">
        <f>_xlfn.XLOOKUP(A797,[1]CPD_SOP_new!$A:$A,[1]CPD_SOP_new!#REF!,"not found",0 )</f>
        <v>#REF!</v>
      </c>
      <c r="E797" s="97" t="str">
        <f>_xlfn.XLOOKUP(A797,[1]CPD_SOP_new!$A:$A,[1]CPD_SOP_new!$K:$K,"not found",0 )</f>
        <v>2L</v>
      </c>
      <c r="F797" t="s">
        <v>27</v>
      </c>
      <c r="G797" t="s">
        <v>27</v>
      </c>
      <c r="H797" t="s">
        <v>27</v>
      </c>
      <c r="I797" t="s">
        <v>28</v>
      </c>
      <c r="J797" t="s">
        <v>29</v>
      </c>
      <c r="K797" t="s">
        <v>1234</v>
      </c>
      <c r="L797" t="s">
        <v>2718</v>
      </c>
      <c r="M797" s="100" t="str">
        <f t="shared" si="24"/>
        <v>TC_196_Try1_NB_awake_NB_2L_CPD.MF4.xz</v>
      </c>
      <c r="N797" s="59" t="str">
        <f t="shared" si="25"/>
        <v>_NB_awake_NB_2L_CPD.MF4.xz</v>
      </c>
      <c r="O797" s="11" t="s">
        <v>2710</v>
      </c>
      <c r="P797" s="132"/>
    </row>
    <row r="798" spans="1:16">
      <c r="A798" s="38">
        <v>196</v>
      </c>
      <c r="B798" s="70" t="s">
        <v>2706</v>
      </c>
      <c r="C798" s="70" t="s">
        <v>43</v>
      </c>
      <c r="D798" s="97" t="e">
        <f>_xlfn.XLOOKUP(A798,[1]CPD_SOP_new!$A:$A,[1]CPD_SOP_new!#REF!,"not found",0 )</f>
        <v>#REF!</v>
      </c>
      <c r="E798" s="97" t="str">
        <f>_xlfn.XLOOKUP(A798,[1]CPD_SOP_new!$A:$A,[1]CPD_SOP_new!$K:$K,"not found",0 )</f>
        <v>2L</v>
      </c>
      <c r="F798" t="s">
        <v>27</v>
      </c>
      <c r="G798" t="s">
        <v>27</v>
      </c>
      <c r="H798" t="s">
        <v>27</v>
      </c>
      <c r="I798" t="s">
        <v>28</v>
      </c>
      <c r="J798" t="s">
        <v>29</v>
      </c>
      <c r="K798" t="s">
        <v>1235</v>
      </c>
      <c r="L798" t="s">
        <v>2719</v>
      </c>
      <c r="M798" s="100" t="str">
        <f t="shared" si="24"/>
        <v>TC_196_Try2_NB_awake_NB_2L_CPD.MF4.xz</v>
      </c>
      <c r="N798" s="59" t="str">
        <f t="shared" si="25"/>
        <v>_NB_awake_NB_2L_CPD.MF4.xz</v>
      </c>
      <c r="O798" s="11" t="s">
        <v>2710</v>
      </c>
      <c r="P798" s="132"/>
    </row>
    <row r="799" spans="1:16">
      <c r="A799" s="38">
        <v>196</v>
      </c>
      <c r="B799" s="70" t="s">
        <v>2706</v>
      </c>
      <c r="C799" s="70" t="s">
        <v>43</v>
      </c>
      <c r="D799" s="97" t="e">
        <f>_xlfn.XLOOKUP(A799,[1]CPD_SOP_new!$A:$A,[1]CPD_SOP_new!#REF!,"not found",0 )</f>
        <v>#REF!</v>
      </c>
      <c r="E799" s="97" t="str">
        <f>_xlfn.XLOOKUP(A799,[1]CPD_SOP_new!$A:$A,[1]CPD_SOP_new!$K:$K,"not found",0 )</f>
        <v>2L</v>
      </c>
      <c r="F799" t="s">
        <v>27</v>
      </c>
      <c r="G799" t="s">
        <v>27</v>
      </c>
      <c r="H799" t="s">
        <v>27</v>
      </c>
      <c r="I799" t="s">
        <v>28</v>
      </c>
      <c r="J799" t="s">
        <v>29</v>
      </c>
      <c r="K799" t="s">
        <v>1236</v>
      </c>
      <c r="L799" t="s">
        <v>2720</v>
      </c>
      <c r="M799" s="100" t="str">
        <f t="shared" si="24"/>
        <v>TC_196_Try3_NB_awake_NB_2L_CPD.MF4.xz</v>
      </c>
      <c r="N799" s="59" t="str">
        <f t="shared" si="25"/>
        <v>_NB_awake_NB_2L_CPD.MF4.xz</v>
      </c>
      <c r="O799" s="11" t="s">
        <v>2710</v>
      </c>
      <c r="P799" s="132"/>
    </row>
    <row r="800" spans="1:16">
      <c r="A800" s="38">
        <v>197</v>
      </c>
      <c r="B800" s="70" t="s">
        <v>2706</v>
      </c>
      <c r="C800" s="70" t="s">
        <v>43</v>
      </c>
      <c r="D800" s="97" t="e">
        <f>_xlfn.XLOOKUP(A800,[1]CPD_SOP_new!$A:$A,[1]CPD_SOP_new!#REF!,"not found",0 )</f>
        <v>#REF!</v>
      </c>
      <c r="E800" s="97" t="str">
        <f>_xlfn.XLOOKUP(A800,[1]CPD_SOP_new!$A:$A,[1]CPD_SOP_new!$K:$K,"not found",0 )</f>
        <v>2C</v>
      </c>
      <c r="F800" t="s">
        <v>27</v>
      </c>
      <c r="G800" t="s">
        <v>27</v>
      </c>
      <c r="H800" t="s">
        <v>27</v>
      </c>
      <c r="I800" t="s">
        <v>28</v>
      </c>
      <c r="J800" t="s">
        <v>29</v>
      </c>
      <c r="K800" t="s">
        <v>1236</v>
      </c>
      <c r="L800" t="s">
        <v>2721</v>
      </c>
      <c r="M800" s="100" t="str">
        <f t="shared" si="24"/>
        <v>TC_196_Try3_NB_awake_NB_2C_CPD.MF4.xz</v>
      </c>
      <c r="N800" s="59" t="str">
        <f t="shared" si="25"/>
        <v>_NB_awake_NB_2C_CPD.MF4.xz</v>
      </c>
      <c r="O800" s="11" t="s">
        <v>2710</v>
      </c>
      <c r="P800" s="132"/>
    </row>
    <row r="801" spans="1:21">
      <c r="A801" s="38">
        <v>197</v>
      </c>
      <c r="B801" s="70" t="s">
        <v>2706</v>
      </c>
      <c r="C801" s="70" t="s">
        <v>43</v>
      </c>
      <c r="D801" s="97" t="e">
        <f>_xlfn.XLOOKUP(A801,[1]CPD_SOP_new!$A:$A,[1]CPD_SOP_new!#REF!,"not found",0 )</f>
        <v>#REF!</v>
      </c>
      <c r="E801" s="97" t="str">
        <f>_xlfn.XLOOKUP(A801,[1]CPD_SOP_new!$A:$A,[1]CPD_SOP_new!$K:$K,"not found",0 )</f>
        <v>2C</v>
      </c>
      <c r="F801" t="s">
        <v>27</v>
      </c>
      <c r="G801" t="s">
        <v>27</v>
      </c>
      <c r="H801" t="s">
        <v>27</v>
      </c>
      <c r="I801" t="s">
        <v>28</v>
      </c>
      <c r="J801" t="s">
        <v>29</v>
      </c>
      <c r="K801" t="s">
        <v>1237</v>
      </c>
      <c r="L801" t="s">
        <v>2722</v>
      </c>
      <c r="M801" s="100" t="str">
        <f t="shared" si="24"/>
        <v>TC_197_Try1_NB_awake_NB_2C_CPD.MF4.xz</v>
      </c>
      <c r="N801" s="59" t="str">
        <f t="shared" si="25"/>
        <v>_NB_awake_NB_2C_CPD.MF4.xz</v>
      </c>
      <c r="O801" s="11" t="s">
        <v>2710</v>
      </c>
      <c r="P801" s="132"/>
    </row>
    <row r="802" spans="1:21">
      <c r="A802" s="38">
        <v>197</v>
      </c>
      <c r="B802" s="70" t="s">
        <v>2706</v>
      </c>
      <c r="C802" s="70" t="s">
        <v>43</v>
      </c>
      <c r="D802" s="97" t="e">
        <f>_xlfn.XLOOKUP(A802,[1]CPD_SOP_new!$A:$A,[1]CPD_SOP_new!#REF!,"not found",0 )</f>
        <v>#REF!</v>
      </c>
      <c r="E802" s="97" t="str">
        <f>_xlfn.XLOOKUP(A802,[1]CPD_SOP_new!$A:$A,[1]CPD_SOP_new!$K:$K,"not found",0 )</f>
        <v>2C</v>
      </c>
      <c r="F802" t="s">
        <v>27</v>
      </c>
      <c r="G802" t="s">
        <v>27</v>
      </c>
      <c r="H802" t="s">
        <v>27</v>
      </c>
      <c r="I802" t="s">
        <v>28</v>
      </c>
      <c r="J802" t="s">
        <v>29</v>
      </c>
      <c r="K802" t="s">
        <v>1239</v>
      </c>
      <c r="L802" t="s">
        <v>2723</v>
      </c>
      <c r="M802" s="100" t="str">
        <f t="shared" si="24"/>
        <v>TC_197_Try2_NB_awake_NB_2C_CPD.MF4.xz</v>
      </c>
      <c r="N802" s="59" t="str">
        <f t="shared" si="25"/>
        <v>_NB_awake_NB_2C_CPD.MF4.xz</v>
      </c>
      <c r="O802" s="11" t="s">
        <v>2710</v>
      </c>
      <c r="P802" s="132"/>
    </row>
    <row r="803" spans="1:21">
      <c r="A803" s="38">
        <v>197</v>
      </c>
      <c r="B803" s="70" t="s">
        <v>2706</v>
      </c>
      <c r="C803" s="70" t="s">
        <v>43</v>
      </c>
      <c r="D803" s="97" t="e">
        <f>_xlfn.XLOOKUP(A803,[1]CPD_SOP_new!$A:$A,[1]CPD_SOP_new!#REF!,"not found",0 )</f>
        <v>#REF!</v>
      </c>
      <c r="E803" s="97" t="str">
        <f>_xlfn.XLOOKUP(A803,[1]CPD_SOP_new!$A:$A,[1]CPD_SOP_new!$K:$K,"not found",0 )</f>
        <v>2C</v>
      </c>
      <c r="F803" t="s">
        <v>27</v>
      </c>
      <c r="G803" t="s">
        <v>27</v>
      </c>
      <c r="H803" t="s">
        <v>27</v>
      </c>
      <c r="I803" t="s">
        <v>28</v>
      </c>
      <c r="J803" t="s">
        <v>29</v>
      </c>
      <c r="K803" t="s">
        <v>1240</v>
      </c>
      <c r="L803" t="s">
        <v>2724</v>
      </c>
      <c r="M803" s="100" t="str">
        <f t="shared" si="24"/>
        <v>TC_197_Try3_NB_awake_NB_2C_CPD.MF4.xz</v>
      </c>
      <c r="N803" s="59" t="str">
        <f t="shared" si="25"/>
        <v>_NB_awake_NB_2C_CPD.MF4.xz</v>
      </c>
      <c r="O803" s="11" t="s">
        <v>2710</v>
      </c>
      <c r="P803" s="132"/>
    </row>
    <row r="804" spans="1:21">
      <c r="A804" s="38">
        <v>198</v>
      </c>
      <c r="B804" s="70" t="s">
        <v>2706</v>
      </c>
      <c r="C804" s="70" t="s">
        <v>43</v>
      </c>
      <c r="D804" s="97" t="e">
        <f>_xlfn.XLOOKUP(A804,[1]CPD_SOP_new!$A:$A,[1]CPD_SOP_new!#REF!,"not found",0 )</f>
        <v>#REF!</v>
      </c>
      <c r="E804" s="97" t="str">
        <f>_xlfn.XLOOKUP(A804,[1]CPD_SOP_new!$A:$A,[1]CPD_SOP_new!$K:$K,"not found",0 )</f>
        <v>3R</v>
      </c>
      <c r="F804" t="s">
        <v>27</v>
      </c>
      <c r="G804" t="s">
        <v>27</v>
      </c>
      <c r="H804" t="s">
        <v>27</v>
      </c>
      <c r="I804" t="s">
        <v>28</v>
      </c>
      <c r="J804" t="s">
        <v>29</v>
      </c>
      <c r="K804" t="s">
        <v>1241</v>
      </c>
      <c r="L804" t="s">
        <v>2725</v>
      </c>
      <c r="M804" s="100" t="str">
        <f t="shared" si="24"/>
        <v>TC_198_NB_awake_NB_3R_CPD.MF4.xz</v>
      </c>
      <c r="N804" s="59" t="str">
        <f t="shared" si="25"/>
        <v>_NB_awake_NB_3R_CPD.MF4.xz</v>
      </c>
      <c r="O804" s="11" t="s">
        <v>2708</v>
      </c>
      <c r="P804" s="132"/>
    </row>
    <row r="805" spans="1:21">
      <c r="A805" s="38">
        <v>198</v>
      </c>
      <c r="B805" s="70" t="s">
        <v>2706</v>
      </c>
      <c r="C805" s="70" t="s">
        <v>43</v>
      </c>
      <c r="D805" s="97" t="e">
        <f>_xlfn.XLOOKUP(A805,[1]CPD_SOP_new!$A:$A,[1]CPD_SOP_new!#REF!,"not found",0 )</f>
        <v>#REF!</v>
      </c>
      <c r="E805" s="97" t="str">
        <f>_xlfn.XLOOKUP(A805,[1]CPD_SOP_new!$A:$A,[1]CPD_SOP_new!$K:$K,"not found",0 )</f>
        <v>3R</v>
      </c>
      <c r="F805" t="s">
        <v>27</v>
      </c>
      <c r="G805" t="s">
        <v>27</v>
      </c>
      <c r="H805" t="s">
        <v>27</v>
      </c>
      <c r="I805" t="s">
        <v>28</v>
      </c>
      <c r="J805" t="s">
        <v>29</v>
      </c>
      <c r="K805" t="s">
        <v>1243</v>
      </c>
      <c r="L805" t="s">
        <v>2726</v>
      </c>
      <c r="M805" s="100" t="str">
        <f t="shared" si="24"/>
        <v>TC_198_Try1_NB_awake_NB_3R_CPD.MF4.xz</v>
      </c>
      <c r="N805" s="59" t="str">
        <f t="shared" si="25"/>
        <v>_NB_awake_NB_3R_CPD.MF4.xz</v>
      </c>
      <c r="O805" s="11" t="s">
        <v>2710</v>
      </c>
      <c r="P805" s="132"/>
    </row>
    <row r="806" spans="1:21">
      <c r="A806" s="38">
        <v>198</v>
      </c>
      <c r="B806" s="70" t="s">
        <v>2706</v>
      </c>
      <c r="C806" s="70" t="s">
        <v>43</v>
      </c>
      <c r="D806" s="97" t="e">
        <f>_xlfn.XLOOKUP(A806,[1]CPD_SOP_new!$A:$A,[1]CPD_SOP_new!#REF!,"not found",0 )</f>
        <v>#REF!</v>
      </c>
      <c r="E806" s="97" t="str">
        <f>_xlfn.XLOOKUP(A806,[1]CPD_SOP_new!$A:$A,[1]CPD_SOP_new!$K:$K,"not found",0 )</f>
        <v>3R</v>
      </c>
      <c r="F806" t="s">
        <v>27</v>
      </c>
      <c r="G806" t="s">
        <v>27</v>
      </c>
      <c r="H806" t="s">
        <v>27</v>
      </c>
      <c r="I806" t="s">
        <v>28</v>
      </c>
      <c r="J806" t="s">
        <v>29</v>
      </c>
      <c r="K806" t="s">
        <v>1244</v>
      </c>
      <c r="L806" t="s">
        <v>2727</v>
      </c>
      <c r="M806" s="100" t="str">
        <f t="shared" si="24"/>
        <v>TC_198_Try2_NB_awake_NB_3R_CPD.MF4.xz</v>
      </c>
      <c r="N806" s="59" t="str">
        <f t="shared" si="25"/>
        <v>_NB_awake_NB_3R_CPD.MF4.xz</v>
      </c>
      <c r="O806" s="11" t="s">
        <v>2710</v>
      </c>
      <c r="P806" s="132"/>
    </row>
    <row r="807" spans="1:21">
      <c r="A807" s="38">
        <v>198</v>
      </c>
      <c r="B807" s="70" t="s">
        <v>2706</v>
      </c>
      <c r="C807" s="70" t="s">
        <v>43</v>
      </c>
      <c r="D807" s="97" t="e">
        <f>_xlfn.XLOOKUP(A807,[1]CPD_SOP_new!$A:$A,[1]CPD_SOP_new!#REF!,"not found",0 )</f>
        <v>#REF!</v>
      </c>
      <c r="E807" s="97" t="str">
        <f>_xlfn.XLOOKUP(A807,[1]CPD_SOP_new!$A:$A,[1]CPD_SOP_new!$K:$K,"not found",0 )</f>
        <v>3R</v>
      </c>
      <c r="F807" t="s">
        <v>27</v>
      </c>
      <c r="G807" t="s">
        <v>27</v>
      </c>
      <c r="H807" t="s">
        <v>27</v>
      </c>
      <c r="I807" t="s">
        <v>28</v>
      </c>
      <c r="J807" t="s">
        <v>29</v>
      </c>
      <c r="K807" t="s">
        <v>1245</v>
      </c>
      <c r="L807" t="s">
        <v>2728</v>
      </c>
      <c r="M807" s="100" t="str">
        <f t="shared" si="24"/>
        <v>TC_198_Try3_NB_awake_NB_3R_CPD.MF4.xz</v>
      </c>
      <c r="N807" s="59" t="str">
        <f t="shared" si="25"/>
        <v>_NB_awake_NB_3R_CPD.MF4.xz</v>
      </c>
      <c r="O807" s="11" t="s">
        <v>2710</v>
      </c>
      <c r="P807" s="132"/>
    </row>
    <row r="808" spans="1:21">
      <c r="A808" s="82">
        <v>200</v>
      </c>
      <c r="B808" s="70" t="s">
        <v>2133</v>
      </c>
      <c r="C808" s="70" t="s">
        <v>48</v>
      </c>
      <c r="D808" s="97" t="e">
        <f>_xlfn.XLOOKUP(A808,[1]CPD_SOP_new!$A:$A,[1]CPD_SOP_new!#REF!,"not found",0 )</f>
        <v>#REF!</v>
      </c>
      <c r="E808" s="97" t="s">
        <v>26</v>
      </c>
      <c r="F808" t="s">
        <v>27</v>
      </c>
      <c r="G808" t="s">
        <v>28</v>
      </c>
      <c r="H808" t="s">
        <v>28</v>
      </c>
      <c r="I808" t="s">
        <v>28</v>
      </c>
      <c r="J808" t="s">
        <v>29</v>
      </c>
      <c r="K808" s="70" t="s">
        <v>1246</v>
      </c>
      <c r="L808" t="s">
        <v>2729</v>
      </c>
      <c r="M808" s="100" t="str">
        <f t="shared" si="24"/>
        <v>TC_200_NCAP12_1YO_1R_CPD.MF4.xz</v>
      </c>
      <c r="N808" s="59" t="str">
        <f t="shared" si="25"/>
        <v>_NCAP12_1YO_1R_CPD.MF4.xz</v>
      </c>
      <c r="O808" s="66" t="s">
        <v>93</v>
      </c>
      <c r="P808" s="129"/>
    </row>
    <row r="809" spans="1:21">
      <c r="A809" s="82">
        <v>200</v>
      </c>
      <c r="B809" s="70" t="s">
        <v>2133</v>
      </c>
      <c r="C809" s="70" t="s">
        <v>48</v>
      </c>
      <c r="D809" s="97" t="e">
        <f>_xlfn.XLOOKUP(A809,[1]CPD_SOP_new!$A:$A,[1]CPD_SOP_new!#REF!,"not found",0 )</f>
        <v>#REF!</v>
      </c>
      <c r="E809" s="97" t="s">
        <v>26</v>
      </c>
      <c r="F809" t="s">
        <v>27</v>
      </c>
      <c r="G809" t="s">
        <v>28</v>
      </c>
      <c r="H809" t="s">
        <v>28</v>
      </c>
      <c r="I809" t="s">
        <v>28</v>
      </c>
      <c r="J809" t="s">
        <v>29</v>
      </c>
      <c r="K809" s="70" t="s">
        <v>1248</v>
      </c>
      <c r="L809" t="s">
        <v>2730</v>
      </c>
      <c r="M809" s="100" t="str">
        <f t="shared" si="24"/>
        <v>TC_200_Try1_NCAP12_1YO_1R_CPD.MF4.xz</v>
      </c>
      <c r="N809" s="59" t="str">
        <f t="shared" si="25"/>
        <v>_NCAP12_1YO_1R_CPD.MF4.xz</v>
      </c>
      <c r="O809" s="66" t="s">
        <v>1249</v>
      </c>
      <c r="P809" s="129"/>
    </row>
    <row r="810" spans="1:21">
      <c r="A810" s="82">
        <v>200</v>
      </c>
      <c r="B810" s="70" t="s">
        <v>2133</v>
      </c>
      <c r="C810" s="70" t="s">
        <v>48</v>
      </c>
      <c r="D810" s="97" t="e">
        <f>_xlfn.XLOOKUP(A810,[1]CPD_SOP_new!$A:$A,[1]CPD_SOP_new!#REF!,"not found",0 )</f>
        <v>#REF!</v>
      </c>
      <c r="E810" s="97" t="s">
        <v>26</v>
      </c>
      <c r="F810" t="s">
        <v>27</v>
      </c>
      <c r="G810" t="s">
        <v>28</v>
      </c>
      <c r="H810" t="s">
        <v>28</v>
      </c>
      <c r="I810" t="s">
        <v>28</v>
      </c>
      <c r="J810" t="s">
        <v>29</v>
      </c>
      <c r="K810" s="70" t="s">
        <v>1250</v>
      </c>
      <c r="L810" t="s">
        <v>2731</v>
      </c>
      <c r="M810" s="100" t="str">
        <f t="shared" si="24"/>
        <v>TC_200_Try2_NCAP12_1YO_1R_CPD.MF4.xz</v>
      </c>
      <c r="N810" s="59" t="str">
        <f t="shared" si="25"/>
        <v>_NCAP12_1YO_1R_CPD.MF4.xz</v>
      </c>
      <c r="O810" s="66" t="s">
        <v>1249</v>
      </c>
      <c r="P810" s="129"/>
    </row>
    <row r="811" spans="1:21">
      <c r="A811" s="82">
        <v>200</v>
      </c>
      <c r="B811" s="70" t="s">
        <v>2133</v>
      </c>
      <c r="C811" s="70" t="s">
        <v>48</v>
      </c>
      <c r="D811" s="97" t="e">
        <f>_xlfn.XLOOKUP(A811,[1]CPD_SOP_new!$A:$A,[1]CPD_SOP_new!#REF!,"not found",0 )</f>
        <v>#REF!</v>
      </c>
      <c r="E811" s="97" t="s">
        <v>26</v>
      </c>
      <c r="F811" t="s">
        <v>27</v>
      </c>
      <c r="G811" t="s">
        <v>28</v>
      </c>
      <c r="H811" t="s">
        <v>28</v>
      </c>
      <c r="I811" t="s">
        <v>28</v>
      </c>
      <c r="J811" t="s">
        <v>29</v>
      </c>
      <c r="K811" s="70" t="s">
        <v>1251</v>
      </c>
      <c r="L811" t="s">
        <v>2732</v>
      </c>
      <c r="M811" s="100" t="str">
        <f t="shared" si="24"/>
        <v>TC_200_Try3_NCAP12_1YO_1R_CPD.MF4.xz</v>
      </c>
      <c r="N811" s="59" t="str">
        <f t="shared" si="25"/>
        <v>_NCAP12_1YO_1R_CPD.MF4.xz</v>
      </c>
      <c r="O811" s="66" t="s">
        <v>1249</v>
      </c>
      <c r="P811" s="129"/>
    </row>
    <row r="812" spans="1:21">
      <c r="A812" s="82">
        <v>200</v>
      </c>
      <c r="B812" s="70" t="s">
        <v>2133</v>
      </c>
      <c r="C812" s="70" t="s">
        <v>48</v>
      </c>
      <c r="D812" s="97" t="e">
        <f>_xlfn.XLOOKUP(A812,[1]CPD_SOP_new!$A:$A,[1]CPD_SOP_new!#REF!,"not found",0 )</f>
        <v>#REF!</v>
      </c>
      <c r="E812" s="97" t="s">
        <v>26</v>
      </c>
      <c r="F812" t="s">
        <v>27</v>
      </c>
      <c r="G812" t="s">
        <v>28</v>
      </c>
      <c r="H812" t="s">
        <v>28</v>
      </c>
      <c r="I812" t="s">
        <v>28</v>
      </c>
      <c r="J812" t="s">
        <v>29</v>
      </c>
      <c r="K812" s="70" t="s">
        <v>1252</v>
      </c>
      <c r="L812" t="s">
        <v>2733</v>
      </c>
      <c r="M812" s="100" t="str">
        <f t="shared" si="24"/>
        <v>CSR_XCP_Signals_Recorder_2026-01-30_16-42-31_TC200_NCAP12_1YO_1R_CPD.MF4.xz</v>
      </c>
      <c r="N812" s="59" t="str">
        <f t="shared" si="25"/>
        <v>_NCAP12_1YO_1R_CPD.MF4.xz</v>
      </c>
      <c r="O812" s="60" t="s">
        <v>353</v>
      </c>
      <c r="Q812" t="s">
        <v>29</v>
      </c>
      <c r="R812" t="s">
        <v>29</v>
      </c>
      <c r="S812">
        <v>1</v>
      </c>
      <c r="T812">
        <v>0</v>
      </c>
      <c r="U812">
        <v>0</v>
      </c>
    </row>
    <row r="813" spans="1:21">
      <c r="A813" s="82">
        <v>200</v>
      </c>
      <c r="B813" s="70" t="s">
        <v>2133</v>
      </c>
      <c r="C813" s="70" t="s">
        <v>48</v>
      </c>
      <c r="D813" s="97" t="e">
        <f>_xlfn.XLOOKUP(A813,[1]CPD_SOP_new!$A:$A,[1]CPD_SOP_new!#REF!,"not found",0 )</f>
        <v>#REF!</v>
      </c>
      <c r="E813" s="97" t="s">
        <v>26</v>
      </c>
      <c r="F813" t="s">
        <v>27</v>
      </c>
      <c r="G813" t="s">
        <v>28</v>
      </c>
      <c r="H813" t="s">
        <v>28</v>
      </c>
      <c r="I813" t="s">
        <v>28</v>
      </c>
      <c r="J813" t="s">
        <v>29</v>
      </c>
      <c r="K813" s="70" t="s">
        <v>1254</v>
      </c>
      <c r="L813" t="s">
        <v>2734</v>
      </c>
      <c r="M813" s="100" t="str">
        <f t="shared" si="24"/>
        <v>CSR_XCP_Signals_Recorder_2026-01-30_16-43-08_TC200_NCAP12_1YO_1R_CPD.MF4.xz</v>
      </c>
      <c r="N813" s="59" t="str">
        <f t="shared" si="25"/>
        <v>_NCAP12_1YO_1R_CPD.MF4.xz</v>
      </c>
      <c r="O813" s="60" t="s">
        <v>353</v>
      </c>
      <c r="Q813" t="s">
        <v>29</v>
      </c>
      <c r="R813" t="s">
        <v>29</v>
      </c>
      <c r="S813">
        <v>1</v>
      </c>
      <c r="T813">
        <v>0</v>
      </c>
      <c r="U813">
        <v>0</v>
      </c>
    </row>
    <row r="814" spans="1:21">
      <c r="A814" s="82">
        <v>200</v>
      </c>
      <c r="B814" s="70" t="s">
        <v>2133</v>
      </c>
      <c r="C814" s="70" t="s">
        <v>48</v>
      </c>
      <c r="D814" s="97" t="e">
        <f>_xlfn.XLOOKUP(A814,[1]CPD_SOP_new!$A:$A,[1]CPD_SOP_new!#REF!,"not found",0 )</f>
        <v>#REF!</v>
      </c>
      <c r="E814" s="97" t="s">
        <v>26</v>
      </c>
      <c r="F814" t="s">
        <v>27</v>
      </c>
      <c r="G814" t="s">
        <v>28</v>
      </c>
      <c r="H814" t="s">
        <v>28</v>
      </c>
      <c r="I814" t="s">
        <v>28</v>
      </c>
      <c r="J814" t="s">
        <v>29</v>
      </c>
      <c r="K814" s="70" t="s">
        <v>1255</v>
      </c>
      <c r="L814" t="s">
        <v>2735</v>
      </c>
      <c r="M814" s="100" t="str">
        <f t="shared" si="24"/>
        <v>CSR_XCP_Signals_Recorder_2026-01-30_16-43-43_TC200_NCAP12_1YO_1R_CPD.MF4.xz</v>
      </c>
      <c r="N814" s="59" t="str">
        <f t="shared" si="25"/>
        <v>_NCAP12_1YO_1R_CPD.MF4.xz</v>
      </c>
      <c r="O814" s="60" t="s">
        <v>353</v>
      </c>
      <c r="Q814" t="s">
        <v>29</v>
      </c>
      <c r="R814" t="s">
        <v>29</v>
      </c>
      <c r="S814">
        <v>1</v>
      </c>
      <c r="T814">
        <v>0</v>
      </c>
      <c r="U814">
        <v>0</v>
      </c>
    </row>
    <row r="815" spans="1:21" s="130" customFormat="1">
      <c r="A815" s="83">
        <v>201</v>
      </c>
      <c r="B815" s="75" t="s">
        <v>2133</v>
      </c>
      <c r="C815" s="75" t="s">
        <v>48</v>
      </c>
      <c r="D815" s="97" t="e">
        <f>_xlfn.XLOOKUP(A815,[1]CPD_SOP_new!$A:$A,[1]CPD_SOP_new!#REF!,"not found",0 )</f>
        <v>#REF!</v>
      </c>
      <c r="E815" s="97" t="str">
        <f>_xlfn.XLOOKUP(A815,[1]CPD_SOP_new!$A:$A,[1]CPD_SOP_new!$K:$K,"not found",0 )</f>
        <v>2R</v>
      </c>
      <c r="F815" s="130" t="s">
        <v>27</v>
      </c>
      <c r="G815" s="130" t="s">
        <v>28</v>
      </c>
      <c r="H815" s="130" t="s">
        <v>28</v>
      </c>
      <c r="I815" s="130" t="s">
        <v>27</v>
      </c>
      <c r="J815" s="130" t="s">
        <v>723</v>
      </c>
      <c r="K815" s="61" t="s">
        <v>724</v>
      </c>
      <c r="L815" s="61" t="s">
        <v>723</v>
      </c>
      <c r="M815" s="100" t="str">
        <f t="shared" si="24"/>
        <v>Wrong measurement</v>
      </c>
      <c r="N815" s="59" t="str">
        <f t="shared" si="25"/>
        <v>Wrong measurement</v>
      </c>
      <c r="O815" s="67" t="s">
        <v>380</v>
      </c>
      <c r="P815" s="131"/>
    </row>
    <row r="816" spans="1:21" s="130" customFormat="1">
      <c r="A816" s="83">
        <v>201</v>
      </c>
      <c r="B816" s="75" t="s">
        <v>2133</v>
      </c>
      <c r="C816" s="75" t="s">
        <v>48</v>
      </c>
      <c r="D816" s="97" t="e">
        <f>_xlfn.XLOOKUP(A816,[1]CPD_SOP_new!$A:$A,[1]CPD_SOP_new!#REF!,"not found",0 )</f>
        <v>#REF!</v>
      </c>
      <c r="E816" s="97" t="str">
        <f>_xlfn.XLOOKUP(A816,[1]CPD_SOP_new!$A:$A,[1]CPD_SOP_new!$K:$K,"not found",0 )</f>
        <v>2R</v>
      </c>
      <c r="F816" s="130" t="s">
        <v>27</v>
      </c>
      <c r="G816" s="130" t="s">
        <v>28</v>
      </c>
      <c r="H816" s="130" t="s">
        <v>28</v>
      </c>
      <c r="I816" s="130" t="s">
        <v>27</v>
      </c>
      <c r="J816" s="130" t="s">
        <v>723</v>
      </c>
      <c r="K816" s="61" t="s">
        <v>741</v>
      </c>
      <c r="L816" s="61" t="s">
        <v>723</v>
      </c>
      <c r="M816" s="100" t="str">
        <f t="shared" si="24"/>
        <v>Wrong measurement</v>
      </c>
      <c r="N816" s="59" t="str">
        <f t="shared" si="25"/>
        <v>Wrong measurement</v>
      </c>
      <c r="O816" s="67" t="s">
        <v>380</v>
      </c>
      <c r="P816" s="131"/>
    </row>
    <row r="817" spans="1:16" s="130" customFormat="1">
      <c r="A817" s="83">
        <v>201</v>
      </c>
      <c r="B817" s="75" t="s">
        <v>2133</v>
      </c>
      <c r="C817" s="75" t="s">
        <v>48</v>
      </c>
      <c r="D817" s="97" t="e">
        <f>_xlfn.XLOOKUP(A817,[1]CPD_SOP_new!$A:$A,[1]CPD_SOP_new!#REF!,"not found",0 )</f>
        <v>#REF!</v>
      </c>
      <c r="E817" s="97" t="str">
        <f>_xlfn.XLOOKUP(A817,[1]CPD_SOP_new!$A:$A,[1]CPD_SOP_new!$K:$K,"not found",0 )</f>
        <v>2R</v>
      </c>
      <c r="F817" s="130" t="s">
        <v>27</v>
      </c>
      <c r="G817" s="130" t="s">
        <v>28</v>
      </c>
      <c r="H817" s="130" t="s">
        <v>28</v>
      </c>
      <c r="I817" s="130" t="s">
        <v>27</v>
      </c>
      <c r="J817" s="130" t="s">
        <v>723</v>
      </c>
      <c r="K817" s="61" t="s">
        <v>750</v>
      </c>
      <c r="L817" s="61" t="s">
        <v>723</v>
      </c>
      <c r="M817" s="100" t="str">
        <f t="shared" si="24"/>
        <v>Wrong measurement</v>
      </c>
      <c r="N817" s="59" t="str">
        <f t="shared" si="25"/>
        <v>Wrong measurement</v>
      </c>
      <c r="O817" s="67" t="s">
        <v>380</v>
      </c>
      <c r="P817" s="131"/>
    </row>
    <row r="818" spans="1:16">
      <c r="A818" s="82">
        <v>201</v>
      </c>
      <c r="B818" s="70" t="s">
        <v>2133</v>
      </c>
      <c r="C818" s="70" t="s">
        <v>48</v>
      </c>
      <c r="D818" s="97" t="e">
        <f>_xlfn.XLOOKUP(A818,[1]CPD_SOP_new!$A:$A,[1]CPD_SOP_new!#REF!,"not found",0 )</f>
        <v>#REF!</v>
      </c>
      <c r="E818" s="97" t="str">
        <f>_xlfn.XLOOKUP(A818,[1]CPD_SOP_new!$A:$A,[1]CPD_SOP_new!$K:$K,"not found",0 )</f>
        <v>2R</v>
      </c>
      <c r="F818" t="s">
        <v>27</v>
      </c>
      <c r="G818" t="s">
        <v>28</v>
      </c>
      <c r="H818" t="s">
        <v>28</v>
      </c>
      <c r="I818" t="s">
        <v>28</v>
      </c>
      <c r="J818" t="s">
        <v>29</v>
      </c>
      <c r="K818" s="70" t="s">
        <v>1266</v>
      </c>
      <c r="L818" t="s">
        <v>2736</v>
      </c>
      <c r="M818" s="100" t="str">
        <f t="shared" si="24"/>
        <v>TC201_Try_1_NCAP12_1YO_2R_CPD.MF4.xz</v>
      </c>
      <c r="N818" s="59" t="str">
        <f t="shared" si="25"/>
        <v>_NCAP12_1YO_2R_CPD.MF4.xz</v>
      </c>
      <c r="O818" s="60" t="s">
        <v>475</v>
      </c>
    </row>
    <row r="819" spans="1:16">
      <c r="A819" s="82">
        <v>201</v>
      </c>
      <c r="B819" s="70" t="s">
        <v>2133</v>
      </c>
      <c r="C819" s="70" t="s">
        <v>48</v>
      </c>
      <c r="D819" s="97" t="e">
        <f>_xlfn.XLOOKUP(A819,[1]CPD_SOP_new!$A:$A,[1]CPD_SOP_new!#REF!,"not found",0 )</f>
        <v>#REF!</v>
      </c>
      <c r="E819" s="97" t="str">
        <f>_xlfn.XLOOKUP(A819,[1]CPD_SOP_new!$A:$A,[1]CPD_SOP_new!$K:$K,"not found",0 )</f>
        <v>2R</v>
      </c>
      <c r="F819" t="s">
        <v>27</v>
      </c>
      <c r="G819" t="s">
        <v>28</v>
      </c>
      <c r="H819" t="s">
        <v>28</v>
      </c>
      <c r="I819" t="s">
        <v>28</v>
      </c>
      <c r="J819" t="s">
        <v>29</v>
      </c>
      <c r="K819" s="70" t="s">
        <v>1268</v>
      </c>
      <c r="L819" t="s">
        <v>2737</v>
      </c>
      <c r="M819" s="100" t="str">
        <f t="shared" si="24"/>
        <v>TC201_Try_2_NCAP12_1YO_2R_CPD.MF4.xz</v>
      </c>
      <c r="N819" s="59" t="str">
        <f t="shared" si="25"/>
        <v>_NCAP12_1YO_2R_CPD.MF4.xz</v>
      </c>
      <c r="O819" s="60" t="s">
        <v>475</v>
      </c>
    </row>
    <row r="820" spans="1:16">
      <c r="A820" s="82">
        <v>201</v>
      </c>
      <c r="B820" s="70" t="s">
        <v>2133</v>
      </c>
      <c r="C820" s="70" t="s">
        <v>48</v>
      </c>
      <c r="D820" s="97" t="e">
        <f>_xlfn.XLOOKUP(A820,[1]CPD_SOP_new!$A:$A,[1]CPD_SOP_new!#REF!,"not found",0 )</f>
        <v>#REF!</v>
      </c>
      <c r="E820" s="97" t="str">
        <f>_xlfn.XLOOKUP(A820,[1]CPD_SOP_new!$A:$A,[1]CPD_SOP_new!$K:$K,"not found",0 )</f>
        <v>2R</v>
      </c>
      <c r="F820" t="s">
        <v>27</v>
      </c>
      <c r="G820" t="s">
        <v>28</v>
      </c>
      <c r="H820" t="s">
        <v>28</v>
      </c>
      <c r="I820" t="s">
        <v>28</v>
      </c>
      <c r="J820" t="s">
        <v>29</v>
      </c>
      <c r="K820" s="70" t="s">
        <v>1269</v>
      </c>
      <c r="L820" t="s">
        <v>2738</v>
      </c>
      <c r="M820" s="100" t="str">
        <f t="shared" si="24"/>
        <v>TC201_Try_3_NCAP12_1YO_2R_CPD.MF4.xz</v>
      </c>
      <c r="N820" s="59" t="str">
        <f t="shared" si="25"/>
        <v>_NCAP12_1YO_2R_CPD.MF4.xz</v>
      </c>
      <c r="O820" s="60" t="s">
        <v>475</v>
      </c>
    </row>
    <row r="821" spans="1:16">
      <c r="A821" s="82">
        <v>201</v>
      </c>
      <c r="B821" s="70" t="s">
        <v>2133</v>
      </c>
      <c r="C821" s="70" t="s">
        <v>48</v>
      </c>
      <c r="D821" s="97" t="e">
        <f>_xlfn.XLOOKUP(A821,[1]CPD_SOP_new!$A:$A,[1]CPD_SOP_new!#REF!,"not found",0 )</f>
        <v>#REF!</v>
      </c>
      <c r="E821" s="97" t="str">
        <f>_xlfn.XLOOKUP(A821,[1]CPD_SOP_new!$A:$A,[1]CPD_SOP_new!$K:$K,"not found",0 )</f>
        <v>2R</v>
      </c>
      <c r="F821" t="s">
        <v>28</v>
      </c>
      <c r="G821" t="s">
        <v>28</v>
      </c>
      <c r="H821" t="s">
        <v>28</v>
      </c>
      <c r="I821" t="s">
        <v>28</v>
      </c>
      <c r="J821" t="s">
        <v>29</v>
      </c>
      <c r="K821" s="71" t="s">
        <v>1270</v>
      </c>
      <c r="L821" s="132" t="s">
        <v>2739</v>
      </c>
      <c r="M821" s="100" t="str">
        <f t="shared" si="24"/>
        <v>CPD_TC201_Try1_NCAP12_1YO_2R_CPD.MF4.xz</v>
      </c>
      <c r="N821" s="59" t="str">
        <f t="shared" si="25"/>
        <v>_NCAP12_1YO_2R_CPD.MF4.xz</v>
      </c>
      <c r="O821" s="60" t="s">
        <v>86</v>
      </c>
    </row>
    <row r="822" spans="1:16">
      <c r="A822" s="82">
        <v>201</v>
      </c>
      <c r="B822" s="70" t="s">
        <v>2133</v>
      </c>
      <c r="C822" s="70" t="s">
        <v>48</v>
      </c>
      <c r="D822" s="97" t="e">
        <f>_xlfn.XLOOKUP(A822,[1]CPD_SOP_new!$A:$A,[1]CPD_SOP_new!#REF!,"not found",0 )</f>
        <v>#REF!</v>
      </c>
      <c r="E822" s="97" t="str">
        <f>_xlfn.XLOOKUP(A822,[1]CPD_SOP_new!$A:$A,[1]CPD_SOP_new!$K:$K,"not found",0 )</f>
        <v>2R</v>
      </c>
      <c r="F822" t="s">
        <v>28</v>
      </c>
      <c r="G822" t="s">
        <v>28</v>
      </c>
      <c r="H822" t="s">
        <v>28</v>
      </c>
      <c r="I822" t="s">
        <v>28</v>
      </c>
      <c r="J822" t="s">
        <v>29</v>
      </c>
      <c r="K822" s="11" t="s">
        <v>1272</v>
      </c>
      <c r="L822" s="11" t="s">
        <v>2740</v>
      </c>
      <c r="M822" s="100" t="str">
        <f t="shared" si="24"/>
        <v>CPD_TC201_Try2_NCAP12_1YO_2R_CPD.MF4.xz</v>
      </c>
      <c r="N822" s="59" t="str">
        <f t="shared" si="25"/>
        <v>_NCAP12_1YO_2R_CPD.MF4.xz</v>
      </c>
      <c r="O822" s="60" t="s">
        <v>86</v>
      </c>
    </row>
    <row r="823" spans="1:16">
      <c r="A823" s="82">
        <v>201</v>
      </c>
      <c r="B823" s="70" t="s">
        <v>2133</v>
      </c>
      <c r="C823" s="70" t="s">
        <v>48</v>
      </c>
      <c r="D823" s="97" t="e">
        <f>_xlfn.XLOOKUP(A823,[1]CPD_SOP_new!$A:$A,[1]CPD_SOP_new!#REF!,"not found",0 )</f>
        <v>#REF!</v>
      </c>
      <c r="E823" s="97" t="str">
        <f>_xlfn.XLOOKUP(A823,[1]CPD_SOP_new!$A:$A,[1]CPD_SOP_new!$K:$K,"not found",0 )</f>
        <v>2R</v>
      </c>
      <c r="F823" t="s">
        <v>28</v>
      </c>
      <c r="G823" t="s">
        <v>28</v>
      </c>
      <c r="H823" t="s">
        <v>28</v>
      </c>
      <c r="I823" t="s">
        <v>28</v>
      </c>
      <c r="J823" t="s">
        <v>29</v>
      </c>
      <c r="K823" s="11" t="s">
        <v>1273</v>
      </c>
      <c r="L823" s="132" t="s">
        <v>2741</v>
      </c>
      <c r="M823" s="100" t="str">
        <f t="shared" si="24"/>
        <v>CPD_TC201_Try3_NCAP12_1YO_2R_CPD.MF4.xz</v>
      </c>
      <c r="N823" s="59" t="str">
        <f t="shared" si="25"/>
        <v>_NCAP12_1YO_2R_CPD.MF4.xz</v>
      </c>
      <c r="O823" t="s">
        <v>86</v>
      </c>
    </row>
    <row r="824" spans="1:16">
      <c r="A824" s="82">
        <v>201</v>
      </c>
      <c r="B824" s="70" t="s">
        <v>2133</v>
      </c>
      <c r="C824" s="70" t="s">
        <v>48</v>
      </c>
      <c r="D824" s="97" t="e">
        <f>_xlfn.XLOOKUP(A824,[1]CPD_SOP_new!$A:$A,[1]CPD_SOP_new!#REF!,"not found",0 )</f>
        <v>#REF!</v>
      </c>
      <c r="E824" s="97" t="str">
        <f>_xlfn.XLOOKUP(A824,[1]CPD_SOP_new!$A:$A,[1]CPD_SOP_new!$K:$K,"not found",0 )</f>
        <v>2R</v>
      </c>
      <c r="F824" t="s">
        <v>28</v>
      </c>
      <c r="G824" t="s">
        <v>28</v>
      </c>
      <c r="H824" t="s">
        <v>28</v>
      </c>
      <c r="I824" t="s">
        <v>28</v>
      </c>
      <c r="J824" t="s">
        <v>29</v>
      </c>
      <c r="K824" s="11" t="s">
        <v>1274</v>
      </c>
      <c r="L824" s="132" t="s">
        <v>2742</v>
      </c>
      <c r="M824" s="100" t="str">
        <f t="shared" si="24"/>
        <v>CPD_TC201_Try4_NCAP12_1YO_2R_CPD.MF4.xz</v>
      </c>
      <c r="N824" s="59" t="str">
        <f t="shared" si="25"/>
        <v>_NCAP12_1YO_2R_CPD.MF4.xz</v>
      </c>
      <c r="O824" t="s">
        <v>86</v>
      </c>
    </row>
    <row r="825" spans="1:16">
      <c r="A825" s="77">
        <v>201</v>
      </c>
      <c r="B825" t="s">
        <v>2133</v>
      </c>
      <c r="C825" t="s">
        <v>48</v>
      </c>
      <c r="D825" s="97" t="e">
        <f>_xlfn.XLOOKUP(A825,[1]CPD_SOP_new!$A:$A,[1]CPD_SOP_new!#REF!,"not found",0 )</f>
        <v>#REF!</v>
      </c>
      <c r="E825" s="97" t="str">
        <f>_xlfn.XLOOKUP(A825,[1]CPD_SOP_new!$A:$A,[1]CPD_SOP_new!$K:$K,"not found",0 )</f>
        <v>2R</v>
      </c>
      <c r="F825" t="s">
        <v>28</v>
      </c>
      <c r="G825" t="s">
        <v>28</v>
      </c>
      <c r="H825" t="s">
        <v>28</v>
      </c>
      <c r="I825" t="s">
        <v>28</v>
      </c>
      <c r="J825" t="s">
        <v>29</v>
      </c>
      <c r="K825" s="132" t="s">
        <v>1275</v>
      </c>
      <c r="L825" s="132" t="s">
        <v>2743</v>
      </c>
      <c r="M825" s="100" t="str">
        <f t="shared" si="24"/>
        <v>CPD_TC201_Try5_NCAP12_1YO_2R_CPD.MF4.xz</v>
      </c>
      <c r="N825" s="59" t="str">
        <f t="shared" si="25"/>
        <v>_NCAP12_1YO_2R_CPD.MF4.xz</v>
      </c>
      <c r="O825" t="s">
        <v>86</v>
      </c>
    </row>
    <row r="826" spans="1:16">
      <c r="A826" s="77">
        <v>202</v>
      </c>
      <c r="B826" t="s">
        <v>2133</v>
      </c>
      <c r="C826" t="s">
        <v>48</v>
      </c>
      <c r="D826" s="97" t="e">
        <f>_xlfn.XLOOKUP(A826,[1]CPD_SOP_new!$A:$A,[1]CPD_SOP_new!#REF!,"not found",0 )</f>
        <v>#REF!</v>
      </c>
      <c r="E826" s="97" t="str">
        <f>_xlfn.XLOOKUP(A826,[1]CPD_SOP_new!$A:$A,[1]CPD_SOP_new!$K:$K,"not found",0 )</f>
        <v>2C</v>
      </c>
      <c r="F826" t="s">
        <v>27</v>
      </c>
      <c r="G826" t="s">
        <v>28</v>
      </c>
      <c r="H826" t="s">
        <v>28</v>
      </c>
      <c r="I826" t="s">
        <v>28</v>
      </c>
      <c r="J826" t="s">
        <v>29</v>
      </c>
      <c r="K826" t="s">
        <v>1276</v>
      </c>
      <c r="L826" t="s">
        <v>2744</v>
      </c>
      <c r="M826" s="100" t="str">
        <f t="shared" si="24"/>
        <v>TC_202_NCAP12_1YO_2C_CPD.MF4.xz</v>
      </c>
      <c r="N826" s="59" t="str">
        <f t="shared" si="25"/>
        <v>_NCAP12_1YO_2C_CPD.MF4.xz</v>
      </c>
      <c r="O826" s="129" t="s">
        <v>93</v>
      </c>
      <c r="P826" s="129"/>
    </row>
    <row r="827" spans="1:16">
      <c r="A827" s="77">
        <v>202</v>
      </c>
      <c r="B827" t="s">
        <v>2133</v>
      </c>
      <c r="C827" t="s">
        <v>48</v>
      </c>
      <c r="D827" s="97" t="e">
        <f>_xlfn.XLOOKUP(A827,[1]CPD_SOP_new!$A:$A,[1]CPD_SOP_new!#REF!,"not found",0 )</f>
        <v>#REF!</v>
      </c>
      <c r="E827" s="97" t="str">
        <f>_xlfn.XLOOKUP(A827,[1]CPD_SOP_new!$A:$A,[1]CPD_SOP_new!$K:$K,"not found",0 )</f>
        <v>2C</v>
      </c>
      <c r="F827" t="s">
        <v>27</v>
      </c>
      <c r="G827" t="s">
        <v>28</v>
      </c>
      <c r="H827" t="s">
        <v>28</v>
      </c>
      <c r="I827" t="s">
        <v>28</v>
      </c>
      <c r="J827" t="s">
        <v>29</v>
      </c>
      <c r="K827" t="s">
        <v>1278</v>
      </c>
      <c r="L827" t="s">
        <v>2745</v>
      </c>
      <c r="M827" s="100" t="str">
        <f t="shared" si="24"/>
        <v>TC_202_Try1_NCAP12_1YO_2C_CPD.MF4.xz</v>
      </c>
      <c r="N827" s="59" t="str">
        <f t="shared" si="25"/>
        <v>_NCAP12_1YO_2C_CPD.MF4.xz</v>
      </c>
      <c r="O827" s="129" t="s">
        <v>752</v>
      </c>
      <c r="P827" s="129"/>
    </row>
    <row r="828" spans="1:16">
      <c r="A828" s="77">
        <v>202</v>
      </c>
      <c r="B828" t="s">
        <v>2133</v>
      </c>
      <c r="C828" t="s">
        <v>48</v>
      </c>
      <c r="D828" s="97" t="e">
        <f>_xlfn.XLOOKUP(A828,[1]CPD_SOP_new!$A:$A,[1]CPD_SOP_new!#REF!,"not found",0 )</f>
        <v>#REF!</v>
      </c>
      <c r="E828" s="97" t="str">
        <f>_xlfn.XLOOKUP(A828,[1]CPD_SOP_new!$A:$A,[1]CPD_SOP_new!$K:$K,"not found",0 )</f>
        <v>2C</v>
      </c>
      <c r="F828" t="s">
        <v>27</v>
      </c>
      <c r="G828" t="s">
        <v>28</v>
      </c>
      <c r="H828" t="s">
        <v>28</v>
      </c>
      <c r="I828" t="s">
        <v>28</v>
      </c>
      <c r="J828" t="s">
        <v>29</v>
      </c>
      <c r="K828" t="s">
        <v>1279</v>
      </c>
      <c r="L828" t="s">
        <v>2746</v>
      </c>
      <c r="M828" s="100" t="str">
        <f t="shared" si="24"/>
        <v>TC_202_Try2_NCAP12_1YO_2C_CPD.MF4.xz</v>
      </c>
      <c r="N828" s="59" t="str">
        <f t="shared" si="25"/>
        <v>_NCAP12_1YO_2C_CPD.MF4.xz</v>
      </c>
      <c r="O828" s="129" t="s">
        <v>752</v>
      </c>
      <c r="P828" s="129"/>
    </row>
    <row r="829" spans="1:16">
      <c r="A829" s="77">
        <v>202</v>
      </c>
      <c r="B829" t="s">
        <v>2133</v>
      </c>
      <c r="C829" t="s">
        <v>48</v>
      </c>
      <c r="D829" s="97" t="e">
        <f>_xlfn.XLOOKUP(A829,[1]CPD_SOP_new!$A:$A,[1]CPD_SOP_new!#REF!,"not found",0 )</f>
        <v>#REF!</v>
      </c>
      <c r="E829" s="97" t="str">
        <f>_xlfn.XLOOKUP(A829,[1]CPD_SOP_new!$A:$A,[1]CPD_SOP_new!$K:$K,"not found",0 )</f>
        <v>2C</v>
      </c>
      <c r="F829" t="s">
        <v>27</v>
      </c>
      <c r="G829" t="s">
        <v>28</v>
      </c>
      <c r="H829" t="s">
        <v>28</v>
      </c>
      <c r="I829" t="s">
        <v>28</v>
      </c>
      <c r="J829" t="s">
        <v>29</v>
      </c>
      <c r="K829" t="s">
        <v>1280</v>
      </c>
      <c r="L829" t="s">
        <v>2747</v>
      </c>
      <c r="M829" s="100" t="str">
        <f t="shared" si="24"/>
        <v>TC_202_Try3_NCAP12_1YO_2C_CPD.MF4.xz</v>
      </c>
      <c r="N829" s="59" t="str">
        <f t="shared" si="25"/>
        <v>_NCAP12_1YO_2C_CPD.MF4.xz</v>
      </c>
      <c r="O829" s="129" t="s">
        <v>752</v>
      </c>
      <c r="P829" s="129"/>
    </row>
    <row r="830" spans="1:16">
      <c r="A830" s="77">
        <v>203</v>
      </c>
      <c r="B830" t="s">
        <v>2133</v>
      </c>
      <c r="C830" t="s">
        <v>48</v>
      </c>
      <c r="D830" s="97" t="e">
        <f>_xlfn.XLOOKUP(A830,[1]CPD_SOP_new!$A:$A,[1]CPD_SOP_new!#REF!,"not found",0 )</f>
        <v>#REF!</v>
      </c>
      <c r="E830" s="97" t="str">
        <f>_xlfn.XLOOKUP(A830,[1]CPD_SOP_new!$A:$A,[1]CPD_SOP_new!$K:$K,"not found",0 )</f>
        <v>3L</v>
      </c>
      <c r="F830" t="s">
        <v>27</v>
      </c>
      <c r="G830" t="s">
        <v>28</v>
      </c>
      <c r="H830" t="s">
        <v>28</v>
      </c>
      <c r="I830" t="s">
        <v>28</v>
      </c>
      <c r="J830" t="s">
        <v>29</v>
      </c>
      <c r="K830" t="s">
        <v>1281</v>
      </c>
      <c r="L830" t="s">
        <v>2748</v>
      </c>
      <c r="M830" s="100" t="str">
        <f t="shared" si="24"/>
        <v>TC203_Try_1_NCAP12_1YO_3L_CPD.MF4.xz</v>
      </c>
      <c r="N830" s="59" t="str">
        <f t="shared" si="25"/>
        <v>_NCAP12_1YO_3L_CPD.MF4.xz</v>
      </c>
      <c r="O830" t="s">
        <v>475</v>
      </c>
    </row>
    <row r="831" spans="1:16">
      <c r="A831" s="77">
        <v>203</v>
      </c>
      <c r="B831" t="s">
        <v>2133</v>
      </c>
      <c r="C831" t="s">
        <v>48</v>
      </c>
      <c r="D831" s="97" t="e">
        <f>_xlfn.XLOOKUP(A831,[1]CPD_SOP_new!$A:$A,[1]CPD_SOP_new!#REF!,"not found",0 )</f>
        <v>#REF!</v>
      </c>
      <c r="E831" s="97" t="str">
        <f>_xlfn.XLOOKUP(A831,[1]CPD_SOP_new!$A:$A,[1]CPD_SOP_new!$K:$K,"not found",0 )</f>
        <v>3L</v>
      </c>
      <c r="F831" t="s">
        <v>27</v>
      </c>
      <c r="G831" t="s">
        <v>28</v>
      </c>
      <c r="H831" t="s">
        <v>28</v>
      </c>
      <c r="I831" t="s">
        <v>28</v>
      </c>
      <c r="J831" t="s">
        <v>29</v>
      </c>
      <c r="K831" t="s">
        <v>1283</v>
      </c>
      <c r="L831" t="s">
        <v>2749</v>
      </c>
      <c r="M831" s="100" t="str">
        <f t="shared" si="24"/>
        <v>TC203_Try_2_NCAP12_1YO_3L_CPD.MF4.xz</v>
      </c>
      <c r="N831" s="59" t="str">
        <f t="shared" si="25"/>
        <v>_NCAP12_1YO_3L_CPD.MF4.xz</v>
      </c>
      <c r="O831" t="s">
        <v>475</v>
      </c>
    </row>
    <row r="832" spans="1:16">
      <c r="A832" s="77">
        <v>203</v>
      </c>
      <c r="B832" t="s">
        <v>2133</v>
      </c>
      <c r="C832" t="s">
        <v>48</v>
      </c>
      <c r="D832" s="97" t="e">
        <f>_xlfn.XLOOKUP(A832,[1]CPD_SOP_new!$A:$A,[1]CPD_SOP_new!#REF!,"not found",0 )</f>
        <v>#REF!</v>
      </c>
      <c r="E832" s="97" t="str">
        <f>_xlfn.XLOOKUP(A832,[1]CPD_SOP_new!$A:$A,[1]CPD_SOP_new!$K:$K,"not found",0 )</f>
        <v>3L</v>
      </c>
      <c r="F832" t="s">
        <v>27</v>
      </c>
      <c r="G832" t="s">
        <v>28</v>
      </c>
      <c r="H832" t="s">
        <v>28</v>
      </c>
      <c r="I832" t="s">
        <v>28</v>
      </c>
      <c r="J832" t="s">
        <v>29</v>
      </c>
      <c r="K832" t="s">
        <v>1284</v>
      </c>
      <c r="L832" t="s">
        <v>2750</v>
      </c>
      <c r="M832" s="100" t="str">
        <f t="shared" si="24"/>
        <v>TC203_Try_3_NCAP12_1YO_3L_CPD.MF4.xz</v>
      </c>
      <c r="N832" s="59" t="str">
        <f t="shared" si="25"/>
        <v>_NCAP12_1YO_3L_CPD.MF4.xz</v>
      </c>
      <c r="O832" t="s">
        <v>475</v>
      </c>
    </row>
    <row r="833" spans="1:21">
      <c r="A833" s="77">
        <v>204</v>
      </c>
      <c r="B833" t="s">
        <v>2304</v>
      </c>
      <c r="C833" t="s">
        <v>66</v>
      </c>
      <c r="D833" s="97" t="e">
        <f>_xlfn.XLOOKUP(A833,[1]CPD_SOP_new!$A:$A,[1]CPD_SOP_new!#REF!,"not found",0 )</f>
        <v>#REF!</v>
      </c>
      <c r="E833" s="97" t="str">
        <f>_xlfn.XLOOKUP(A833,[1]CPD_SOP_new!$A:$A,[1]CPD_SOP_new!$K:$K,"not found",0 )</f>
        <v>3L</v>
      </c>
      <c r="F833" t="s">
        <v>28</v>
      </c>
      <c r="G833" t="s">
        <v>28</v>
      </c>
      <c r="H833" t="s">
        <v>28</v>
      </c>
      <c r="I833" t="s">
        <v>28</v>
      </c>
      <c r="J833" t="s">
        <v>124</v>
      </c>
      <c r="K833" s="132" t="s">
        <v>1285</v>
      </c>
      <c r="L833" s="132" t="s">
        <v>2751</v>
      </c>
      <c r="M833" s="100" t="str">
        <f t="shared" si="24"/>
        <v>CPD_TC204_Try1_NCAP3_3YO_3L_CPD.MF4.xz</v>
      </c>
      <c r="N833" s="59" t="str">
        <f t="shared" si="25"/>
        <v>_NCAP3_3YO_3L_CPD.MF4.xz</v>
      </c>
      <c r="O833" s="132" t="s">
        <v>86</v>
      </c>
      <c r="P833" s="132"/>
    </row>
    <row r="834" spans="1:21">
      <c r="A834" s="77">
        <v>204</v>
      </c>
      <c r="B834" t="s">
        <v>2304</v>
      </c>
      <c r="C834" t="s">
        <v>66</v>
      </c>
      <c r="D834" s="97" t="e">
        <f>_xlfn.XLOOKUP(A834,[1]CPD_SOP_new!$A:$A,[1]CPD_SOP_new!#REF!,"not found",0 )</f>
        <v>#REF!</v>
      </c>
      <c r="E834" s="97" t="str">
        <f>_xlfn.XLOOKUP(A834,[1]CPD_SOP_new!$A:$A,[1]CPD_SOP_new!$K:$K,"not found",0 )</f>
        <v>3L</v>
      </c>
      <c r="F834" t="s">
        <v>28</v>
      </c>
      <c r="G834" t="s">
        <v>28</v>
      </c>
      <c r="H834" t="s">
        <v>28</v>
      </c>
      <c r="I834" t="s">
        <v>28</v>
      </c>
      <c r="J834" t="s">
        <v>124</v>
      </c>
      <c r="K834" s="132" t="s">
        <v>1287</v>
      </c>
      <c r="L834" s="132" t="s">
        <v>2752</v>
      </c>
      <c r="M834" s="100" t="str">
        <f t="shared" ref="M834:M897" si="26">IF(NOT(N834="Wrong measurement"),SUBSTITUTE(K834,".MF4.xz",N834),"Wrong measurement")</f>
        <v>CPD_TC204_Try2_NCAP3_3YO_3L_CPD.MF4.xz</v>
      </c>
      <c r="N834" s="59" t="str">
        <f t="shared" ref="N834:N897" si="27">IF(I834="Y",("_"&amp;B834 &amp;"_"&amp; IF(C834="","",C834)&amp;"_"&amp;E834&amp;"_CPD.MF4.xz"),"Wrong measurement")</f>
        <v>_NCAP3_3YO_3L_CPD.MF4.xz</v>
      </c>
      <c r="O834" s="132" t="s">
        <v>86</v>
      </c>
      <c r="P834" s="132"/>
    </row>
    <row r="835" spans="1:21">
      <c r="A835" s="77">
        <v>204</v>
      </c>
      <c r="B835" t="s">
        <v>2304</v>
      </c>
      <c r="C835" t="s">
        <v>66</v>
      </c>
      <c r="D835" s="97" t="e">
        <f>_xlfn.XLOOKUP(A835,[1]CPD_SOP_new!$A:$A,[1]CPD_SOP_new!#REF!,"not found",0 )</f>
        <v>#REF!</v>
      </c>
      <c r="E835" s="97" t="str">
        <f>_xlfn.XLOOKUP(A835,[1]CPD_SOP_new!$A:$A,[1]CPD_SOP_new!$K:$K,"not found",0 )</f>
        <v>3L</v>
      </c>
      <c r="F835" t="s">
        <v>28</v>
      </c>
      <c r="G835" t="s">
        <v>28</v>
      </c>
      <c r="H835" t="s">
        <v>28</v>
      </c>
      <c r="I835" t="s">
        <v>28</v>
      </c>
      <c r="J835" t="s">
        <v>124</v>
      </c>
      <c r="K835" s="132" t="s">
        <v>1288</v>
      </c>
      <c r="L835" s="132" t="s">
        <v>2753</v>
      </c>
      <c r="M835" s="100" t="str">
        <f t="shared" si="26"/>
        <v>CPD_TC204_Try3_NCAP3_3YO_3L_CPD.MF4.xz</v>
      </c>
      <c r="N835" s="59" t="str">
        <f t="shared" si="27"/>
        <v>_NCAP3_3YO_3L_CPD.MF4.xz</v>
      </c>
      <c r="O835" s="132" t="s">
        <v>86</v>
      </c>
      <c r="P835" s="132"/>
    </row>
    <row r="836" spans="1:21">
      <c r="A836" s="77">
        <v>204</v>
      </c>
      <c r="B836" t="s">
        <v>2304</v>
      </c>
      <c r="C836" t="s">
        <v>66</v>
      </c>
      <c r="D836" s="97" t="e">
        <f>_xlfn.XLOOKUP(A836,[1]CPD_SOP_new!$A:$A,[1]CPD_SOP_new!#REF!,"not found",0 )</f>
        <v>#REF!</v>
      </c>
      <c r="E836" s="97" t="str">
        <f>_xlfn.XLOOKUP(A836,[1]CPD_SOP_new!$A:$A,[1]CPD_SOP_new!$K:$K,"not found",0 )</f>
        <v>3L</v>
      </c>
      <c r="F836" t="s">
        <v>28</v>
      </c>
      <c r="G836" t="s">
        <v>28</v>
      </c>
      <c r="H836" t="s">
        <v>28</v>
      </c>
      <c r="I836" t="s">
        <v>28</v>
      </c>
      <c r="J836" t="s">
        <v>124</v>
      </c>
      <c r="K836" s="132" t="s">
        <v>1289</v>
      </c>
      <c r="L836" s="132" t="s">
        <v>2754</v>
      </c>
      <c r="M836" s="100" t="str">
        <f t="shared" si="26"/>
        <v>CPD_TC204_Try4_NCAP3_3YO_3L_CPD.MF4.xz</v>
      </c>
      <c r="N836" s="59" t="str">
        <f t="shared" si="27"/>
        <v>_NCAP3_3YO_3L_CPD.MF4.xz</v>
      </c>
      <c r="O836" s="132" t="s">
        <v>86</v>
      </c>
      <c r="P836" s="132"/>
    </row>
    <row r="837" spans="1:21">
      <c r="A837" s="77">
        <v>204</v>
      </c>
      <c r="B837" t="s">
        <v>2304</v>
      </c>
      <c r="C837" t="s">
        <v>66</v>
      </c>
      <c r="D837" s="97" t="e">
        <f>_xlfn.XLOOKUP(A837,[1]CPD_SOP_new!$A:$A,[1]CPD_SOP_new!#REF!,"not found",0 )</f>
        <v>#REF!</v>
      </c>
      <c r="E837" s="97" t="str">
        <f>_xlfn.XLOOKUP(A837,[1]CPD_SOP_new!$A:$A,[1]CPD_SOP_new!$K:$K,"not found",0 )</f>
        <v>3L</v>
      </c>
      <c r="F837" t="s">
        <v>28</v>
      </c>
      <c r="G837" t="s">
        <v>28</v>
      </c>
      <c r="H837" t="s">
        <v>28</v>
      </c>
      <c r="I837" t="s">
        <v>28</v>
      </c>
      <c r="J837" t="s">
        <v>124</v>
      </c>
      <c r="K837" s="132" t="s">
        <v>1290</v>
      </c>
      <c r="L837" s="132" t="s">
        <v>2755</v>
      </c>
      <c r="M837" s="100" t="str">
        <f t="shared" si="26"/>
        <v>CPD_TC204_Try5_NCAP3_3YO_3L_CPD.MF4.xz</v>
      </c>
      <c r="N837" s="59" t="str">
        <f t="shared" si="27"/>
        <v>_NCAP3_3YO_3L_CPD.MF4.xz</v>
      </c>
      <c r="O837" s="73" t="s">
        <v>86</v>
      </c>
      <c r="P837" s="73"/>
    </row>
    <row r="838" spans="1:21">
      <c r="A838" s="77">
        <v>204</v>
      </c>
      <c r="B838" t="s">
        <v>2304</v>
      </c>
      <c r="C838" t="s">
        <v>66</v>
      </c>
      <c r="D838" s="97" t="e">
        <f>_xlfn.XLOOKUP(A838,[1]CPD_SOP_new!$A:$A,[1]CPD_SOP_new!#REF!,"not found",0 )</f>
        <v>#REF!</v>
      </c>
      <c r="E838" s="97" t="str">
        <f>_xlfn.XLOOKUP(A838,[1]CPD_SOP_new!$A:$A,[1]CPD_SOP_new!$K:$K,"not found",0 )</f>
        <v>3L</v>
      </c>
      <c r="F838" t="s">
        <v>28</v>
      </c>
      <c r="G838" t="s">
        <v>28</v>
      </c>
      <c r="H838" t="s">
        <v>28</v>
      </c>
      <c r="I838" t="s">
        <v>28</v>
      </c>
      <c r="J838" t="s">
        <v>124</v>
      </c>
      <c r="K838" t="s">
        <v>1291</v>
      </c>
      <c r="L838" t="s">
        <v>2756</v>
      </c>
      <c r="M838" s="100" t="str">
        <f t="shared" si="26"/>
        <v>CSR_XCP_Signals_Recorder_2026-01-29_16-32-52_TC204_NCAP3_3YO_3L_CPD.MF4.xz</v>
      </c>
      <c r="N838" s="59" t="str">
        <f t="shared" si="27"/>
        <v>_NCAP3_3YO_3L_CPD.MF4.xz</v>
      </c>
      <c r="O838" t="s">
        <v>213</v>
      </c>
      <c r="Q838" t="s">
        <v>124</v>
      </c>
      <c r="R838" t="s">
        <v>29</v>
      </c>
      <c r="S838">
        <v>1</v>
      </c>
      <c r="T838">
        <v>0</v>
      </c>
      <c r="U838">
        <v>0</v>
      </c>
    </row>
    <row r="839" spans="1:21">
      <c r="A839" s="77">
        <v>204</v>
      </c>
      <c r="B839" t="s">
        <v>2304</v>
      </c>
      <c r="C839" t="s">
        <v>66</v>
      </c>
      <c r="D839" s="97" t="e">
        <f>_xlfn.XLOOKUP(A839,[1]CPD_SOP_new!$A:$A,[1]CPD_SOP_new!#REF!,"not found",0 )</f>
        <v>#REF!</v>
      </c>
      <c r="E839" s="97" t="str">
        <f>_xlfn.XLOOKUP(A839,[1]CPD_SOP_new!$A:$A,[1]CPD_SOP_new!$K:$K,"not found",0 )</f>
        <v>3L</v>
      </c>
      <c r="F839" t="s">
        <v>28</v>
      </c>
      <c r="G839" t="s">
        <v>28</v>
      </c>
      <c r="H839" t="s">
        <v>28</v>
      </c>
      <c r="I839" t="s">
        <v>28</v>
      </c>
      <c r="J839" t="s">
        <v>124</v>
      </c>
      <c r="K839" t="s">
        <v>1292</v>
      </c>
      <c r="L839" t="s">
        <v>2757</v>
      </c>
      <c r="M839" s="100" t="str">
        <f t="shared" si="26"/>
        <v>CSR_XCP_Signals_Recorder_2026-01-29_16-34-37_TC204_NCAP3_3YO_3L_CPD.MF4.xz</v>
      </c>
      <c r="N839" s="59" t="str">
        <f t="shared" si="27"/>
        <v>_NCAP3_3YO_3L_CPD.MF4.xz</v>
      </c>
      <c r="O839" t="s">
        <v>213</v>
      </c>
      <c r="Q839" t="s">
        <v>124</v>
      </c>
      <c r="R839" t="s">
        <v>29</v>
      </c>
      <c r="S839">
        <v>1</v>
      </c>
      <c r="T839">
        <v>0</v>
      </c>
      <c r="U839">
        <v>0</v>
      </c>
    </row>
    <row r="840" spans="1:21">
      <c r="A840" s="77">
        <v>204</v>
      </c>
      <c r="B840" t="s">
        <v>2304</v>
      </c>
      <c r="C840" t="s">
        <v>66</v>
      </c>
      <c r="D840" s="97" t="e">
        <f>_xlfn.XLOOKUP(A840,[1]CPD_SOP_new!$A:$A,[1]CPD_SOP_new!#REF!,"not found",0 )</f>
        <v>#REF!</v>
      </c>
      <c r="E840" s="97" t="str">
        <f>_xlfn.XLOOKUP(A840,[1]CPD_SOP_new!$A:$A,[1]CPD_SOP_new!$K:$K,"not found",0 )</f>
        <v>3L</v>
      </c>
      <c r="F840" t="s">
        <v>28</v>
      </c>
      <c r="G840" t="s">
        <v>28</v>
      </c>
      <c r="H840" t="s">
        <v>28</v>
      </c>
      <c r="I840" t="s">
        <v>28</v>
      </c>
      <c r="J840" t="s">
        <v>124</v>
      </c>
      <c r="K840" t="s">
        <v>1293</v>
      </c>
      <c r="L840" t="s">
        <v>2758</v>
      </c>
      <c r="M840" s="100" t="str">
        <f t="shared" si="26"/>
        <v>CSR_XCP_Signals_Recorder_2026-01-29_16-36-18_TC204_NCAP3_3YO_3L_CPD.MF4.xz</v>
      </c>
      <c r="N840" s="59" t="str">
        <f t="shared" si="27"/>
        <v>_NCAP3_3YO_3L_CPD.MF4.xz</v>
      </c>
      <c r="O840" t="s">
        <v>213</v>
      </c>
      <c r="Q840" t="s">
        <v>124</v>
      </c>
      <c r="R840" t="s">
        <v>29</v>
      </c>
      <c r="S840">
        <v>1</v>
      </c>
      <c r="T840">
        <v>0</v>
      </c>
      <c r="U840">
        <v>0</v>
      </c>
    </row>
    <row r="841" spans="1:21" s="130" customFormat="1">
      <c r="A841" s="78">
        <v>205</v>
      </c>
      <c r="B841" s="130" t="s">
        <v>2304</v>
      </c>
      <c r="C841" s="130" t="s">
        <v>66</v>
      </c>
      <c r="D841" s="97" t="e">
        <f>_xlfn.XLOOKUP(A841,[1]CPD_SOP_new!$A:$A,[1]CPD_SOP_new!#REF!,"not found",0 )</f>
        <v>#REF!</v>
      </c>
      <c r="E841" s="97" t="str">
        <f>_xlfn.XLOOKUP(A841,[1]CPD_SOP_new!$A:$A,[1]CPD_SOP_new!$K:$K,"not found",0 )</f>
        <v>3R</v>
      </c>
      <c r="F841" s="130" t="s">
        <v>27</v>
      </c>
      <c r="G841" s="130" t="s">
        <v>28</v>
      </c>
      <c r="H841" s="130" t="s">
        <v>28</v>
      </c>
      <c r="I841" s="130" t="s">
        <v>27</v>
      </c>
      <c r="J841" s="137" t="s">
        <v>68</v>
      </c>
      <c r="K841" s="130" t="s">
        <v>1294</v>
      </c>
      <c r="L841" s="130" t="s">
        <v>723</v>
      </c>
      <c r="M841" s="100" t="str">
        <f t="shared" si="26"/>
        <v>Wrong measurement</v>
      </c>
      <c r="N841" s="59" t="str">
        <f t="shared" si="27"/>
        <v>Wrong measurement</v>
      </c>
      <c r="O841" s="131" t="s">
        <v>475</v>
      </c>
      <c r="P841" s="131"/>
    </row>
    <row r="842" spans="1:21" s="130" customFormat="1">
      <c r="A842" s="78">
        <v>205</v>
      </c>
      <c r="B842" s="130" t="s">
        <v>2304</v>
      </c>
      <c r="C842" s="130" t="s">
        <v>66</v>
      </c>
      <c r="D842" s="97" t="e">
        <f>_xlfn.XLOOKUP(A842,[1]CPD_SOP_new!$A:$A,[1]CPD_SOP_new!#REF!,"not found",0 )</f>
        <v>#REF!</v>
      </c>
      <c r="E842" s="97" t="str">
        <f>_xlfn.XLOOKUP(A842,[1]CPD_SOP_new!$A:$A,[1]CPD_SOP_new!$K:$K,"not found",0 )</f>
        <v>3R</v>
      </c>
      <c r="F842" s="130" t="s">
        <v>27</v>
      </c>
      <c r="G842" s="130" t="s">
        <v>28</v>
      </c>
      <c r="H842" s="130" t="s">
        <v>28</v>
      </c>
      <c r="I842" s="130" t="s">
        <v>27</v>
      </c>
      <c r="J842" s="137" t="s">
        <v>68</v>
      </c>
      <c r="K842" s="130" t="s">
        <v>1295</v>
      </c>
      <c r="L842" s="130" t="s">
        <v>723</v>
      </c>
      <c r="M842" s="100" t="str">
        <f t="shared" si="26"/>
        <v>Wrong measurement</v>
      </c>
      <c r="N842" s="59" t="str">
        <f t="shared" si="27"/>
        <v>Wrong measurement</v>
      </c>
      <c r="O842" s="131" t="s">
        <v>475</v>
      </c>
      <c r="P842" s="131"/>
    </row>
    <row r="843" spans="1:21" s="130" customFormat="1">
      <c r="A843" s="78">
        <v>205</v>
      </c>
      <c r="B843" s="130" t="s">
        <v>2304</v>
      </c>
      <c r="C843" s="130" t="s">
        <v>66</v>
      </c>
      <c r="D843" s="97" t="e">
        <f>_xlfn.XLOOKUP(A843,[1]CPD_SOP_new!$A:$A,[1]CPD_SOP_new!#REF!,"not found",0 )</f>
        <v>#REF!</v>
      </c>
      <c r="E843" s="97" t="str">
        <f>_xlfn.XLOOKUP(A843,[1]CPD_SOP_new!$A:$A,[1]CPD_SOP_new!$K:$K,"not found",0 )</f>
        <v>3R</v>
      </c>
      <c r="F843" s="130" t="s">
        <v>27</v>
      </c>
      <c r="G843" s="130" t="s">
        <v>28</v>
      </c>
      <c r="H843" s="130" t="s">
        <v>28</v>
      </c>
      <c r="I843" s="130" t="s">
        <v>27</v>
      </c>
      <c r="J843" s="137" t="s">
        <v>68</v>
      </c>
      <c r="K843" s="130" t="s">
        <v>1296</v>
      </c>
      <c r="L843" s="130" t="s">
        <v>723</v>
      </c>
      <c r="M843" s="100" t="str">
        <f t="shared" si="26"/>
        <v>Wrong measurement</v>
      </c>
      <c r="N843" s="59" t="str">
        <f t="shared" si="27"/>
        <v>Wrong measurement</v>
      </c>
      <c r="O843" s="131" t="s">
        <v>475</v>
      </c>
      <c r="P843" s="131"/>
    </row>
    <row r="844" spans="1:21">
      <c r="A844" s="77">
        <v>205</v>
      </c>
      <c r="B844" t="s">
        <v>2304</v>
      </c>
      <c r="C844" t="s">
        <v>66</v>
      </c>
      <c r="D844" s="97" t="e">
        <f>_xlfn.XLOOKUP(A844,[1]CPD_SOP_new!$A:$A,[1]CPD_SOP_new!#REF!,"not found",0 )</f>
        <v>#REF!</v>
      </c>
      <c r="E844" s="97" t="str">
        <f>_xlfn.XLOOKUP(A844,[1]CPD_SOP_new!$A:$A,[1]CPD_SOP_new!$K:$K,"not found",0 )</f>
        <v>3R</v>
      </c>
      <c r="F844" t="s">
        <v>28</v>
      </c>
      <c r="G844" t="s">
        <v>28</v>
      </c>
      <c r="H844" t="s">
        <v>28</v>
      </c>
      <c r="I844" t="s">
        <v>28</v>
      </c>
      <c r="J844" t="s">
        <v>124</v>
      </c>
      <c r="K844" s="132" t="s">
        <v>1297</v>
      </c>
      <c r="L844" s="132" t="s">
        <v>2759</v>
      </c>
      <c r="M844" s="100" t="str">
        <f t="shared" si="26"/>
        <v>CPD_TC205_Try1_NCAP3_3YO_3R_CPD.MF4.xz</v>
      </c>
      <c r="N844" s="59" t="str">
        <f t="shared" si="27"/>
        <v>_NCAP3_3YO_3R_CPD.MF4.xz</v>
      </c>
      <c r="O844" s="129" t="s">
        <v>86</v>
      </c>
      <c r="P844" s="129"/>
    </row>
    <row r="845" spans="1:21">
      <c r="A845" s="77">
        <v>205</v>
      </c>
      <c r="B845" t="s">
        <v>2304</v>
      </c>
      <c r="C845" t="s">
        <v>66</v>
      </c>
      <c r="D845" s="97" t="e">
        <f>_xlfn.XLOOKUP(A845,[1]CPD_SOP_new!$A:$A,[1]CPD_SOP_new!#REF!,"not found",0 )</f>
        <v>#REF!</v>
      </c>
      <c r="E845" s="97" t="str">
        <f>_xlfn.XLOOKUP(A845,[1]CPD_SOP_new!$A:$A,[1]CPD_SOP_new!$K:$K,"not found",0 )</f>
        <v>3R</v>
      </c>
      <c r="F845" t="s">
        <v>28</v>
      </c>
      <c r="G845" t="s">
        <v>28</v>
      </c>
      <c r="H845" t="s">
        <v>28</v>
      </c>
      <c r="I845" t="s">
        <v>28</v>
      </c>
      <c r="J845" t="s">
        <v>124</v>
      </c>
      <c r="K845" s="132" t="s">
        <v>1299</v>
      </c>
      <c r="L845" s="132" t="s">
        <v>2760</v>
      </c>
      <c r="M845" s="100" t="str">
        <f t="shared" si="26"/>
        <v>CPD_TC205_Try2_NCAP3_3YO_3R_CPD.MF4.xz</v>
      </c>
      <c r="N845" s="59" t="str">
        <f t="shared" si="27"/>
        <v>_NCAP3_3YO_3R_CPD.MF4.xz</v>
      </c>
      <c r="O845" s="129" t="s">
        <v>86</v>
      </c>
      <c r="P845" s="129"/>
    </row>
    <row r="846" spans="1:21">
      <c r="A846" s="77">
        <v>205</v>
      </c>
      <c r="B846" t="s">
        <v>2304</v>
      </c>
      <c r="C846" t="s">
        <v>66</v>
      </c>
      <c r="D846" s="97" t="e">
        <f>_xlfn.XLOOKUP(A846,[1]CPD_SOP_new!$A:$A,[1]CPD_SOP_new!#REF!,"not found",0 )</f>
        <v>#REF!</v>
      </c>
      <c r="E846" s="97" t="str">
        <f>_xlfn.XLOOKUP(A846,[1]CPD_SOP_new!$A:$A,[1]CPD_SOP_new!$K:$K,"not found",0 )</f>
        <v>3R</v>
      </c>
      <c r="F846" t="s">
        <v>28</v>
      </c>
      <c r="G846" t="s">
        <v>28</v>
      </c>
      <c r="H846" t="s">
        <v>28</v>
      </c>
      <c r="I846" t="s">
        <v>28</v>
      </c>
      <c r="J846" t="s">
        <v>124</v>
      </c>
      <c r="K846" s="132" t="s">
        <v>1300</v>
      </c>
      <c r="L846" s="132" t="s">
        <v>2761</v>
      </c>
      <c r="M846" s="100" t="str">
        <f t="shared" si="26"/>
        <v>CPD_TC205_Try3_NCAP3_3YO_3R_CPD.MF4.xz</v>
      </c>
      <c r="N846" s="59" t="str">
        <f t="shared" si="27"/>
        <v>_NCAP3_3YO_3R_CPD.MF4.xz</v>
      </c>
      <c r="O846" s="129" t="s">
        <v>86</v>
      </c>
      <c r="P846" s="129"/>
    </row>
    <row r="847" spans="1:21">
      <c r="A847" s="77">
        <v>205</v>
      </c>
      <c r="B847" t="s">
        <v>2304</v>
      </c>
      <c r="C847" t="s">
        <v>66</v>
      </c>
      <c r="D847" s="97" t="e">
        <f>_xlfn.XLOOKUP(A847,[1]CPD_SOP_new!$A:$A,[1]CPD_SOP_new!#REF!,"not found",0 )</f>
        <v>#REF!</v>
      </c>
      <c r="E847" s="97" t="str">
        <f>_xlfn.XLOOKUP(A847,[1]CPD_SOP_new!$A:$A,[1]CPD_SOP_new!$K:$K,"not found",0 )</f>
        <v>3R</v>
      </c>
      <c r="F847" t="s">
        <v>28</v>
      </c>
      <c r="G847" t="s">
        <v>28</v>
      </c>
      <c r="H847" t="s">
        <v>28</v>
      </c>
      <c r="I847" t="s">
        <v>28</v>
      </c>
      <c r="J847" t="s">
        <v>124</v>
      </c>
      <c r="K847" s="132" t="s">
        <v>1301</v>
      </c>
      <c r="L847" s="132" t="s">
        <v>2762</v>
      </c>
      <c r="M847" s="100" t="str">
        <f t="shared" si="26"/>
        <v>CPD_TC205_Try4_NCAP3_3YO_3R_CPD.MF4.xz</v>
      </c>
      <c r="N847" s="59" t="str">
        <f t="shared" si="27"/>
        <v>_NCAP3_3YO_3R_CPD.MF4.xz</v>
      </c>
      <c r="O847" s="129" t="s">
        <v>86</v>
      </c>
      <c r="P847" s="129"/>
    </row>
    <row r="848" spans="1:21">
      <c r="A848" s="77">
        <v>205</v>
      </c>
      <c r="B848" t="s">
        <v>2304</v>
      </c>
      <c r="C848" t="s">
        <v>66</v>
      </c>
      <c r="D848" s="97" t="e">
        <f>_xlfn.XLOOKUP(A848,[1]CPD_SOP_new!$A:$A,[1]CPD_SOP_new!#REF!,"not found",0 )</f>
        <v>#REF!</v>
      </c>
      <c r="E848" s="97" t="str">
        <f>_xlfn.XLOOKUP(A848,[1]CPD_SOP_new!$A:$A,[1]CPD_SOP_new!$K:$K,"not found",0 )</f>
        <v>3R</v>
      </c>
      <c r="F848" t="s">
        <v>28</v>
      </c>
      <c r="G848" t="s">
        <v>28</v>
      </c>
      <c r="H848" t="s">
        <v>28</v>
      </c>
      <c r="I848" t="s">
        <v>28</v>
      </c>
      <c r="J848" t="s">
        <v>124</v>
      </c>
      <c r="K848" s="132" t="s">
        <v>1302</v>
      </c>
      <c r="L848" s="132" t="s">
        <v>2763</v>
      </c>
      <c r="M848" s="100" t="str">
        <f t="shared" si="26"/>
        <v>CPD_TC205_Try5_NCAP3_3YO_3R_CPD.MF4.xz</v>
      </c>
      <c r="N848" s="59" t="str">
        <f t="shared" si="27"/>
        <v>_NCAP3_3YO_3R_CPD.MF4.xz</v>
      </c>
      <c r="O848" s="129" t="s">
        <v>86</v>
      </c>
      <c r="P848" s="129"/>
    </row>
    <row r="849" spans="1:16" s="130" customFormat="1">
      <c r="A849" s="78">
        <v>206</v>
      </c>
      <c r="B849" s="130" t="s">
        <v>2304</v>
      </c>
      <c r="C849" s="130" t="s">
        <v>253</v>
      </c>
      <c r="D849" s="97" t="e">
        <f>_xlfn.XLOOKUP(A849,[1]CPD_SOP_new!$A:$A,[1]CPD_SOP_new!#REF!,"not found",0 )</f>
        <v>#REF!</v>
      </c>
      <c r="E849" s="97" t="str">
        <f>_xlfn.XLOOKUP(A849,[1]CPD_SOP_new!$A:$A,[1]CPD_SOP_new!$K:$K,"not found",0 )</f>
        <v>3L</v>
      </c>
      <c r="F849" s="130" t="s">
        <v>27</v>
      </c>
      <c r="G849" s="130" t="s">
        <v>28</v>
      </c>
      <c r="H849" s="130" t="s">
        <v>28</v>
      </c>
      <c r="I849" s="130" t="s">
        <v>27</v>
      </c>
      <c r="J849" s="137" t="s">
        <v>68</v>
      </c>
      <c r="K849" s="130" t="s">
        <v>1303</v>
      </c>
      <c r="L849" s="130" t="s">
        <v>723</v>
      </c>
      <c r="M849" s="100" t="str">
        <f t="shared" si="26"/>
        <v>Wrong measurement</v>
      </c>
      <c r="N849" s="59" t="str">
        <f t="shared" si="27"/>
        <v>Wrong measurement</v>
      </c>
      <c r="O849" s="131" t="s">
        <v>475</v>
      </c>
      <c r="P849" s="131"/>
    </row>
    <row r="850" spans="1:16" s="130" customFormat="1">
      <c r="A850" s="78">
        <v>206</v>
      </c>
      <c r="B850" s="130" t="s">
        <v>2304</v>
      </c>
      <c r="C850" s="130" t="s">
        <v>253</v>
      </c>
      <c r="D850" s="97" t="e">
        <f>_xlfn.XLOOKUP(A850,[1]CPD_SOP_new!$A:$A,[1]CPD_SOP_new!#REF!,"not found",0 )</f>
        <v>#REF!</v>
      </c>
      <c r="E850" s="97" t="str">
        <f>_xlfn.XLOOKUP(A850,[1]CPD_SOP_new!$A:$A,[1]CPD_SOP_new!$K:$K,"not found",0 )</f>
        <v>3L</v>
      </c>
      <c r="F850" s="130" t="s">
        <v>27</v>
      </c>
      <c r="G850" s="130" t="s">
        <v>28</v>
      </c>
      <c r="H850" s="130" t="s">
        <v>28</v>
      </c>
      <c r="I850" s="130" t="s">
        <v>27</v>
      </c>
      <c r="J850" s="137" t="s">
        <v>68</v>
      </c>
      <c r="K850" s="130" t="s">
        <v>1304</v>
      </c>
      <c r="L850" s="130" t="s">
        <v>723</v>
      </c>
      <c r="M850" s="100" t="str">
        <f t="shared" si="26"/>
        <v>Wrong measurement</v>
      </c>
      <c r="N850" s="59" t="str">
        <f t="shared" si="27"/>
        <v>Wrong measurement</v>
      </c>
      <c r="O850" s="131" t="s">
        <v>475</v>
      </c>
      <c r="P850" s="131"/>
    </row>
    <row r="851" spans="1:16" s="130" customFormat="1">
      <c r="A851" s="78">
        <v>206</v>
      </c>
      <c r="B851" s="130" t="s">
        <v>2304</v>
      </c>
      <c r="C851" s="130" t="s">
        <v>253</v>
      </c>
      <c r="D851" s="97" t="e">
        <f>_xlfn.XLOOKUP(A851,[1]CPD_SOP_new!$A:$A,[1]CPD_SOP_new!#REF!,"not found",0 )</f>
        <v>#REF!</v>
      </c>
      <c r="E851" s="97" t="str">
        <f>_xlfn.XLOOKUP(A851,[1]CPD_SOP_new!$A:$A,[1]CPD_SOP_new!$K:$K,"not found",0 )</f>
        <v>3L</v>
      </c>
      <c r="F851" s="130" t="s">
        <v>27</v>
      </c>
      <c r="G851" s="130" t="s">
        <v>28</v>
      </c>
      <c r="H851" s="130" t="s">
        <v>28</v>
      </c>
      <c r="I851" s="130" t="s">
        <v>27</v>
      </c>
      <c r="J851" s="137" t="s">
        <v>68</v>
      </c>
      <c r="K851" s="130" t="s">
        <v>1305</v>
      </c>
      <c r="L851" s="130" t="s">
        <v>723</v>
      </c>
      <c r="M851" s="100" t="str">
        <f t="shared" si="26"/>
        <v>Wrong measurement</v>
      </c>
      <c r="N851" s="59" t="str">
        <f t="shared" si="27"/>
        <v>Wrong measurement</v>
      </c>
      <c r="O851" s="131" t="s">
        <v>475</v>
      </c>
      <c r="P851" s="131"/>
    </row>
    <row r="852" spans="1:16">
      <c r="A852" s="77">
        <v>206</v>
      </c>
      <c r="B852" t="s">
        <v>2304</v>
      </c>
      <c r="C852" t="s">
        <v>253</v>
      </c>
      <c r="D852" s="97" t="e">
        <f>_xlfn.XLOOKUP(A852,[1]CPD_SOP_new!$A:$A,[1]CPD_SOP_new!#REF!,"not found",0 )</f>
        <v>#REF!</v>
      </c>
      <c r="E852" s="97" t="str">
        <f>_xlfn.XLOOKUP(A852,[1]CPD_SOP_new!$A:$A,[1]CPD_SOP_new!$K:$K,"not found",0 )</f>
        <v>3L</v>
      </c>
      <c r="F852" t="s">
        <v>28</v>
      </c>
      <c r="G852" t="s">
        <v>28</v>
      </c>
      <c r="H852" t="s">
        <v>28</v>
      </c>
      <c r="I852" t="s">
        <v>28</v>
      </c>
      <c r="J852" t="s">
        <v>124</v>
      </c>
      <c r="K852" s="132" t="s">
        <v>1306</v>
      </c>
      <c r="L852" s="132" t="s">
        <v>2764</v>
      </c>
      <c r="M852" s="100" t="str">
        <f t="shared" si="26"/>
        <v>CPD_TC206_Try2_NCAP3_6YO_3L_CPD.MF4.xz</v>
      </c>
      <c r="N852" s="59" t="str">
        <f t="shared" si="27"/>
        <v>_NCAP3_6YO_3L_CPD.MF4.xz</v>
      </c>
      <c r="O852" s="129" t="s">
        <v>86</v>
      </c>
      <c r="P852" s="129"/>
    </row>
    <row r="853" spans="1:16">
      <c r="A853" s="77">
        <v>206</v>
      </c>
      <c r="B853" t="s">
        <v>2304</v>
      </c>
      <c r="C853" t="s">
        <v>253</v>
      </c>
      <c r="D853" s="97" t="e">
        <f>_xlfn.XLOOKUP(A853,[1]CPD_SOP_new!$A:$A,[1]CPD_SOP_new!#REF!,"not found",0 )</f>
        <v>#REF!</v>
      </c>
      <c r="E853" s="97" t="str">
        <f>_xlfn.XLOOKUP(A853,[1]CPD_SOP_new!$A:$A,[1]CPD_SOP_new!$K:$K,"not found",0 )</f>
        <v>3L</v>
      </c>
      <c r="F853" t="s">
        <v>28</v>
      </c>
      <c r="G853" t="s">
        <v>28</v>
      </c>
      <c r="H853" t="s">
        <v>28</v>
      </c>
      <c r="I853" t="s">
        <v>28</v>
      </c>
      <c r="J853" t="s">
        <v>124</v>
      </c>
      <c r="K853" s="132" t="s">
        <v>1308</v>
      </c>
      <c r="L853" s="132" t="s">
        <v>2765</v>
      </c>
      <c r="M853" s="100" t="str">
        <f t="shared" si="26"/>
        <v>CPD_TC206_Try3_NCAP3_6YO_3L_CPD.MF4.xz</v>
      </c>
      <c r="N853" s="59" t="str">
        <f t="shared" si="27"/>
        <v>_NCAP3_6YO_3L_CPD.MF4.xz</v>
      </c>
      <c r="O853" s="129" t="s">
        <v>86</v>
      </c>
      <c r="P853" s="129"/>
    </row>
    <row r="854" spans="1:16">
      <c r="A854" s="77">
        <v>206</v>
      </c>
      <c r="B854" t="s">
        <v>2304</v>
      </c>
      <c r="C854" t="s">
        <v>253</v>
      </c>
      <c r="D854" s="97" t="e">
        <f>_xlfn.XLOOKUP(A854,[1]CPD_SOP_new!$A:$A,[1]CPD_SOP_new!#REF!,"not found",0 )</f>
        <v>#REF!</v>
      </c>
      <c r="E854" s="97" t="str">
        <f>_xlfn.XLOOKUP(A854,[1]CPD_SOP_new!$A:$A,[1]CPD_SOP_new!$K:$K,"not found",0 )</f>
        <v>3L</v>
      </c>
      <c r="F854" t="s">
        <v>28</v>
      </c>
      <c r="G854" t="s">
        <v>28</v>
      </c>
      <c r="H854" t="s">
        <v>28</v>
      </c>
      <c r="I854" t="s">
        <v>28</v>
      </c>
      <c r="J854" t="s">
        <v>124</v>
      </c>
      <c r="K854" s="132" t="s">
        <v>1309</v>
      </c>
      <c r="L854" s="132" t="s">
        <v>2766</v>
      </c>
      <c r="M854" s="100" t="str">
        <f t="shared" si="26"/>
        <v>CPD_TC206_Try4_NCAP3_6YO_3L_CPD.MF4.xz</v>
      </c>
      <c r="N854" s="59" t="str">
        <f t="shared" si="27"/>
        <v>_NCAP3_6YO_3L_CPD.MF4.xz</v>
      </c>
      <c r="O854" s="129" t="s">
        <v>86</v>
      </c>
      <c r="P854" s="129"/>
    </row>
    <row r="855" spans="1:16">
      <c r="A855" s="77">
        <v>206</v>
      </c>
      <c r="B855" t="s">
        <v>2304</v>
      </c>
      <c r="C855" t="s">
        <v>253</v>
      </c>
      <c r="D855" s="97" t="e">
        <f>_xlfn.XLOOKUP(A855,[1]CPD_SOP_new!$A:$A,[1]CPD_SOP_new!#REF!,"not found",0 )</f>
        <v>#REF!</v>
      </c>
      <c r="E855" s="97" t="str">
        <f>_xlfn.XLOOKUP(A855,[1]CPD_SOP_new!$A:$A,[1]CPD_SOP_new!$K:$K,"not found",0 )</f>
        <v>3L</v>
      </c>
      <c r="F855" t="s">
        <v>28</v>
      </c>
      <c r="G855" t="s">
        <v>28</v>
      </c>
      <c r="H855" t="s">
        <v>28</v>
      </c>
      <c r="I855" t="s">
        <v>28</v>
      </c>
      <c r="J855" t="s">
        <v>124</v>
      </c>
      <c r="K855" s="132" t="s">
        <v>1310</v>
      </c>
      <c r="L855" s="132" t="s">
        <v>2767</v>
      </c>
      <c r="M855" s="100" t="str">
        <f t="shared" si="26"/>
        <v>CPD_TC206_Try7_NCAP3_6YO_3L_CPD.MF4.xz</v>
      </c>
      <c r="N855" s="59" t="str">
        <f t="shared" si="27"/>
        <v>_NCAP3_6YO_3L_CPD.MF4.xz</v>
      </c>
      <c r="O855" s="129" t="s">
        <v>86</v>
      </c>
      <c r="P855" s="129"/>
    </row>
    <row r="856" spans="1:16" s="130" customFormat="1">
      <c r="A856" s="78">
        <v>207</v>
      </c>
      <c r="B856" s="130" t="s">
        <v>2304</v>
      </c>
      <c r="C856" s="130" t="s">
        <v>66</v>
      </c>
      <c r="D856" s="97" t="e">
        <f>_xlfn.XLOOKUP(A856,[1]CPD_SOP_new!$A:$A,[1]CPD_SOP_new!#REF!,"not found",0 )</f>
        <v>#REF!</v>
      </c>
      <c r="E856" s="97" t="str">
        <f>_xlfn.XLOOKUP(A856,[1]CPD_SOP_new!$A:$A,[1]CPD_SOP_new!$K:$K,"not found",0 )</f>
        <v>2C</v>
      </c>
      <c r="F856" s="130" t="s">
        <v>27</v>
      </c>
      <c r="G856" s="130" t="s">
        <v>28</v>
      </c>
      <c r="H856" s="130" t="s">
        <v>28</v>
      </c>
      <c r="I856" s="130" t="s">
        <v>27</v>
      </c>
      <c r="J856" s="137" t="s">
        <v>68</v>
      </c>
      <c r="K856" s="130" t="s">
        <v>1311</v>
      </c>
      <c r="L856" s="130" t="s">
        <v>723</v>
      </c>
      <c r="M856" s="100" t="str">
        <f t="shared" si="26"/>
        <v>Wrong measurement</v>
      </c>
      <c r="N856" s="59" t="str">
        <f t="shared" si="27"/>
        <v>Wrong measurement</v>
      </c>
      <c r="O856" s="131" t="s">
        <v>475</v>
      </c>
      <c r="P856" s="131"/>
    </row>
    <row r="857" spans="1:16" s="130" customFormat="1">
      <c r="A857" s="78">
        <v>207</v>
      </c>
      <c r="B857" s="130" t="s">
        <v>2304</v>
      </c>
      <c r="C857" s="130" t="s">
        <v>66</v>
      </c>
      <c r="D857" s="97" t="e">
        <f>_xlfn.XLOOKUP(A857,[1]CPD_SOP_new!$A:$A,[1]CPD_SOP_new!#REF!,"not found",0 )</f>
        <v>#REF!</v>
      </c>
      <c r="E857" s="97" t="str">
        <f>_xlfn.XLOOKUP(A857,[1]CPD_SOP_new!$A:$A,[1]CPD_SOP_new!$K:$K,"not found",0 )</f>
        <v>2C</v>
      </c>
      <c r="F857" s="130" t="s">
        <v>27</v>
      </c>
      <c r="G857" s="130" t="s">
        <v>28</v>
      </c>
      <c r="H857" s="130" t="s">
        <v>28</v>
      </c>
      <c r="I857" s="130" t="s">
        <v>27</v>
      </c>
      <c r="J857" s="137" t="s">
        <v>68</v>
      </c>
      <c r="K857" s="130" t="s">
        <v>1312</v>
      </c>
      <c r="L857" s="130" t="s">
        <v>723</v>
      </c>
      <c r="M857" s="100" t="str">
        <f t="shared" si="26"/>
        <v>Wrong measurement</v>
      </c>
      <c r="N857" s="59" t="str">
        <f t="shared" si="27"/>
        <v>Wrong measurement</v>
      </c>
      <c r="O857" s="131" t="s">
        <v>475</v>
      </c>
      <c r="P857" s="131"/>
    </row>
    <row r="858" spans="1:16" s="130" customFormat="1">
      <c r="A858" s="78">
        <v>207</v>
      </c>
      <c r="B858" s="130" t="s">
        <v>2304</v>
      </c>
      <c r="C858" s="130" t="s">
        <v>66</v>
      </c>
      <c r="D858" s="97" t="e">
        <f>_xlfn.XLOOKUP(A858,[1]CPD_SOP_new!$A:$A,[1]CPD_SOP_new!#REF!,"not found",0 )</f>
        <v>#REF!</v>
      </c>
      <c r="E858" s="97" t="str">
        <f>_xlfn.XLOOKUP(A858,[1]CPD_SOP_new!$A:$A,[1]CPD_SOP_new!$K:$K,"not found",0 )</f>
        <v>2C</v>
      </c>
      <c r="F858" s="130" t="s">
        <v>27</v>
      </c>
      <c r="G858" s="130" t="s">
        <v>28</v>
      </c>
      <c r="H858" s="130" t="s">
        <v>28</v>
      </c>
      <c r="I858" s="130" t="s">
        <v>27</v>
      </c>
      <c r="J858" s="137" t="s">
        <v>68</v>
      </c>
      <c r="K858" s="130" t="s">
        <v>1313</v>
      </c>
      <c r="L858" s="130" t="s">
        <v>723</v>
      </c>
      <c r="M858" s="100" t="str">
        <f t="shared" si="26"/>
        <v>Wrong measurement</v>
      </c>
      <c r="N858" s="59" t="str">
        <f t="shared" si="27"/>
        <v>Wrong measurement</v>
      </c>
      <c r="O858" s="131" t="s">
        <v>475</v>
      </c>
      <c r="P858" s="131"/>
    </row>
    <row r="859" spans="1:16">
      <c r="A859" s="77">
        <v>207</v>
      </c>
      <c r="B859" t="s">
        <v>2304</v>
      </c>
      <c r="C859" t="s">
        <v>66</v>
      </c>
      <c r="D859" s="97" t="e">
        <f>_xlfn.XLOOKUP(A859,[1]CPD_SOP_new!$A:$A,[1]CPD_SOP_new!#REF!,"not found",0 )</f>
        <v>#REF!</v>
      </c>
      <c r="E859" s="97" t="str">
        <f>_xlfn.XLOOKUP(A859,[1]CPD_SOP_new!$A:$A,[1]CPD_SOP_new!$K:$K,"not found",0 )</f>
        <v>2C</v>
      </c>
      <c r="F859" t="s">
        <v>28</v>
      </c>
      <c r="G859" t="s">
        <v>28</v>
      </c>
      <c r="H859" t="s">
        <v>28</v>
      </c>
      <c r="I859" t="s">
        <v>28</v>
      </c>
      <c r="J859" t="s">
        <v>124</v>
      </c>
      <c r="K859" s="132" t="s">
        <v>1314</v>
      </c>
      <c r="L859" s="132" t="s">
        <v>2768</v>
      </c>
      <c r="M859" s="100" t="str">
        <f t="shared" si="26"/>
        <v>CPD_TC207_Try1_NCAP3_3YO_2C_CPD.MF4.xz</v>
      </c>
      <c r="N859" s="59" t="str">
        <f t="shared" si="27"/>
        <v>_NCAP3_3YO_2C_CPD.MF4.xz</v>
      </c>
      <c r="O859" s="129" t="s">
        <v>86</v>
      </c>
      <c r="P859" s="129"/>
    </row>
    <row r="860" spans="1:16" s="137" customFormat="1">
      <c r="A860" s="77">
        <v>207</v>
      </c>
      <c r="B860" t="s">
        <v>2304</v>
      </c>
      <c r="C860" t="s">
        <v>66</v>
      </c>
      <c r="D860" s="97" t="e">
        <f>_xlfn.XLOOKUP(A860,[1]CPD_SOP_new!$A:$A,[1]CPD_SOP_new!#REF!,"not found",0 )</f>
        <v>#REF!</v>
      </c>
      <c r="E860" s="97" t="str">
        <f>_xlfn.XLOOKUP(A860,[1]CPD_SOP_new!$A:$A,[1]CPD_SOP_new!$K:$K,"not found",0 )</f>
        <v>2C</v>
      </c>
      <c r="F860" t="s">
        <v>28</v>
      </c>
      <c r="G860" t="s">
        <v>28</v>
      </c>
      <c r="H860" t="s">
        <v>28</v>
      </c>
      <c r="I860" t="s">
        <v>28</v>
      </c>
      <c r="J860" t="s">
        <v>124</v>
      </c>
      <c r="K860" s="132" t="s">
        <v>1316</v>
      </c>
      <c r="L860" s="132" t="s">
        <v>2769</v>
      </c>
      <c r="M860" s="100" t="str">
        <f t="shared" si="26"/>
        <v>CPD_TC207_Try2_NCAP3_3YO_2C_CPD.MF4.xz</v>
      </c>
      <c r="N860" s="59" t="str">
        <f t="shared" si="27"/>
        <v>_NCAP3_3YO_2C_CPD.MF4.xz</v>
      </c>
      <c r="O860" s="129" t="s">
        <v>86</v>
      </c>
      <c r="P860" s="129"/>
    </row>
    <row r="861" spans="1:16">
      <c r="A861" s="77">
        <v>207</v>
      </c>
      <c r="B861" t="s">
        <v>2304</v>
      </c>
      <c r="C861" t="s">
        <v>66</v>
      </c>
      <c r="D861" s="97" t="e">
        <f>_xlfn.XLOOKUP(A861,[1]CPD_SOP_new!$A:$A,[1]CPD_SOP_new!#REF!,"not found",0 )</f>
        <v>#REF!</v>
      </c>
      <c r="E861" s="97" t="str">
        <f>_xlfn.XLOOKUP(A861,[1]CPD_SOP_new!$A:$A,[1]CPD_SOP_new!$K:$K,"not found",0 )</f>
        <v>2C</v>
      </c>
      <c r="F861" t="s">
        <v>28</v>
      </c>
      <c r="G861" t="s">
        <v>28</v>
      </c>
      <c r="H861" t="s">
        <v>28</v>
      </c>
      <c r="I861" t="s">
        <v>28</v>
      </c>
      <c r="J861" t="s">
        <v>124</v>
      </c>
      <c r="K861" s="132" t="s">
        <v>1317</v>
      </c>
      <c r="L861" s="132" t="s">
        <v>2770</v>
      </c>
      <c r="M861" s="100" t="str">
        <f t="shared" si="26"/>
        <v>CPD_TC207_Try3_NCAP3_3YO_2C_CPD.MF4.xz</v>
      </c>
      <c r="N861" s="59" t="str">
        <f t="shared" si="27"/>
        <v>_NCAP3_3YO_2C_CPD.MF4.xz</v>
      </c>
      <c r="O861" s="129" t="s">
        <v>86</v>
      </c>
      <c r="P861" s="129"/>
    </row>
    <row r="862" spans="1:16">
      <c r="A862" s="77">
        <v>207</v>
      </c>
      <c r="B862" t="s">
        <v>2304</v>
      </c>
      <c r="C862" t="s">
        <v>66</v>
      </c>
      <c r="D862" s="97" t="e">
        <f>_xlfn.XLOOKUP(A862,[1]CPD_SOP_new!$A:$A,[1]CPD_SOP_new!#REF!,"not found",0 )</f>
        <v>#REF!</v>
      </c>
      <c r="E862" s="97" t="str">
        <f>_xlfn.XLOOKUP(A862,[1]CPD_SOP_new!$A:$A,[1]CPD_SOP_new!$K:$K,"not found",0 )</f>
        <v>2C</v>
      </c>
      <c r="F862" t="s">
        <v>28</v>
      </c>
      <c r="G862" t="s">
        <v>28</v>
      </c>
      <c r="H862" t="s">
        <v>28</v>
      </c>
      <c r="I862" t="s">
        <v>28</v>
      </c>
      <c r="J862" t="s">
        <v>124</v>
      </c>
      <c r="K862" s="132" t="s">
        <v>1318</v>
      </c>
      <c r="L862" s="132" t="s">
        <v>2771</v>
      </c>
      <c r="M862" s="100" t="str">
        <f t="shared" si="26"/>
        <v>CPD_TC207_Try4_NCAP3_3YO_2C_CPD.MF4.xz</v>
      </c>
      <c r="N862" s="59" t="str">
        <f t="shared" si="27"/>
        <v>_NCAP3_3YO_2C_CPD.MF4.xz</v>
      </c>
      <c r="O862" s="129" t="s">
        <v>86</v>
      </c>
      <c r="P862" s="129"/>
    </row>
    <row r="863" spans="1:16">
      <c r="A863" s="77">
        <v>207</v>
      </c>
      <c r="B863" t="s">
        <v>2304</v>
      </c>
      <c r="C863" t="s">
        <v>66</v>
      </c>
      <c r="D863" s="97" t="e">
        <f>_xlfn.XLOOKUP(A863,[1]CPD_SOP_new!$A:$A,[1]CPD_SOP_new!#REF!,"not found",0 )</f>
        <v>#REF!</v>
      </c>
      <c r="E863" s="97" t="str">
        <f>_xlfn.XLOOKUP(A863,[1]CPD_SOP_new!$A:$A,[1]CPD_SOP_new!$K:$K,"not found",0 )</f>
        <v>2C</v>
      </c>
      <c r="F863" t="s">
        <v>28</v>
      </c>
      <c r="G863" t="s">
        <v>28</v>
      </c>
      <c r="H863" t="s">
        <v>28</v>
      </c>
      <c r="I863" t="s">
        <v>28</v>
      </c>
      <c r="J863" t="s">
        <v>124</v>
      </c>
      <c r="K863" s="132" t="s">
        <v>1319</v>
      </c>
      <c r="L863" s="132" t="s">
        <v>2772</v>
      </c>
      <c r="M863" s="100" t="str">
        <f t="shared" si="26"/>
        <v>CPD_TC207_Try5_NCAP3_3YO_2C_CPD.MF4.xz</v>
      </c>
      <c r="N863" s="59" t="str">
        <f t="shared" si="27"/>
        <v>_NCAP3_3YO_2C_CPD.MF4.xz</v>
      </c>
      <c r="O863" s="129" t="s">
        <v>86</v>
      </c>
      <c r="P863" s="129"/>
    </row>
    <row r="864" spans="1:16">
      <c r="A864" s="77">
        <v>208</v>
      </c>
      <c r="B864" t="s">
        <v>2304</v>
      </c>
      <c r="C864" t="s">
        <v>253</v>
      </c>
      <c r="D864" s="97" t="e">
        <f>_xlfn.XLOOKUP(A864,[1]CPD_SOP_new!$A:$A,[1]CPD_SOP_new!#REF!,"not found",0 )</f>
        <v>#REF!</v>
      </c>
      <c r="E864" s="97" t="str">
        <f>_xlfn.XLOOKUP(A864,[1]CPD_SOP_new!$A:$A,[1]CPD_SOP_new!$K:$K,"not found",0 )</f>
        <v>3R</v>
      </c>
      <c r="F864" t="s">
        <v>28</v>
      </c>
      <c r="G864" t="s">
        <v>27</v>
      </c>
      <c r="H864" t="s">
        <v>27</v>
      </c>
      <c r="I864" t="s">
        <v>28</v>
      </c>
      <c r="J864" t="s">
        <v>124</v>
      </c>
      <c r="K864" t="s">
        <v>1320</v>
      </c>
      <c r="L864" t="s">
        <v>2773</v>
      </c>
      <c r="M864" s="100" t="str">
        <f t="shared" si="26"/>
        <v>CSR_XCP_Signals_Recorder_2025-12-22_16-08-38_TC208_CPD_NCAP3_6YO_3R_CPD.MF4.xz</v>
      </c>
      <c r="N864" s="59" t="str">
        <f t="shared" si="27"/>
        <v>_NCAP3_6YO_3R_CPD.MF4.xz</v>
      </c>
      <c r="O864" s="1" t="s">
        <v>202</v>
      </c>
      <c r="P864" s="1"/>
    </row>
    <row r="865" spans="1:16">
      <c r="A865" s="77">
        <v>208</v>
      </c>
      <c r="B865" t="s">
        <v>2304</v>
      </c>
      <c r="C865" t="s">
        <v>253</v>
      </c>
      <c r="D865" s="97" t="e">
        <f>_xlfn.XLOOKUP(A865,[1]CPD_SOP_new!$A:$A,[1]CPD_SOP_new!#REF!,"not found",0 )</f>
        <v>#REF!</v>
      </c>
      <c r="E865" s="97" t="str">
        <f>_xlfn.XLOOKUP(A865,[1]CPD_SOP_new!$A:$A,[1]CPD_SOP_new!$K:$K,"not found",0 )</f>
        <v>3R</v>
      </c>
      <c r="F865" t="s">
        <v>28</v>
      </c>
      <c r="G865" t="s">
        <v>27</v>
      </c>
      <c r="H865" t="s">
        <v>27</v>
      </c>
      <c r="I865" t="s">
        <v>28</v>
      </c>
      <c r="J865" t="s">
        <v>124</v>
      </c>
      <c r="K865" t="s">
        <v>1322</v>
      </c>
      <c r="L865" t="s">
        <v>2774</v>
      </c>
      <c r="M865" s="100" t="str">
        <f t="shared" si="26"/>
        <v>CSR_XCP_Signals_Recorder_2025-12-22_16-10-19_TC208_CPD_NCAP3_6YO_3R_CPD.MF4.xz</v>
      </c>
      <c r="N865" s="59" t="str">
        <f t="shared" si="27"/>
        <v>_NCAP3_6YO_3R_CPD.MF4.xz</v>
      </c>
      <c r="O865" s="1" t="s">
        <v>202</v>
      </c>
      <c r="P865" s="1"/>
    </row>
    <row r="866" spans="1:16">
      <c r="A866" s="77">
        <v>208</v>
      </c>
      <c r="B866" t="s">
        <v>2304</v>
      </c>
      <c r="C866" t="s">
        <v>253</v>
      </c>
      <c r="D866" s="97" t="e">
        <f>_xlfn.XLOOKUP(A866,[1]CPD_SOP_new!$A:$A,[1]CPD_SOP_new!#REF!,"not found",0 )</f>
        <v>#REF!</v>
      </c>
      <c r="E866" s="97" t="str">
        <f>_xlfn.XLOOKUP(A866,[1]CPD_SOP_new!$A:$A,[1]CPD_SOP_new!$K:$K,"not found",0 )</f>
        <v>3R</v>
      </c>
      <c r="F866" t="s">
        <v>28</v>
      </c>
      <c r="G866" t="s">
        <v>27</v>
      </c>
      <c r="H866" t="s">
        <v>27</v>
      </c>
      <c r="I866" t="s">
        <v>28</v>
      </c>
      <c r="J866" t="s">
        <v>124</v>
      </c>
      <c r="K866" t="s">
        <v>1323</v>
      </c>
      <c r="L866" t="s">
        <v>2775</v>
      </c>
      <c r="M866" s="100" t="str">
        <f t="shared" si="26"/>
        <v>CSR_XCP_Signals_Recorder_2025-12-22_16-12-00_TC208_CPD_NCAP3_6YO_3R_CPD.MF4.xz</v>
      </c>
      <c r="N866" s="59" t="str">
        <f t="shared" si="27"/>
        <v>_NCAP3_6YO_3R_CPD.MF4.xz</v>
      </c>
      <c r="O866" s="1" t="s">
        <v>202</v>
      </c>
      <c r="P866" s="1"/>
    </row>
    <row r="867" spans="1:16" s="137" customFormat="1">
      <c r="A867" s="78">
        <v>208</v>
      </c>
      <c r="B867" s="137" t="s">
        <v>2304</v>
      </c>
      <c r="C867" s="137" t="s">
        <v>253</v>
      </c>
      <c r="D867" s="97" t="e">
        <f>_xlfn.XLOOKUP(A867,[1]CPD_SOP_new!$A:$A,[1]CPD_SOP_new!#REF!,"not found",0 )</f>
        <v>#REF!</v>
      </c>
      <c r="E867" s="97" t="str">
        <f>_xlfn.XLOOKUP(A867,[1]CPD_SOP_new!$A:$A,[1]CPD_SOP_new!$K:$K,"not found",0 )</f>
        <v>3R</v>
      </c>
      <c r="F867" s="137" t="s">
        <v>28</v>
      </c>
      <c r="G867" s="137" t="s">
        <v>27</v>
      </c>
      <c r="H867" s="137" t="s">
        <v>27</v>
      </c>
      <c r="I867" s="137" t="s">
        <v>27</v>
      </c>
      <c r="J867" s="88" t="s">
        <v>1324</v>
      </c>
      <c r="K867" s="137" t="s">
        <v>1325</v>
      </c>
      <c r="L867" s="137" t="s">
        <v>723</v>
      </c>
      <c r="M867" s="100" t="str">
        <f t="shared" si="26"/>
        <v>Wrong measurement</v>
      </c>
      <c r="N867" s="59" t="str">
        <f t="shared" si="27"/>
        <v>Wrong measurement</v>
      </c>
      <c r="O867" s="89" t="s">
        <v>202</v>
      </c>
      <c r="P867" s="89"/>
    </row>
    <row r="868" spans="1:16" s="137" customFormat="1">
      <c r="A868" s="78">
        <v>208</v>
      </c>
      <c r="B868" s="137" t="s">
        <v>2304</v>
      </c>
      <c r="C868" s="137" t="s">
        <v>253</v>
      </c>
      <c r="D868" s="97" t="e">
        <f>_xlfn.XLOOKUP(A868,[1]CPD_SOP_new!$A:$A,[1]CPD_SOP_new!#REF!,"not found",0 )</f>
        <v>#REF!</v>
      </c>
      <c r="E868" s="97" t="str">
        <f>_xlfn.XLOOKUP(A868,[1]CPD_SOP_new!$A:$A,[1]CPD_SOP_new!$K:$K,"not found",0 )</f>
        <v>3R</v>
      </c>
      <c r="F868" s="137" t="s">
        <v>28</v>
      </c>
      <c r="G868" s="137" t="s">
        <v>27</v>
      </c>
      <c r="H868" s="137" t="s">
        <v>27</v>
      </c>
      <c r="I868" s="137" t="s">
        <v>27</v>
      </c>
      <c r="J868" s="88" t="s">
        <v>1324</v>
      </c>
      <c r="K868" s="137" t="s">
        <v>1326</v>
      </c>
      <c r="L868" s="137" t="s">
        <v>723</v>
      </c>
      <c r="M868" s="100" t="str">
        <f t="shared" si="26"/>
        <v>Wrong measurement</v>
      </c>
      <c r="N868" s="59" t="str">
        <f t="shared" si="27"/>
        <v>Wrong measurement</v>
      </c>
      <c r="O868" s="89" t="s">
        <v>202</v>
      </c>
      <c r="P868" s="89"/>
    </row>
    <row r="869" spans="1:16">
      <c r="A869" s="77">
        <v>209</v>
      </c>
      <c r="B869" t="s">
        <v>2304</v>
      </c>
      <c r="C869" t="s">
        <v>253</v>
      </c>
      <c r="D869" s="97" t="e">
        <f>_xlfn.XLOOKUP(A869,[1]CPD_SOP_new!$A:$A,[1]CPD_SOP_new!#REF!,"not found",0 )</f>
        <v>#REF!</v>
      </c>
      <c r="E869" s="97" t="str">
        <f>_xlfn.XLOOKUP(A869,[1]CPD_SOP_new!$A:$A,[1]CPD_SOP_new!$K:$K,"not found",0 )</f>
        <v>3L</v>
      </c>
      <c r="F869" t="s">
        <v>27</v>
      </c>
      <c r="G869" t="s">
        <v>28</v>
      </c>
      <c r="H869" t="s">
        <v>27</v>
      </c>
      <c r="I869" t="s">
        <v>28</v>
      </c>
      <c r="J869" t="s">
        <v>124</v>
      </c>
      <c r="K869" t="s">
        <v>1327</v>
      </c>
      <c r="L869" t="s">
        <v>2776</v>
      </c>
      <c r="M869" s="100" t="str">
        <f t="shared" si="26"/>
        <v>TC209_Try_1_NCAP3_6YO_3L_CPD.MF4.xz</v>
      </c>
      <c r="N869" s="59" t="str">
        <f t="shared" si="27"/>
        <v>_NCAP3_6YO_3L_CPD.MF4.xz</v>
      </c>
      <c r="O869" s="129" t="s">
        <v>475</v>
      </c>
      <c r="P869" s="129"/>
    </row>
    <row r="870" spans="1:16">
      <c r="A870" s="77">
        <v>209</v>
      </c>
      <c r="B870" t="s">
        <v>2304</v>
      </c>
      <c r="C870" t="s">
        <v>253</v>
      </c>
      <c r="D870" s="97" t="e">
        <f>_xlfn.XLOOKUP(A870,[1]CPD_SOP_new!$A:$A,[1]CPD_SOP_new!#REF!,"not found",0 )</f>
        <v>#REF!</v>
      </c>
      <c r="E870" s="97" t="str">
        <f>_xlfn.XLOOKUP(A870,[1]CPD_SOP_new!$A:$A,[1]CPD_SOP_new!$K:$K,"not found",0 )</f>
        <v>3L</v>
      </c>
      <c r="F870" t="s">
        <v>27</v>
      </c>
      <c r="G870" t="s">
        <v>28</v>
      </c>
      <c r="H870" t="s">
        <v>27</v>
      </c>
      <c r="I870" t="s">
        <v>28</v>
      </c>
      <c r="J870" t="s">
        <v>124</v>
      </c>
      <c r="K870" t="s">
        <v>1329</v>
      </c>
      <c r="L870" t="s">
        <v>2777</v>
      </c>
      <c r="M870" s="100" t="str">
        <f t="shared" si="26"/>
        <v>TC209_Try_2_NCAP3_6YO_3L_CPD.MF4.xz</v>
      </c>
      <c r="N870" s="59" t="str">
        <f t="shared" si="27"/>
        <v>_NCAP3_6YO_3L_CPD.MF4.xz</v>
      </c>
      <c r="O870" s="129" t="s">
        <v>475</v>
      </c>
      <c r="P870" s="129"/>
    </row>
    <row r="871" spans="1:16">
      <c r="A871" s="77">
        <v>209</v>
      </c>
      <c r="B871" t="s">
        <v>2304</v>
      </c>
      <c r="C871" t="s">
        <v>253</v>
      </c>
      <c r="D871" s="97" t="e">
        <f>_xlfn.XLOOKUP(A871,[1]CPD_SOP_new!$A:$A,[1]CPD_SOP_new!#REF!,"not found",0 )</f>
        <v>#REF!</v>
      </c>
      <c r="E871" s="97" t="str">
        <f>_xlfn.XLOOKUP(A871,[1]CPD_SOP_new!$A:$A,[1]CPD_SOP_new!$K:$K,"not found",0 )</f>
        <v>3L</v>
      </c>
      <c r="F871" t="s">
        <v>27</v>
      </c>
      <c r="G871" t="s">
        <v>28</v>
      </c>
      <c r="H871" t="s">
        <v>27</v>
      </c>
      <c r="I871" t="s">
        <v>28</v>
      </c>
      <c r="J871" t="s">
        <v>124</v>
      </c>
      <c r="K871" t="s">
        <v>1330</v>
      </c>
      <c r="L871" t="s">
        <v>2778</v>
      </c>
      <c r="M871" s="100" t="str">
        <f t="shared" si="26"/>
        <v>TC209_Try_3_NCAP3_6YO_3L_CPD.MF4.xz</v>
      </c>
      <c r="N871" s="59" t="str">
        <f t="shared" si="27"/>
        <v>_NCAP3_6YO_3L_CPD.MF4.xz</v>
      </c>
      <c r="O871" s="129" t="s">
        <v>475</v>
      </c>
      <c r="P871" s="129"/>
    </row>
    <row r="872" spans="1:16">
      <c r="A872" s="77">
        <v>210</v>
      </c>
      <c r="B872" t="s">
        <v>2304</v>
      </c>
      <c r="C872" t="s">
        <v>253</v>
      </c>
      <c r="D872" s="97" t="e">
        <f>_xlfn.XLOOKUP(A872,[1]CPD_SOP_new!$A:$A,[1]CPD_SOP_new!#REF!,"not found",0 )</f>
        <v>#REF!</v>
      </c>
      <c r="E872" s="97" t="str">
        <f>_xlfn.XLOOKUP(A872,[1]CPD_SOP_new!$A:$A,[1]CPD_SOP_new!$K:$K,"not found",0 )</f>
        <v>3R</v>
      </c>
      <c r="F872" t="s">
        <v>27</v>
      </c>
      <c r="G872" t="s">
        <v>28</v>
      </c>
      <c r="H872" t="s">
        <v>27</v>
      </c>
      <c r="I872" t="s">
        <v>28</v>
      </c>
      <c r="J872" t="s">
        <v>124</v>
      </c>
      <c r="K872" t="s">
        <v>1331</v>
      </c>
      <c r="L872" t="s">
        <v>2779</v>
      </c>
      <c r="M872" s="100" t="str">
        <f t="shared" si="26"/>
        <v>TC210_Try_1_NCAP3_6YO_3R_CPD.MF4.xz</v>
      </c>
      <c r="N872" s="59" t="str">
        <f t="shared" si="27"/>
        <v>_NCAP3_6YO_3R_CPD.MF4.xz</v>
      </c>
      <c r="O872" s="129" t="s">
        <v>475</v>
      </c>
      <c r="P872" s="129"/>
    </row>
    <row r="873" spans="1:16">
      <c r="A873" s="77">
        <v>210</v>
      </c>
      <c r="B873" t="s">
        <v>2304</v>
      </c>
      <c r="C873" t="s">
        <v>253</v>
      </c>
      <c r="D873" s="97" t="e">
        <f>_xlfn.XLOOKUP(A873,[1]CPD_SOP_new!$A:$A,[1]CPD_SOP_new!#REF!,"not found",0 )</f>
        <v>#REF!</v>
      </c>
      <c r="E873" s="97" t="str">
        <f>_xlfn.XLOOKUP(A873,[1]CPD_SOP_new!$A:$A,[1]CPD_SOP_new!$K:$K,"not found",0 )</f>
        <v>3R</v>
      </c>
      <c r="F873" t="s">
        <v>27</v>
      </c>
      <c r="G873" t="s">
        <v>28</v>
      </c>
      <c r="H873" t="s">
        <v>27</v>
      </c>
      <c r="I873" t="s">
        <v>28</v>
      </c>
      <c r="J873" t="s">
        <v>124</v>
      </c>
      <c r="K873" t="s">
        <v>1333</v>
      </c>
      <c r="L873" t="s">
        <v>2780</v>
      </c>
      <c r="M873" s="100" t="str">
        <f t="shared" si="26"/>
        <v>TC210_Try_2_NCAP3_6YO_3R_CPD.MF4.xz</v>
      </c>
      <c r="N873" s="59" t="str">
        <f t="shared" si="27"/>
        <v>_NCAP3_6YO_3R_CPD.MF4.xz</v>
      </c>
      <c r="O873" s="129" t="s">
        <v>475</v>
      </c>
      <c r="P873" s="129"/>
    </row>
    <row r="874" spans="1:16">
      <c r="A874" s="77">
        <v>210</v>
      </c>
      <c r="B874" t="s">
        <v>2304</v>
      </c>
      <c r="C874" t="s">
        <v>253</v>
      </c>
      <c r="D874" s="97" t="e">
        <f>_xlfn.XLOOKUP(A874,[1]CPD_SOP_new!$A:$A,[1]CPD_SOP_new!#REF!,"not found",0 )</f>
        <v>#REF!</v>
      </c>
      <c r="E874" s="97" t="str">
        <f>_xlfn.XLOOKUP(A874,[1]CPD_SOP_new!$A:$A,[1]CPD_SOP_new!$K:$K,"not found",0 )</f>
        <v>3R</v>
      </c>
      <c r="F874" t="s">
        <v>27</v>
      </c>
      <c r="G874" t="s">
        <v>28</v>
      </c>
      <c r="H874" t="s">
        <v>27</v>
      </c>
      <c r="I874" t="s">
        <v>28</v>
      </c>
      <c r="J874" t="s">
        <v>124</v>
      </c>
      <c r="K874" t="s">
        <v>1334</v>
      </c>
      <c r="L874" t="s">
        <v>2781</v>
      </c>
      <c r="M874" s="100" t="str">
        <f t="shared" si="26"/>
        <v>TC210_Try_3_NCAP3_6YO_3R_CPD.MF4.xz</v>
      </c>
      <c r="N874" s="59" t="str">
        <f t="shared" si="27"/>
        <v>_NCAP3_6YO_3R_CPD.MF4.xz</v>
      </c>
      <c r="O874" s="129" t="s">
        <v>475</v>
      </c>
      <c r="P874" s="129"/>
    </row>
    <row r="875" spans="1:16">
      <c r="A875" s="38">
        <v>211</v>
      </c>
      <c r="B875" t="s">
        <v>2304</v>
      </c>
      <c r="C875" t="s">
        <v>253</v>
      </c>
      <c r="D875" s="97" t="e">
        <f>_xlfn.XLOOKUP(A875,[1]CPD_SOP_new!$A:$A,[1]CPD_SOP_new!#REF!,"not found",0 )</f>
        <v>#REF!</v>
      </c>
      <c r="E875" s="97" t="s">
        <v>26</v>
      </c>
      <c r="F875" t="s">
        <v>27</v>
      </c>
      <c r="G875" t="s">
        <v>27</v>
      </c>
      <c r="H875" t="s">
        <v>27</v>
      </c>
      <c r="I875" t="s">
        <v>28</v>
      </c>
      <c r="J875" t="s">
        <v>124</v>
      </c>
      <c r="K875" t="s">
        <v>1335</v>
      </c>
      <c r="L875" t="s">
        <v>2782</v>
      </c>
      <c r="M875" s="100" t="str">
        <f t="shared" si="26"/>
        <v>TC_211_Try1_NCAP3_6YO_1R_CPD.MF4.xz</v>
      </c>
      <c r="N875" s="59" t="str">
        <f t="shared" si="27"/>
        <v>_NCAP3_6YO_1R_CPD.MF4.xz</v>
      </c>
      <c r="O875" s="129" t="s">
        <v>371</v>
      </c>
      <c r="P875" s="129"/>
    </row>
    <row r="876" spans="1:16">
      <c r="A876" s="38">
        <v>211</v>
      </c>
      <c r="B876" t="s">
        <v>2304</v>
      </c>
      <c r="C876" t="s">
        <v>253</v>
      </c>
      <c r="D876" s="97" t="e">
        <f>_xlfn.XLOOKUP(A876,[1]CPD_SOP_new!$A:$A,[1]CPD_SOP_new!#REF!,"not found",0 )</f>
        <v>#REF!</v>
      </c>
      <c r="E876" s="97" t="s">
        <v>26</v>
      </c>
      <c r="F876" t="s">
        <v>27</v>
      </c>
      <c r="G876" t="s">
        <v>27</v>
      </c>
      <c r="H876" t="s">
        <v>27</v>
      </c>
      <c r="I876" t="s">
        <v>28</v>
      </c>
      <c r="J876" t="s">
        <v>124</v>
      </c>
      <c r="K876" t="s">
        <v>1336</v>
      </c>
      <c r="L876" t="s">
        <v>2783</v>
      </c>
      <c r="M876" s="100" t="str">
        <f t="shared" si="26"/>
        <v>TC_211_Try2_NCAP3_6YO_1R_CPD.MF4.xz</v>
      </c>
      <c r="N876" s="59" t="str">
        <f t="shared" si="27"/>
        <v>_NCAP3_6YO_1R_CPD.MF4.xz</v>
      </c>
      <c r="O876" s="129" t="s">
        <v>371</v>
      </c>
      <c r="P876" s="129"/>
    </row>
    <row r="877" spans="1:16">
      <c r="A877" s="38">
        <v>211</v>
      </c>
      <c r="B877" t="s">
        <v>2304</v>
      </c>
      <c r="C877" t="s">
        <v>253</v>
      </c>
      <c r="D877" s="97" t="e">
        <f>_xlfn.XLOOKUP(A877,[1]CPD_SOP_new!$A:$A,[1]CPD_SOP_new!#REF!,"not found",0 )</f>
        <v>#REF!</v>
      </c>
      <c r="E877" s="97" t="s">
        <v>26</v>
      </c>
      <c r="F877" t="s">
        <v>27</v>
      </c>
      <c r="G877" t="s">
        <v>27</v>
      </c>
      <c r="H877" t="s">
        <v>27</v>
      </c>
      <c r="I877" t="s">
        <v>28</v>
      </c>
      <c r="J877" t="s">
        <v>124</v>
      </c>
      <c r="K877" t="s">
        <v>1337</v>
      </c>
      <c r="L877" t="s">
        <v>2784</v>
      </c>
      <c r="M877" s="100" t="str">
        <f t="shared" si="26"/>
        <v>TC_211_Try3_NCAP3_6YO_1R_CPD.MF4.xz</v>
      </c>
      <c r="N877" s="59" t="str">
        <f t="shared" si="27"/>
        <v>_NCAP3_6YO_1R_CPD.MF4.xz</v>
      </c>
      <c r="O877" s="129" t="s">
        <v>371</v>
      </c>
      <c r="P877" s="129"/>
    </row>
    <row r="878" spans="1:16">
      <c r="A878" s="77">
        <v>212</v>
      </c>
      <c r="B878" t="s">
        <v>2304</v>
      </c>
      <c r="C878" t="s">
        <v>253</v>
      </c>
      <c r="D878" s="97" t="e">
        <f>_xlfn.XLOOKUP(A878,[1]CPD_SOP_new!$A:$A,[1]CPD_SOP_new!#REF!,"not found",0 )</f>
        <v>#REF!</v>
      </c>
      <c r="E878" s="97" t="s">
        <v>112</v>
      </c>
      <c r="F878" t="s">
        <v>27</v>
      </c>
      <c r="G878" t="s">
        <v>28</v>
      </c>
      <c r="H878" t="s">
        <v>27</v>
      </c>
      <c r="I878" t="s">
        <v>28</v>
      </c>
      <c r="J878" t="s">
        <v>124</v>
      </c>
      <c r="K878" t="s">
        <v>1338</v>
      </c>
      <c r="L878" t="s">
        <v>2785</v>
      </c>
      <c r="M878" s="100" t="str">
        <f t="shared" si="26"/>
        <v>TC212_Try_1_NCAP3_6YO_1L_CPD.MF4.xz</v>
      </c>
      <c r="N878" s="59" t="str">
        <f t="shared" si="27"/>
        <v>_NCAP3_6YO_1L_CPD.MF4.xz</v>
      </c>
      <c r="O878" s="129" t="s">
        <v>475</v>
      </c>
      <c r="P878" s="129"/>
    </row>
    <row r="879" spans="1:16">
      <c r="A879" s="77">
        <v>212</v>
      </c>
      <c r="B879" t="s">
        <v>2304</v>
      </c>
      <c r="C879" t="s">
        <v>253</v>
      </c>
      <c r="D879" s="97" t="e">
        <f>_xlfn.XLOOKUP(A879,[1]CPD_SOP_new!$A:$A,[1]CPD_SOP_new!#REF!,"not found",0 )</f>
        <v>#REF!</v>
      </c>
      <c r="E879" s="97" t="s">
        <v>112</v>
      </c>
      <c r="F879" t="s">
        <v>27</v>
      </c>
      <c r="G879" t="s">
        <v>28</v>
      </c>
      <c r="H879" t="s">
        <v>27</v>
      </c>
      <c r="I879" t="s">
        <v>28</v>
      </c>
      <c r="J879" t="s">
        <v>124</v>
      </c>
      <c r="K879" t="s">
        <v>1340</v>
      </c>
      <c r="L879" t="s">
        <v>2786</v>
      </c>
      <c r="M879" s="100" t="str">
        <f t="shared" si="26"/>
        <v>TC212_Try_2_NCAP3_6YO_1L_CPD.MF4.xz</v>
      </c>
      <c r="N879" s="59" t="str">
        <f t="shared" si="27"/>
        <v>_NCAP3_6YO_1L_CPD.MF4.xz</v>
      </c>
      <c r="O879" s="129" t="s">
        <v>475</v>
      </c>
      <c r="P879" s="129"/>
    </row>
    <row r="880" spans="1:16">
      <c r="A880" s="77">
        <v>212</v>
      </c>
      <c r="B880" t="s">
        <v>2304</v>
      </c>
      <c r="C880" t="s">
        <v>253</v>
      </c>
      <c r="D880" s="97" t="e">
        <f>_xlfn.XLOOKUP(A880,[1]CPD_SOP_new!$A:$A,[1]CPD_SOP_new!#REF!,"not found",0 )</f>
        <v>#REF!</v>
      </c>
      <c r="E880" s="97" t="s">
        <v>112</v>
      </c>
      <c r="F880" t="s">
        <v>27</v>
      </c>
      <c r="G880" t="s">
        <v>28</v>
      </c>
      <c r="H880" t="s">
        <v>27</v>
      </c>
      <c r="I880" t="s">
        <v>28</v>
      </c>
      <c r="J880" t="s">
        <v>124</v>
      </c>
      <c r="K880" t="s">
        <v>1341</v>
      </c>
      <c r="L880" t="s">
        <v>2787</v>
      </c>
      <c r="M880" s="100" t="str">
        <f t="shared" si="26"/>
        <v>TC212_Try_3_NCAP3_6YO_1L_CPD.MF4.xz</v>
      </c>
      <c r="N880" s="59" t="str">
        <f t="shared" si="27"/>
        <v>_NCAP3_6YO_1L_CPD.MF4.xz</v>
      </c>
      <c r="O880" s="129" t="s">
        <v>475</v>
      </c>
      <c r="P880" s="129"/>
    </row>
    <row r="881" spans="1:21">
      <c r="A881" s="38">
        <v>213</v>
      </c>
      <c r="B881" t="s">
        <v>2304</v>
      </c>
      <c r="C881" t="s">
        <v>253</v>
      </c>
      <c r="D881" s="97" t="e">
        <f>_xlfn.XLOOKUP(A881,[1]CPD_SOP_new!$A:$A,[1]CPD_SOP_new!#REF!,"not found",0 )</f>
        <v>#REF!</v>
      </c>
      <c r="E881" s="97" t="s">
        <v>26</v>
      </c>
      <c r="F881" t="s">
        <v>27</v>
      </c>
      <c r="G881" t="s">
        <v>27</v>
      </c>
      <c r="H881" t="s">
        <v>27</v>
      </c>
      <c r="I881" t="s">
        <v>28</v>
      </c>
      <c r="J881" t="s">
        <v>124</v>
      </c>
      <c r="K881" t="s">
        <v>1342</v>
      </c>
      <c r="L881" t="s">
        <v>2788</v>
      </c>
      <c r="M881" s="100" t="str">
        <f t="shared" si="26"/>
        <v>TC_213_Try1_NCAP3_6YO_1R_CPD.MF4.xz</v>
      </c>
      <c r="N881" s="59" t="str">
        <f t="shared" si="27"/>
        <v>_NCAP3_6YO_1R_CPD.MF4.xz</v>
      </c>
      <c r="O881" s="129" t="s">
        <v>380</v>
      </c>
      <c r="P881" s="129"/>
    </row>
    <row r="882" spans="1:21">
      <c r="A882" s="38">
        <v>213</v>
      </c>
      <c r="B882" t="s">
        <v>2304</v>
      </c>
      <c r="C882" t="s">
        <v>253</v>
      </c>
      <c r="D882" s="97" t="e">
        <f>_xlfn.XLOOKUP(A882,[1]CPD_SOP_new!$A:$A,[1]CPD_SOP_new!#REF!,"not found",0 )</f>
        <v>#REF!</v>
      </c>
      <c r="E882" s="97" t="s">
        <v>26</v>
      </c>
      <c r="F882" t="s">
        <v>27</v>
      </c>
      <c r="G882" t="s">
        <v>27</v>
      </c>
      <c r="H882" t="s">
        <v>27</v>
      </c>
      <c r="I882" t="s">
        <v>28</v>
      </c>
      <c r="J882" t="s">
        <v>124</v>
      </c>
      <c r="K882" t="s">
        <v>1344</v>
      </c>
      <c r="L882" t="s">
        <v>2789</v>
      </c>
      <c r="M882" s="100" t="str">
        <f t="shared" si="26"/>
        <v>TC_213_Try2_NCAP3_6YO_1R_CPD.MF4.xz</v>
      </c>
      <c r="N882" s="59" t="str">
        <f t="shared" si="27"/>
        <v>_NCAP3_6YO_1R_CPD.MF4.xz</v>
      </c>
      <c r="O882" s="129" t="s">
        <v>380</v>
      </c>
      <c r="P882" s="129"/>
    </row>
    <row r="883" spans="1:21">
      <c r="A883" s="38">
        <v>213</v>
      </c>
      <c r="B883" t="s">
        <v>2304</v>
      </c>
      <c r="C883" t="s">
        <v>253</v>
      </c>
      <c r="D883" s="97" t="e">
        <f>_xlfn.XLOOKUP(A883,[1]CPD_SOP_new!$A:$A,[1]CPD_SOP_new!#REF!,"not found",0 )</f>
        <v>#REF!</v>
      </c>
      <c r="E883" s="97" t="s">
        <v>26</v>
      </c>
      <c r="F883" t="s">
        <v>27</v>
      </c>
      <c r="G883" t="s">
        <v>27</v>
      </c>
      <c r="H883" t="s">
        <v>27</v>
      </c>
      <c r="I883" t="s">
        <v>28</v>
      </c>
      <c r="J883" t="s">
        <v>124</v>
      </c>
      <c r="K883" t="s">
        <v>1345</v>
      </c>
      <c r="L883" t="s">
        <v>2790</v>
      </c>
      <c r="M883" s="100" t="str">
        <f t="shared" si="26"/>
        <v>TC_213_Try3_NCAP3_6YO_1R_CPD.MF4.xz</v>
      </c>
      <c r="N883" s="59" t="str">
        <f t="shared" si="27"/>
        <v>_NCAP3_6YO_1R_CPD.MF4.xz</v>
      </c>
      <c r="O883" s="129" t="s">
        <v>380</v>
      </c>
      <c r="P883" s="129"/>
    </row>
    <row r="884" spans="1:21">
      <c r="A884" s="38">
        <v>214</v>
      </c>
      <c r="B884" t="s">
        <v>2304</v>
      </c>
      <c r="C884" t="s">
        <v>253</v>
      </c>
      <c r="D884" s="97" t="e">
        <f>_xlfn.XLOOKUP(A884,[1]CPD_SOP_new!$A:$A,[1]CPD_SOP_new!#REF!,"not found",0 )</f>
        <v>#REF!</v>
      </c>
      <c r="E884" s="97" t="s">
        <v>26</v>
      </c>
      <c r="F884" t="s">
        <v>28</v>
      </c>
      <c r="G884" t="s">
        <v>27</v>
      </c>
      <c r="H884" t="s">
        <v>27</v>
      </c>
      <c r="I884" t="s">
        <v>28</v>
      </c>
      <c r="J884" t="s">
        <v>124</v>
      </c>
      <c r="K884" t="s">
        <v>1346</v>
      </c>
      <c r="L884" t="s">
        <v>2791</v>
      </c>
      <c r="M884" s="100" t="str">
        <f t="shared" si="26"/>
        <v>CSR_XCP_Signals_Recorder_2025-12-22_16-33-26_TC214_CPD_NCAP3_6YO_1R_CPD.MF4.xz</v>
      </c>
      <c r="N884" s="59" t="str">
        <f t="shared" si="27"/>
        <v>_NCAP3_6YO_1R_CPD.MF4.xz</v>
      </c>
      <c r="O884" s="1" t="s">
        <v>202</v>
      </c>
      <c r="P884" s="1"/>
    </row>
    <row r="885" spans="1:21">
      <c r="A885" s="38">
        <v>214</v>
      </c>
      <c r="B885" t="s">
        <v>2304</v>
      </c>
      <c r="C885" t="s">
        <v>253</v>
      </c>
      <c r="D885" s="97" t="e">
        <f>_xlfn.XLOOKUP(A885,[1]CPD_SOP_new!$A:$A,[1]CPD_SOP_new!#REF!,"not found",0 )</f>
        <v>#REF!</v>
      </c>
      <c r="E885" s="97" t="s">
        <v>26</v>
      </c>
      <c r="F885" t="s">
        <v>28</v>
      </c>
      <c r="G885" t="s">
        <v>27</v>
      </c>
      <c r="H885" t="s">
        <v>27</v>
      </c>
      <c r="I885" t="s">
        <v>28</v>
      </c>
      <c r="J885" t="s">
        <v>124</v>
      </c>
      <c r="K885" t="s">
        <v>1347</v>
      </c>
      <c r="L885" t="s">
        <v>2792</v>
      </c>
      <c r="M885" s="100" t="str">
        <f t="shared" si="26"/>
        <v>CSR_XCP_Signals_Recorder_2025-12-22_16-35-05_TC214_CPD_NCAP3_6YO_1R_CPD.MF4.xz</v>
      </c>
      <c r="N885" s="59" t="str">
        <f t="shared" si="27"/>
        <v>_NCAP3_6YO_1R_CPD.MF4.xz</v>
      </c>
      <c r="O885" s="1" t="s">
        <v>202</v>
      </c>
      <c r="P885" s="1"/>
    </row>
    <row r="886" spans="1:21" s="137" customFormat="1">
      <c r="A886" s="79">
        <v>214</v>
      </c>
      <c r="B886" s="137" t="s">
        <v>2304</v>
      </c>
      <c r="C886" s="137" t="s">
        <v>253</v>
      </c>
      <c r="D886" s="97" t="e">
        <f>_xlfn.XLOOKUP(A886,[1]CPD_SOP_new!$A:$A,[1]CPD_SOP_new!#REF!,"not found",0 )</f>
        <v>#REF!</v>
      </c>
      <c r="E886" s="97" t="s">
        <v>26</v>
      </c>
      <c r="F886" s="137" t="s">
        <v>28</v>
      </c>
      <c r="G886" s="137" t="s">
        <v>27</v>
      </c>
      <c r="H886" s="137" t="s">
        <v>27</v>
      </c>
      <c r="I886" s="137" t="s">
        <v>27</v>
      </c>
      <c r="J886" s="88" t="s">
        <v>1031</v>
      </c>
      <c r="K886" s="137" t="s">
        <v>1348</v>
      </c>
      <c r="L886" s="137" t="s">
        <v>723</v>
      </c>
      <c r="M886" s="100" t="str">
        <f t="shared" si="26"/>
        <v>Wrong measurement</v>
      </c>
      <c r="N886" s="59" t="str">
        <f t="shared" si="27"/>
        <v>Wrong measurement</v>
      </c>
      <c r="O886" s="89" t="s">
        <v>202</v>
      </c>
      <c r="P886" s="89"/>
    </row>
    <row r="887" spans="1:21">
      <c r="A887" s="38">
        <v>214</v>
      </c>
      <c r="B887" t="s">
        <v>2304</v>
      </c>
      <c r="C887" t="s">
        <v>253</v>
      </c>
      <c r="D887" s="97" t="e">
        <f>_xlfn.XLOOKUP(A887,[1]CPD_SOP_new!$A:$A,[1]CPD_SOP_new!#REF!,"not found",0 )</f>
        <v>#REF!</v>
      </c>
      <c r="E887" s="97" t="s">
        <v>26</v>
      </c>
      <c r="F887" t="s">
        <v>28</v>
      </c>
      <c r="G887" t="s">
        <v>27</v>
      </c>
      <c r="H887" t="s">
        <v>27</v>
      </c>
      <c r="I887" t="s">
        <v>28</v>
      </c>
      <c r="J887" t="s">
        <v>124</v>
      </c>
      <c r="K887" t="s">
        <v>1349</v>
      </c>
      <c r="L887" t="s">
        <v>2793</v>
      </c>
      <c r="M887" s="100" t="str">
        <f t="shared" si="26"/>
        <v>CSR_XCP_Signals_Recorder_2025-12-22_16-38-22_TC214_CPD_NCAP3_6YO_1R_CPD.MF4.xz</v>
      </c>
      <c r="N887" s="59" t="str">
        <f t="shared" si="27"/>
        <v>_NCAP3_6YO_1R_CPD.MF4.xz</v>
      </c>
      <c r="O887" s="1" t="s">
        <v>202</v>
      </c>
      <c r="P887" s="1"/>
    </row>
    <row r="888" spans="1:21">
      <c r="A888" s="38">
        <v>214</v>
      </c>
      <c r="B888" t="s">
        <v>2304</v>
      </c>
      <c r="C888" t="s">
        <v>253</v>
      </c>
      <c r="D888" s="97" t="e">
        <f>_xlfn.XLOOKUP(A888,[1]CPD_SOP_new!$A:$A,[1]CPD_SOP_new!#REF!,"not found",0 )</f>
        <v>#REF!</v>
      </c>
      <c r="E888" s="97" t="s">
        <v>26</v>
      </c>
      <c r="F888" t="s">
        <v>28</v>
      </c>
      <c r="G888" t="s">
        <v>27</v>
      </c>
      <c r="H888" t="s">
        <v>27</v>
      </c>
      <c r="I888" t="s">
        <v>28</v>
      </c>
      <c r="J888" t="s">
        <v>124</v>
      </c>
      <c r="K888" t="s">
        <v>1350</v>
      </c>
      <c r="L888" t="s">
        <v>2794</v>
      </c>
      <c r="M888" s="100" t="str">
        <f t="shared" si="26"/>
        <v>CSR_XCP_Signals_Recorder_2025-12-22_16-40-01_TC214_CPD_NCAP3_6YO_1R_CPD.MF4.xz</v>
      </c>
      <c r="N888" s="59" t="str">
        <f t="shared" si="27"/>
        <v>_NCAP3_6YO_1R_CPD.MF4.xz</v>
      </c>
      <c r="O888" s="1" t="s">
        <v>202</v>
      </c>
      <c r="P888" s="1"/>
    </row>
    <row r="889" spans="1:21">
      <c r="A889" s="77">
        <v>215</v>
      </c>
      <c r="B889" t="s">
        <v>2304</v>
      </c>
      <c r="C889" t="s">
        <v>66</v>
      </c>
      <c r="D889" s="97" t="e">
        <f>_xlfn.XLOOKUP(A889,[1]CPD_SOP_new!$A:$A,[1]CPD_SOP_new!#REF!,"not found",0 )</f>
        <v>#REF!</v>
      </c>
      <c r="E889" s="97" t="s">
        <v>112</v>
      </c>
      <c r="F889" t="s">
        <v>28</v>
      </c>
      <c r="G889" t="s">
        <v>27</v>
      </c>
      <c r="H889" t="s">
        <v>27</v>
      </c>
      <c r="I889" t="s">
        <v>28</v>
      </c>
      <c r="J889" t="s">
        <v>124</v>
      </c>
      <c r="K889" t="s">
        <v>1351</v>
      </c>
      <c r="L889" t="s">
        <v>2795</v>
      </c>
      <c r="M889" s="100" t="str">
        <f t="shared" si="26"/>
        <v>CSR_XCP_Signals_Recorder_2026-01-30_10-37-25_TC215_NCAP3_3YO_1L_CPD.MF4.xz</v>
      </c>
      <c r="N889" s="59" t="str">
        <f t="shared" si="27"/>
        <v>_NCAP3_3YO_1L_CPD.MF4.xz</v>
      </c>
      <c r="O889" t="s">
        <v>391</v>
      </c>
      <c r="Q889" t="s">
        <v>124</v>
      </c>
      <c r="R889" t="s">
        <v>29</v>
      </c>
      <c r="S889">
        <v>1</v>
      </c>
      <c r="T889">
        <v>0</v>
      </c>
      <c r="U889">
        <v>0</v>
      </c>
    </row>
    <row r="890" spans="1:21">
      <c r="A890" s="77">
        <v>215</v>
      </c>
      <c r="B890" t="s">
        <v>2304</v>
      </c>
      <c r="C890" t="s">
        <v>66</v>
      </c>
      <c r="D890" s="97" t="e">
        <f>_xlfn.XLOOKUP(A890,[1]CPD_SOP_new!$A:$A,[1]CPD_SOP_new!#REF!,"not found",0 )</f>
        <v>#REF!</v>
      </c>
      <c r="E890" s="97" t="s">
        <v>112</v>
      </c>
      <c r="F890" t="s">
        <v>28</v>
      </c>
      <c r="G890" t="s">
        <v>27</v>
      </c>
      <c r="H890" t="s">
        <v>27</v>
      </c>
      <c r="I890" t="s">
        <v>28</v>
      </c>
      <c r="J890" t="s">
        <v>124</v>
      </c>
      <c r="K890" t="s">
        <v>1353</v>
      </c>
      <c r="L890" t="s">
        <v>2796</v>
      </c>
      <c r="M890" s="100" t="str">
        <f t="shared" si="26"/>
        <v>CSR_XCP_Signals_Recorder_2026-01-30_10-39-48_TC215_NCAP3_3YO_1L_CPD.MF4.xz</v>
      </c>
      <c r="N890" s="59" t="str">
        <f t="shared" si="27"/>
        <v>_NCAP3_3YO_1L_CPD.MF4.xz</v>
      </c>
      <c r="O890" t="s">
        <v>391</v>
      </c>
      <c r="Q890" t="s">
        <v>124</v>
      </c>
      <c r="R890" t="s">
        <v>29</v>
      </c>
      <c r="S890">
        <v>1</v>
      </c>
      <c r="T890">
        <v>0</v>
      </c>
      <c r="U890">
        <v>0</v>
      </c>
    </row>
    <row r="891" spans="1:21">
      <c r="A891" s="77">
        <v>215</v>
      </c>
      <c r="B891" t="s">
        <v>2304</v>
      </c>
      <c r="C891" t="s">
        <v>66</v>
      </c>
      <c r="D891" s="97" t="e">
        <f>_xlfn.XLOOKUP(A891,[1]CPD_SOP_new!$A:$A,[1]CPD_SOP_new!#REF!,"not found",0 )</f>
        <v>#REF!</v>
      </c>
      <c r="E891" s="97" t="s">
        <v>112</v>
      </c>
      <c r="F891" t="s">
        <v>28</v>
      </c>
      <c r="G891" t="s">
        <v>27</v>
      </c>
      <c r="H891" t="s">
        <v>27</v>
      </c>
      <c r="I891" t="s">
        <v>28</v>
      </c>
      <c r="J891" t="s">
        <v>124</v>
      </c>
      <c r="K891" t="s">
        <v>1354</v>
      </c>
      <c r="L891" t="s">
        <v>2797</v>
      </c>
      <c r="M891" s="100" t="str">
        <f t="shared" si="26"/>
        <v>CSR_XCP_Signals_Recorder_2026-01-30_10-43-02_TC215_NCAP3_3YO_1L_CPD.MF4.xz</v>
      </c>
      <c r="N891" s="59" t="str">
        <f t="shared" si="27"/>
        <v>_NCAP3_3YO_1L_CPD.MF4.xz</v>
      </c>
      <c r="O891" t="s">
        <v>391</v>
      </c>
      <c r="Q891" t="s">
        <v>124</v>
      </c>
      <c r="R891" t="s">
        <v>29</v>
      </c>
      <c r="S891">
        <v>1</v>
      </c>
      <c r="T891">
        <v>0</v>
      </c>
      <c r="U891">
        <v>0</v>
      </c>
    </row>
    <row r="892" spans="1:21">
      <c r="A892" s="77">
        <v>215</v>
      </c>
      <c r="B892" t="s">
        <v>2304</v>
      </c>
      <c r="C892" t="s">
        <v>66</v>
      </c>
      <c r="D892" s="97" t="e">
        <f>_xlfn.XLOOKUP(A892,[1]CPD_SOP_new!$A:$A,[1]CPD_SOP_new!#REF!,"not found",0 )</f>
        <v>#REF!</v>
      </c>
      <c r="E892" s="97" t="s">
        <v>112</v>
      </c>
      <c r="F892" t="s">
        <v>28</v>
      </c>
      <c r="G892" t="s">
        <v>27</v>
      </c>
      <c r="H892" t="s">
        <v>27</v>
      </c>
      <c r="I892" t="s">
        <v>28</v>
      </c>
      <c r="J892" t="s">
        <v>124</v>
      </c>
      <c r="K892" t="s">
        <v>1355</v>
      </c>
      <c r="L892" t="s">
        <v>2798</v>
      </c>
      <c r="M892" s="100" t="str">
        <f t="shared" si="26"/>
        <v>CSR_XCP_Signals_Recorder_2026-01-30_10-45-45_TC215_NCAP3_3YO_1L_CPD.MF4.xz</v>
      </c>
      <c r="N892" s="59" t="str">
        <f t="shared" si="27"/>
        <v>_NCAP3_3YO_1L_CPD.MF4.xz</v>
      </c>
      <c r="O892" t="s">
        <v>391</v>
      </c>
      <c r="Q892" t="s">
        <v>124</v>
      </c>
      <c r="R892" t="s">
        <v>29</v>
      </c>
      <c r="S892">
        <v>1</v>
      </c>
      <c r="T892">
        <v>0</v>
      </c>
      <c r="U892">
        <v>0</v>
      </c>
    </row>
    <row r="893" spans="1:21">
      <c r="A893" s="77">
        <v>215</v>
      </c>
      <c r="B893" t="s">
        <v>2304</v>
      </c>
      <c r="C893" t="s">
        <v>66</v>
      </c>
      <c r="D893" s="97" t="e">
        <f>_xlfn.XLOOKUP(A893,[1]CPD_SOP_new!$A:$A,[1]CPD_SOP_new!#REF!,"not found",0 )</f>
        <v>#REF!</v>
      </c>
      <c r="E893" s="97" t="s">
        <v>112</v>
      </c>
      <c r="F893" t="s">
        <v>28</v>
      </c>
      <c r="G893" t="s">
        <v>27</v>
      </c>
      <c r="H893" t="s">
        <v>27</v>
      </c>
      <c r="I893" t="s">
        <v>28</v>
      </c>
      <c r="J893" t="s">
        <v>124</v>
      </c>
      <c r="K893" t="s">
        <v>1356</v>
      </c>
      <c r="L893" t="s">
        <v>2799</v>
      </c>
      <c r="M893" s="100" t="str">
        <f t="shared" si="26"/>
        <v>CSR_XCP_Signals_Recorder_2026-01-30_10-47-10_TC215_NCAP3_3YO_1L_CPD.MF4.xz</v>
      </c>
      <c r="N893" s="59" t="str">
        <f t="shared" si="27"/>
        <v>_NCAP3_3YO_1L_CPD.MF4.xz</v>
      </c>
      <c r="O893" t="s">
        <v>391</v>
      </c>
      <c r="Q893" t="s">
        <v>124</v>
      </c>
      <c r="R893" t="s">
        <v>29</v>
      </c>
      <c r="S893">
        <v>1</v>
      </c>
      <c r="T893">
        <v>0</v>
      </c>
      <c r="U893">
        <v>0</v>
      </c>
    </row>
    <row r="894" spans="1:21">
      <c r="A894" s="77">
        <v>216</v>
      </c>
      <c r="B894" t="s">
        <v>2304</v>
      </c>
      <c r="C894" t="s">
        <v>253</v>
      </c>
      <c r="D894" s="97" t="e">
        <f>_xlfn.XLOOKUP(A894,[1]CPD_SOP_new!$A:$A,[1]CPD_SOP_new!#REF!,"not found",0 )</f>
        <v>#REF!</v>
      </c>
      <c r="E894" s="97" t="str">
        <f>_xlfn.XLOOKUP(A894,[1]CPD_SOP_new!$A:$A,[1]CPD_SOP_new!$K:$K,"not found",0 )</f>
        <v>3L</v>
      </c>
      <c r="F894" t="s">
        <v>28</v>
      </c>
      <c r="G894" t="s">
        <v>28</v>
      </c>
      <c r="H894" t="s">
        <v>28</v>
      </c>
      <c r="I894" t="s">
        <v>28</v>
      </c>
      <c r="J894" t="s">
        <v>124</v>
      </c>
      <c r="K894" s="132" t="s">
        <v>1357</v>
      </c>
      <c r="L894" s="132" t="s">
        <v>2800</v>
      </c>
      <c r="M894" s="100" t="str">
        <f t="shared" si="26"/>
        <v>CSR_XCP_Signals_Recorder_2025-12-18_16-13-48_TC216_CPD_NCAP3_6YO_3L_CPD.MF4.xz</v>
      </c>
      <c r="N894" s="59" t="str">
        <f t="shared" si="27"/>
        <v>_NCAP3_6YO_3L_CPD.MF4.xz</v>
      </c>
      <c r="O894" s="132" t="s">
        <v>202</v>
      </c>
      <c r="P894" s="132"/>
    </row>
    <row r="895" spans="1:21">
      <c r="A895" s="77">
        <v>216</v>
      </c>
      <c r="B895" t="s">
        <v>2304</v>
      </c>
      <c r="C895" t="s">
        <v>253</v>
      </c>
      <c r="D895" s="97" t="e">
        <f>_xlfn.XLOOKUP(A895,[1]CPD_SOP_new!$A:$A,[1]CPD_SOP_new!#REF!,"not found",0 )</f>
        <v>#REF!</v>
      </c>
      <c r="E895" s="97" t="str">
        <f>_xlfn.XLOOKUP(A895,[1]CPD_SOP_new!$A:$A,[1]CPD_SOP_new!$K:$K,"not found",0 )</f>
        <v>3L</v>
      </c>
      <c r="F895" t="s">
        <v>28</v>
      </c>
      <c r="G895" t="s">
        <v>28</v>
      </c>
      <c r="H895" t="s">
        <v>28</v>
      </c>
      <c r="I895" t="s">
        <v>28</v>
      </c>
      <c r="J895" t="s">
        <v>124</v>
      </c>
      <c r="K895" s="132" t="s">
        <v>1359</v>
      </c>
      <c r="L895" s="132" t="s">
        <v>2801</v>
      </c>
      <c r="M895" s="100" t="str">
        <f t="shared" si="26"/>
        <v>CSR_XCP_Signals_Recorder_2025-12-18_16-15-31_TC216_CPD_NCAP3_6YO_3L_CPD.MF4.xz</v>
      </c>
      <c r="N895" s="59" t="str">
        <f t="shared" si="27"/>
        <v>_NCAP3_6YO_3L_CPD.MF4.xz</v>
      </c>
      <c r="O895" s="132" t="s">
        <v>202</v>
      </c>
      <c r="P895" s="132"/>
    </row>
    <row r="896" spans="1:21">
      <c r="A896" s="77">
        <v>216</v>
      </c>
      <c r="B896" t="s">
        <v>2304</v>
      </c>
      <c r="C896" t="s">
        <v>253</v>
      </c>
      <c r="D896" s="97" t="e">
        <f>_xlfn.XLOOKUP(A896,[1]CPD_SOP_new!$A:$A,[1]CPD_SOP_new!#REF!,"not found",0 )</f>
        <v>#REF!</v>
      </c>
      <c r="E896" s="97" t="str">
        <f>_xlfn.XLOOKUP(A896,[1]CPD_SOP_new!$A:$A,[1]CPD_SOP_new!$K:$K,"not found",0 )</f>
        <v>3L</v>
      </c>
      <c r="F896" t="s">
        <v>28</v>
      </c>
      <c r="G896" t="s">
        <v>28</v>
      </c>
      <c r="H896" t="s">
        <v>28</v>
      </c>
      <c r="I896" t="s">
        <v>28</v>
      </c>
      <c r="J896" t="s">
        <v>124</v>
      </c>
      <c r="K896" s="132" t="s">
        <v>1360</v>
      </c>
      <c r="L896" s="132" t="s">
        <v>2802</v>
      </c>
      <c r="M896" s="100" t="str">
        <f t="shared" si="26"/>
        <v>CSR_XCP_Signals_Recorder_2025-12-18_16-17-05_TC216_CPD_NCAP3_6YO_3L_CPD.MF4.xz</v>
      </c>
      <c r="N896" s="59" t="str">
        <f t="shared" si="27"/>
        <v>_NCAP3_6YO_3L_CPD.MF4.xz</v>
      </c>
      <c r="O896" s="132" t="s">
        <v>202</v>
      </c>
      <c r="P896" s="132"/>
    </row>
    <row r="897" spans="1:16">
      <c r="A897" s="77">
        <v>216</v>
      </c>
      <c r="B897" t="s">
        <v>2304</v>
      </c>
      <c r="C897" t="s">
        <v>253</v>
      </c>
      <c r="D897" s="97" t="e">
        <f>_xlfn.XLOOKUP(A897,[1]CPD_SOP_new!$A:$A,[1]CPD_SOP_new!#REF!,"not found",0 )</f>
        <v>#REF!</v>
      </c>
      <c r="E897" s="97" t="str">
        <f>_xlfn.XLOOKUP(A897,[1]CPD_SOP_new!$A:$A,[1]CPD_SOP_new!$K:$K,"not found",0 )</f>
        <v>3L</v>
      </c>
      <c r="F897" t="s">
        <v>28</v>
      </c>
      <c r="G897" t="s">
        <v>28</v>
      </c>
      <c r="H897" t="s">
        <v>28</v>
      </c>
      <c r="I897" t="s">
        <v>28</v>
      </c>
      <c r="J897" t="s">
        <v>124</v>
      </c>
      <c r="K897" s="132" t="s">
        <v>1361</v>
      </c>
      <c r="L897" s="132" t="s">
        <v>2803</v>
      </c>
      <c r="M897" s="100" t="str">
        <f t="shared" si="26"/>
        <v>CSR_XCP_Signals_Recorder_2025-12-18_16-18-38_TC216_CPD_NCAP3_6YO_3L_CPD.MF4.xz</v>
      </c>
      <c r="N897" s="59" t="str">
        <f t="shared" si="27"/>
        <v>_NCAP3_6YO_3L_CPD.MF4.xz</v>
      </c>
      <c r="O897" s="132" t="s">
        <v>202</v>
      </c>
      <c r="P897" s="132"/>
    </row>
    <row r="898" spans="1:16">
      <c r="A898" s="77">
        <v>216</v>
      </c>
      <c r="B898" t="s">
        <v>2304</v>
      </c>
      <c r="C898" t="s">
        <v>253</v>
      </c>
      <c r="D898" s="97" t="e">
        <f>_xlfn.XLOOKUP(A898,[1]CPD_SOP_new!$A:$A,[1]CPD_SOP_new!#REF!,"not found",0 )</f>
        <v>#REF!</v>
      </c>
      <c r="E898" s="97" t="str">
        <f>_xlfn.XLOOKUP(A898,[1]CPD_SOP_new!$A:$A,[1]CPD_SOP_new!$K:$K,"not found",0 )</f>
        <v>3L</v>
      </c>
      <c r="F898" t="s">
        <v>28</v>
      </c>
      <c r="G898" t="s">
        <v>28</v>
      </c>
      <c r="H898" t="s">
        <v>28</v>
      </c>
      <c r="I898" t="s">
        <v>28</v>
      </c>
      <c r="J898" t="s">
        <v>124</v>
      </c>
      <c r="K898" s="132" t="s">
        <v>1362</v>
      </c>
      <c r="L898" s="132" t="s">
        <v>2804</v>
      </c>
      <c r="M898" s="100" t="str">
        <f t="shared" ref="M898:M961" si="28">IF(NOT(N898="Wrong measurement"),SUBSTITUTE(K898,".MF4.xz",N898),"Wrong measurement")</f>
        <v>CSR_XCP_Signals_Recorder_2025-12-18_16-20-14_TC216_CPD_NCAP3_6YO_3L_CPD.MF4.xz</v>
      </c>
      <c r="N898" s="59" t="str">
        <f t="shared" ref="N898:N961" si="29">IF(I898="Y",("_"&amp;B898 &amp;"_"&amp; IF(C898="","",C898)&amp;"_"&amp;E898&amp;"_CPD.MF4.xz"),"Wrong measurement")</f>
        <v>_NCAP3_6YO_3L_CPD.MF4.xz</v>
      </c>
      <c r="O898" s="132" t="s">
        <v>202</v>
      </c>
      <c r="P898" s="132"/>
    </row>
    <row r="899" spans="1:16">
      <c r="A899" s="77">
        <v>216</v>
      </c>
      <c r="B899" t="s">
        <v>2304</v>
      </c>
      <c r="C899" t="s">
        <v>253</v>
      </c>
      <c r="D899" s="97" t="e">
        <f>_xlfn.XLOOKUP(A899,[1]CPD_SOP_new!$A:$A,[1]CPD_SOP_new!#REF!,"not found",0 )</f>
        <v>#REF!</v>
      </c>
      <c r="E899" s="97" t="str">
        <f>_xlfn.XLOOKUP(A899,[1]CPD_SOP_new!$A:$A,[1]CPD_SOP_new!$K:$K,"not found",0 )</f>
        <v>3L</v>
      </c>
      <c r="F899" t="s">
        <v>28</v>
      </c>
      <c r="G899" t="s">
        <v>28</v>
      </c>
      <c r="H899" t="s">
        <v>28</v>
      </c>
      <c r="I899" t="s">
        <v>28</v>
      </c>
      <c r="J899" t="s">
        <v>124</v>
      </c>
      <c r="K899" t="s">
        <v>1363</v>
      </c>
      <c r="L899" t="s">
        <v>2805</v>
      </c>
      <c r="M899" s="100" t="str">
        <f t="shared" si="28"/>
        <v>CSR_XCP_Signals_Recorder_2026-01-20_16-23-48_CPD_TC216_Try5_NCAP3_6YO_3L_CPD.MF4.xz</v>
      </c>
      <c r="N899" s="59" t="str">
        <f t="shared" si="29"/>
        <v>_NCAP3_6YO_3L_CPD.MF4.xz</v>
      </c>
      <c r="O899" t="s">
        <v>86</v>
      </c>
    </row>
    <row r="900" spans="1:16">
      <c r="A900" s="77">
        <v>216</v>
      </c>
      <c r="B900" t="s">
        <v>2304</v>
      </c>
      <c r="C900" t="s">
        <v>253</v>
      </c>
      <c r="D900" s="97" t="e">
        <f>_xlfn.XLOOKUP(A900,[1]CPD_SOP_new!$A:$A,[1]CPD_SOP_new!#REF!,"not found",0 )</f>
        <v>#REF!</v>
      </c>
      <c r="E900" s="97" t="str">
        <f>_xlfn.XLOOKUP(A900,[1]CPD_SOP_new!$A:$A,[1]CPD_SOP_new!$K:$K,"not found",0 )</f>
        <v>3L</v>
      </c>
      <c r="F900" t="s">
        <v>28</v>
      </c>
      <c r="G900" t="s">
        <v>28</v>
      </c>
      <c r="H900" t="s">
        <v>28</v>
      </c>
      <c r="I900" t="s">
        <v>28</v>
      </c>
      <c r="J900" t="s">
        <v>124</v>
      </c>
      <c r="K900" t="s">
        <v>1364</v>
      </c>
      <c r="L900" t="s">
        <v>2806</v>
      </c>
      <c r="M900" s="100" t="str">
        <f t="shared" si="28"/>
        <v>CSR_XCP_Signals_Recorder_2026-01-20_16-12-57_CPD_TC216_Try_1_NCAP3_6YO_3L_CPD.MF4.xz</v>
      </c>
      <c r="N900" s="59" t="str">
        <f t="shared" si="29"/>
        <v>_NCAP3_6YO_3L_CPD.MF4.xz</v>
      </c>
      <c r="O900" t="s">
        <v>86</v>
      </c>
    </row>
    <row r="901" spans="1:16">
      <c r="A901" s="77">
        <v>216</v>
      </c>
      <c r="B901" t="s">
        <v>2304</v>
      </c>
      <c r="C901" t="s">
        <v>253</v>
      </c>
      <c r="D901" s="97" t="e">
        <f>_xlfn.XLOOKUP(A901,[1]CPD_SOP_new!$A:$A,[1]CPD_SOP_new!#REF!,"not found",0 )</f>
        <v>#REF!</v>
      </c>
      <c r="E901" s="97" t="str">
        <f>_xlfn.XLOOKUP(A901,[1]CPD_SOP_new!$A:$A,[1]CPD_SOP_new!$K:$K,"not found",0 )</f>
        <v>3L</v>
      </c>
      <c r="F901" t="s">
        <v>28</v>
      </c>
      <c r="G901" t="s">
        <v>28</v>
      </c>
      <c r="H901" t="s">
        <v>28</v>
      </c>
      <c r="I901" t="s">
        <v>28</v>
      </c>
      <c r="J901" t="s">
        <v>124</v>
      </c>
      <c r="K901" t="s">
        <v>1365</v>
      </c>
      <c r="L901" t="s">
        <v>2807</v>
      </c>
      <c r="M901" s="100" t="str">
        <f t="shared" si="28"/>
        <v>CSR_XCP_Signals_Recorder_2026-01-20_16-14-45_CPD_TC216_Try2_NCAP3_6YO_3L_CPD.MF4.xz</v>
      </c>
      <c r="N901" s="59" t="str">
        <f t="shared" si="29"/>
        <v>_NCAP3_6YO_3L_CPD.MF4.xz</v>
      </c>
      <c r="O901" t="s">
        <v>86</v>
      </c>
    </row>
    <row r="902" spans="1:16">
      <c r="A902" s="77">
        <v>216</v>
      </c>
      <c r="B902" t="s">
        <v>2304</v>
      </c>
      <c r="C902" t="s">
        <v>253</v>
      </c>
      <c r="D902" s="97" t="e">
        <f>_xlfn.XLOOKUP(A902,[1]CPD_SOP_new!$A:$A,[1]CPD_SOP_new!#REF!,"not found",0 )</f>
        <v>#REF!</v>
      </c>
      <c r="E902" s="97" t="str">
        <f>_xlfn.XLOOKUP(A902,[1]CPD_SOP_new!$A:$A,[1]CPD_SOP_new!$K:$K,"not found",0 )</f>
        <v>3L</v>
      </c>
      <c r="F902" t="s">
        <v>28</v>
      </c>
      <c r="G902" t="s">
        <v>28</v>
      </c>
      <c r="H902" t="s">
        <v>28</v>
      </c>
      <c r="I902" t="s">
        <v>28</v>
      </c>
      <c r="J902" t="s">
        <v>124</v>
      </c>
      <c r="K902" t="s">
        <v>1366</v>
      </c>
      <c r="L902" t="s">
        <v>2808</v>
      </c>
      <c r="M902" s="100" t="str">
        <f t="shared" si="28"/>
        <v>CSR_XCP_Signals_Recorder_2026-01-20_16-17-46_CPD_TC216_Try3_NCAP3_6YO_3L_CPD.MF4.xz</v>
      </c>
      <c r="N902" s="59" t="str">
        <f t="shared" si="29"/>
        <v>_NCAP3_6YO_3L_CPD.MF4.xz</v>
      </c>
      <c r="O902" t="s">
        <v>86</v>
      </c>
    </row>
    <row r="903" spans="1:16">
      <c r="A903" s="77">
        <v>216</v>
      </c>
      <c r="B903" t="s">
        <v>2304</v>
      </c>
      <c r="C903" t="s">
        <v>253</v>
      </c>
      <c r="D903" s="97" t="e">
        <f>_xlfn.XLOOKUP(A903,[1]CPD_SOP_new!$A:$A,[1]CPD_SOP_new!#REF!,"not found",0 )</f>
        <v>#REF!</v>
      </c>
      <c r="E903" s="97" t="str">
        <f>_xlfn.XLOOKUP(A903,[1]CPD_SOP_new!$A:$A,[1]CPD_SOP_new!$K:$K,"not found",0 )</f>
        <v>3L</v>
      </c>
      <c r="F903" t="s">
        <v>28</v>
      </c>
      <c r="G903" t="s">
        <v>28</v>
      </c>
      <c r="H903" t="s">
        <v>28</v>
      </c>
      <c r="I903" t="s">
        <v>28</v>
      </c>
      <c r="J903" t="s">
        <v>124</v>
      </c>
      <c r="K903" t="s">
        <v>1367</v>
      </c>
      <c r="L903" t="s">
        <v>2809</v>
      </c>
      <c r="M903" s="100" t="str">
        <f t="shared" si="28"/>
        <v>CSR_XCP_Signals_Recorder_2026-01-20_16-22-17_CPD_TC216_Try4_NCAP3_6YO_3L_CPD.MF4.xz</v>
      </c>
      <c r="N903" s="59" t="str">
        <f t="shared" si="29"/>
        <v>_NCAP3_6YO_3L_CPD.MF4.xz</v>
      </c>
      <c r="O903" t="s">
        <v>86</v>
      </c>
    </row>
    <row r="904" spans="1:16">
      <c r="A904" s="77">
        <v>216</v>
      </c>
      <c r="B904" t="s">
        <v>2304</v>
      </c>
      <c r="C904" t="s">
        <v>253</v>
      </c>
      <c r="D904" s="97" t="e">
        <f>_xlfn.XLOOKUP(A904,[1]CPD_SOP_new!$A:$A,[1]CPD_SOP_new!#REF!,"not found",0 )</f>
        <v>#REF!</v>
      </c>
      <c r="E904" s="97" t="str">
        <f>_xlfn.XLOOKUP(A904,[1]CPD_SOP_new!$A:$A,[1]CPD_SOP_new!$K:$K,"not found",0 )</f>
        <v>3L</v>
      </c>
      <c r="F904" t="s">
        <v>28</v>
      </c>
      <c r="G904" t="s">
        <v>28</v>
      </c>
      <c r="H904" t="s">
        <v>28</v>
      </c>
      <c r="I904" t="s">
        <v>28</v>
      </c>
      <c r="J904" t="s">
        <v>124</v>
      </c>
      <c r="K904" t="s">
        <v>1364</v>
      </c>
      <c r="L904" t="s">
        <v>2806</v>
      </c>
      <c r="M904" s="100" t="str">
        <f t="shared" si="28"/>
        <v>CSR_XCP_Signals_Recorder_2026-01-20_16-12-57_CPD_TC216_Try_1_NCAP3_6YO_3L_CPD.MF4.xz</v>
      </c>
      <c r="N904" s="59" t="str">
        <f t="shared" si="29"/>
        <v>_NCAP3_6YO_3L_CPD.MF4.xz</v>
      </c>
      <c r="O904" t="s">
        <v>86</v>
      </c>
    </row>
    <row r="905" spans="1:16">
      <c r="A905" s="77">
        <v>216</v>
      </c>
      <c r="B905" t="s">
        <v>2304</v>
      </c>
      <c r="C905" t="s">
        <v>253</v>
      </c>
      <c r="D905" s="97" t="e">
        <f>_xlfn.XLOOKUP(A905,[1]CPD_SOP_new!$A:$A,[1]CPD_SOP_new!#REF!,"not found",0 )</f>
        <v>#REF!</v>
      </c>
      <c r="E905" s="97" t="str">
        <f>_xlfn.XLOOKUP(A905,[1]CPD_SOP_new!$A:$A,[1]CPD_SOP_new!$K:$K,"not found",0 )</f>
        <v>3L</v>
      </c>
      <c r="F905" t="s">
        <v>28</v>
      </c>
      <c r="G905" t="s">
        <v>28</v>
      </c>
      <c r="H905" t="s">
        <v>28</v>
      </c>
      <c r="I905" t="s">
        <v>28</v>
      </c>
      <c r="J905" t="s">
        <v>124</v>
      </c>
      <c r="K905" t="s">
        <v>1365</v>
      </c>
      <c r="L905" t="s">
        <v>2807</v>
      </c>
      <c r="M905" s="100" t="str">
        <f t="shared" si="28"/>
        <v>CSR_XCP_Signals_Recorder_2026-01-20_16-14-45_CPD_TC216_Try2_NCAP3_6YO_3L_CPD.MF4.xz</v>
      </c>
      <c r="N905" s="59" t="str">
        <f t="shared" si="29"/>
        <v>_NCAP3_6YO_3L_CPD.MF4.xz</v>
      </c>
      <c r="O905" t="s">
        <v>86</v>
      </c>
    </row>
    <row r="906" spans="1:16">
      <c r="A906" s="77">
        <v>216</v>
      </c>
      <c r="B906" t="s">
        <v>2304</v>
      </c>
      <c r="C906" t="s">
        <v>253</v>
      </c>
      <c r="D906" s="97" t="e">
        <f>_xlfn.XLOOKUP(A906,[1]CPD_SOP_new!$A:$A,[1]CPD_SOP_new!#REF!,"not found",0 )</f>
        <v>#REF!</v>
      </c>
      <c r="E906" s="97" t="str">
        <f>_xlfn.XLOOKUP(A906,[1]CPD_SOP_new!$A:$A,[1]CPD_SOP_new!$K:$K,"not found",0 )</f>
        <v>3L</v>
      </c>
      <c r="F906" t="s">
        <v>28</v>
      </c>
      <c r="G906" t="s">
        <v>28</v>
      </c>
      <c r="H906" t="s">
        <v>28</v>
      </c>
      <c r="I906" t="s">
        <v>28</v>
      </c>
      <c r="J906" t="s">
        <v>124</v>
      </c>
      <c r="K906" t="s">
        <v>1366</v>
      </c>
      <c r="L906" t="s">
        <v>2808</v>
      </c>
      <c r="M906" s="100" t="str">
        <f t="shared" si="28"/>
        <v>CSR_XCP_Signals_Recorder_2026-01-20_16-17-46_CPD_TC216_Try3_NCAP3_6YO_3L_CPD.MF4.xz</v>
      </c>
      <c r="N906" s="59" t="str">
        <f t="shared" si="29"/>
        <v>_NCAP3_6YO_3L_CPD.MF4.xz</v>
      </c>
      <c r="O906" t="s">
        <v>86</v>
      </c>
    </row>
    <row r="907" spans="1:16">
      <c r="A907" s="77">
        <v>216</v>
      </c>
      <c r="B907" t="s">
        <v>2304</v>
      </c>
      <c r="C907" t="s">
        <v>253</v>
      </c>
      <c r="D907" s="97" t="e">
        <f>_xlfn.XLOOKUP(A907,[1]CPD_SOP_new!$A:$A,[1]CPD_SOP_new!#REF!,"not found",0 )</f>
        <v>#REF!</v>
      </c>
      <c r="E907" s="97" t="str">
        <f>_xlfn.XLOOKUP(A907,[1]CPD_SOP_new!$A:$A,[1]CPD_SOP_new!$K:$K,"not found",0 )</f>
        <v>3L</v>
      </c>
      <c r="F907" t="s">
        <v>28</v>
      </c>
      <c r="G907" t="s">
        <v>28</v>
      </c>
      <c r="H907" t="s">
        <v>28</v>
      </c>
      <c r="I907" t="s">
        <v>28</v>
      </c>
      <c r="J907" t="s">
        <v>124</v>
      </c>
      <c r="K907" t="s">
        <v>1367</v>
      </c>
      <c r="L907" t="s">
        <v>2809</v>
      </c>
      <c r="M907" s="100" t="str">
        <f t="shared" si="28"/>
        <v>CSR_XCP_Signals_Recorder_2026-01-20_16-22-17_CPD_TC216_Try4_NCAP3_6YO_3L_CPD.MF4.xz</v>
      </c>
      <c r="N907" s="59" t="str">
        <f t="shared" si="29"/>
        <v>_NCAP3_6YO_3L_CPD.MF4.xz</v>
      </c>
      <c r="O907" t="s">
        <v>86</v>
      </c>
    </row>
    <row r="908" spans="1:16">
      <c r="A908" s="77">
        <v>216</v>
      </c>
      <c r="B908" t="s">
        <v>2304</v>
      </c>
      <c r="C908" t="s">
        <v>253</v>
      </c>
      <c r="D908" s="97" t="e">
        <f>_xlfn.XLOOKUP(A908,[1]CPD_SOP_new!$A:$A,[1]CPD_SOP_new!#REF!,"not found",0 )</f>
        <v>#REF!</v>
      </c>
      <c r="E908" s="97" t="str">
        <f>_xlfn.XLOOKUP(A908,[1]CPD_SOP_new!$A:$A,[1]CPD_SOP_new!$K:$K,"not found",0 )</f>
        <v>3L</v>
      </c>
      <c r="F908" t="s">
        <v>28</v>
      </c>
      <c r="G908" t="s">
        <v>28</v>
      </c>
      <c r="H908" t="s">
        <v>28</v>
      </c>
      <c r="I908" t="s">
        <v>28</v>
      </c>
      <c r="J908" t="s">
        <v>124</v>
      </c>
      <c r="K908" t="s">
        <v>1363</v>
      </c>
      <c r="L908" t="s">
        <v>2805</v>
      </c>
      <c r="M908" s="100" t="str">
        <f t="shared" si="28"/>
        <v>CSR_XCP_Signals_Recorder_2026-01-20_16-23-48_CPD_TC216_Try5_NCAP3_6YO_3L_CPD.MF4.xz</v>
      </c>
      <c r="N908" s="59" t="str">
        <f t="shared" si="29"/>
        <v>_NCAP3_6YO_3L_CPD.MF4.xz</v>
      </c>
      <c r="O908" t="s">
        <v>86</v>
      </c>
    </row>
    <row r="909" spans="1:16" s="130" customFormat="1">
      <c r="A909" s="78">
        <v>216</v>
      </c>
      <c r="B909" s="130" t="s">
        <v>2304</v>
      </c>
      <c r="C909" s="137" t="s">
        <v>253</v>
      </c>
      <c r="D909" s="97" t="e">
        <f>_xlfn.XLOOKUP(A909,[1]CPD_SOP_new!$A:$A,[1]CPD_SOP_new!#REF!,"not found",0 )</f>
        <v>#REF!</v>
      </c>
      <c r="E909" s="97" t="str">
        <f>_xlfn.XLOOKUP(A909,[1]CPD_SOP_new!$A:$A,[1]CPD_SOP_new!$K:$K,"not found",0 )</f>
        <v>3L</v>
      </c>
      <c r="F909" s="130" t="s">
        <v>28</v>
      </c>
      <c r="G909" s="130" t="s">
        <v>28</v>
      </c>
      <c r="H909" s="130" t="s">
        <v>28</v>
      </c>
      <c r="I909" s="130" t="s">
        <v>27</v>
      </c>
      <c r="J909" s="130" t="s">
        <v>1368</v>
      </c>
      <c r="K909" s="130" t="s">
        <v>1369</v>
      </c>
      <c r="L909" s="130" t="s">
        <v>723</v>
      </c>
      <c r="M909" s="100" t="str">
        <f t="shared" si="28"/>
        <v>Wrong measurement</v>
      </c>
      <c r="N909" s="59" t="str">
        <f t="shared" si="29"/>
        <v>Wrong measurement</v>
      </c>
      <c r="O909" s="130" t="s">
        <v>1370</v>
      </c>
    </row>
    <row r="910" spans="1:16" s="130" customFormat="1">
      <c r="A910" s="78">
        <v>216</v>
      </c>
      <c r="B910" s="130" t="s">
        <v>2304</v>
      </c>
      <c r="C910" s="137" t="s">
        <v>253</v>
      </c>
      <c r="D910" s="97" t="e">
        <f>_xlfn.XLOOKUP(A910,[1]CPD_SOP_new!$A:$A,[1]CPD_SOP_new!#REF!,"not found",0 )</f>
        <v>#REF!</v>
      </c>
      <c r="E910" s="97" t="str">
        <f>_xlfn.XLOOKUP(A910,[1]CPD_SOP_new!$A:$A,[1]CPD_SOP_new!$K:$K,"not found",0 )</f>
        <v>3L</v>
      </c>
      <c r="F910" s="130" t="s">
        <v>28</v>
      </c>
      <c r="G910" s="130" t="s">
        <v>28</v>
      </c>
      <c r="H910" s="130" t="s">
        <v>28</v>
      </c>
      <c r="I910" s="130" t="s">
        <v>27</v>
      </c>
      <c r="J910" s="130" t="s">
        <v>1368</v>
      </c>
      <c r="K910" s="130" t="s">
        <v>1371</v>
      </c>
      <c r="L910" s="130" t="s">
        <v>723</v>
      </c>
      <c r="M910" s="100" t="str">
        <f t="shared" si="28"/>
        <v>Wrong measurement</v>
      </c>
      <c r="N910" s="59" t="str">
        <f t="shared" si="29"/>
        <v>Wrong measurement</v>
      </c>
      <c r="O910" s="130" t="s">
        <v>1370</v>
      </c>
    </row>
    <row r="911" spans="1:16" s="130" customFormat="1">
      <c r="A911" s="78">
        <v>216</v>
      </c>
      <c r="B911" s="130" t="s">
        <v>2304</v>
      </c>
      <c r="C911" s="137" t="s">
        <v>253</v>
      </c>
      <c r="D911" s="97" t="e">
        <f>_xlfn.XLOOKUP(A911,[1]CPD_SOP_new!$A:$A,[1]CPD_SOP_new!#REF!,"not found",0 )</f>
        <v>#REF!</v>
      </c>
      <c r="E911" s="97" t="str">
        <f>_xlfn.XLOOKUP(A911,[1]CPD_SOP_new!$A:$A,[1]CPD_SOP_new!$K:$K,"not found",0 )</f>
        <v>3L</v>
      </c>
      <c r="F911" s="130" t="s">
        <v>28</v>
      </c>
      <c r="G911" s="130" t="s">
        <v>28</v>
      </c>
      <c r="H911" s="130" t="s">
        <v>28</v>
      </c>
      <c r="I911" s="130" t="s">
        <v>27</v>
      </c>
      <c r="J911" s="130" t="s">
        <v>1368</v>
      </c>
      <c r="K911" s="130" t="s">
        <v>1372</v>
      </c>
      <c r="L911" s="130" t="s">
        <v>723</v>
      </c>
      <c r="M911" s="100" t="str">
        <f t="shared" si="28"/>
        <v>Wrong measurement</v>
      </c>
      <c r="N911" s="59" t="str">
        <f t="shared" si="29"/>
        <v>Wrong measurement</v>
      </c>
      <c r="O911" s="130" t="s">
        <v>1370</v>
      </c>
    </row>
    <row r="912" spans="1:16" s="130" customFormat="1">
      <c r="A912" s="78">
        <v>216</v>
      </c>
      <c r="B912" s="130" t="s">
        <v>2304</v>
      </c>
      <c r="C912" s="137" t="s">
        <v>253</v>
      </c>
      <c r="D912" s="97" t="e">
        <f>_xlfn.XLOOKUP(A912,[1]CPD_SOP_new!$A:$A,[1]CPD_SOP_new!#REF!,"not found",0 )</f>
        <v>#REF!</v>
      </c>
      <c r="E912" s="97" t="str">
        <f>_xlfn.XLOOKUP(A912,[1]CPD_SOP_new!$A:$A,[1]CPD_SOP_new!$K:$K,"not found",0 )</f>
        <v>3L</v>
      </c>
      <c r="F912" s="130" t="s">
        <v>28</v>
      </c>
      <c r="G912" s="130" t="s">
        <v>28</v>
      </c>
      <c r="H912" s="130" t="s">
        <v>28</v>
      </c>
      <c r="I912" s="130" t="s">
        <v>27</v>
      </c>
      <c r="J912" s="130" t="s">
        <v>1368</v>
      </c>
      <c r="K912" s="130" t="s">
        <v>1373</v>
      </c>
      <c r="L912" s="130" t="s">
        <v>723</v>
      </c>
      <c r="M912" s="100" t="str">
        <f t="shared" si="28"/>
        <v>Wrong measurement</v>
      </c>
      <c r="N912" s="59" t="str">
        <f t="shared" si="29"/>
        <v>Wrong measurement</v>
      </c>
      <c r="O912" s="130" t="s">
        <v>1370</v>
      </c>
    </row>
    <row r="913" spans="1:21" s="130" customFormat="1">
      <c r="A913" s="78">
        <v>217</v>
      </c>
      <c r="B913" s="130" t="s">
        <v>2132</v>
      </c>
      <c r="C913" s="130" t="s">
        <v>253</v>
      </c>
      <c r="D913" s="97" t="e">
        <f>_xlfn.XLOOKUP(A913,[1]CPD_SOP_new!$A:$A,[1]CPD_SOP_new!#REF!,"not found",0 )</f>
        <v>#REF!</v>
      </c>
      <c r="E913" s="97" t="str">
        <f>_xlfn.XLOOKUP(A913,[1]CPD_SOP_new!$A:$A,[1]CPD_SOP_new!$K:$K,"not found",0 )</f>
        <v>3L</v>
      </c>
      <c r="F913" s="130" t="s">
        <v>27</v>
      </c>
      <c r="G913" s="130" t="s">
        <v>28</v>
      </c>
      <c r="H913" s="130" t="s">
        <v>28</v>
      </c>
      <c r="I913" s="130" t="s">
        <v>27</v>
      </c>
      <c r="J913" s="137" t="s">
        <v>68</v>
      </c>
      <c r="K913" s="130" t="s">
        <v>1374</v>
      </c>
      <c r="L913" s="130" t="s">
        <v>723</v>
      </c>
      <c r="M913" s="100" t="str">
        <f t="shared" si="28"/>
        <v>Wrong measurement</v>
      </c>
      <c r="N913" s="59" t="str">
        <f t="shared" si="29"/>
        <v>Wrong measurement</v>
      </c>
      <c r="O913" s="131" t="s">
        <v>475</v>
      </c>
      <c r="P913" s="131"/>
    </row>
    <row r="914" spans="1:21" s="130" customFormat="1">
      <c r="A914" s="78">
        <v>217</v>
      </c>
      <c r="B914" s="130" t="s">
        <v>2132</v>
      </c>
      <c r="C914" s="130" t="s">
        <v>253</v>
      </c>
      <c r="D914" s="97" t="e">
        <f>_xlfn.XLOOKUP(A914,[1]CPD_SOP_new!$A:$A,[1]CPD_SOP_new!#REF!,"not found",0 )</f>
        <v>#REF!</v>
      </c>
      <c r="E914" s="97" t="str">
        <f>_xlfn.XLOOKUP(A914,[1]CPD_SOP_new!$A:$A,[1]CPD_SOP_new!$K:$K,"not found",0 )</f>
        <v>3L</v>
      </c>
      <c r="F914" s="130" t="s">
        <v>27</v>
      </c>
      <c r="G914" s="130" t="s">
        <v>28</v>
      </c>
      <c r="H914" s="130" t="s">
        <v>28</v>
      </c>
      <c r="I914" s="130" t="s">
        <v>27</v>
      </c>
      <c r="J914" s="137" t="s">
        <v>68</v>
      </c>
      <c r="K914" s="130" t="s">
        <v>1375</v>
      </c>
      <c r="L914" s="130" t="s">
        <v>723</v>
      </c>
      <c r="M914" s="100" t="str">
        <f t="shared" si="28"/>
        <v>Wrong measurement</v>
      </c>
      <c r="N914" s="59" t="str">
        <f t="shared" si="29"/>
        <v>Wrong measurement</v>
      </c>
      <c r="O914" s="131" t="s">
        <v>475</v>
      </c>
      <c r="P914" s="131"/>
    </row>
    <row r="915" spans="1:21" s="130" customFormat="1">
      <c r="A915" s="78">
        <v>217</v>
      </c>
      <c r="B915" s="130" t="s">
        <v>2132</v>
      </c>
      <c r="C915" s="130" t="s">
        <v>253</v>
      </c>
      <c r="D915" s="97" t="e">
        <f>_xlfn.XLOOKUP(A915,[1]CPD_SOP_new!$A:$A,[1]CPD_SOP_new!#REF!,"not found",0 )</f>
        <v>#REF!</v>
      </c>
      <c r="E915" s="97" t="str">
        <f>_xlfn.XLOOKUP(A915,[1]CPD_SOP_new!$A:$A,[1]CPD_SOP_new!$K:$K,"not found",0 )</f>
        <v>3L</v>
      </c>
      <c r="F915" s="130" t="s">
        <v>27</v>
      </c>
      <c r="G915" s="130" t="s">
        <v>28</v>
      </c>
      <c r="H915" s="130" t="s">
        <v>28</v>
      </c>
      <c r="I915" s="130" t="s">
        <v>27</v>
      </c>
      <c r="J915" s="137" t="s">
        <v>68</v>
      </c>
      <c r="K915" s="130" t="s">
        <v>1376</v>
      </c>
      <c r="L915" s="130" t="s">
        <v>723</v>
      </c>
      <c r="M915" s="100" t="str">
        <f t="shared" si="28"/>
        <v>Wrong measurement</v>
      </c>
      <c r="N915" s="59" t="str">
        <f t="shared" si="29"/>
        <v>Wrong measurement</v>
      </c>
      <c r="O915" s="131" t="s">
        <v>475</v>
      </c>
      <c r="P915" s="131"/>
    </row>
    <row r="916" spans="1:21">
      <c r="A916" s="77">
        <v>217</v>
      </c>
      <c r="B916" t="s">
        <v>2304</v>
      </c>
      <c r="C916" s="85" t="s">
        <v>253</v>
      </c>
      <c r="D916" s="97" t="e">
        <f>_xlfn.XLOOKUP(A916,[1]CPD_SOP_new!$A:$A,[1]CPD_SOP_new!#REF!,"not found",0 )</f>
        <v>#REF!</v>
      </c>
      <c r="E916" s="97" t="str">
        <f>_xlfn.XLOOKUP(A916,[1]CPD_SOP_new!$A:$A,[1]CPD_SOP_new!$K:$K,"not found",0 )</f>
        <v>3L</v>
      </c>
      <c r="F916" t="s">
        <v>28</v>
      </c>
      <c r="G916" t="s">
        <v>28</v>
      </c>
      <c r="H916" t="s">
        <v>28</v>
      </c>
      <c r="I916" t="s">
        <v>28</v>
      </c>
      <c r="J916" t="s">
        <v>124</v>
      </c>
      <c r="K916" t="s">
        <v>1377</v>
      </c>
      <c r="L916" t="s">
        <v>2810</v>
      </c>
      <c r="M916" s="100" t="str">
        <f t="shared" si="28"/>
        <v>CSR_XCP_Signals_Recorder_2026-01-23_17-48-47_CPD_TC217_Try1_NCAP3_6YO_3L_CPD.MF4.xz</v>
      </c>
      <c r="N916" s="59" t="str">
        <f t="shared" si="29"/>
        <v>_NCAP3_6YO_3L_CPD.MF4.xz</v>
      </c>
      <c r="O916" t="s">
        <v>86</v>
      </c>
    </row>
    <row r="917" spans="1:21">
      <c r="A917" s="77">
        <v>217</v>
      </c>
      <c r="B917" t="s">
        <v>2304</v>
      </c>
      <c r="C917" s="85" t="s">
        <v>253</v>
      </c>
      <c r="D917" s="97" t="e">
        <f>_xlfn.XLOOKUP(A917,[1]CPD_SOP_new!$A:$A,[1]CPD_SOP_new!#REF!,"not found",0 )</f>
        <v>#REF!</v>
      </c>
      <c r="E917" s="97" t="str">
        <f>_xlfn.XLOOKUP(A917,[1]CPD_SOP_new!$A:$A,[1]CPD_SOP_new!$K:$K,"not found",0 )</f>
        <v>3L</v>
      </c>
      <c r="F917" t="s">
        <v>28</v>
      </c>
      <c r="G917" t="s">
        <v>28</v>
      </c>
      <c r="H917" t="s">
        <v>28</v>
      </c>
      <c r="I917" t="s">
        <v>28</v>
      </c>
      <c r="J917" t="s">
        <v>124</v>
      </c>
      <c r="K917" t="s">
        <v>1379</v>
      </c>
      <c r="L917" t="s">
        <v>2811</v>
      </c>
      <c r="M917" s="100" t="str">
        <f t="shared" si="28"/>
        <v>CSR_XCP_Signals_Recorder_2026-01-23_17-50-11_CPD_TC217_Try2_NCAP3_6YO_3L_CPD.MF4.xz</v>
      </c>
      <c r="N917" s="59" t="str">
        <f t="shared" si="29"/>
        <v>_NCAP3_6YO_3L_CPD.MF4.xz</v>
      </c>
      <c r="O917" t="s">
        <v>86</v>
      </c>
    </row>
    <row r="918" spans="1:21">
      <c r="A918" s="77">
        <v>217</v>
      </c>
      <c r="B918" t="s">
        <v>2304</v>
      </c>
      <c r="C918" s="85" t="s">
        <v>253</v>
      </c>
      <c r="D918" s="97" t="e">
        <f>_xlfn.XLOOKUP(A918,[1]CPD_SOP_new!$A:$A,[1]CPD_SOP_new!#REF!,"not found",0 )</f>
        <v>#REF!</v>
      </c>
      <c r="E918" s="97" t="str">
        <f>_xlfn.XLOOKUP(A918,[1]CPD_SOP_new!$A:$A,[1]CPD_SOP_new!$K:$K,"not found",0 )</f>
        <v>3L</v>
      </c>
      <c r="F918" t="s">
        <v>28</v>
      </c>
      <c r="G918" t="s">
        <v>28</v>
      </c>
      <c r="H918" t="s">
        <v>28</v>
      </c>
      <c r="I918" t="s">
        <v>28</v>
      </c>
      <c r="J918" t="s">
        <v>124</v>
      </c>
      <c r="K918" t="s">
        <v>1380</v>
      </c>
      <c r="L918" t="s">
        <v>2812</v>
      </c>
      <c r="M918" s="100" t="str">
        <f t="shared" si="28"/>
        <v>CSR_XCP_Signals_Recorder_2026-01-23_17-53-09_CPD_TC217_Try4_NCAP3_6YO_3L_CPD.MF4.xz</v>
      </c>
      <c r="N918" s="59" t="str">
        <f t="shared" si="29"/>
        <v>_NCAP3_6YO_3L_CPD.MF4.xz</v>
      </c>
      <c r="O918" t="s">
        <v>86</v>
      </c>
    </row>
    <row r="919" spans="1:21">
      <c r="A919" s="77">
        <v>217</v>
      </c>
      <c r="B919" t="s">
        <v>2304</v>
      </c>
      <c r="C919" s="85" t="s">
        <v>253</v>
      </c>
      <c r="D919" s="97" t="e">
        <f>_xlfn.XLOOKUP(A919,[1]CPD_SOP_new!$A:$A,[1]CPD_SOP_new!#REF!,"not found",0 )</f>
        <v>#REF!</v>
      </c>
      <c r="E919" s="97" t="str">
        <f>_xlfn.XLOOKUP(A919,[1]CPD_SOP_new!$A:$A,[1]CPD_SOP_new!$K:$K,"not found",0 )</f>
        <v>3L</v>
      </c>
      <c r="F919" t="s">
        <v>28</v>
      </c>
      <c r="G919" t="s">
        <v>28</v>
      </c>
      <c r="H919" t="s">
        <v>28</v>
      </c>
      <c r="I919" t="s">
        <v>28</v>
      </c>
      <c r="J919" t="s">
        <v>124</v>
      </c>
      <c r="K919" t="s">
        <v>1381</v>
      </c>
      <c r="L919" t="s">
        <v>2813</v>
      </c>
      <c r="M919" s="100" t="str">
        <f t="shared" si="28"/>
        <v>CSR_XCP_Signals_Recorder_2026-01-23_17-54-42_CPD_TC217_Try5_NCAP3_6YO_3L_CPD.MF4.xz</v>
      </c>
      <c r="N919" s="59" t="str">
        <f t="shared" si="29"/>
        <v>_NCAP3_6YO_3L_CPD.MF4.xz</v>
      </c>
      <c r="O919" t="s">
        <v>86</v>
      </c>
    </row>
    <row r="920" spans="1:21">
      <c r="A920" s="77">
        <v>217</v>
      </c>
      <c r="B920" t="s">
        <v>2304</v>
      </c>
      <c r="C920" s="85" t="s">
        <v>253</v>
      </c>
      <c r="D920" s="97" t="e">
        <f>_xlfn.XLOOKUP(A920,[1]CPD_SOP_new!$A:$A,[1]CPD_SOP_new!#REF!,"not found",0 )</f>
        <v>#REF!</v>
      </c>
      <c r="E920" s="97" t="str">
        <f>_xlfn.XLOOKUP(A920,[1]CPD_SOP_new!$A:$A,[1]CPD_SOP_new!$K:$K,"not found",0 )</f>
        <v>3L</v>
      </c>
      <c r="F920" t="s">
        <v>28</v>
      </c>
      <c r="G920" t="s">
        <v>28</v>
      </c>
      <c r="H920" t="s">
        <v>28</v>
      </c>
      <c r="I920" t="s">
        <v>28</v>
      </c>
      <c r="J920" t="s">
        <v>124</v>
      </c>
      <c r="K920" t="s">
        <v>1382</v>
      </c>
      <c r="L920" t="s">
        <v>2814</v>
      </c>
      <c r="M920" s="100" t="str">
        <f t="shared" si="28"/>
        <v>CSR_XCP_Signals_Recorder_2026-01-30_14-28-16_TC217_NCAP3_6YO_3L_CPD.MF4.xz</v>
      </c>
      <c r="N920" s="59" t="str">
        <f t="shared" si="29"/>
        <v>_NCAP3_6YO_3L_CPD.MF4.xz</v>
      </c>
      <c r="O920" t="s">
        <v>271</v>
      </c>
      <c r="Q920" t="s">
        <v>124</v>
      </c>
      <c r="R920" t="s">
        <v>29</v>
      </c>
      <c r="S920">
        <v>1</v>
      </c>
      <c r="T920">
        <v>0</v>
      </c>
      <c r="U920">
        <v>0</v>
      </c>
    </row>
    <row r="921" spans="1:21">
      <c r="A921" s="77">
        <v>217</v>
      </c>
      <c r="B921" t="s">
        <v>2304</v>
      </c>
      <c r="C921" s="85" t="s">
        <v>253</v>
      </c>
      <c r="D921" s="97" t="e">
        <f>_xlfn.XLOOKUP(A921,[1]CPD_SOP_new!$A:$A,[1]CPD_SOP_new!#REF!,"not found",0 )</f>
        <v>#REF!</v>
      </c>
      <c r="E921" s="97" t="str">
        <f>_xlfn.XLOOKUP(A921,[1]CPD_SOP_new!$A:$A,[1]CPD_SOP_new!$K:$K,"not found",0 )</f>
        <v>3L</v>
      </c>
      <c r="F921" t="s">
        <v>28</v>
      </c>
      <c r="G921" t="s">
        <v>28</v>
      </c>
      <c r="H921" t="s">
        <v>28</v>
      </c>
      <c r="I921" t="s">
        <v>28</v>
      </c>
      <c r="J921" t="s">
        <v>124</v>
      </c>
      <c r="K921" t="s">
        <v>1383</v>
      </c>
      <c r="L921" t="s">
        <v>2815</v>
      </c>
      <c r="M921" s="100" t="str">
        <f t="shared" si="28"/>
        <v>CSR_XCP_Signals_Recorder_2026-01-30_14-30-42_TC217_NCAP3_6YO_3L_CPD.MF4.xz</v>
      </c>
      <c r="N921" s="59" t="str">
        <f t="shared" si="29"/>
        <v>_NCAP3_6YO_3L_CPD.MF4.xz</v>
      </c>
      <c r="O921" t="s">
        <v>271</v>
      </c>
      <c r="Q921" t="s">
        <v>124</v>
      </c>
      <c r="R921" t="s">
        <v>29</v>
      </c>
      <c r="S921">
        <v>1</v>
      </c>
      <c r="T921">
        <v>0</v>
      </c>
      <c r="U921">
        <v>0</v>
      </c>
    </row>
    <row r="922" spans="1:21">
      <c r="A922" s="77">
        <v>217</v>
      </c>
      <c r="B922" t="s">
        <v>2304</v>
      </c>
      <c r="C922" s="85" t="s">
        <v>253</v>
      </c>
      <c r="D922" s="97" t="e">
        <f>_xlfn.XLOOKUP(A922,[1]CPD_SOP_new!$A:$A,[1]CPD_SOP_new!#REF!,"not found",0 )</f>
        <v>#REF!</v>
      </c>
      <c r="E922" s="97" t="str">
        <f>_xlfn.XLOOKUP(A922,[1]CPD_SOP_new!$A:$A,[1]CPD_SOP_new!$K:$K,"not found",0 )</f>
        <v>3L</v>
      </c>
      <c r="F922" t="s">
        <v>28</v>
      </c>
      <c r="G922" t="s">
        <v>28</v>
      </c>
      <c r="H922" t="s">
        <v>28</v>
      </c>
      <c r="I922" t="s">
        <v>28</v>
      </c>
      <c r="J922" t="s">
        <v>124</v>
      </c>
      <c r="K922" t="s">
        <v>1384</v>
      </c>
      <c r="L922" t="s">
        <v>2816</v>
      </c>
      <c r="M922" s="100" t="str">
        <f t="shared" si="28"/>
        <v>CSR_XCP_Signals_Recorder_2026-01-30_14-33-45_TC217_NCAP3_6YO_3L_CPD.MF4.xz</v>
      </c>
      <c r="N922" s="59" t="str">
        <f t="shared" si="29"/>
        <v>_NCAP3_6YO_3L_CPD.MF4.xz</v>
      </c>
      <c r="O922" t="s">
        <v>271</v>
      </c>
      <c r="Q922" t="s">
        <v>124</v>
      </c>
      <c r="R922" t="s">
        <v>29</v>
      </c>
      <c r="S922">
        <v>1</v>
      </c>
      <c r="T922">
        <v>0</v>
      </c>
      <c r="U922">
        <v>0</v>
      </c>
    </row>
    <row r="923" spans="1:21">
      <c r="A923" s="38">
        <v>218</v>
      </c>
      <c r="B923" t="s">
        <v>2304</v>
      </c>
      <c r="C923" s="85" t="s">
        <v>66</v>
      </c>
      <c r="D923" s="97" t="e">
        <f>_xlfn.XLOOKUP(A923,[1]CPD_SOP_new!$A:$A,[1]CPD_SOP_new!#REF!,"not found",0 )</f>
        <v>#REF!</v>
      </c>
      <c r="E923" s="97" t="s">
        <v>112</v>
      </c>
      <c r="F923" t="s">
        <v>27</v>
      </c>
      <c r="G923" t="s">
        <v>27</v>
      </c>
      <c r="H923" t="s">
        <v>27</v>
      </c>
      <c r="I923" t="s">
        <v>28</v>
      </c>
      <c r="J923" t="s">
        <v>124</v>
      </c>
      <c r="K923" t="s">
        <v>1388</v>
      </c>
      <c r="L923" t="s">
        <v>2817</v>
      </c>
      <c r="M923" s="100" t="str">
        <f t="shared" si="28"/>
        <v>TC218_Try_1_NCAP3_3YO_1L_CPD.MF4.xz</v>
      </c>
      <c r="N923" s="59" t="str">
        <f t="shared" si="29"/>
        <v>_NCAP3_3YO_1L_CPD.MF4.xz</v>
      </c>
      <c r="O923" s="134" t="s">
        <v>475</v>
      </c>
      <c r="P923" s="134"/>
    </row>
    <row r="924" spans="1:21">
      <c r="A924" s="38">
        <v>218</v>
      </c>
      <c r="B924" t="s">
        <v>2304</v>
      </c>
      <c r="C924" s="85" t="s">
        <v>66</v>
      </c>
      <c r="D924" s="97" t="e">
        <f>_xlfn.XLOOKUP(A924,[1]CPD_SOP_new!$A:$A,[1]CPD_SOP_new!#REF!,"not found",0 )</f>
        <v>#REF!</v>
      </c>
      <c r="E924" s="97" t="s">
        <v>112</v>
      </c>
      <c r="F924" t="s">
        <v>27</v>
      </c>
      <c r="G924" t="s">
        <v>27</v>
      </c>
      <c r="H924" t="s">
        <v>27</v>
      </c>
      <c r="I924" t="s">
        <v>28</v>
      </c>
      <c r="J924" t="s">
        <v>124</v>
      </c>
      <c r="K924" t="s">
        <v>1389</v>
      </c>
      <c r="L924" t="s">
        <v>2818</v>
      </c>
      <c r="M924" s="100" t="str">
        <f t="shared" si="28"/>
        <v>TC218_Try_2_NCAP3_3YO_1L_CPD.MF4.xz</v>
      </c>
      <c r="N924" s="59" t="str">
        <f t="shared" si="29"/>
        <v>_NCAP3_3YO_1L_CPD.MF4.xz</v>
      </c>
      <c r="O924" s="134" t="s">
        <v>475</v>
      </c>
      <c r="P924" s="134"/>
    </row>
    <row r="925" spans="1:21">
      <c r="A925" s="38">
        <v>218</v>
      </c>
      <c r="B925" t="s">
        <v>2304</v>
      </c>
      <c r="C925" s="85" t="s">
        <v>66</v>
      </c>
      <c r="D925" s="97" t="e">
        <f>_xlfn.XLOOKUP(A925,[1]CPD_SOP_new!$A:$A,[1]CPD_SOP_new!#REF!,"not found",0 )</f>
        <v>#REF!</v>
      </c>
      <c r="E925" s="97" t="s">
        <v>112</v>
      </c>
      <c r="F925" t="s">
        <v>27</v>
      </c>
      <c r="G925" t="s">
        <v>27</v>
      </c>
      <c r="H925" t="s">
        <v>27</v>
      </c>
      <c r="I925" t="s">
        <v>28</v>
      </c>
      <c r="J925" t="s">
        <v>124</v>
      </c>
      <c r="K925" t="s">
        <v>1390</v>
      </c>
      <c r="L925" t="s">
        <v>2819</v>
      </c>
      <c r="M925" s="100" t="str">
        <f t="shared" si="28"/>
        <v>TC218_Try_3_NCAP3_3YO_1L_CPD.MF4.xz</v>
      </c>
      <c r="N925" s="59" t="str">
        <f t="shared" si="29"/>
        <v>_NCAP3_3YO_1L_CPD.MF4.xz</v>
      </c>
      <c r="O925" s="134" t="s">
        <v>475</v>
      </c>
      <c r="P925" s="134"/>
    </row>
    <row r="926" spans="1:21">
      <c r="A926" s="38">
        <v>219</v>
      </c>
      <c r="B926" t="s">
        <v>2304</v>
      </c>
      <c r="C926" s="85" t="s">
        <v>253</v>
      </c>
      <c r="D926" s="97" t="e">
        <f>_xlfn.XLOOKUP(A926,[1]CPD_SOP_new!$A:$A,[1]CPD_SOP_new!#REF!,"not found",0 )</f>
        <v>#REF!</v>
      </c>
      <c r="E926" s="97" t="s">
        <v>26</v>
      </c>
      <c r="F926" t="s">
        <v>27</v>
      </c>
      <c r="G926" t="s">
        <v>27</v>
      </c>
      <c r="H926" t="s">
        <v>27</v>
      </c>
      <c r="I926" t="s">
        <v>28</v>
      </c>
      <c r="J926" t="s">
        <v>124</v>
      </c>
      <c r="K926" t="s">
        <v>1391</v>
      </c>
      <c r="L926" t="s">
        <v>2820</v>
      </c>
      <c r="M926" s="100" t="str">
        <f t="shared" si="28"/>
        <v>TC_219_Try1_NCAP3_6YO_1R_CPD.MF4.xz</v>
      </c>
      <c r="N926" s="59" t="str">
        <f t="shared" si="29"/>
        <v>_NCAP3_6YO_1R_CPD.MF4.xz</v>
      </c>
      <c r="O926" s="129" t="s">
        <v>371</v>
      </c>
      <c r="P926" s="129"/>
    </row>
    <row r="927" spans="1:21">
      <c r="A927" s="38">
        <v>219</v>
      </c>
      <c r="B927" t="s">
        <v>2304</v>
      </c>
      <c r="C927" s="85" t="s">
        <v>253</v>
      </c>
      <c r="D927" s="97" t="e">
        <f>_xlfn.XLOOKUP(A927,[1]CPD_SOP_new!$A:$A,[1]CPD_SOP_new!#REF!,"not found",0 )</f>
        <v>#REF!</v>
      </c>
      <c r="E927" s="97" t="s">
        <v>26</v>
      </c>
      <c r="F927" t="s">
        <v>27</v>
      </c>
      <c r="G927" t="s">
        <v>27</v>
      </c>
      <c r="H927" t="s">
        <v>27</v>
      </c>
      <c r="I927" t="s">
        <v>28</v>
      </c>
      <c r="J927" t="s">
        <v>124</v>
      </c>
      <c r="K927" t="s">
        <v>1392</v>
      </c>
      <c r="L927" t="s">
        <v>2821</v>
      </c>
      <c r="M927" s="100" t="str">
        <f t="shared" si="28"/>
        <v>TC_219_Try2_NCAP3_6YO_1R_CPD.MF4.xz</v>
      </c>
      <c r="N927" s="59" t="str">
        <f t="shared" si="29"/>
        <v>_NCAP3_6YO_1R_CPD.MF4.xz</v>
      </c>
      <c r="O927" s="129" t="s">
        <v>371</v>
      </c>
      <c r="P927" s="129"/>
    </row>
    <row r="928" spans="1:21">
      <c r="A928" s="38">
        <v>219</v>
      </c>
      <c r="B928" t="s">
        <v>2304</v>
      </c>
      <c r="C928" s="85" t="s">
        <v>253</v>
      </c>
      <c r="D928" s="97" t="e">
        <f>_xlfn.XLOOKUP(A928,[1]CPD_SOP_new!$A:$A,[1]CPD_SOP_new!#REF!,"not found",0 )</f>
        <v>#REF!</v>
      </c>
      <c r="E928" s="97" t="s">
        <v>26</v>
      </c>
      <c r="F928" t="s">
        <v>27</v>
      </c>
      <c r="G928" t="s">
        <v>27</v>
      </c>
      <c r="H928" t="s">
        <v>27</v>
      </c>
      <c r="I928" t="s">
        <v>28</v>
      </c>
      <c r="J928" t="s">
        <v>124</v>
      </c>
      <c r="K928" t="s">
        <v>1393</v>
      </c>
      <c r="L928" t="s">
        <v>2822</v>
      </c>
      <c r="M928" s="100" t="str">
        <f t="shared" si="28"/>
        <v>TC_219_Try3_NCAP3_6YO_1R_CPD.MF4.xz</v>
      </c>
      <c r="N928" s="59" t="str">
        <f t="shared" si="29"/>
        <v>_NCAP3_6YO_1R_CPD.MF4.xz</v>
      </c>
      <c r="O928" s="129" t="s">
        <v>371</v>
      </c>
      <c r="P928" s="129"/>
    </row>
    <row r="929" spans="1:16">
      <c r="A929" s="77">
        <v>221</v>
      </c>
      <c r="B929" t="s">
        <v>2304</v>
      </c>
      <c r="C929" s="85" t="s">
        <v>253</v>
      </c>
      <c r="D929" s="97" t="e">
        <f>_xlfn.XLOOKUP(A929,[1]CPD_SOP_new!$A:$A,[1]CPD_SOP_new!#REF!,"not found",0 )</f>
        <v>#REF!</v>
      </c>
      <c r="E929" s="97" t="s">
        <v>26</v>
      </c>
      <c r="F929" t="s">
        <v>28</v>
      </c>
      <c r="G929" t="s">
        <v>28</v>
      </c>
      <c r="H929" t="s">
        <v>28</v>
      </c>
      <c r="I929" t="s">
        <v>28</v>
      </c>
      <c r="J929" t="s">
        <v>124</v>
      </c>
      <c r="K929" t="s">
        <v>1394</v>
      </c>
      <c r="L929" t="s">
        <v>2823</v>
      </c>
      <c r="M929" s="100" t="str">
        <f t="shared" si="28"/>
        <v>CSR_XCP_Signals_Recorder_2025-12-15_11-18-09_TC221_6YO_1R_CPD_NCAP3_6YO_1R_CPD.MF4.xz</v>
      </c>
      <c r="N929" s="59" t="str">
        <f t="shared" si="29"/>
        <v>_NCAP3_6YO_1R_CPD.MF4.xz</v>
      </c>
      <c r="O929" s="129" t="s">
        <v>102</v>
      </c>
      <c r="P929" s="129"/>
    </row>
    <row r="930" spans="1:16">
      <c r="A930" s="77">
        <v>221</v>
      </c>
      <c r="B930" t="s">
        <v>2304</v>
      </c>
      <c r="C930" s="85" t="s">
        <v>253</v>
      </c>
      <c r="D930" s="97" t="e">
        <f>_xlfn.XLOOKUP(A930,[1]CPD_SOP_new!$A:$A,[1]CPD_SOP_new!#REF!,"not found",0 )</f>
        <v>#REF!</v>
      </c>
      <c r="E930" s="97" t="s">
        <v>26</v>
      </c>
      <c r="F930" t="s">
        <v>28</v>
      </c>
      <c r="G930" t="s">
        <v>28</v>
      </c>
      <c r="H930" t="s">
        <v>28</v>
      </c>
      <c r="I930" t="s">
        <v>28</v>
      </c>
      <c r="J930" t="s">
        <v>124</v>
      </c>
      <c r="K930" t="s">
        <v>1396</v>
      </c>
      <c r="L930" t="s">
        <v>2824</v>
      </c>
      <c r="M930" s="100" t="str">
        <f t="shared" si="28"/>
        <v>CSR_XCP_Signals_Recorder_2025-12-15_11-19-57_TC221_6YO_1R_CPD_NCAP3_6YO_1R_CPD.MF4.xz</v>
      </c>
      <c r="N930" s="59" t="str">
        <f t="shared" si="29"/>
        <v>_NCAP3_6YO_1R_CPD.MF4.xz</v>
      </c>
      <c r="O930" s="129" t="s">
        <v>102</v>
      </c>
      <c r="P930" s="129"/>
    </row>
    <row r="931" spans="1:16" s="130" customFormat="1">
      <c r="A931" s="78">
        <v>221</v>
      </c>
      <c r="B931" s="130" t="s">
        <v>2304</v>
      </c>
      <c r="C931" s="85" t="s">
        <v>253</v>
      </c>
      <c r="D931" s="97" t="e">
        <f>_xlfn.XLOOKUP(A931,[1]CPD_SOP_new!$A:$A,[1]CPD_SOP_new!#REF!,"not found",0 )</f>
        <v>#REF!</v>
      </c>
      <c r="E931" s="97" t="s">
        <v>26</v>
      </c>
      <c r="F931" s="130" t="s">
        <v>28</v>
      </c>
      <c r="G931" s="130" t="s">
        <v>28</v>
      </c>
      <c r="H931" s="130" t="s">
        <v>28</v>
      </c>
      <c r="I931" s="130" t="s">
        <v>27</v>
      </c>
      <c r="J931" s="130" t="s">
        <v>723</v>
      </c>
      <c r="K931" s="130" t="s">
        <v>1397</v>
      </c>
      <c r="L931" s="130" t="s">
        <v>723</v>
      </c>
      <c r="M931" s="100" t="str">
        <f t="shared" si="28"/>
        <v>Wrong measurement</v>
      </c>
      <c r="N931" s="59" t="str">
        <f t="shared" si="29"/>
        <v>Wrong measurement</v>
      </c>
      <c r="O931" s="131" t="s">
        <v>102</v>
      </c>
      <c r="P931" s="131"/>
    </row>
    <row r="932" spans="1:16">
      <c r="A932" s="77">
        <v>221</v>
      </c>
      <c r="B932" t="s">
        <v>2304</v>
      </c>
      <c r="C932" s="85" t="s">
        <v>253</v>
      </c>
      <c r="D932" s="97" t="e">
        <f>_xlfn.XLOOKUP(A932,[1]CPD_SOP_new!$A:$A,[1]CPD_SOP_new!#REF!,"not found",0 )</f>
        <v>#REF!</v>
      </c>
      <c r="E932" s="97" t="s">
        <v>26</v>
      </c>
      <c r="F932" t="s">
        <v>28</v>
      </c>
      <c r="G932" t="s">
        <v>28</v>
      </c>
      <c r="H932" t="s">
        <v>28</v>
      </c>
      <c r="I932" t="s">
        <v>28</v>
      </c>
      <c r="J932" t="s">
        <v>124</v>
      </c>
      <c r="K932" t="s">
        <v>1398</v>
      </c>
      <c r="L932" t="s">
        <v>2825</v>
      </c>
      <c r="M932" s="100" t="str">
        <f t="shared" si="28"/>
        <v>CSR_XCP_Signals_Recorder_2025-12-15_11-23-12_TC221_6YO_1R_CPD_NCAP3_6YO_1R_CPD.MF4.xz</v>
      </c>
      <c r="N932" s="59" t="str">
        <f t="shared" si="29"/>
        <v>_NCAP3_6YO_1R_CPD.MF4.xz</v>
      </c>
      <c r="O932" s="129" t="s">
        <v>102</v>
      </c>
      <c r="P932" s="129"/>
    </row>
    <row r="933" spans="1:16">
      <c r="A933" s="77">
        <v>221</v>
      </c>
      <c r="B933" t="s">
        <v>2304</v>
      </c>
      <c r="C933" s="85" t="s">
        <v>253</v>
      </c>
      <c r="D933" s="97" t="e">
        <f>_xlfn.XLOOKUP(A933,[1]CPD_SOP_new!$A:$A,[1]CPD_SOP_new!#REF!,"not found",0 )</f>
        <v>#REF!</v>
      </c>
      <c r="E933" s="97" t="s">
        <v>26</v>
      </c>
      <c r="F933" t="s">
        <v>28</v>
      </c>
      <c r="G933" t="s">
        <v>28</v>
      </c>
      <c r="H933" t="s">
        <v>28</v>
      </c>
      <c r="I933" t="s">
        <v>28</v>
      </c>
      <c r="J933" t="s">
        <v>124</v>
      </c>
      <c r="K933" t="s">
        <v>1399</v>
      </c>
      <c r="L933" t="s">
        <v>2826</v>
      </c>
      <c r="M933" s="100" t="str">
        <f t="shared" si="28"/>
        <v>CSR_XCP_Signals_Recorder_2025-12-15_11-25-41_TC221_6YO_1R_CPD_NCAP3_6YO_1R_CPD.MF4.xz</v>
      </c>
      <c r="N933" s="59" t="str">
        <f t="shared" si="29"/>
        <v>_NCAP3_6YO_1R_CPD.MF4.xz</v>
      </c>
      <c r="O933" s="129" t="s">
        <v>102</v>
      </c>
      <c r="P933" s="129"/>
    </row>
    <row r="934" spans="1:16">
      <c r="A934" s="77">
        <v>221</v>
      </c>
      <c r="B934" t="s">
        <v>2304</v>
      </c>
      <c r="C934" s="85" t="s">
        <v>253</v>
      </c>
      <c r="D934" s="97" t="e">
        <f>_xlfn.XLOOKUP(A934,[1]CPD_SOP_new!$A:$A,[1]CPD_SOP_new!#REF!,"not found",0 )</f>
        <v>#REF!</v>
      </c>
      <c r="E934" s="97" t="s">
        <v>26</v>
      </c>
      <c r="F934" t="s">
        <v>28</v>
      </c>
      <c r="G934" t="s">
        <v>28</v>
      </c>
      <c r="H934" t="s">
        <v>28</v>
      </c>
      <c r="I934" t="s">
        <v>28</v>
      </c>
      <c r="J934" t="s">
        <v>124</v>
      </c>
      <c r="K934" t="s">
        <v>1400</v>
      </c>
      <c r="L934" t="s">
        <v>2827</v>
      </c>
      <c r="M934" s="100" t="str">
        <f t="shared" si="28"/>
        <v>CSR_XCP_Signals_Recorder_2025-12-15_11-27-14_TC221_6YO_1R_CPD_NCAP3_6YO_1R_CPD.MF4.xz</v>
      </c>
      <c r="N934" s="59" t="str">
        <f t="shared" si="29"/>
        <v>_NCAP3_6YO_1R_CPD.MF4.xz</v>
      </c>
      <c r="O934" s="129" t="s">
        <v>102</v>
      </c>
      <c r="P934" s="129"/>
    </row>
    <row r="935" spans="1:16">
      <c r="A935" s="77">
        <v>221</v>
      </c>
      <c r="B935" t="s">
        <v>2304</v>
      </c>
      <c r="C935" s="85" t="s">
        <v>253</v>
      </c>
      <c r="D935" s="97" t="e">
        <f>_xlfn.XLOOKUP(A935,[1]CPD_SOP_new!$A:$A,[1]CPD_SOP_new!#REF!,"not found",0 )</f>
        <v>#REF!</v>
      </c>
      <c r="E935" s="97" t="s">
        <v>26</v>
      </c>
      <c r="F935" t="s">
        <v>28</v>
      </c>
      <c r="G935" t="s">
        <v>28</v>
      </c>
      <c r="H935" t="s">
        <v>28</v>
      </c>
      <c r="I935" t="s">
        <v>28</v>
      </c>
      <c r="J935" t="s">
        <v>124</v>
      </c>
      <c r="K935" s="132" t="s">
        <v>1401</v>
      </c>
      <c r="L935" s="132" t="s">
        <v>2828</v>
      </c>
      <c r="M935" s="100" t="str">
        <f t="shared" si="28"/>
        <v>CSR_XCP_Signals_Recorder_2025-12-18_17-27-53_TC221_CPD_NCAP3_6YO_1R_CPD.MF4.xz</v>
      </c>
      <c r="N935" s="59" t="str">
        <f t="shared" si="29"/>
        <v>_NCAP3_6YO_1R_CPD.MF4.xz</v>
      </c>
      <c r="O935" s="129" t="s">
        <v>202</v>
      </c>
      <c r="P935" s="129"/>
    </row>
    <row r="936" spans="1:16">
      <c r="A936" s="77">
        <v>221</v>
      </c>
      <c r="B936" t="s">
        <v>2304</v>
      </c>
      <c r="C936" s="85" t="s">
        <v>253</v>
      </c>
      <c r="D936" s="97" t="e">
        <f>_xlfn.XLOOKUP(A936,[1]CPD_SOP_new!$A:$A,[1]CPD_SOP_new!#REF!,"not found",0 )</f>
        <v>#REF!</v>
      </c>
      <c r="E936" s="97" t="s">
        <v>26</v>
      </c>
      <c r="F936" t="s">
        <v>28</v>
      </c>
      <c r="G936" t="s">
        <v>28</v>
      </c>
      <c r="H936" t="s">
        <v>28</v>
      </c>
      <c r="I936" t="s">
        <v>28</v>
      </c>
      <c r="J936" t="s">
        <v>124</v>
      </c>
      <c r="K936" s="132" t="s">
        <v>1402</v>
      </c>
      <c r="L936" s="132" t="s">
        <v>2829</v>
      </c>
      <c r="M936" s="100" t="str">
        <f t="shared" si="28"/>
        <v>CSR_XCP_Signals_Recorder_2025-12-18_17-29-21_TC221_CPD_NCAP3_6YO_1R_CPD.MF4.xz</v>
      </c>
      <c r="N936" s="59" t="str">
        <f t="shared" si="29"/>
        <v>_NCAP3_6YO_1R_CPD.MF4.xz</v>
      </c>
      <c r="O936" s="129" t="s">
        <v>202</v>
      </c>
      <c r="P936" s="129"/>
    </row>
    <row r="937" spans="1:16">
      <c r="A937" s="77">
        <v>221</v>
      </c>
      <c r="B937" t="s">
        <v>2304</v>
      </c>
      <c r="C937" s="85" t="s">
        <v>253</v>
      </c>
      <c r="D937" s="97" t="e">
        <f>_xlfn.XLOOKUP(A937,[1]CPD_SOP_new!$A:$A,[1]CPD_SOP_new!#REF!,"not found",0 )</f>
        <v>#REF!</v>
      </c>
      <c r="E937" s="97" t="s">
        <v>26</v>
      </c>
      <c r="F937" t="s">
        <v>28</v>
      </c>
      <c r="G937" t="s">
        <v>28</v>
      </c>
      <c r="H937" t="s">
        <v>28</v>
      </c>
      <c r="I937" t="s">
        <v>28</v>
      </c>
      <c r="J937" t="s">
        <v>124</v>
      </c>
      <c r="K937" s="132" t="s">
        <v>1403</v>
      </c>
      <c r="L937" s="132" t="s">
        <v>2830</v>
      </c>
      <c r="M937" s="100" t="str">
        <f t="shared" si="28"/>
        <v>CSR_XCP_Signals_Recorder_2025-12-18_17-30-52_TC221_CPD_NCAP3_6YO_1R_CPD.MF4.xz</v>
      </c>
      <c r="N937" s="59" t="str">
        <f t="shared" si="29"/>
        <v>_NCAP3_6YO_1R_CPD.MF4.xz</v>
      </c>
      <c r="O937" s="129" t="s">
        <v>202</v>
      </c>
      <c r="P937" s="129"/>
    </row>
    <row r="938" spans="1:16">
      <c r="A938" s="77">
        <v>221</v>
      </c>
      <c r="B938" t="s">
        <v>2304</v>
      </c>
      <c r="C938" s="85" t="s">
        <v>253</v>
      </c>
      <c r="D938" s="97" t="e">
        <f>_xlfn.XLOOKUP(A938,[1]CPD_SOP_new!$A:$A,[1]CPD_SOP_new!#REF!,"not found",0 )</f>
        <v>#REF!</v>
      </c>
      <c r="E938" s="97" t="s">
        <v>26</v>
      </c>
      <c r="F938" t="s">
        <v>28</v>
      </c>
      <c r="G938" t="s">
        <v>28</v>
      </c>
      <c r="H938" t="s">
        <v>28</v>
      </c>
      <c r="I938" t="s">
        <v>28</v>
      </c>
      <c r="J938" t="s">
        <v>124</v>
      </c>
      <c r="K938" s="132" t="s">
        <v>1404</v>
      </c>
      <c r="L938" s="132" t="s">
        <v>2831</v>
      </c>
      <c r="M938" s="100" t="str">
        <f t="shared" si="28"/>
        <v>CSR_XCP_Signals_Recorder_2025-12-18_17-32-23_TC221_CPD_NCAP3_6YO_1R_CPD.MF4.xz</v>
      </c>
      <c r="N938" s="59" t="str">
        <f t="shared" si="29"/>
        <v>_NCAP3_6YO_1R_CPD.MF4.xz</v>
      </c>
      <c r="O938" s="129" t="s">
        <v>202</v>
      </c>
      <c r="P938" s="129"/>
    </row>
    <row r="939" spans="1:16">
      <c r="A939" s="77">
        <v>221</v>
      </c>
      <c r="B939" t="s">
        <v>2304</v>
      </c>
      <c r="C939" s="85" t="s">
        <v>253</v>
      </c>
      <c r="D939" s="97" t="e">
        <f>_xlfn.XLOOKUP(A939,[1]CPD_SOP_new!$A:$A,[1]CPD_SOP_new!#REF!,"not found",0 )</f>
        <v>#REF!</v>
      </c>
      <c r="E939" s="97" t="s">
        <v>26</v>
      </c>
      <c r="F939" t="s">
        <v>28</v>
      </c>
      <c r="G939" t="s">
        <v>28</v>
      </c>
      <c r="H939" t="s">
        <v>28</v>
      </c>
      <c r="I939" t="s">
        <v>28</v>
      </c>
      <c r="J939" t="s">
        <v>124</v>
      </c>
      <c r="K939" s="132" t="s">
        <v>1405</v>
      </c>
      <c r="L939" s="132" t="s">
        <v>2832</v>
      </c>
      <c r="M939" s="100" t="str">
        <f t="shared" si="28"/>
        <v>CSR_XCP_Signals_Recorder_2025-12-18_17-33-53_TC221_CPD_NCAP3_6YO_1R_CPD.MF4.xz</v>
      </c>
      <c r="N939" s="59" t="str">
        <f t="shared" si="29"/>
        <v>_NCAP3_6YO_1R_CPD.MF4.xz</v>
      </c>
      <c r="O939" s="129" t="s">
        <v>202</v>
      </c>
      <c r="P939" s="129"/>
    </row>
    <row r="940" spans="1:16">
      <c r="A940" s="77">
        <v>221</v>
      </c>
      <c r="B940" t="s">
        <v>2304</v>
      </c>
      <c r="C940" s="85" t="s">
        <v>253</v>
      </c>
      <c r="D940" s="97" t="e">
        <f>_xlfn.XLOOKUP(A940,[1]CPD_SOP_new!$A:$A,[1]CPD_SOP_new!#REF!,"not found",0 )</f>
        <v>#REF!</v>
      </c>
      <c r="E940" s="97" t="s">
        <v>26</v>
      </c>
      <c r="F940" t="s">
        <v>28</v>
      </c>
      <c r="G940" t="s">
        <v>28</v>
      </c>
      <c r="H940" t="s">
        <v>28</v>
      </c>
      <c r="I940" t="s">
        <v>28</v>
      </c>
      <c r="J940" t="s">
        <v>124</v>
      </c>
      <c r="K940" s="132" t="s">
        <v>1406</v>
      </c>
      <c r="L940" s="132" t="s">
        <v>2833</v>
      </c>
      <c r="M940" s="100" t="str">
        <f t="shared" si="28"/>
        <v>CSR_XCP_Signals_Recorder_2025-12-18_17-40-51_TC221_CPD_NCAP3_6YO_1R_CPD.MF4.xz</v>
      </c>
      <c r="N940" s="59" t="str">
        <f t="shared" si="29"/>
        <v>_NCAP3_6YO_1R_CPD.MF4.xz</v>
      </c>
      <c r="O940" s="129" t="s">
        <v>202</v>
      </c>
      <c r="P940" s="129"/>
    </row>
    <row r="941" spans="1:16" s="137" customFormat="1">
      <c r="A941" s="77">
        <v>221</v>
      </c>
      <c r="B941" t="s">
        <v>2304</v>
      </c>
      <c r="C941" s="85" t="s">
        <v>253</v>
      </c>
      <c r="D941" s="97" t="e">
        <f>_xlfn.XLOOKUP(A941,[1]CPD_SOP_new!$A:$A,[1]CPD_SOP_new!#REF!,"not found",0 )</f>
        <v>#REF!</v>
      </c>
      <c r="E941" s="97" t="s">
        <v>26</v>
      </c>
      <c r="F941" t="s">
        <v>28</v>
      </c>
      <c r="G941" t="s">
        <v>28</v>
      </c>
      <c r="H941" t="s">
        <v>28</v>
      </c>
      <c r="I941" t="s">
        <v>28</v>
      </c>
      <c r="J941" t="s">
        <v>124</v>
      </c>
      <c r="K941" s="132" t="s">
        <v>1407</v>
      </c>
      <c r="L941" s="132" t="s">
        <v>2834</v>
      </c>
      <c r="M941" s="100" t="str">
        <f t="shared" si="28"/>
        <v>CSR_XCP_Signals_Recorder_2025-12-18_17-42-20_TC221_CPD_NCAP3_6YO_1R_CPD.MF4.xz</v>
      </c>
      <c r="N941" s="59" t="str">
        <f t="shared" si="29"/>
        <v>_NCAP3_6YO_1R_CPD.MF4.xz</v>
      </c>
      <c r="O941" s="129" t="s">
        <v>202</v>
      </c>
      <c r="P941" s="129"/>
    </row>
    <row r="942" spans="1:16">
      <c r="A942" s="77">
        <v>221</v>
      </c>
      <c r="B942" t="s">
        <v>2304</v>
      </c>
      <c r="C942" s="85" t="s">
        <v>253</v>
      </c>
      <c r="D942" s="97" t="e">
        <f>_xlfn.XLOOKUP(A942,[1]CPD_SOP_new!$A:$A,[1]CPD_SOP_new!#REF!,"not found",0 )</f>
        <v>#REF!</v>
      </c>
      <c r="E942" s="97" t="s">
        <v>26</v>
      </c>
      <c r="F942" t="s">
        <v>28</v>
      </c>
      <c r="G942" t="s">
        <v>28</v>
      </c>
      <c r="H942" t="s">
        <v>28</v>
      </c>
      <c r="I942" t="s">
        <v>28</v>
      </c>
      <c r="J942" t="s">
        <v>124</v>
      </c>
      <c r="K942" s="132" t="s">
        <v>1408</v>
      </c>
      <c r="L942" s="132" t="s">
        <v>2835</v>
      </c>
      <c r="M942" s="100" t="str">
        <f t="shared" si="28"/>
        <v>CSR_XCP_Signals_Recorder_2025-12-18_17-45-29_TC221_CPD_NCAP3_6YO_1R_CPD.MF4.xz</v>
      </c>
      <c r="N942" s="59" t="str">
        <f t="shared" si="29"/>
        <v>_NCAP3_6YO_1R_CPD.MF4.xz</v>
      </c>
      <c r="O942" s="129" t="s">
        <v>202</v>
      </c>
      <c r="P942" s="129"/>
    </row>
    <row r="943" spans="1:16">
      <c r="A943" s="77">
        <v>221</v>
      </c>
      <c r="B943" t="s">
        <v>2304</v>
      </c>
      <c r="C943" s="85" t="s">
        <v>253</v>
      </c>
      <c r="D943" s="97" t="e">
        <f>_xlfn.XLOOKUP(A943,[1]CPD_SOP_new!$A:$A,[1]CPD_SOP_new!#REF!,"not found",0 )</f>
        <v>#REF!</v>
      </c>
      <c r="E943" s="97" t="s">
        <v>26</v>
      </c>
      <c r="F943" t="s">
        <v>28</v>
      </c>
      <c r="G943" t="s">
        <v>28</v>
      </c>
      <c r="H943" t="s">
        <v>28</v>
      </c>
      <c r="I943" t="s">
        <v>28</v>
      </c>
      <c r="J943" t="s">
        <v>124</v>
      </c>
      <c r="K943" s="132" t="s">
        <v>1409</v>
      </c>
      <c r="L943" s="132" t="s">
        <v>2836</v>
      </c>
      <c r="M943" s="100" t="str">
        <f t="shared" si="28"/>
        <v>CSR_XCP_Signals_Recorder_2025-12-18_17-47-01_TC221_CPD_NCAP3_6YO_1R_CPD.MF4.xz</v>
      </c>
      <c r="N943" s="59" t="str">
        <f t="shared" si="29"/>
        <v>_NCAP3_6YO_1R_CPD.MF4.xz</v>
      </c>
      <c r="O943" s="129" t="s">
        <v>202</v>
      </c>
      <c r="P943" s="129"/>
    </row>
    <row r="944" spans="1:16">
      <c r="A944" s="77">
        <v>223</v>
      </c>
      <c r="B944" t="s">
        <v>2304</v>
      </c>
      <c r="C944" s="85" t="s">
        <v>253</v>
      </c>
      <c r="D944" s="97" t="e">
        <f>_xlfn.XLOOKUP(A944,[1]CPD_SOP_new!$A:$A,[1]CPD_SOP_new!#REF!,"not found",0 )</f>
        <v>#REF!</v>
      </c>
      <c r="E944" s="97" t="str">
        <f>_xlfn.XLOOKUP(A944,[1]CPD_SOP_new!$A:$A,[1]CPD_SOP_new!$K:$K,"not found",0 )</f>
        <v>2L</v>
      </c>
      <c r="F944" t="s">
        <v>28</v>
      </c>
      <c r="G944" t="s">
        <v>28</v>
      </c>
      <c r="H944" t="s">
        <v>28</v>
      </c>
      <c r="I944" t="s">
        <v>28</v>
      </c>
      <c r="J944" t="s">
        <v>124</v>
      </c>
      <c r="K944" t="s">
        <v>1410</v>
      </c>
      <c r="L944" t="s">
        <v>2837</v>
      </c>
      <c r="M944" s="100" t="str">
        <f t="shared" si="28"/>
        <v>CSR_XCP_Signals_Recorder_2025-12-15_14-08-28_TC223_6YO2L_CPD_NCAP3_6YO_2L_CPD.MF4.xz</v>
      </c>
      <c r="N944" s="59" t="str">
        <f t="shared" si="29"/>
        <v>_NCAP3_6YO_2L_CPD.MF4.xz</v>
      </c>
      <c r="O944" s="129" t="s">
        <v>102</v>
      </c>
      <c r="P944" s="129"/>
    </row>
    <row r="945" spans="1:21">
      <c r="A945" s="77">
        <v>223</v>
      </c>
      <c r="B945" t="s">
        <v>2304</v>
      </c>
      <c r="C945" s="85" t="s">
        <v>253</v>
      </c>
      <c r="D945" s="97" t="e">
        <f>_xlfn.XLOOKUP(A945,[1]CPD_SOP_new!$A:$A,[1]CPD_SOP_new!#REF!,"not found",0 )</f>
        <v>#REF!</v>
      </c>
      <c r="E945" s="97" t="str">
        <f>_xlfn.XLOOKUP(A945,[1]CPD_SOP_new!$A:$A,[1]CPD_SOP_new!$K:$K,"not found",0 )</f>
        <v>2L</v>
      </c>
      <c r="F945" t="s">
        <v>28</v>
      </c>
      <c r="G945" t="s">
        <v>28</v>
      </c>
      <c r="H945" t="s">
        <v>28</v>
      </c>
      <c r="I945" t="s">
        <v>28</v>
      </c>
      <c r="J945" t="s">
        <v>124</v>
      </c>
      <c r="K945" t="s">
        <v>1412</v>
      </c>
      <c r="L945" t="s">
        <v>2838</v>
      </c>
      <c r="M945" s="100" t="str">
        <f t="shared" si="28"/>
        <v>CSR_XCP_Signals_Recorder_2025-12-15_14-10-03_TC223_6YO2L_CPD_NCAP3_6YO_2L_CPD.MF4.xz</v>
      </c>
      <c r="N945" s="59" t="str">
        <f t="shared" si="29"/>
        <v>_NCAP3_6YO_2L_CPD.MF4.xz</v>
      </c>
      <c r="O945" s="129" t="s">
        <v>102</v>
      </c>
      <c r="P945" s="129"/>
    </row>
    <row r="946" spans="1:21">
      <c r="A946" s="77">
        <v>223</v>
      </c>
      <c r="B946" t="s">
        <v>2304</v>
      </c>
      <c r="C946" s="85" t="s">
        <v>253</v>
      </c>
      <c r="D946" s="97" t="e">
        <f>_xlfn.XLOOKUP(A946,[1]CPD_SOP_new!$A:$A,[1]CPD_SOP_new!#REF!,"not found",0 )</f>
        <v>#REF!</v>
      </c>
      <c r="E946" s="97" t="str">
        <f>_xlfn.XLOOKUP(A946,[1]CPD_SOP_new!$A:$A,[1]CPD_SOP_new!$K:$K,"not found",0 )</f>
        <v>2L</v>
      </c>
      <c r="F946" t="s">
        <v>28</v>
      </c>
      <c r="G946" t="s">
        <v>28</v>
      </c>
      <c r="H946" t="s">
        <v>28</v>
      </c>
      <c r="I946" t="s">
        <v>28</v>
      </c>
      <c r="J946" t="s">
        <v>124</v>
      </c>
      <c r="K946" t="s">
        <v>1413</v>
      </c>
      <c r="L946" t="s">
        <v>2839</v>
      </c>
      <c r="M946" s="100" t="str">
        <f t="shared" si="28"/>
        <v>CSR_XCP_Signals_Recorder_2025-12-15_14-11-45_TC223_6YO2L_CPD_NCAP3_6YO_2L_CPD.MF4.xz</v>
      </c>
      <c r="N946" s="59" t="str">
        <f t="shared" si="29"/>
        <v>_NCAP3_6YO_2L_CPD.MF4.xz</v>
      </c>
      <c r="O946" s="129" t="s">
        <v>102</v>
      </c>
      <c r="P946" s="129"/>
    </row>
    <row r="947" spans="1:21">
      <c r="A947" s="77">
        <v>223</v>
      </c>
      <c r="B947" t="s">
        <v>2304</v>
      </c>
      <c r="C947" s="85" t="s">
        <v>253</v>
      </c>
      <c r="D947" s="97" t="e">
        <f>_xlfn.XLOOKUP(A947,[1]CPD_SOP_new!$A:$A,[1]CPD_SOP_new!#REF!,"not found",0 )</f>
        <v>#REF!</v>
      </c>
      <c r="E947" s="97" t="str">
        <f>_xlfn.XLOOKUP(A947,[1]CPD_SOP_new!$A:$A,[1]CPD_SOP_new!$K:$K,"not found",0 )</f>
        <v>2L</v>
      </c>
      <c r="F947" t="s">
        <v>28</v>
      </c>
      <c r="G947" t="s">
        <v>28</v>
      </c>
      <c r="H947" t="s">
        <v>28</v>
      </c>
      <c r="I947" t="s">
        <v>28</v>
      </c>
      <c r="J947" t="s">
        <v>124</v>
      </c>
      <c r="K947" t="s">
        <v>1414</v>
      </c>
      <c r="L947" t="s">
        <v>2840</v>
      </c>
      <c r="M947" s="100" t="str">
        <f t="shared" si="28"/>
        <v>CSR_XCP_Signals_Recorder_2025-12-15_14-14-05_TC223_6YO2L_CPD_NCAP3_6YO_2L_CPD.MF4.xz</v>
      </c>
      <c r="N947" s="59" t="str">
        <f t="shared" si="29"/>
        <v>_NCAP3_6YO_2L_CPD.MF4.xz</v>
      </c>
      <c r="O947" s="129" t="s">
        <v>102</v>
      </c>
      <c r="P947" s="129"/>
    </row>
    <row r="948" spans="1:21">
      <c r="A948" s="77">
        <v>223</v>
      </c>
      <c r="B948" t="s">
        <v>2304</v>
      </c>
      <c r="C948" s="85" t="s">
        <v>253</v>
      </c>
      <c r="D948" s="97" t="e">
        <f>_xlfn.XLOOKUP(A948,[1]CPD_SOP_new!$A:$A,[1]CPD_SOP_new!#REF!,"not found",0 )</f>
        <v>#REF!</v>
      </c>
      <c r="E948" s="97" t="str">
        <f>_xlfn.XLOOKUP(A948,[1]CPD_SOP_new!$A:$A,[1]CPD_SOP_new!$K:$K,"not found",0 )</f>
        <v>2L</v>
      </c>
      <c r="F948" t="s">
        <v>28</v>
      </c>
      <c r="G948" t="s">
        <v>28</v>
      </c>
      <c r="H948" t="s">
        <v>28</v>
      </c>
      <c r="I948" t="s">
        <v>28</v>
      </c>
      <c r="J948" t="s">
        <v>124</v>
      </c>
      <c r="K948" t="s">
        <v>1415</v>
      </c>
      <c r="L948" t="s">
        <v>2841</v>
      </c>
      <c r="M948" s="100" t="str">
        <f t="shared" si="28"/>
        <v>CSR_XCP_Signals_Recorder_2025-12-15_14-15-37_TC223_6YO2L_CPD_NCAP3_6YO_2L_CPD.MF4.xz</v>
      </c>
      <c r="N948" s="59" t="str">
        <f t="shared" si="29"/>
        <v>_NCAP3_6YO_2L_CPD.MF4.xz</v>
      </c>
      <c r="O948" s="129" t="s">
        <v>102</v>
      </c>
      <c r="P948" s="129"/>
    </row>
    <row r="949" spans="1:21">
      <c r="A949" s="77">
        <v>225</v>
      </c>
      <c r="B949" t="s">
        <v>2304</v>
      </c>
      <c r="C949" s="85" t="s">
        <v>253</v>
      </c>
      <c r="D949" s="97" t="e">
        <f>_xlfn.XLOOKUP(A949,[1]CPD_SOP_new!$A:$A,[1]CPD_SOP_new!#REF!,"not found",0 )</f>
        <v>#REF!</v>
      </c>
      <c r="E949" s="97" t="str">
        <f>_xlfn.XLOOKUP(A949,[1]CPD_SOP_new!$A:$A,[1]CPD_SOP_new!$K:$K,"not found",0 )</f>
        <v>3R</v>
      </c>
      <c r="F949" t="s">
        <v>28</v>
      </c>
      <c r="G949" t="s">
        <v>28</v>
      </c>
      <c r="H949" t="s">
        <v>28</v>
      </c>
      <c r="I949" t="s">
        <v>28</v>
      </c>
      <c r="J949" t="s">
        <v>124</v>
      </c>
      <c r="K949" t="s">
        <v>1416</v>
      </c>
      <c r="L949" t="s">
        <v>2842</v>
      </c>
      <c r="M949" s="100" t="str">
        <f t="shared" si="28"/>
        <v>CSR_XCP_Signals_Recorder_2025-12-15_16-19-27_TC225_3R_CPD_NCAP3_6YO_3R_CPD.MF4.xz</v>
      </c>
      <c r="N949" s="59" t="str">
        <f t="shared" si="29"/>
        <v>_NCAP3_6YO_3R_CPD.MF4.xz</v>
      </c>
      <c r="O949" s="129" t="s">
        <v>102</v>
      </c>
      <c r="P949" s="129"/>
    </row>
    <row r="950" spans="1:21">
      <c r="A950" s="77">
        <v>225</v>
      </c>
      <c r="B950" t="s">
        <v>2304</v>
      </c>
      <c r="C950" s="85" t="s">
        <v>253</v>
      </c>
      <c r="D950" s="97" t="e">
        <f>_xlfn.XLOOKUP(A950,[1]CPD_SOP_new!$A:$A,[1]CPD_SOP_new!#REF!,"not found",0 )</f>
        <v>#REF!</v>
      </c>
      <c r="E950" s="97" t="str">
        <f>_xlfn.XLOOKUP(A950,[1]CPD_SOP_new!$A:$A,[1]CPD_SOP_new!$K:$K,"not found",0 )</f>
        <v>3R</v>
      </c>
      <c r="F950" t="s">
        <v>28</v>
      </c>
      <c r="G950" t="s">
        <v>28</v>
      </c>
      <c r="H950" t="s">
        <v>28</v>
      </c>
      <c r="I950" t="s">
        <v>28</v>
      </c>
      <c r="J950" t="s">
        <v>124</v>
      </c>
      <c r="K950" t="s">
        <v>1418</v>
      </c>
      <c r="L950" t="s">
        <v>2843</v>
      </c>
      <c r="M950" s="100" t="str">
        <f t="shared" si="28"/>
        <v>CSR_XCP_Signals_Recorder_2025-12-15_16-21-04_TC225_3R_CPD_NCAP3_6YO_3R_CPD.MF4.xz</v>
      </c>
      <c r="N950" s="59" t="str">
        <f t="shared" si="29"/>
        <v>_NCAP3_6YO_3R_CPD.MF4.xz</v>
      </c>
      <c r="O950" s="129" t="s">
        <v>102</v>
      </c>
      <c r="P950" s="129"/>
    </row>
    <row r="951" spans="1:21">
      <c r="A951" s="77">
        <v>225</v>
      </c>
      <c r="B951" t="s">
        <v>2304</v>
      </c>
      <c r="C951" s="85" t="s">
        <v>253</v>
      </c>
      <c r="D951" s="97" t="e">
        <f>_xlfn.XLOOKUP(A951,[1]CPD_SOP_new!$A:$A,[1]CPD_SOP_new!#REF!,"not found",0 )</f>
        <v>#REF!</v>
      </c>
      <c r="E951" s="97" t="str">
        <f>_xlfn.XLOOKUP(A951,[1]CPD_SOP_new!$A:$A,[1]CPD_SOP_new!$K:$K,"not found",0 )</f>
        <v>3R</v>
      </c>
      <c r="F951" t="s">
        <v>28</v>
      </c>
      <c r="G951" t="s">
        <v>28</v>
      </c>
      <c r="H951" t="s">
        <v>28</v>
      </c>
      <c r="I951" t="s">
        <v>28</v>
      </c>
      <c r="J951" t="s">
        <v>124</v>
      </c>
      <c r="K951" t="s">
        <v>1419</v>
      </c>
      <c r="L951" t="s">
        <v>2844</v>
      </c>
      <c r="M951" s="100" t="str">
        <f t="shared" si="28"/>
        <v>CSR_XCP_Signals_Recorder_2025-12-15_16-22-42_TC225_3R_CPD_NCAP3_6YO_3R_CPD.MF4.xz</v>
      </c>
      <c r="N951" s="59" t="str">
        <f t="shared" si="29"/>
        <v>_NCAP3_6YO_3R_CPD.MF4.xz</v>
      </c>
      <c r="O951" s="129" t="s">
        <v>102</v>
      </c>
      <c r="P951" s="129"/>
    </row>
    <row r="952" spans="1:21">
      <c r="A952" s="77">
        <v>225</v>
      </c>
      <c r="B952" t="s">
        <v>2304</v>
      </c>
      <c r="C952" s="85" t="s">
        <v>253</v>
      </c>
      <c r="D952" s="97" t="e">
        <f>_xlfn.XLOOKUP(A952,[1]CPD_SOP_new!$A:$A,[1]CPD_SOP_new!#REF!,"not found",0 )</f>
        <v>#REF!</v>
      </c>
      <c r="E952" s="97" t="str">
        <f>_xlfn.XLOOKUP(A952,[1]CPD_SOP_new!$A:$A,[1]CPD_SOP_new!$K:$K,"not found",0 )</f>
        <v>3R</v>
      </c>
      <c r="F952" t="s">
        <v>28</v>
      </c>
      <c r="G952" t="s">
        <v>28</v>
      </c>
      <c r="H952" t="s">
        <v>28</v>
      </c>
      <c r="I952" t="s">
        <v>28</v>
      </c>
      <c r="J952" t="s">
        <v>124</v>
      </c>
      <c r="K952" t="s">
        <v>1420</v>
      </c>
      <c r="L952" t="s">
        <v>2845</v>
      </c>
      <c r="M952" s="100" t="str">
        <f t="shared" si="28"/>
        <v>CSR_XCP_Signals_Recorder_2025-12-15_16-24-17_TC225_3R_CPD_NCAP3_6YO_3R_CPD.MF4.xz</v>
      </c>
      <c r="N952" s="59" t="str">
        <f t="shared" si="29"/>
        <v>_NCAP3_6YO_3R_CPD.MF4.xz</v>
      </c>
      <c r="O952" s="129" t="s">
        <v>102</v>
      </c>
      <c r="P952" s="129"/>
    </row>
    <row r="953" spans="1:21">
      <c r="A953" s="77">
        <v>225</v>
      </c>
      <c r="B953" t="s">
        <v>2304</v>
      </c>
      <c r="C953" s="85" t="s">
        <v>253</v>
      </c>
      <c r="D953" s="97" t="e">
        <f>_xlfn.XLOOKUP(A953,[1]CPD_SOP_new!$A:$A,[1]CPD_SOP_new!#REF!,"not found",0 )</f>
        <v>#REF!</v>
      </c>
      <c r="E953" s="97" t="str">
        <f>_xlfn.XLOOKUP(A953,[1]CPD_SOP_new!$A:$A,[1]CPD_SOP_new!$K:$K,"not found",0 )</f>
        <v>3R</v>
      </c>
      <c r="F953" t="s">
        <v>28</v>
      </c>
      <c r="G953" t="s">
        <v>28</v>
      </c>
      <c r="H953" t="s">
        <v>28</v>
      </c>
      <c r="I953" t="s">
        <v>28</v>
      </c>
      <c r="J953" t="s">
        <v>124</v>
      </c>
      <c r="K953" t="s">
        <v>1421</v>
      </c>
      <c r="L953" t="s">
        <v>2846</v>
      </c>
      <c r="M953" s="100" t="str">
        <f t="shared" si="28"/>
        <v>CSR_XCP_Signals_Recorder_2025-12-15_16-25-53_TC225_3R_CPD_NCAP3_6YO_3R_CPD.MF4.xz</v>
      </c>
      <c r="N953" s="59" t="str">
        <f t="shared" si="29"/>
        <v>_NCAP3_6YO_3R_CPD.MF4.xz</v>
      </c>
      <c r="O953" s="129" t="s">
        <v>102</v>
      </c>
      <c r="P953" s="129"/>
    </row>
    <row r="954" spans="1:21">
      <c r="A954" s="77">
        <v>226</v>
      </c>
      <c r="B954" t="s">
        <v>2304</v>
      </c>
      <c r="C954" s="85" t="s">
        <v>66</v>
      </c>
      <c r="D954" s="97" t="e">
        <f>_xlfn.XLOOKUP(A954,[1]CPD_SOP_new!$A:$A,[1]CPD_SOP_new!#REF!,"not found",0 )</f>
        <v>#REF!</v>
      </c>
      <c r="E954" s="97" t="s">
        <v>26</v>
      </c>
      <c r="F954" t="s">
        <v>28</v>
      </c>
      <c r="G954" t="s">
        <v>28</v>
      </c>
      <c r="H954" t="s">
        <v>28</v>
      </c>
      <c r="I954" t="s">
        <v>28</v>
      </c>
      <c r="J954" t="s">
        <v>124</v>
      </c>
      <c r="K954" t="s">
        <v>1422</v>
      </c>
      <c r="L954" t="s">
        <v>2847</v>
      </c>
      <c r="M954" s="100" t="str">
        <f t="shared" si="28"/>
        <v>CSR_XCP_Signals_Recorder_2026-01-30_10-51-53_TC226_NCAP3_3YO_1R_CPD.MF4.xz</v>
      </c>
      <c r="N954" s="59" t="str">
        <f t="shared" si="29"/>
        <v>_NCAP3_3YO_1R_CPD.MF4.xz</v>
      </c>
      <c r="O954" t="s">
        <v>391</v>
      </c>
      <c r="Q954" t="s">
        <v>124</v>
      </c>
      <c r="R954" t="s">
        <v>29</v>
      </c>
      <c r="S954">
        <v>1</v>
      </c>
      <c r="T954">
        <v>0</v>
      </c>
      <c r="U954">
        <v>0</v>
      </c>
    </row>
    <row r="955" spans="1:21">
      <c r="A955" s="77">
        <v>226</v>
      </c>
      <c r="B955" t="s">
        <v>2304</v>
      </c>
      <c r="C955" s="85" t="s">
        <v>66</v>
      </c>
      <c r="D955" s="97" t="e">
        <f>_xlfn.XLOOKUP(A955,[1]CPD_SOP_new!$A:$A,[1]CPD_SOP_new!#REF!,"not found",0 )</f>
        <v>#REF!</v>
      </c>
      <c r="E955" s="97" t="s">
        <v>26</v>
      </c>
      <c r="F955" t="s">
        <v>28</v>
      </c>
      <c r="G955" t="s">
        <v>28</v>
      </c>
      <c r="H955" t="s">
        <v>28</v>
      </c>
      <c r="I955" t="s">
        <v>28</v>
      </c>
      <c r="J955" t="s">
        <v>124</v>
      </c>
      <c r="K955" t="s">
        <v>1424</v>
      </c>
      <c r="L955" t="s">
        <v>2848</v>
      </c>
      <c r="M955" s="100" t="str">
        <f t="shared" si="28"/>
        <v>CSR_XCP_Signals_Recorder_2026-01-30_10-54-26_TC226_NCAP3_3YO_1R_CPD.MF4.xz</v>
      </c>
      <c r="N955" s="59" t="str">
        <f t="shared" si="29"/>
        <v>_NCAP3_3YO_1R_CPD.MF4.xz</v>
      </c>
      <c r="O955" t="s">
        <v>391</v>
      </c>
      <c r="Q955" t="s">
        <v>124</v>
      </c>
      <c r="R955" t="s">
        <v>29</v>
      </c>
      <c r="S955">
        <v>1</v>
      </c>
      <c r="T955">
        <v>0</v>
      </c>
      <c r="U955">
        <v>0</v>
      </c>
    </row>
    <row r="956" spans="1:21">
      <c r="A956" s="77">
        <v>226</v>
      </c>
      <c r="B956" t="s">
        <v>2304</v>
      </c>
      <c r="C956" s="85" t="s">
        <v>66</v>
      </c>
      <c r="D956" s="97" t="e">
        <f>_xlfn.XLOOKUP(A956,[1]CPD_SOP_new!$A:$A,[1]CPD_SOP_new!#REF!,"not found",0 )</f>
        <v>#REF!</v>
      </c>
      <c r="E956" s="97" t="s">
        <v>26</v>
      </c>
      <c r="F956" t="s">
        <v>28</v>
      </c>
      <c r="G956" t="s">
        <v>28</v>
      </c>
      <c r="H956" t="s">
        <v>28</v>
      </c>
      <c r="I956" t="s">
        <v>28</v>
      </c>
      <c r="J956" t="s">
        <v>124</v>
      </c>
      <c r="K956" t="s">
        <v>1425</v>
      </c>
      <c r="L956" t="s">
        <v>2849</v>
      </c>
      <c r="M956" s="100" t="str">
        <f t="shared" si="28"/>
        <v>CSR_XCP_Signals_Recorder_2026-01-30_10-57-00_TC226_NCAP3_3YO_1R_CPD.MF4.xz</v>
      </c>
      <c r="N956" s="59" t="str">
        <f t="shared" si="29"/>
        <v>_NCAP3_3YO_1R_CPD.MF4.xz</v>
      </c>
      <c r="O956" t="s">
        <v>391</v>
      </c>
      <c r="Q956" t="s">
        <v>124</v>
      </c>
      <c r="R956" t="s">
        <v>29</v>
      </c>
      <c r="S956">
        <v>1</v>
      </c>
      <c r="T956">
        <v>0</v>
      </c>
      <c r="U956">
        <v>0</v>
      </c>
    </row>
    <row r="957" spans="1:21" s="130" customFormat="1">
      <c r="A957" s="78">
        <v>226</v>
      </c>
      <c r="B957" s="130" t="s">
        <v>105</v>
      </c>
      <c r="C957" s="85" t="s">
        <v>66</v>
      </c>
      <c r="D957" s="97" t="e">
        <f>_xlfn.XLOOKUP(A957,[1]CPD_SOP_new!$A:$A,[1]CPD_SOP_new!#REF!,"not found",0 )</f>
        <v>#REF!</v>
      </c>
      <c r="E957" s="97" t="s">
        <v>26</v>
      </c>
      <c r="F957" s="130" t="s">
        <v>28</v>
      </c>
      <c r="G957" s="130" t="s">
        <v>28</v>
      </c>
      <c r="H957" s="130" t="s">
        <v>28</v>
      </c>
      <c r="I957" s="130" t="s">
        <v>27</v>
      </c>
      <c r="J957" s="130" t="s">
        <v>105</v>
      </c>
      <c r="K957" s="130" t="s">
        <v>1426</v>
      </c>
      <c r="L957" s="130" t="s">
        <v>723</v>
      </c>
      <c r="M957" s="100" t="str">
        <f t="shared" si="28"/>
        <v>Wrong measurement</v>
      </c>
      <c r="N957" s="59" t="str">
        <f t="shared" si="29"/>
        <v>Wrong measurement</v>
      </c>
      <c r="O957" s="130" t="s">
        <v>391</v>
      </c>
      <c r="Q957" s="130" t="s">
        <v>105</v>
      </c>
      <c r="R957" s="130" t="s">
        <v>105</v>
      </c>
      <c r="S957" s="130" t="s">
        <v>105</v>
      </c>
      <c r="T957" s="130" t="s">
        <v>105</v>
      </c>
      <c r="U957" s="130" t="s">
        <v>105</v>
      </c>
    </row>
    <row r="958" spans="1:21">
      <c r="A958" s="77">
        <v>226</v>
      </c>
      <c r="B958" t="s">
        <v>2304</v>
      </c>
      <c r="C958" s="85" t="s">
        <v>66</v>
      </c>
      <c r="D958" s="97" t="e">
        <f>_xlfn.XLOOKUP(A958,[1]CPD_SOP_new!$A:$A,[1]CPD_SOP_new!#REF!,"not found",0 )</f>
        <v>#REF!</v>
      </c>
      <c r="E958" s="97" t="s">
        <v>26</v>
      </c>
      <c r="F958" t="s">
        <v>28</v>
      </c>
      <c r="G958" t="s">
        <v>28</v>
      </c>
      <c r="H958" t="s">
        <v>28</v>
      </c>
      <c r="I958" t="s">
        <v>28</v>
      </c>
      <c r="J958" t="s">
        <v>124</v>
      </c>
      <c r="K958" t="s">
        <v>1427</v>
      </c>
      <c r="L958" t="s">
        <v>2850</v>
      </c>
      <c r="M958" s="100" t="str">
        <f t="shared" si="28"/>
        <v>CSR_XCP_Signals_Recorder_2026-01-30_11-01-43_TC226_NCAP3_3YO_1R_CPD.MF4.xz</v>
      </c>
      <c r="N958" s="59" t="str">
        <f t="shared" si="29"/>
        <v>_NCAP3_3YO_1R_CPD.MF4.xz</v>
      </c>
      <c r="O958" t="s">
        <v>391</v>
      </c>
      <c r="Q958" t="s">
        <v>124</v>
      </c>
      <c r="R958" t="s">
        <v>29</v>
      </c>
      <c r="S958">
        <v>1</v>
      </c>
      <c r="T958">
        <v>0</v>
      </c>
      <c r="U958">
        <v>0</v>
      </c>
    </row>
    <row r="959" spans="1:21">
      <c r="A959" s="77">
        <v>229</v>
      </c>
      <c r="B959" t="s">
        <v>2304</v>
      </c>
      <c r="C959" s="85" t="s">
        <v>253</v>
      </c>
      <c r="D959" s="97" t="e">
        <f>_xlfn.XLOOKUP(A959,[1]CPD_SOP_new!$A:$A,[1]CPD_SOP_new!#REF!,"not found",0 )</f>
        <v>#REF!</v>
      </c>
      <c r="E959" s="97" t="s">
        <v>112</v>
      </c>
      <c r="F959" t="s">
        <v>28</v>
      </c>
      <c r="G959" t="s">
        <v>28</v>
      </c>
      <c r="H959" t="s">
        <v>28</v>
      </c>
      <c r="I959" t="s">
        <v>28</v>
      </c>
      <c r="J959" t="s">
        <v>124</v>
      </c>
      <c r="K959" t="s">
        <v>1428</v>
      </c>
      <c r="L959" t="s">
        <v>2851</v>
      </c>
      <c r="M959" s="100" t="str">
        <f t="shared" si="28"/>
        <v>CSR_XCP_Signals_Recorder_2025-12-15_11-43-57_TC229_6YO1L_CPD_NCAP3_6YO_1L_CPD.MF4.xz</v>
      </c>
      <c r="N959" s="59" t="str">
        <f t="shared" si="29"/>
        <v>_NCAP3_6YO_1L_CPD.MF4.xz</v>
      </c>
      <c r="O959" s="129" t="s">
        <v>102</v>
      </c>
      <c r="P959" s="129"/>
    </row>
    <row r="960" spans="1:21">
      <c r="A960" s="77">
        <v>229</v>
      </c>
      <c r="B960" t="s">
        <v>2304</v>
      </c>
      <c r="C960" s="85" t="s">
        <v>253</v>
      </c>
      <c r="D960" s="97" t="e">
        <f>_xlfn.XLOOKUP(A960,[1]CPD_SOP_new!$A:$A,[1]CPD_SOP_new!#REF!,"not found",0 )</f>
        <v>#REF!</v>
      </c>
      <c r="E960" s="97" t="s">
        <v>112</v>
      </c>
      <c r="F960" t="s">
        <v>28</v>
      </c>
      <c r="G960" t="s">
        <v>28</v>
      </c>
      <c r="H960" t="s">
        <v>28</v>
      </c>
      <c r="I960" t="s">
        <v>28</v>
      </c>
      <c r="J960" t="s">
        <v>124</v>
      </c>
      <c r="K960" t="s">
        <v>1430</v>
      </c>
      <c r="L960" t="s">
        <v>2852</v>
      </c>
      <c r="M960" s="100" t="str">
        <f t="shared" si="28"/>
        <v>CSR_XCP_Signals_Recorder_2025-12-15_11-45-24_TC229_6YO1L_CPD_NCAP3_6YO_1L_CPD.MF4.xz</v>
      </c>
      <c r="N960" s="59" t="str">
        <f t="shared" si="29"/>
        <v>_NCAP3_6YO_1L_CPD.MF4.xz</v>
      </c>
      <c r="O960" s="129" t="s">
        <v>102</v>
      </c>
      <c r="P960" s="129"/>
    </row>
    <row r="961" spans="1:21">
      <c r="A961" s="77">
        <v>229</v>
      </c>
      <c r="B961" t="s">
        <v>2304</v>
      </c>
      <c r="C961" s="85" t="s">
        <v>253</v>
      </c>
      <c r="D961" s="97" t="e">
        <f>_xlfn.XLOOKUP(A961,[1]CPD_SOP_new!$A:$A,[1]CPD_SOP_new!#REF!,"not found",0 )</f>
        <v>#REF!</v>
      </c>
      <c r="E961" s="97" t="s">
        <v>112</v>
      </c>
      <c r="F961" t="s">
        <v>28</v>
      </c>
      <c r="G961" t="s">
        <v>28</v>
      </c>
      <c r="H961" t="s">
        <v>28</v>
      </c>
      <c r="I961" t="s">
        <v>28</v>
      </c>
      <c r="J961" t="s">
        <v>124</v>
      </c>
      <c r="K961" t="s">
        <v>1431</v>
      </c>
      <c r="L961" t="s">
        <v>2853</v>
      </c>
      <c r="M961" s="100" t="str">
        <f t="shared" si="28"/>
        <v>CSR_XCP_Signals_Recorder_2025-12-15_11-46-57_TC229_6YO1L_CPD_NCAP3_6YO_1L_CPD.MF4.xz</v>
      </c>
      <c r="N961" s="59" t="str">
        <f t="shared" si="29"/>
        <v>_NCAP3_6YO_1L_CPD.MF4.xz</v>
      </c>
      <c r="O961" s="129" t="s">
        <v>102</v>
      </c>
      <c r="P961" s="129"/>
    </row>
    <row r="962" spans="1:21">
      <c r="A962" s="77">
        <v>229</v>
      </c>
      <c r="B962" t="s">
        <v>2304</v>
      </c>
      <c r="C962" s="85" t="s">
        <v>253</v>
      </c>
      <c r="D962" s="97" t="e">
        <f>_xlfn.XLOOKUP(A962,[1]CPD_SOP_new!$A:$A,[1]CPD_SOP_new!#REF!,"not found",0 )</f>
        <v>#REF!</v>
      </c>
      <c r="E962" s="97" t="s">
        <v>112</v>
      </c>
      <c r="F962" t="s">
        <v>28</v>
      </c>
      <c r="G962" t="s">
        <v>28</v>
      </c>
      <c r="H962" t="s">
        <v>28</v>
      </c>
      <c r="I962" t="s">
        <v>28</v>
      </c>
      <c r="J962" t="s">
        <v>124</v>
      </c>
      <c r="K962" t="s">
        <v>1432</v>
      </c>
      <c r="L962" t="s">
        <v>2854</v>
      </c>
      <c r="M962" s="100" t="str">
        <f t="shared" ref="M962:M1025" si="30">IF(NOT(N962="Wrong measurement"),SUBSTITUTE(K962,".MF4.xz",N962),"Wrong measurement")</f>
        <v>CSR_XCP_Signals_Recorder_2025-12-15_11-48-34_TC229_6YO1L_CPD_NCAP3_6YO_1L_CPD.MF4.xz</v>
      </c>
      <c r="N962" s="59" t="str">
        <f t="shared" ref="N962:N1025" si="31">IF(I962="Y",("_"&amp;B962 &amp;"_"&amp; IF(C962="","",C962)&amp;"_"&amp;E962&amp;"_CPD.MF4.xz"),"Wrong measurement")</f>
        <v>_NCAP3_6YO_1L_CPD.MF4.xz</v>
      </c>
      <c r="O962" s="129" t="s">
        <v>102</v>
      </c>
      <c r="P962" s="129"/>
    </row>
    <row r="963" spans="1:21">
      <c r="A963" s="77">
        <v>229</v>
      </c>
      <c r="B963" t="s">
        <v>2304</v>
      </c>
      <c r="C963" s="85" t="s">
        <v>253</v>
      </c>
      <c r="D963" s="97" t="e">
        <f>_xlfn.XLOOKUP(A963,[1]CPD_SOP_new!$A:$A,[1]CPD_SOP_new!#REF!,"not found",0 )</f>
        <v>#REF!</v>
      </c>
      <c r="E963" s="97" t="s">
        <v>112</v>
      </c>
      <c r="F963" t="s">
        <v>28</v>
      </c>
      <c r="G963" t="s">
        <v>28</v>
      </c>
      <c r="H963" t="s">
        <v>28</v>
      </c>
      <c r="I963" t="s">
        <v>28</v>
      </c>
      <c r="J963" t="s">
        <v>124</v>
      </c>
      <c r="K963" t="s">
        <v>1433</v>
      </c>
      <c r="L963" t="s">
        <v>2855</v>
      </c>
      <c r="M963" s="100" t="str">
        <f t="shared" si="30"/>
        <v>CSR_XCP_Signals_Recorder_2025-12-15_11-50-08_TC229_6YO1L_CPD_NCAP3_6YO_1L_CPD.MF4.xz</v>
      </c>
      <c r="N963" s="59" t="str">
        <f t="shared" si="31"/>
        <v>_NCAP3_6YO_1L_CPD.MF4.xz</v>
      </c>
      <c r="O963" s="129" t="s">
        <v>102</v>
      </c>
      <c r="P963" s="129"/>
    </row>
    <row r="964" spans="1:21">
      <c r="A964" s="77">
        <v>229</v>
      </c>
      <c r="B964" t="s">
        <v>2304</v>
      </c>
      <c r="C964" s="85" t="s">
        <v>253</v>
      </c>
      <c r="D964" s="97" t="e">
        <f>_xlfn.XLOOKUP(A964,[1]CPD_SOP_new!$A:$A,[1]CPD_SOP_new!#REF!,"not found",0 )</f>
        <v>#REF!</v>
      </c>
      <c r="E964" s="97" t="s">
        <v>112</v>
      </c>
      <c r="F964" t="s">
        <v>28</v>
      </c>
      <c r="G964" t="s">
        <v>28</v>
      </c>
      <c r="H964" t="s">
        <v>28</v>
      </c>
      <c r="I964" t="s">
        <v>28</v>
      </c>
      <c r="J964" t="s">
        <v>124</v>
      </c>
      <c r="K964" t="s">
        <v>1434</v>
      </c>
      <c r="L964" t="s">
        <v>2856</v>
      </c>
      <c r="M964" s="100" t="str">
        <f t="shared" si="30"/>
        <v>CSR_XCP_Signals_Recorder_2026-01-30_14-36-58_TC229_NCAP3_6YO_1L_CPD.MF4.xz</v>
      </c>
      <c r="N964" s="59" t="str">
        <f t="shared" si="31"/>
        <v>_NCAP3_6YO_1L_CPD.MF4.xz</v>
      </c>
      <c r="O964" t="s">
        <v>271</v>
      </c>
      <c r="Q964" t="s">
        <v>124</v>
      </c>
      <c r="R964" t="s">
        <v>29</v>
      </c>
      <c r="S964">
        <v>1</v>
      </c>
      <c r="T964">
        <v>0</v>
      </c>
      <c r="U964">
        <v>0</v>
      </c>
    </row>
    <row r="965" spans="1:21">
      <c r="A965" s="77">
        <v>229</v>
      </c>
      <c r="B965" t="s">
        <v>2304</v>
      </c>
      <c r="C965" s="85" t="s">
        <v>253</v>
      </c>
      <c r="D965" s="97" t="e">
        <f>_xlfn.XLOOKUP(A965,[1]CPD_SOP_new!$A:$A,[1]CPD_SOP_new!#REF!,"not found",0 )</f>
        <v>#REF!</v>
      </c>
      <c r="E965" s="97" t="s">
        <v>112</v>
      </c>
      <c r="F965" t="s">
        <v>28</v>
      </c>
      <c r="G965" t="s">
        <v>28</v>
      </c>
      <c r="H965" t="s">
        <v>28</v>
      </c>
      <c r="I965" t="s">
        <v>28</v>
      </c>
      <c r="J965" t="s">
        <v>124</v>
      </c>
      <c r="K965" t="s">
        <v>1435</v>
      </c>
      <c r="L965" t="s">
        <v>2857</v>
      </c>
      <c r="M965" s="100" t="str">
        <f t="shared" si="30"/>
        <v>CSR_XCP_Signals_Recorder_2026-01-30_14-38-50_TC229_NCAP3_6YO_1L_CPD.MF4.xz</v>
      </c>
      <c r="N965" s="59" t="str">
        <f t="shared" si="31"/>
        <v>_NCAP3_6YO_1L_CPD.MF4.xz</v>
      </c>
      <c r="O965" t="s">
        <v>271</v>
      </c>
      <c r="Q965" t="s">
        <v>124</v>
      </c>
      <c r="R965" t="s">
        <v>29</v>
      </c>
      <c r="S965">
        <v>1</v>
      </c>
      <c r="T965">
        <v>0</v>
      </c>
      <c r="U965">
        <v>0</v>
      </c>
    </row>
    <row r="966" spans="1:21">
      <c r="A966" s="77">
        <v>229</v>
      </c>
      <c r="B966" t="s">
        <v>2304</v>
      </c>
      <c r="C966" s="85" t="s">
        <v>253</v>
      </c>
      <c r="D966" s="97" t="e">
        <f>_xlfn.XLOOKUP(A966,[1]CPD_SOP_new!$A:$A,[1]CPD_SOP_new!#REF!,"not found",0 )</f>
        <v>#REF!</v>
      </c>
      <c r="E966" s="97" t="s">
        <v>112</v>
      </c>
      <c r="F966" t="s">
        <v>28</v>
      </c>
      <c r="G966" t="s">
        <v>28</v>
      </c>
      <c r="H966" t="s">
        <v>28</v>
      </c>
      <c r="I966" t="s">
        <v>28</v>
      </c>
      <c r="J966" t="s">
        <v>124</v>
      </c>
      <c r="K966" t="s">
        <v>1436</v>
      </c>
      <c r="L966" t="s">
        <v>2858</v>
      </c>
      <c r="M966" s="100" t="str">
        <f t="shared" si="30"/>
        <v>CSR_XCP_Signals_Recorder_2026-01-30_14-41-26_TC229_NCAP3_6YO_1L_CPD.MF4.xz</v>
      </c>
      <c r="N966" s="59" t="str">
        <f t="shared" si="31"/>
        <v>_NCAP3_6YO_1L_CPD.MF4.xz</v>
      </c>
      <c r="O966" t="s">
        <v>271</v>
      </c>
      <c r="Q966" t="s">
        <v>124</v>
      </c>
      <c r="R966" t="s">
        <v>29</v>
      </c>
      <c r="S966">
        <v>1</v>
      </c>
      <c r="T966">
        <v>0</v>
      </c>
      <c r="U966">
        <v>0</v>
      </c>
    </row>
    <row r="967" spans="1:21">
      <c r="A967" s="77">
        <v>230</v>
      </c>
      <c r="B967" t="s">
        <v>2304</v>
      </c>
      <c r="C967" s="85" t="s">
        <v>253</v>
      </c>
      <c r="D967" s="97" t="e">
        <f>_xlfn.XLOOKUP(A967,[1]CPD_SOP_new!$A:$A,[1]CPD_SOP_new!#REF!,"not found",0 )</f>
        <v>#REF!</v>
      </c>
      <c r="E967" s="97" t="str">
        <f>_xlfn.XLOOKUP(A967,[1]CPD_SOP_new!$A:$A,[1]CPD_SOP_new!$K:$K,"not found",0 )</f>
        <v>2R</v>
      </c>
      <c r="F967" t="s">
        <v>28</v>
      </c>
      <c r="G967" t="s">
        <v>28</v>
      </c>
      <c r="H967" t="s">
        <v>28</v>
      </c>
      <c r="I967" t="s">
        <v>28</v>
      </c>
      <c r="J967" t="s">
        <v>124</v>
      </c>
      <c r="K967" t="s">
        <v>1437</v>
      </c>
      <c r="L967" t="s">
        <v>2859</v>
      </c>
      <c r="M967" s="100" t="str">
        <f t="shared" si="30"/>
        <v>CSR_XCP_Signals_Recorder_2025-12-11_10-52-08_TC230_6YO_2R_CPD_NCAP3_6YO_2R_CPD.MF4.xz</v>
      </c>
      <c r="N967" s="59" t="str">
        <f t="shared" si="31"/>
        <v>_NCAP3_6YO_2R_CPD.MF4.xz</v>
      </c>
      <c r="O967" s="129" t="s">
        <v>217</v>
      </c>
      <c r="P967" s="129"/>
    </row>
    <row r="968" spans="1:21">
      <c r="A968" s="77">
        <v>230</v>
      </c>
      <c r="B968" t="s">
        <v>2304</v>
      </c>
      <c r="C968" s="85" t="s">
        <v>253</v>
      </c>
      <c r="D968" s="97" t="e">
        <f>_xlfn.XLOOKUP(A968,[1]CPD_SOP_new!$A:$A,[1]CPD_SOP_new!#REF!,"not found",0 )</f>
        <v>#REF!</v>
      </c>
      <c r="E968" s="97" t="str">
        <f>_xlfn.XLOOKUP(A968,[1]CPD_SOP_new!$A:$A,[1]CPD_SOP_new!$K:$K,"not found",0 )</f>
        <v>2R</v>
      </c>
      <c r="F968" t="s">
        <v>28</v>
      </c>
      <c r="G968" t="s">
        <v>28</v>
      </c>
      <c r="H968" t="s">
        <v>28</v>
      </c>
      <c r="I968" t="s">
        <v>28</v>
      </c>
      <c r="J968" t="s">
        <v>124</v>
      </c>
      <c r="K968" t="s">
        <v>1438</v>
      </c>
      <c r="L968" t="s">
        <v>2860</v>
      </c>
      <c r="M968" s="100" t="str">
        <f t="shared" si="30"/>
        <v>CSR_XCP_Signals_Recorder_2025-12-11_10-54-24_TC230_6YO_2R_CPD_NCAP3_6YO_2R_CPD.MF4.xz</v>
      </c>
      <c r="N968" s="59" t="str">
        <f t="shared" si="31"/>
        <v>_NCAP3_6YO_2R_CPD.MF4.xz</v>
      </c>
      <c r="O968" s="129" t="s">
        <v>217</v>
      </c>
      <c r="P968" s="129"/>
    </row>
    <row r="969" spans="1:21">
      <c r="A969" s="77">
        <v>230</v>
      </c>
      <c r="B969" t="s">
        <v>2304</v>
      </c>
      <c r="C969" s="85" t="s">
        <v>253</v>
      </c>
      <c r="D969" s="97" t="e">
        <f>_xlfn.XLOOKUP(A969,[1]CPD_SOP_new!$A:$A,[1]CPD_SOP_new!#REF!,"not found",0 )</f>
        <v>#REF!</v>
      </c>
      <c r="E969" s="97" t="str">
        <f>_xlfn.XLOOKUP(A969,[1]CPD_SOP_new!$A:$A,[1]CPD_SOP_new!$K:$K,"not found",0 )</f>
        <v>2R</v>
      </c>
      <c r="F969" t="s">
        <v>28</v>
      </c>
      <c r="G969" t="s">
        <v>28</v>
      </c>
      <c r="H969" t="s">
        <v>28</v>
      </c>
      <c r="I969" t="s">
        <v>28</v>
      </c>
      <c r="J969" t="s">
        <v>124</v>
      </c>
      <c r="K969" t="s">
        <v>1439</v>
      </c>
      <c r="L969" t="s">
        <v>2861</v>
      </c>
      <c r="M969" s="100" t="str">
        <f t="shared" si="30"/>
        <v>CSR_XCP_Signals_Recorder_2025-12-11_10-56-40_TC230_6YO_2R_CPD_NCAP3_6YO_2R_CPD.MF4.xz</v>
      </c>
      <c r="N969" s="59" t="str">
        <f t="shared" si="31"/>
        <v>_NCAP3_6YO_2R_CPD.MF4.xz</v>
      </c>
      <c r="O969" s="129" t="s">
        <v>217</v>
      </c>
      <c r="P969" s="129"/>
    </row>
    <row r="970" spans="1:21">
      <c r="A970" s="77">
        <v>230</v>
      </c>
      <c r="B970" t="s">
        <v>2304</v>
      </c>
      <c r="C970" s="85" t="s">
        <v>253</v>
      </c>
      <c r="D970" s="97" t="e">
        <f>_xlfn.XLOOKUP(A970,[1]CPD_SOP_new!$A:$A,[1]CPD_SOP_new!#REF!,"not found",0 )</f>
        <v>#REF!</v>
      </c>
      <c r="E970" s="97" t="str">
        <f>_xlfn.XLOOKUP(A970,[1]CPD_SOP_new!$A:$A,[1]CPD_SOP_new!$K:$K,"not found",0 )</f>
        <v>2R</v>
      </c>
      <c r="F970" t="s">
        <v>28</v>
      </c>
      <c r="G970" t="s">
        <v>28</v>
      </c>
      <c r="H970" t="s">
        <v>28</v>
      </c>
      <c r="I970" t="s">
        <v>28</v>
      </c>
      <c r="J970" t="s">
        <v>124</v>
      </c>
      <c r="K970" t="s">
        <v>1440</v>
      </c>
      <c r="L970" t="s">
        <v>2862</v>
      </c>
      <c r="M970" s="100" t="str">
        <f t="shared" si="30"/>
        <v>CSR_XCP_Signals_Recorder_2025-12-11_10-58-30_TC230_6YO_2R_CPD_NCAP3_6YO_2R_CPD.MF4.xz</v>
      </c>
      <c r="N970" s="59" t="str">
        <f t="shared" si="31"/>
        <v>_NCAP3_6YO_2R_CPD.MF4.xz</v>
      </c>
      <c r="O970" s="129" t="s">
        <v>217</v>
      </c>
      <c r="P970" s="129"/>
    </row>
    <row r="971" spans="1:21">
      <c r="A971" s="77">
        <v>230</v>
      </c>
      <c r="B971" t="s">
        <v>2304</v>
      </c>
      <c r="C971" s="85" t="s">
        <v>253</v>
      </c>
      <c r="D971" s="97" t="e">
        <f>_xlfn.XLOOKUP(A971,[1]CPD_SOP_new!$A:$A,[1]CPD_SOP_new!#REF!,"not found",0 )</f>
        <v>#REF!</v>
      </c>
      <c r="E971" s="97" t="str">
        <f>_xlfn.XLOOKUP(A971,[1]CPD_SOP_new!$A:$A,[1]CPD_SOP_new!$K:$K,"not found",0 )</f>
        <v>2R</v>
      </c>
      <c r="F971" t="s">
        <v>28</v>
      </c>
      <c r="G971" t="s">
        <v>28</v>
      </c>
      <c r="H971" t="s">
        <v>28</v>
      </c>
      <c r="I971" t="s">
        <v>28</v>
      </c>
      <c r="J971" t="s">
        <v>124</v>
      </c>
      <c r="K971" t="s">
        <v>1441</v>
      </c>
      <c r="L971" t="s">
        <v>2863</v>
      </c>
      <c r="M971" s="100" t="str">
        <f t="shared" si="30"/>
        <v>CSR_XCP_Signals_Recorder_2025-12-11_11-00-28_TC230_6YO_2R_CPD_NCAP3_6YO_2R_CPD.MF4.xz</v>
      </c>
      <c r="N971" s="59" t="str">
        <f t="shared" si="31"/>
        <v>_NCAP3_6YO_2R_CPD.MF4.xz</v>
      </c>
      <c r="O971" s="129" t="s">
        <v>217</v>
      </c>
      <c r="P971" s="129"/>
    </row>
    <row r="972" spans="1:21">
      <c r="A972" s="77">
        <v>231</v>
      </c>
      <c r="B972" t="s">
        <v>2304</v>
      </c>
      <c r="C972" s="85" t="s">
        <v>253</v>
      </c>
      <c r="D972" s="97" t="e">
        <f>_xlfn.XLOOKUP(A972,[1]CPD_SOP_new!$A:$A,[1]CPD_SOP_new!#REF!,"not found",0 )</f>
        <v>#REF!</v>
      </c>
      <c r="E972" s="97" t="str">
        <f>_xlfn.XLOOKUP(A972,[1]CPD_SOP_new!$A:$A,[1]CPD_SOP_new!$K:$K,"not found",0 )</f>
        <v>2C</v>
      </c>
      <c r="F972" t="s">
        <v>28</v>
      </c>
      <c r="G972" t="s">
        <v>28</v>
      </c>
      <c r="H972" t="s">
        <v>28</v>
      </c>
      <c r="I972" t="s">
        <v>28</v>
      </c>
      <c r="J972" t="s">
        <v>124</v>
      </c>
      <c r="K972" t="s">
        <v>1442</v>
      </c>
      <c r="L972" t="s">
        <v>2864</v>
      </c>
      <c r="M972" s="100" t="str">
        <f t="shared" si="30"/>
        <v>CSR_XCP_Signals_Recorder_2025-12-15_16-08-47_TC231_6YO2M_CPD_NCAP3_6YO_2C_CPD.MF4.xzRadarFC_Master_standardized.json</v>
      </c>
      <c r="N972" s="59" t="str">
        <f t="shared" si="31"/>
        <v>_NCAP3_6YO_2C_CPD.MF4.xz</v>
      </c>
      <c r="O972" s="1" t="s">
        <v>102</v>
      </c>
      <c r="P972" s="1"/>
    </row>
    <row r="973" spans="1:21">
      <c r="A973" s="77">
        <v>231</v>
      </c>
      <c r="B973" t="s">
        <v>2304</v>
      </c>
      <c r="C973" s="85" t="s">
        <v>253</v>
      </c>
      <c r="D973" s="97" t="e">
        <f>_xlfn.XLOOKUP(A973,[1]CPD_SOP_new!$A:$A,[1]CPD_SOP_new!#REF!,"not found",0 )</f>
        <v>#REF!</v>
      </c>
      <c r="E973" s="97" t="str">
        <f>_xlfn.XLOOKUP(A973,[1]CPD_SOP_new!$A:$A,[1]CPD_SOP_new!$K:$K,"not found",0 )</f>
        <v>2C</v>
      </c>
      <c r="F973" t="s">
        <v>28</v>
      </c>
      <c r="G973" t="s">
        <v>28</v>
      </c>
      <c r="H973" t="s">
        <v>28</v>
      </c>
      <c r="I973" t="s">
        <v>28</v>
      </c>
      <c r="J973" t="s">
        <v>124</v>
      </c>
      <c r="K973" t="s">
        <v>1443</v>
      </c>
      <c r="L973" t="s">
        <v>2865</v>
      </c>
      <c r="M973" s="100" t="str">
        <f t="shared" si="30"/>
        <v>CSR_XCP_Signals_Recorder_2025-12-15_16-10-26_TC231_6YO2M_CPD_NCAP3_6YO_2C_CPD.MF4.xzRadarFC_Master_standardized.json</v>
      </c>
      <c r="N973" s="59" t="str">
        <f t="shared" si="31"/>
        <v>_NCAP3_6YO_2C_CPD.MF4.xz</v>
      </c>
      <c r="O973" s="129" t="s">
        <v>102</v>
      </c>
      <c r="P973" s="129"/>
    </row>
    <row r="974" spans="1:21">
      <c r="A974" s="77">
        <v>231</v>
      </c>
      <c r="B974" t="s">
        <v>2304</v>
      </c>
      <c r="C974" s="85" t="s">
        <v>253</v>
      </c>
      <c r="D974" s="97" t="e">
        <f>_xlfn.XLOOKUP(A974,[1]CPD_SOP_new!$A:$A,[1]CPD_SOP_new!#REF!,"not found",0 )</f>
        <v>#REF!</v>
      </c>
      <c r="E974" s="97" t="str">
        <f>_xlfn.XLOOKUP(A974,[1]CPD_SOP_new!$A:$A,[1]CPD_SOP_new!$K:$K,"not found",0 )</f>
        <v>2C</v>
      </c>
      <c r="F974" t="s">
        <v>28</v>
      </c>
      <c r="G974" t="s">
        <v>28</v>
      </c>
      <c r="H974" t="s">
        <v>28</v>
      </c>
      <c r="I974" t="s">
        <v>28</v>
      </c>
      <c r="J974" t="s">
        <v>124</v>
      </c>
      <c r="K974" t="s">
        <v>1444</v>
      </c>
      <c r="L974" t="s">
        <v>2866</v>
      </c>
      <c r="M974" s="100" t="str">
        <f t="shared" si="30"/>
        <v>CSR_XCP_Signals_Recorder_2025-12-15_16-11-59_TC231_6YO2M_CPD_NCAP3_6YO_2C_CPD.MF4.xzRadarFC_Master_standardized.json</v>
      </c>
      <c r="N974" s="59" t="str">
        <f t="shared" si="31"/>
        <v>_NCAP3_6YO_2C_CPD.MF4.xz</v>
      </c>
      <c r="O974" s="1" t="s">
        <v>102</v>
      </c>
      <c r="P974" s="1"/>
    </row>
    <row r="975" spans="1:21">
      <c r="A975" s="77">
        <v>231</v>
      </c>
      <c r="B975" t="s">
        <v>2304</v>
      </c>
      <c r="C975" s="85" t="s">
        <v>253</v>
      </c>
      <c r="D975" s="97" t="e">
        <f>_xlfn.XLOOKUP(A975,[1]CPD_SOP_new!$A:$A,[1]CPD_SOP_new!#REF!,"not found",0 )</f>
        <v>#REF!</v>
      </c>
      <c r="E975" s="97" t="str">
        <f>_xlfn.XLOOKUP(A975,[1]CPD_SOP_new!$A:$A,[1]CPD_SOP_new!$K:$K,"not found",0 )</f>
        <v>2C</v>
      </c>
      <c r="F975" t="s">
        <v>28</v>
      </c>
      <c r="G975" t="s">
        <v>28</v>
      </c>
      <c r="H975" t="s">
        <v>28</v>
      </c>
      <c r="I975" t="s">
        <v>28</v>
      </c>
      <c r="J975" t="s">
        <v>124</v>
      </c>
      <c r="K975" t="s">
        <v>1445</v>
      </c>
      <c r="L975" t="s">
        <v>2867</v>
      </c>
      <c r="M975" s="100" t="str">
        <f t="shared" si="30"/>
        <v>CSR_XCP_Signals_Recorder_2025-12-15_16-13-35_TC231_6YO2M_CPD_NCAP3_6YO_2C_CPD.MF4.xzRadarFC_Master_standardized.json</v>
      </c>
      <c r="N975" s="59" t="str">
        <f t="shared" si="31"/>
        <v>_NCAP3_6YO_2C_CPD.MF4.xz</v>
      </c>
      <c r="O975" s="1" t="s">
        <v>102</v>
      </c>
      <c r="P975" s="1"/>
    </row>
    <row r="976" spans="1:21">
      <c r="A976" s="77">
        <v>231</v>
      </c>
      <c r="B976" t="s">
        <v>2304</v>
      </c>
      <c r="C976" s="85" t="s">
        <v>253</v>
      </c>
      <c r="D976" s="97" t="e">
        <f>_xlfn.XLOOKUP(A976,[1]CPD_SOP_new!$A:$A,[1]CPD_SOP_new!#REF!,"not found",0 )</f>
        <v>#REF!</v>
      </c>
      <c r="E976" s="97" t="str">
        <f>_xlfn.XLOOKUP(A976,[1]CPD_SOP_new!$A:$A,[1]CPD_SOP_new!$K:$K,"not found",0 )</f>
        <v>2C</v>
      </c>
      <c r="F976" t="s">
        <v>28</v>
      </c>
      <c r="G976" t="s">
        <v>28</v>
      </c>
      <c r="H976" t="s">
        <v>28</v>
      </c>
      <c r="I976" t="s">
        <v>28</v>
      </c>
      <c r="J976" t="s">
        <v>124</v>
      </c>
      <c r="K976" t="s">
        <v>1446</v>
      </c>
      <c r="L976" t="s">
        <v>2868</v>
      </c>
      <c r="M976" s="100" t="str">
        <f t="shared" si="30"/>
        <v>CSR_XCP_Signals_Recorder_2025-12-15_16-15-06_TC231_6YO2M_CPD_NCAP3_6YO_2C_CPD.MF4.xzRadarFC_Master_standardized.json</v>
      </c>
      <c r="N976" s="59" t="str">
        <f t="shared" si="31"/>
        <v>_NCAP3_6YO_2C_CPD.MF4.xz</v>
      </c>
      <c r="O976" s="1" t="s">
        <v>102</v>
      </c>
      <c r="P976" s="1"/>
    </row>
    <row r="977" spans="1:21">
      <c r="A977" s="77">
        <v>232</v>
      </c>
      <c r="B977" t="s">
        <v>2304</v>
      </c>
      <c r="C977" s="85" t="s">
        <v>253</v>
      </c>
      <c r="D977" s="97" t="e">
        <f>_xlfn.XLOOKUP(A977,[1]CPD_SOP_new!$A:$A,[1]CPD_SOP_new!#REF!,"not found",0 )</f>
        <v>#REF!</v>
      </c>
      <c r="E977" s="97" t="str">
        <f>_xlfn.XLOOKUP(A977,[1]CPD_SOP_new!$A:$A,[1]CPD_SOP_new!$K:$K,"not found",0 )</f>
        <v>3L</v>
      </c>
      <c r="F977" t="s">
        <v>28</v>
      </c>
      <c r="G977" t="s">
        <v>28</v>
      </c>
      <c r="H977" t="s">
        <v>28</v>
      </c>
      <c r="I977" t="s">
        <v>28</v>
      </c>
      <c r="J977" t="s">
        <v>124</v>
      </c>
      <c r="K977" t="s">
        <v>1447</v>
      </c>
      <c r="L977" t="s">
        <v>2869</v>
      </c>
      <c r="M977" s="100" t="str">
        <f t="shared" si="30"/>
        <v>CSR_XCP_Signals_Recorder_2025-12-15_16-30-04_TC232_3L_CPD_NCAP3_6YO_3L_CPD.MF4.xzRadarFC_Master_standardized.json</v>
      </c>
      <c r="N977" s="59" t="str">
        <f t="shared" si="31"/>
        <v>_NCAP3_6YO_3L_CPD.MF4.xz</v>
      </c>
      <c r="O977" s="1" t="s">
        <v>102</v>
      </c>
      <c r="P977" s="1"/>
    </row>
    <row r="978" spans="1:21">
      <c r="A978" s="77">
        <v>232</v>
      </c>
      <c r="B978" t="s">
        <v>2304</v>
      </c>
      <c r="C978" s="85" t="s">
        <v>253</v>
      </c>
      <c r="D978" s="97" t="e">
        <f>_xlfn.XLOOKUP(A978,[1]CPD_SOP_new!$A:$A,[1]CPD_SOP_new!#REF!,"not found",0 )</f>
        <v>#REF!</v>
      </c>
      <c r="E978" s="97" t="str">
        <f>_xlfn.XLOOKUP(A978,[1]CPD_SOP_new!$A:$A,[1]CPD_SOP_new!$K:$K,"not found",0 )</f>
        <v>3L</v>
      </c>
      <c r="F978" t="s">
        <v>28</v>
      </c>
      <c r="G978" t="s">
        <v>28</v>
      </c>
      <c r="H978" t="s">
        <v>28</v>
      </c>
      <c r="I978" t="s">
        <v>28</v>
      </c>
      <c r="J978" t="s">
        <v>124</v>
      </c>
      <c r="K978" t="s">
        <v>1448</v>
      </c>
      <c r="L978" t="s">
        <v>2870</v>
      </c>
      <c r="M978" s="100" t="str">
        <f t="shared" si="30"/>
        <v>CSR_XCP_Signals_Recorder_2025-12-15_16-31-34_TC232_3L_CPD_NCAP3_6YO_3L_CPD.MF4.xzRadarFC_Master_standardized.json</v>
      </c>
      <c r="N978" s="59" t="str">
        <f t="shared" si="31"/>
        <v>_NCAP3_6YO_3L_CPD.MF4.xz</v>
      </c>
      <c r="O978" s="1" t="s">
        <v>102</v>
      </c>
      <c r="P978" s="1"/>
    </row>
    <row r="979" spans="1:21">
      <c r="A979" s="77">
        <v>232</v>
      </c>
      <c r="B979" t="s">
        <v>2304</v>
      </c>
      <c r="C979" s="85" t="s">
        <v>253</v>
      </c>
      <c r="D979" s="97" t="e">
        <f>_xlfn.XLOOKUP(A979,[1]CPD_SOP_new!$A:$A,[1]CPD_SOP_new!#REF!,"not found",0 )</f>
        <v>#REF!</v>
      </c>
      <c r="E979" s="97" t="str">
        <f>_xlfn.XLOOKUP(A979,[1]CPD_SOP_new!$A:$A,[1]CPD_SOP_new!$K:$K,"not found",0 )</f>
        <v>3L</v>
      </c>
      <c r="F979" t="s">
        <v>28</v>
      </c>
      <c r="G979" t="s">
        <v>28</v>
      </c>
      <c r="H979" t="s">
        <v>28</v>
      </c>
      <c r="I979" t="s">
        <v>28</v>
      </c>
      <c r="J979" t="s">
        <v>124</v>
      </c>
      <c r="K979" t="s">
        <v>1449</v>
      </c>
      <c r="L979" t="s">
        <v>2871</v>
      </c>
      <c r="M979" s="100" t="str">
        <f t="shared" si="30"/>
        <v>CSR_XCP_Signals_Recorder_2025-12-15_16-33-04_TC232_3L_CPD_NCAP3_6YO_3L_CPD.MF4.xzRadarFC_Master_standardized.json</v>
      </c>
      <c r="N979" s="59" t="str">
        <f t="shared" si="31"/>
        <v>_NCAP3_6YO_3L_CPD.MF4.xz</v>
      </c>
      <c r="O979" s="1" t="s">
        <v>102</v>
      </c>
      <c r="P979" s="1"/>
    </row>
    <row r="980" spans="1:21">
      <c r="A980" s="77">
        <v>232</v>
      </c>
      <c r="B980" t="s">
        <v>2304</v>
      </c>
      <c r="C980" s="85" t="s">
        <v>253</v>
      </c>
      <c r="D980" s="97" t="e">
        <f>_xlfn.XLOOKUP(A980,[1]CPD_SOP_new!$A:$A,[1]CPD_SOP_new!#REF!,"not found",0 )</f>
        <v>#REF!</v>
      </c>
      <c r="E980" s="97" t="str">
        <f>_xlfn.XLOOKUP(A980,[1]CPD_SOP_new!$A:$A,[1]CPD_SOP_new!$K:$K,"not found",0 )</f>
        <v>3L</v>
      </c>
      <c r="F980" t="s">
        <v>28</v>
      </c>
      <c r="G980" t="s">
        <v>28</v>
      </c>
      <c r="H980" t="s">
        <v>28</v>
      </c>
      <c r="I980" t="s">
        <v>28</v>
      </c>
      <c r="J980" t="s">
        <v>124</v>
      </c>
      <c r="K980" t="s">
        <v>1450</v>
      </c>
      <c r="L980" t="s">
        <v>2872</v>
      </c>
      <c r="M980" s="100" t="str">
        <f t="shared" si="30"/>
        <v>CSR_XCP_Signals_Recorder_2025-12-15_16-34-33_TC232_3L_CPD_NCAP3_6YO_3L_CPD.MF4.xzRadarFC_Master_standardized.json</v>
      </c>
      <c r="N980" s="59" t="str">
        <f t="shared" si="31"/>
        <v>_NCAP3_6YO_3L_CPD.MF4.xz</v>
      </c>
      <c r="O980" s="1" t="s">
        <v>102</v>
      </c>
      <c r="P980" s="1"/>
    </row>
    <row r="981" spans="1:21">
      <c r="A981" s="77">
        <v>232</v>
      </c>
      <c r="B981" t="s">
        <v>2304</v>
      </c>
      <c r="C981" s="85" t="s">
        <v>253</v>
      </c>
      <c r="D981" s="97" t="e">
        <f>_xlfn.XLOOKUP(A981,[1]CPD_SOP_new!$A:$A,[1]CPD_SOP_new!#REF!,"not found",0 )</f>
        <v>#REF!</v>
      </c>
      <c r="E981" s="97" t="str">
        <f>_xlfn.XLOOKUP(A981,[1]CPD_SOP_new!$A:$A,[1]CPD_SOP_new!$K:$K,"not found",0 )</f>
        <v>3L</v>
      </c>
      <c r="F981" t="s">
        <v>28</v>
      </c>
      <c r="G981" t="s">
        <v>28</v>
      </c>
      <c r="H981" t="s">
        <v>28</v>
      </c>
      <c r="I981" t="s">
        <v>28</v>
      </c>
      <c r="J981" t="s">
        <v>124</v>
      </c>
      <c r="K981" t="s">
        <v>1451</v>
      </c>
      <c r="L981" t="s">
        <v>2873</v>
      </c>
      <c r="M981" s="100" t="str">
        <f t="shared" si="30"/>
        <v>CSR_XCP_Signals_Recorder_2025-12-15_16-36-03_TC232_3L_CPD_NCAP3_6YO_3L_CPD.MF4.xzRadarFC_Master_standardized.json</v>
      </c>
      <c r="N981" s="59" t="str">
        <f t="shared" si="31"/>
        <v>_NCAP3_6YO_3L_CPD.MF4.xz</v>
      </c>
      <c r="O981" s="1" t="s">
        <v>102</v>
      </c>
      <c r="P981" s="1"/>
    </row>
    <row r="982" spans="1:21">
      <c r="A982" s="77">
        <v>235</v>
      </c>
      <c r="B982" t="s">
        <v>2304</v>
      </c>
      <c r="C982" s="85" t="s">
        <v>253</v>
      </c>
      <c r="D982" s="97" t="e">
        <f>_xlfn.XLOOKUP(A982,[1]CPD_SOP_new!$A:$A,[1]CPD_SOP_new!#REF!,"not found",0 )</f>
        <v>#REF!</v>
      </c>
      <c r="E982" s="97" t="s">
        <v>112</v>
      </c>
      <c r="F982" t="s">
        <v>28</v>
      </c>
      <c r="G982" t="s">
        <v>28</v>
      </c>
      <c r="H982" t="s">
        <v>28</v>
      </c>
      <c r="I982" t="s">
        <v>28</v>
      </c>
      <c r="J982" t="s">
        <v>124</v>
      </c>
      <c r="K982" t="s">
        <v>1452</v>
      </c>
      <c r="L982" t="s">
        <v>2874</v>
      </c>
      <c r="M982" s="100" t="str">
        <f t="shared" si="30"/>
        <v>CSR_XCP_Signals_Recorder_2025-12-15_14-21-11_TC235_6YO1L_CPD_NCAP3_6YO_1L_CPD.MF4.xz</v>
      </c>
      <c r="N982" s="59" t="str">
        <f t="shared" si="31"/>
        <v>_NCAP3_6YO_1L_CPD.MF4.xz</v>
      </c>
      <c r="O982" s="129" t="s">
        <v>102</v>
      </c>
      <c r="P982" s="129"/>
    </row>
    <row r="983" spans="1:21">
      <c r="A983" s="77">
        <v>235</v>
      </c>
      <c r="B983" t="s">
        <v>2304</v>
      </c>
      <c r="C983" s="85" t="s">
        <v>253</v>
      </c>
      <c r="D983" s="97" t="e">
        <f>_xlfn.XLOOKUP(A983,[1]CPD_SOP_new!$A:$A,[1]CPD_SOP_new!#REF!,"not found",0 )</f>
        <v>#REF!</v>
      </c>
      <c r="E983" s="97" t="s">
        <v>112</v>
      </c>
      <c r="F983" t="s">
        <v>28</v>
      </c>
      <c r="G983" t="s">
        <v>28</v>
      </c>
      <c r="H983" t="s">
        <v>28</v>
      </c>
      <c r="I983" t="s">
        <v>28</v>
      </c>
      <c r="J983" t="s">
        <v>124</v>
      </c>
      <c r="K983" t="s">
        <v>1453</v>
      </c>
      <c r="L983" t="s">
        <v>2875</v>
      </c>
      <c r="M983" s="100" t="str">
        <f t="shared" si="30"/>
        <v>CSR_XCP_Signals_Recorder_2025-12-15_14-22-43_TC235_6YO1L_CPD_NCAP3_6YO_1L_CPD.MF4.xz</v>
      </c>
      <c r="N983" s="59" t="str">
        <f t="shared" si="31"/>
        <v>_NCAP3_6YO_1L_CPD.MF4.xz</v>
      </c>
      <c r="O983" s="129" t="s">
        <v>102</v>
      </c>
      <c r="P983" s="129"/>
    </row>
    <row r="984" spans="1:21" s="137" customFormat="1">
      <c r="A984" s="77">
        <v>235</v>
      </c>
      <c r="B984" t="s">
        <v>2304</v>
      </c>
      <c r="C984" s="85" t="s">
        <v>253</v>
      </c>
      <c r="D984" s="97" t="e">
        <f>_xlfn.XLOOKUP(A984,[1]CPD_SOP_new!$A:$A,[1]CPD_SOP_new!#REF!,"not found",0 )</f>
        <v>#REF!</v>
      </c>
      <c r="E984" s="97" t="s">
        <v>112</v>
      </c>
      <c r="F984" t="s">
        <v>28</v>
      </c>
      <c r="G984" t="s">
        <v>28</v>
      </c>
      <c r="H984" t="s">
        <v>28</v>
      </c>
      <c r="I984" t="s">
        <v>28</v>
      </c>
      <c r="J984" t="s">
        <v>124</v>
      </c>
      <c r="K984" t="s">
        <v>1454</v>
      </c>
      <c r="L984" t="s">
        <v>2876</v>
      </c>
      <c r="M984" s="100" t="str">
        <f t="shared" si="30"/>
        <v>CSR_XCP_Signals_Recorder_2025-12-15_14-25-12_TC235_6YO1L_CPD_NCAP3_6YO_1L_CPD.MF4.xz</v>
      </c>
      <c r="N984" s="59" t="str">
        <f t="shared" si="31"/>
        <v>_NCAP3_6YO_1L_CPD.MF4.xz</v>
      </c>
      <c r="O984" s="129" t="s">
        <v>102</v>
      </c>
      <c r="P984" s="129"/>
    </row>
    <row r="985" spans="1:21">
      <c r="A985" s="77">
        <v>235</v>
      </c>
      <c r="B985" t="s">
        <v>2304</v>
      </c>
      <c r="C985" s="85" t="s">
        <v>253</v>
      </c>
      <c r="D985" s="97" t="e">
        <f>_xlfn.XLOOKUP(A985,[1]CPD_SOP_new!$A:$A,[1]CPD_SOP_new!#REF!,"not found",0 )</f>
        <v>#REF!</v>
      </c>
      <c r="E985" s="97" t="s">
        <v>112</v>
      </c>
      <c r="F985" t="s">
        <v>28</v>
      </c>
      <c r="G985" t="s">
        <v>28</v>
      </c>
      <c r="H985" t="s">
        <v>28</v>
      </c>
      <c r="I985" t="s">
        <v>28</v>
      </c>
      <c r="J985" t="s">
        <v>124</v>
      </c>
      <c r="K985" t="s">
        <v>1455</v>
      </c>
      <c r="L985" t="s">
        <v>2877</v>
      </c>
      <c r="M985" s="100" t="str">
        <f t="shared" si="30"/>
        <v>CSR_XCP_Signals_Recorder_2025-12-15_14-26-45_TC235_6YO1L_CPD_NCAP3_6YO_1L_CPD.MF4.xz</v>
      </c>
      <c r="N985" s="59" t="str">
        <f t="shared" si="31"/>
        <v>_NCAP3_6YO_1L_CPD.MF4.xz</v>
      </c>
      <c r="O985" s="129" t="s">
        <v>102</v>
      </c>
      <c r="P985" s="129"/>
    </row>
    <row r="986" spans="1:21" s="137" customFormat="1">
      <c r="A986" s="77">
        <v>235</v>
      </c>
      <c r="B986" t="s">
        <v>2304</v>
      </c>
      <c r="C986" s="85" t="s">
        <v>253</v>
      </c>
      <c r="D986" s="97" t="e">
        <f>_xlfn.XLOOKUP(A986,[1]CPD_SOP_new!$A:$A,[1]CPD_SOP_new!#REF!,"not found",0 )</f>
        <v>#REF!</v>
      </c>
      <c r="E986" s="97" t="s">
        <v>112</v>
      </c>
      <c r="F986" t="s">
        <v>28</v>
      </c>
      <c r="G986" t="s">
        <v>28</v>
      </c>
      <c r="H986" t="s">
        <v>28</v>
      </c>
      <c r="I986" t="s">
        <v>28</v>
      </c>
      <c r="J986" t="s">
        <v>124</v>
      </c>
      <c r="K986" t="s">
        <v>1456</v>
      </c>
      <c r="L986" t="s">
        <v>2878</v>
      </c>
      <c r="M986" s="100" t="str">
        <f t="shared" si="30"/>
        <v>CSR_XCP_Signals_Recorder_2025-12-15_14-28-24_TC235_6YO1L_CPD_NCAP3_6YO_1L_CPD.MF4.xz</v>
      </c>
      <c r="N986" s="59" t="str">
        <f t="shared" si="31"/>
        <v>_NCAP3_6YO_1L_CPD.MF4.xz</v>
      </c>
      <c r="O986" s="129" t="s">
        <v>102</v>
      </c>
      <c r="P986" s="129"/>
    </row>
    <row r="987" spans="1:21" s="137" customFormat="1">
      <c r="A987" s="78">
        <v>235</v>
      </c>
      <c r="B987" s="137" t="s">
        <v>2304</v>
      </c>
      <c r="C987" s="137" t="s">
        <v>253</v>
      </c>
      <c r="D987" s="97" t="e">
        <f>_xlfn.XLOOKUP(A987,[1]CPD_SOP_new!$A:$A,[1]CPD_SOP_new!#REF!,"not found",0 )</f>
        <v>#REF!</v>
      </c>
      <c r="E987" s="97" t="s">
        <v>112</v>
      </c>
      <c r="F987" s="137" t="s">
        <v>28</v>
      </c>
      <c r="G987" s="137" t="s">
        <v>28</v>
      </c>
      <c r="H987" s="137" t="s">
        <v>28</v>
      </c>
      <c r="I987" s="137" t="s">
        <v>27</v>
      </c>
      <c r="J987" s="88" t="s">
        <v>1031</v>
      </c>
      <c r="K987" s="137" t="s">
        <v>1032</v>
      </c>
      <c r="L987" s="137" t="s">
        <v>723</v>
      </c>
      <c r="M987" s="100" t="str">
        <f t="shared" si="30"/>
        <v>Wrong measurement</v>
      </c>
      <c r="N987" s="59" t="str">
        <f t="shared" si="31"/>
        <v>Wrong measurement</v>
      </c>
      <c r="O987" s="137" t="s">
        <v>213</v>
      </c>
      <c r="Q987" s="137" t="s">
        <v>124</v>
      </c>
      <c r="R987" s="137" t="s">
        <v>29</v>
      </c>
      <c r="S987" s="137">
        <v>1</v>
      </c>
      <c r="T987" s="137">
        <v>0</v>
      </c>
      <c r="U987" s="137">
        <v>0</v>
      </c>
    </row>
    <row r="988" spans="1:21">
      <c r="A988" s="77">
        <v>235</v>
      </c>
      <c r="B988" t="s">
        <v>2304</v>
      </c>
      <c r="C988" s="85" t="s">
        <v>253</v>
      </c>
      <c r="D988" s="97" t="e">
        <f>_xlfn.XLOOKUP(A988,[1]CPD_SOP_new!$A:$A,[1]CPD_SOP_new!#REF!,"not found",0 )</f>
        <v>#REF!</v>
      </c>
      <c r="E988" s="97" t="s">
        <v>112</v>
      </c>
      <c r="F988" t="s">
        <v>28</v>
      </c>
      <c r="G988" t="s">
        <v>28</v>
      </c>
      <c r="H988" t="s">
        <v>28</v>
      </c>
      <c r="I988" t="s">
        <v>28</v>
      </c>
      <c r="J988" t="s">
        <v>124</v>
      </c>
      <c r="K988" t="s">
        <v>1458</v>
      </c>
      <c r="L988" t="s">
        <v>2879</v>
      </c>
      <c r="M988" s="100" t="str">
        <f t="shared" si="30"/>
        <v>CSR_XCP_Signals_Recorder_2026-01-30_14-47-44_TC235_NCAP3_6YO_1L_CPD.MF4.xz</v>
      </c>
      <c r="N988" s="59" t="str">
        <f t="shared" si="31"/>
        <v>_NCAP3_6YO_1L_CPD.MF4.xz</v>
      </c>
      <c r="O988" t="s">
        <v>271</v>
      </c>
      <c r="Q988" t="s">
        <v>124</v>
      </c>
      <c r="R988" t="s">
        <v>29</v>
      </c>
      <c r="S988">
        <v>1</v>
      </c>
      <c r="T988">
        <v>0</v>
      </c>
      <c r="U988">
        <v>0</v>
      </c>
    </row>
    <row r="989" spans="1:21">
      <c r="A989" s="77">
        <v>235</v>
      </c>
      <c r="B989" t="s">
        <v>2304</v>
      </c>
      <c r="C989" s="85" t="s">
        <v>253</v>
      </c>
      <c r="D989" s="97" t="e">
        <f>_xlfn.XLOOKUP(A989,[1]CPD_SOP_new!$A:$A,[1]CPD_SOP_new!#REF!,"not found",0 )</f>
        <v>#REF!</v>
      </c>
      <c r="E989" s="97" t="s">
        <v>112</v>
      </c>
      <c r="F989" t="s">
        <v>28</v>
      </c>
      <c r="G989" t="s">
        <v>28</v>
      </c>
      <c r="H989" t="s">
        <v>28</v>
      </c>
      <c r="I989" t="s">
        <v>28</v>
      </c>
      <c r="J989" t="s">
        <v>124</v>
      </c>
      <c r="K989" t="s">
        <v>1459</v>
      </c>
      <c r="L989" t="s">
        <v>2880</v>
      </c>
      <c r="M989" s="100" t="str">
        <f t="shared" si="30"/>
        <v>CSR_XCP_Signals_Recorder_2026-01-30_14-49-11_TC235_NCAP3_6YO_1L_CPD.MF4.xz</v>
      </c>
      <c r="N989" s="59" t="str">
        <f t="shared" si="31"/>
        <v>_NCAP3_6YO_1L_CPD.MF4.xz</v>
      </c>
      <c r="O989" t="s">
        <v>271</v>
      </c>
      <c r="Q989" t="s">
        <v>124</v>
      </c>
      <c r="R989" t="s">
        <v>29</v>
      </c>
      <c r="S989">
        <v>1</v>
      </c>
      <c r="T989">
        <v>0</v>
      </c>
      <c r="U989">
        <v>0</v>
      </c>
    </row>
    <row r="990" spans="1:21" s="130" customFormat="1">
      <c r="A990" s="78">
        <v>235</v>
      </c>
      <c r="B990" s="130" t="s">
        <v>105</v>
      </c>
      <c r="C990" s="130" t="s">
        <v>253</v>
      </c>
      <c r="D990" s="97" t="e">
        <f>_xlfn.XLOOKUP(A990,[1]CPD_SOP_new!$A:$A,[1]CPD_SOP_new!#REF!,"not found",0 )</f>
        <v>#REF!</v>
      </c>
      <c r="E990" s="97" t="s">
        <v>112</v>
      </c>
      <c r="F990" s="130" t="s">
        <v>28</v>
      </c>
      <c r="G990" s="130" t="s">
        <v>28</v>
      </c>
      <c r="H990" s="130" t="s">
        <v>28</v>
      </c>
      <c r="I990" s="130" t="s">
        <v>27</v>
      </c>
      <c r="J990" s="130" t="s">
        <v>105</v>
      </c>
      <c r="K990" s="130" t="s">
        <v>1024</v>
      </c>
      <c r="L990" s="130" t="s">
        <v>723</v>
      </c>
      <c r="M990" s="100" t="str">
        <f t="shared" si="30"/>
        <v>Wrong measurement</v>
      </c>
      <c r="N990" s="59" t="str">
        <f t="shared" si="31"/>
        <v>Wrong measurement</v>
      </c>
      <c r="O990" s="130" t="s">
        <v>271</v>
      </c>
      <c r="Q990" s="130" t="s">
        <v>105</v>
      </c>
      <c r="R990" s="130" t="s">
        <v>105</v>
      </c>
      <c r="S990" s="130" t="s">
        <v>105</v>
      </c>
      <c r="T990" s="130" t="s">
        <v>105</v>
      </c>
      <c r="U990" s="130" t="s">
        <v>105</v>
      </c>
    </row>
    <row r="991" spans="1:21">
      <c r="A991" s="77">
        <v>236</v>
      </c>
      <c r="B991" t="s">
        <v>2304</v>
      </c>
      <c r="C991" s="85" t="s">
        <v>253</v>
      </c>
      <c r="D991" s="97" t="e">
        <f>_xlfn.XLOOKUP(A991,[1]CPD_SOP_new!$A:$A,[1]CPD_SOP_new!#REF!,"not found",0 )</f>
        <v>#REF!</v>
      </c>
      <c r="E991" s="97" t="str">
        <f>_xlfn.XLOOKUP(A991,[1]CPD_SOP_new!$A:$A,[1]CPD_SOP_new!$K:$K,"not found",0 )</f>
        <v>3R</v>
      </c>
      <c r="F991" t="s">
        <v>28</v>
      </c>
      <c r="G991" t="s">
        <v>28</v>
      </c>
      <c r="H991" t="s">
        <v>28</v>
      </c>
      <c r="I991" t="s">
        <v>28</v>
      </c>
      <c r="J991" t="s">
        <v>124</v>
      </c>
      <c r="K991" t="s">
        <v>1464</v>
      </c>
      <c r="L991" t="s">
        <v>2881</v>
      </c>
      <c r="M991" s="100" t="str">
        <f t="shared" si="30"/>
        <v>CSR_XCP_Signals_Recorder_2025-12-15_16-40-55_TC236_3R_CPD_NCAP3_6YO_3R_CPD.MF4.xz</v>
      </c>
      <c r="N991" s="59" t="str">
        <f t="shared" si="31"/>
        <v>_NCAP3_6YO_3R_CPD.MF4.xz</v>
      </c>
      <c r="O991" s="129" t="s">
        <v>102</v>
      </c>
      <c r="P991" s="129"/>
    </row>
    <row r="992" spans="1:21">
      <c r="A992" s="77">
        <v>236</v>
      </c>
      <c r="B992" t="s">
        <v>2304</v>
      </c>
      <c r="C992" s="85" t="s">
        <v>253</v>
      </c>
      <c r="D992" s="97" t="e">
        <f>_xlfn.XLOOKUP(A992,[1]CPD_SOP_new!$A:$A,[1]CPD_SOP_new!#REF!,"not found",0 )</f>
        <v>#REF!</v>
      </c>
      <c r="E992" s="97" t="str">
        <f>_xlfn.XLOOKUP(A992,[1]CPD_SOP_new!$A:$A,[1]CPD_SOP_new!$K:$K,"not found",0 )</f>
        <v>3R</v>
      </c>
      <c r="F992" t="s">
        <v>28</v>
      </c>
      <c r="G992" t="s">
        <v>28</v>
      </c>
      <c r="H992" t="s">
        <v>28</v>
      </c>
      <c r="I992" t="s">
        <v>28</v>
      </c>
      <c r="J992" t="s">
        <v>124</v>
      </c>
      <c r="K992" t="s">
        <v>1465</v>
      </c>
      <c r="L992" t="s">
        <v>2882</v>
      </c>
      <c r="M992" s="100" t="str">
        <f t="shared" si="30"/>
        <v>CSR_XCP_Signals_Recorder_2025-12-15_16-42-26_TC236_3R_CPD_NCAP3_6YO_3R_CPD.MF4.xz</v>
      </c>
      <c r="N992" s="59" t="str">
        <f t="shared" si="31"/>
        <v>_NCAP3_6YO_3R_CPD.MF4.xz</v>
      </c>
      <c r="O992" s="129" t="s">
        <v>102</v>
      </c>
      <c r="P992" s="129"/>
    </row>
    <row r="993" spans="1:16">
      <c r="A993" s="77">
        <v>236</v>
      </c>
      <c r="B993" t="s">
        <v>2304</v>
      </c>
      <c r="C993" s="85" t="s">
        <v>253</v>
      </c>
      <c r="D993" s="97" t="e">
        <f>_xlfn.XLOOKUP(A993,[1]CPD_SOP_new!$A:$A,[1]CPD_SOP_new!#REF!,"not found",0 )</f>
        <v>#REF!</v>
      </c>
      <c r="E993" s="97" t="str">
        <f>_xlfn.XLOOKUP(A993,[1]CPD_SOP_new!$A:$A,[1]CPD_SOP_new!$K:$K,"not found",0 )</f>
        <v>3R</v>
      </c>
      <c r="F993" t="s">
        <v>28</v>
      </c>
      <c r="G993" t="s">
        <v>28</v>
      </c>
      <c r="H993" t="s">
        <v>28</v>
      </c>
      <c r="I993" t="s">
        <v>28</v>
      </c>
      <c r="J993" t="s">
        <v>124</v>
      </c>
      <c r="K993" t="s">
        <v>1466</v>
      </c>
      <c r="L993" t="s">
        <v>2883</v>
      </c>
      <c r="M993" s="100" t="str">
        <f t="shared" si="30"/>
        <v>CSR_XCP_Signals_Recorder_2025-12-15_16-44-00_TC236_3R_CPD_NCAP3_6YO_3R_CPD.MF4.xz</v>
      </c>
      <c r="N993" s="59" t="str">
        <f t="shared" si="31"/>
        <v>_NCAP3_6YO_3R_CPD.MF4.xz</v>
      </c>
      <c r="O993" s="129" t="s">
        <v>102</v>
      </c>
      <c r="P993" s="129"/>
    </row>
    <row r="994" spans="1:16">
      <c r="A994" s="77">
        <v>236</v>
      </c>
      <c r="B994" t="s">
        <v>2304</v>
      </c>
      <c r="C994" s="85" t="s">
        <v>253</v>
      </c>
      <c r="D994" s="97" t="e">
        <f>_xlfn.XLOOKUP(A994,[1]CPD_SOP_new!$A:$A,[1]CPD_SOP_new!#REF!,"not found",0 )</f>
        <v>#REF!</v>
      </c>
      <c r="E994" s="97" t="str">
        <f>_xlfn.XLOOKUP(A994,[1]CPD_SOP_new!$A:$A,[1]CPD_SOP_new!$K:$K,"not found",0 )</f>
        <v>3R</v>
      </c>
      <c r="F994" t="s">
        <v>28</v>
      </c>
      <c r="G994" t="s">
        <v>28</v>
      </c>
      <c r="H994" t="s">
        <v>28</v>
      </c>
      <c r="I994" t="s">
        <v>28</v>
      </c>
      <c r="J994" t="s">
        <v>124</v>
      </c>
      <c r="K994" t="s">
        <v>1467</v>
      </c>
      <c r="L994" t="s">
        <v>2884</v>
      </c>
      <c r="M994" s="100" t="str">
        <f t="shared" si="30"/>
        <v>CSR_XCP_Signals_Recorder_2025-12-15_16-45-28_TC236_3R_CPD_NCAP3_6YO_3R_CPD.MF4.xz</v>
      </c>
      <c r="N994" s="59" t="str">
        <f t="shared" si="31"/>
        <v>_NCAP3_6YO_3R_CPD.MF4.xz</v>
      </c>
      <c r="O994" s="129" t="s">
        <v>102</v>
      </c>
      <c r="P994" s="129"/>
    </row>
    <row r="995" spans="1:16">
      <c r="A995" s="77">
        <v>236</v>
      </c>
      <c r="B995" t="s">
        <v>2304</v>
      </c>
      <c r="C995" s="85" t="s">
        <v>253</v>
      </c>
      <c r="D995" s="97" t="e">
        <f>_xlfn.XLOOKUP(A995,[1]CPD_SOP_new!$A:$A,[1]CPD_SOP_new!#REF!,"not found",0 )</f>
        <v>#REF!</v>
      </c>
      <c r="E995" s="97" t="str">
        <f>_xlfn.XLOOKUP(A995,[1]CPD_SOP_new!$A:$A,[1]CPD_SOP_new!$K:$K,"not found",0 )</f>
        <v>3R</v>
      </c>
      <c r="F995" t="s">
        <v>28</v>
      </c>
      <c r="G995" t="s">
        <v>28</v>
      </c>
      <c r="H995" t="s">
        <v>28</v>
      </c>
      <c r="I995" t="s">
        <v>28</v>
      </c>
      <c r="J995" t="s">
        <v>124</v>
      </c>
      <c r="K995" t="s">
        <v>1468</v>
      </c>
      <c r="L995" t="s">
        <v>2885</v>
      </c>
      <c r="M995" s="100" t="str">
        <f t="shared" si="30"/>
        <v>CSR_XCP_Signals_Recorder_2025-12-15_16-46-58_TC236_3R_CPD_NCAP3_6YO_3R_CPD.MF4.xz</v>
      </c>
      <c r="N995" s="59" t="str">
        <f t="shared" si="31"/>
        <v>_NCAP3_6YO_3R_CPD.MF4.xz</v>
      </c>
      <c r="O995" s="129" t="s">
        <v>102</v>
      </c>
      <c r="P995" s="129"/>
    </row>
    <row r="996" spans="1:16">
      <c r="A996" s="77">
        <v>238</v>
      </c>
      <c r="B996" t="s">
        <v>2304</v>
      </c>
      <c r="C996" t="s">
        <v>66</v>
      </c>
      <c r="D996" s="97" t="e">
        <f>_xlfn.XLOOKUP(A996,[1]CPD_SOP_new!$A:$A,[1]CPD_SOP_new!#REF!,"not found",0 )</f>
        <v>#REF!</v>
      </c>
      <c r="E996" s="97" t="str">
        <f>_xlfn.XLOOKUP(A996,[1]CPD_SOP_new!$A:$A,[1]CPD_SOP_new!$K:$K,"not found",0 )</f>
        <v>F2R</v>
      </c>
      <c r="F996" t="s">
        <v>28</v>
      </c>
      <c r="G996" t="s">
        <v>28</v>
      </c>
      <c r="H996" t="s">
        <v>28</v>
      </c>
      <c r="I996" t="s">
        <v>28</v>
      </c>
      <c r="J996" t="s">
        <v>124</v>
      </c>
      <c r="K996" t="s">
        <v>1469</v>
      </c>
      <c r="L996" t="s">
        <v>2886</v>
      </c>
      <c r="M996" s="100" t="str">
        <f t="shared" si="30"/>
        <v>CSR_XCP_Signals_Recorder_2026-01-20_09-18-22_CPD_TC238_Try4_NCAP3_3YO_F2R_CPD.MF4.xz</v>
      </c>
      <c r="N996" s="59" t="str">
        <f t="shared" si="31"/>
        <v>_NCAP3_3YO_F2R_CPD.MF4.xz</v>
      </c>
      <c r="O996" t="s">
        <v>86</v>
      </c>
    </row>
    <row r="997" spans="1:16">
      <c r="A997" s="77">
        <v>238</v>
      </c>
      <c r="B997" t="s">
        <v>2304</v>
      </c>
      <c r="C997" t="s">
        <v>66</v>
      </c>
      <c r="D997" s="97" t="e">
        <f>_xlfn.XLOOKUP(A997,[1]CPD_SOP_new!$A:$A,[1]CPD_SOP_new!#REF!,"not found",0 )</f>
        <v>#REF!</v>
      </c>
      <c r="E997" s="97" t="str">
        <f>_xlfn.XLOOKUP(A997,[1]CPD_SOP_new!$A:$A,[1]CPD_SOP_new!$K:$K,"not found",0 )</f>
        <v>F2R</v>
      </c>
      <c r="F997" t="s">
        <v>28</v>
      </c>
      <c r="G997" t="s">
        <v>28</v>
      </c>
      <c r="H997" t="s">
        <v>28</v>
      </c>
      <c r="I997" t="s">
        <v>28</v>
      </c>
      <c r="J997" t="s">
        <v>124</v>
      </c>
      <c r="K997" t="s">
        <v>1471</v>
      </c>
      <c r="L997" t="s">
        <v>2887</v>
      </c>
      <c r="M997" s="100" t="str">
        <f t="shared" si="30"/>
        <v>CSR_XCP_Signals_Recorder_2026-01-20_09-20-08_CPD_TC238_Try5_NCAP3_3YO_F2R_CPD.MF4.xz</v>
      </c>
      <c r="N997" s="59" t="str">
        <f t="shared" si="31"/>
        <v>_NCAP3_3YO_F2R_CPD.MF4.xz</v>
      </c>
      <c r="O997" t="s">
        <v>86</v>
      </c>
    </row>
    <row r="998" spans="1:16">
      <c r="A998" s="77">
        <v>238</v>
      </c>
      <c r="B998" t="s">
        <v>2304</v>
      </c>
      <c r="C998" t="s">
        <v>66</v>
      </c>
      <c r="D998" s="97" t="e">
        <f>_xlfn.XLOOKUP(A998,[1]CPD_SOP_new!$A:$A,[1]CPD_SOP_new!#REF!,"not found",0 )</f>
        <v>#REF!</v>
      </c>
      <c r="E998" s="97" t="str">
        <f>_xlfn.XLOOKUP(A998,[1]CPD_SOP_new!$A:$A,[1]CPD_SOP_new!$K:$K,"not found",0 )</f>
        <v>F2R</v>
      </c>
      <c r="F998" t="s">
        <v>28</v>
      </c>
      <c r="G998" t="s">
        <v>28</v>
      </c>
      <c r="H998" t="s">
        <v>28</v>
      </c>
      <c r="I998" t="s">
        <v>28</v>
      </c>
      <c r="J998" t="s">
        <v>124</v>
      </c>
      <c r="K998" t="s">
        <v>1472</v>
      </c>
      <c r="L998" t="s">
        <v>2888</v>
      </c>
      <c r="M998" s="100" t="str">
        <f t="shared" si="30"/>
        <v>CSR_XCP_Signals_Recorder_2026-01-20_09-13-02_CPD_TC238_Try1_NCAP3_3YO_F2R_CPD.MF4.xz</v>
      </c>
      <c r="N998" s="59" t="str">
        <f t="shared" si="31"/>
        <v>_NCAP3_3YO_F2R_CPD.MF4.xz</v>
      </c>
      <c r="O998" t="s">
        <v>86</v>
      </c>
    </row>
    <row r="999" spans="1:16">
      <c r="A999" s="77">
        <v>238</v>
      </c>
      <c r="B999" t="s">
        <v>2304</v>
      </c>
      <c r="C999" t="s">
        <v>66</v>
      </c>
      <c r="D999" s="97" t="e">
        <f>_xlfn.XLOOKUP(A999,[1]CPD_SOP_new!$A:$A,[1]CPD_SOP_new!#REF!,"not found",0 )</f>
        <v>#REF!</v>
      </c>
      <c r="E999" s="97" t="str">
        <f>_xlfn.XLOOKUP(A999,[1]CPD_SOP_new!$A:$A,[1]CPD_SOP_new!$K:$K,"not found",0 )</f>
        <v>F2R</v>
      </c>
      <c r="F999" t="s">
        <v>28</v>
      </c>
      <c r="G999" t="s">
        <v>28</v>
      </c>
      <c r="H999" t="s">
        <v>28</v>
      </c>
      <c r="I999" t="s">
        <v>28</v>
      </c>
      <c r="J999" t="s">
        <v>124</v>
      </c>
      <c r="K999" t="s">
        <v>1473</v>
      </c>
      <c r="L999" t="s">
        <v>2889</v>
      </c>
      <c r="M999" s="100" t="str">
        <f t="shared" si="30"/>
        <v>CSR_XCP_Signals_Recorder_2026-01-20_09-15-17_CPD_TC238_Try2_NCAP3_3YO_F2R_CPD.MF4.xz</v>
      </c>
      <c r="N999" s="59" t="str">
        <f t="shared" si="31"/>
        <v>_NCAP3_3YO_F2R_CPD.MF4.xz</v>
      </c>
      <c r="O999" t="s">
        <v>86</v>
      </c>
    </row>
    <row r="1000" spans="1:16">
      <c r="A1000" s="77">
        <v>238</v>
      </c>
      <c r="B1000" t="s">
        <v>2304</v>
      </c>
      <c r="C1000" t="s">
        <v>66</v>
      </c>
      <c r="D1000" s="97" t="e">
        <f>_xlfn.XLOOKUP(A1000,[1]CPD_SOP_new!$A:$A,[1]CPD_SOP_new!#REF!,"not found",0 )</f>
        <v>#REF!</v>
      </c>
      <c r="E1000" s="97" t="str">
        <f>_xlfn.XLOOKUP(A1000,[1]CPD_SOP_new!$A:$A,[1]CPD_SOP_new!$K:$K,"not found",0 )</f>
        <v>F2R</v>
      </c>
      <c r="F1000" t="s">
        <v>28</v>
      </c>
      <c r="G1000" t="s">
        <v>28</v>
      </c>
      <c r="H1000" t="s">
        <v>28</v>
      </c>
      <c r="I1000" t="s">
        <v>28</v>
      </c>
      <c r="J1000" t="s">
        <v>124</v>
      </c>
      <c r="K1000" t="s">
        <v>1474</v>
      </c>
      <c r="L1000" t="s">
        <v>2890</v>
      </c>
      <c r="M1000" s="100" t="str">
        <f t="shared" si="30"/>
        <v>CSR_XCP_Signals_Recorder_2026-01-20_09-16-50_CPD_TC238_Try3_NCAP3_3YO_F2R_CPD.MF4.xz</v>
      </c>
      <c r="N1000" s="59" t="str">
        <f t="shared" si="31"/>
        <v>_NCAP3_3YO_F2R_CPD.MF4.xz</v>
      </c>
      <c r="O1000" t="s">
        <v>86</v>
      </c>
    </row>
    <row r="1001" spans="1:16">
      <c r="A1001" s="77">
        <v>239</v>
      </c>
      <c r="B1001" t="s">
        <v>2304</v>
      </c>
      <c r="C1001" t="s">
        <v>66</v>
      </c>
      <c r="D1001" s="97" t="e">
        <f>_xlfn.XLOOKUP(A1001,[1]CPD_SOP_new!$A:$A,[1]CPD_SOP_new!#REF!,"not found",0 )</f>
        <v>#REF!</v>
      </c>
      <c r="E1001" s="97" t="str">
        <f>_xlfn.XLOOKUP(A1001,[1]CPD_SOP_new!$A:$A,[1]CPD_SOP_new!$K:$K,"not found",0 )</f>
        <v>F3L</v>
      </c>
      <c r="F1001" t="s">
        <v>28</v>
      </c>
      <c r="G1001" t="s">
        <v>28</v>
      </c>
      <c r="H1001" t="s">
        <v>28</v>
      </c>
      <c r="I1001" t="s">
        <v>28</v>
      </c>
      <c r="J1001" t="s">
        <v>124</v>
      </c>
      <c r="K1001" s="16" t="s">
        <v>1475</v>
      </c>
      <c r="L1001" s="16" t="s">
        <v>2891</v>
      </c>
      <c r="M1001" s="100" t="str">
        <f t="shared" si="30"/>
        <v>CPD_TC239_Try1_NCAP3_3YO_F3L_CPD.MF4.xz</v>
      </c>
      <c r="N1001" s="59" t="str">
        <f t="shared" si="31"/>
        <v>_NCAP3_3YO_F3L_CPD.MF4.xz</v>
      </c>
      <c r="O1001" s="74" t="s">
        <v>86</v>
      </c>
      <c r="P1001" s="74"/>
    </row>
    <row r="1002" spans="1:16">
      <c r="A1002" s="77">
        <v>239</v>
      </c>
      <c r="B1002" t="s">
        <v>2304</v>
      </c>
      <c r="C1002" t="s">
        <v>66</v>
      </c>
      <c r="D1002" s="97" t="e">
        <f>_xlfn.XLOOKUP(A1002,[1]CPD_SOP_new!$A:$A,[1]CPD_SOP_new!#REF!,"not found",0 )</f>
        <v>#REF!</v>
      </c>
      <c r="E1002" s="97" t="str">
        <f>_xlfn.XLOOKUP(A1002,[1]CPD_SOP_new!$A:$A,[1]CPD_SOP_new!$K:$K,"not found",0 )</f>
        <v>F3L</v>
      </c>
      <c r="F1002" t="s">
        <v>28</v>
      </c>
      <c r="G1002" t="s">
        <v>28</v>
      </c>
      <c r="H1002" t="s">
        <v>28</v>
      </c>
      <c r="I1002" t="s">
        <v>28</v>
      </c>
      <c r="J1002" t="s">
        <v>124</v>
      </c>
      <c r="K1002" s="16" t="s">
        <v>1477</v>
      </c>
      <c r="L1002" s="16" t="s">
        <v>2892</v>
      </c>
      <c r="M1002" s="100" t="str">
        <f t="shared" si="30"/>
        <v>CPD_TC239_Try2_NCAP3_3YO_F3L_CPD.MF4.xz</v>
      </c>
      <c r="N1002" s="59" t="str">
        <f t="shared" si="31"/>
        <v>_NCAP3_3YO_F3L_CPD.MF4.xz</v>
      </c>
      <c r="O1002" s="87" t="s">
        <v>86</v>
      </c>
      <c r="P1002" s="87"/>
    </row>
    <row r="1003" spans="1:16">
      <c r="A1003" s="77">
        <v>239</v>
      </c>
      <c r="B1003" t="s">
        <v>2304</v>
      </c>
      <c r="C1003" t="s">
        <v>66</v>
      </c>
      <c r="D1003" s="97" t="e">
        <f>_xlfn.XLOOKUP(A1003,[1]CPD_SOP_new!$A:$A,[1]CPD_SOP_new!#REF!,"not found",0 )</f>
        <v>#REF!</v>
      </c>
      <c r="E1003" s="97" t="str">
        <f>_xlfn.XLOOKUP(A1003,[1]CPD_SOP_new!$A:$A,[1]CPD_SOP_new!$K:$K,"not found",0 )</f>
        <v>F3L</v>
      </c>
      <c r="F1003" t="s">
        <v>28</v>
      </c>
      <c r="G1003" t="s">
        <v>28</v>
      </c>
      <c r="H1003" t="s">
        <v>28</v>
      </c>
      <c r="I1003" t="s">
        <v>28</v>
      </c>
      <c r="J1003" t="s">
        <v>124</v>
      </c>
      <c r="K1003" s="16" t="s">
        <v>1478</v>
      </c>
      <c r="L1003" s="16" t="s">
        <v>2893</v>
      </c>
      <c r="M1003" s="100" t="str">
        <f t="shared" si="30"/>
        <v>CPD_TC239_Try3_NCAP3_3YO_F3L_CPD.MF4.xz</v>
      </c>
      <c r="N1003" s="59" t="str">
        <f t="shared" si="31"/>
        <v>_NCAP3_3YO_F3L_CPD.MF4.xz</v>
      </c>
      <c r="O1003" s="87" t="s">
        <v>86</v>
      </c>
      <c r="P1003" s="87"/>
    </row>
    <row r="1004" spans="1:16">
      <c r="A1004" s="77">
        <v>239</v>
      </c>
      <c r="B1004" t="s">
        <v>2304</v>
      </c>
      <c r="C1004" t="s">
        <v>66</v>
      </c>
      <c r="D1004" s="97" t="e">
        <f>_xlfn.XLOOKUP(A1004,[1]CPD_SOP_new!$A:$A,[1]CPD_SOP_new!#REF!,"not found",0 )</f>
        <v>#REF!</v>
      </c>
      <c r="E1004" s="97" t="str">
        <f>_xlfn.XLOOKUP(A1004,[1]CPD_SOP_new!$A:$A,[1]CPD_SOP_new!$K:$K,"not found",0 )</f>
        <v>F3L</v>
      </c>
      <c r="F1004" t="s">
        <v>28</v>
      </c>
      <c r="G1004" t="s">
        <v>28</v>
      </c>
      <c r="H1004" t="s">
        <v>28</v>
      </c>
      <c r="I1004" t="s">
        <v>28</v>
      </c>
      <c r="J1004" t="s">
        <v>124</v>
      </c>
      <c r="K1004" s="16" t="s">
        <v>1479</v>
      </c>
      <c r="L1004" s="16" t="s">
        <v>2894</v>
      </c>
      <c r="M1004" s="100" t="str">
        <f t="shared" si="30"/>
        <v>CPD_TC239_Try4_NCAP3_3YO_F3L_CPD.MF4.xz</v>
      </c>
      <c r="N1004" s="59" t="str">
        <f t="shared" si="31"/>
        <v>_NCAP3_3YO_F3L_CPD.MF4.xz</v>
      </c>
      <c r="O1004" t="s">
        <v>86</v>
      </c>
    </row>
    <row r="1005" spans="1:16">
      <c r="A1005" s="77">
        <v>239</v>
      </c>
      <c r="B1005" t="s">
        <v>2304</v>
      </c>
      <c r="C1005" t="s">
        <v>66</v>
      </c>
      <c r="D1005" s="97" t="e">
        <f>_xlfn.XLOOKUP(A1005,[1]CPD_SOP_new!$A:$A,[1]CPD_SOP_new!#REF!,"not found",0 )</f>
        <v>#REF!</v>
      </c>
      <c r="E1005" s="97" t="str">
        <f>_xlfn.XLOOKUP(A1005,[1]CPD_SOP_new!$A:$A,[1]CPD_SOP_new!$K:$K,"not found",0 )</f>
        <v>F3L</v>
      </c>
      <c r="F1005" t="s">
        <v>28</v>
      </c>
      <c r="G1005" t="s">
        <v>28</v>
      </c>
      <c r="H1005" t="s">
        <v>28</v>
      </c>
      <c r="I1005" t="s">
        <v>28</v>
      </c>
      <c r="J1005" t="s">
        <v>124</v>
      </c>
      <c r="K1005" s="16" t="s">
        <v>1480</v>
      </c>
      <c r="L1005" s="16" t="s">
        <v>2895</v>
      </c>
      <c r="M1005" s="100" t="str">
        <f t="shared" si="30"/>
        <v>CPD_TC239_Try5_NCAP3_3YO_F3L_CPD.MF4.xz</v>
      </c>
      <c r="N1005" s="59" t="str">
        <f t="shared" si="31"/>
        <v>_NCAP3_3YO_F3L_CPD.MF4.xz</v>
      </c>
      <c r="O1005" s="87" t="s">
        <v>86</v>
      </c>
      <c r="P1005" s="87"/>
    </row>
    <row r="1006" spans="1:16">
      <c r="A1006" s="77">
        <v>240</v>
      </c>
      <c r="B1006" t="s">
        <v>2304</v>
      </c>
      <c r="C1006" t="s">
        <v>66</v>
      </c>
      <c r="D1006" s="97" t="e">
        <f>_xlfn.XLOOKUP(A1006,[1]CPD_SOP_new!$A:$A,[1]CPD_SOP_new!#REF!,"not found",0 )</f>
        <v>#REF!</v>
      </c>
      <c r="E1006" s="97" t="str">
        <f>_xlfn.XLOOKUP(A1006,[1]CPD_SOP_new!$A:$A,[1]CPD_SOP_new!$K:$K,"not found",0 )</f>
        <v>F2L</v>
      </c>
      <c r="F1006" t="s">
        <v>28</v>
      </c>
      <c r="G1006" t="s">
        <v>28</v>
      </c>
      <c r="H1006" t="s">
        <v>28</v>
      </c>
      <c r="I1006" t="s">
        <v>28</v>
      </c>
      <c r="J1006" t="s">
        <v>124</v>
      </c>
      <c r="K1006" t="s">
        <v>1481</v>
      </c>
      <c r="L1006" t="s">
        <v>2896</v>
      </c>
      <c r="M1006" s="100" t="str">
        <f t="shared" si="30"/>
        <v>CSR_XCP_Signals_Recorder_2026-01-20_09-31-09__CPD_TC240_Try5_NCAP3_3YO_F2L_CPD.MF4.xz</v>
      </c>
      <c r="N1006" s="59" t="str">
        <f t="shared" si="31"/>
        <v>_NCAP3_3YO_F2L_CPD.MF4.xz</v>
      </c>
      <c r="O1006" t="s">
        <v>86</v>
      </c>
    </row>
    <row r="1007" spans="1:16">
      <c r="A1007" s="77">
        <v>240</v>
      </c>
      <c r="B1007" t="s">
        <v>2304</v>
      </c>
      <c r="C1007" t="s">
        <v>66</v>
      </c>
      <c r="D1007" s="97" t="e">
        <f>_xlfn.XLOOKUP(A1007,[1]CPD_SOP_new!$A:$A,[1]CPD_SOP_new!#REF!,"not found",0 )</f>
        <v>#REF!</v>
      </c>
      <c r="E1007" s="97" t="str">
        <f>_xlfn.XLOOKUP(A1007,[1]CPD_SOP_new!$A:$A,[1]CPD_SOP_new!$K:$K,"not found",0 )</f>
        <v>F2L</v>
      </c>
      <c r="F1007" t="s">
        <v>28</v>
      </c>
      <c r="G1007" t="s">
        <v>28</v>
      </c>
      <c r="H1007" t="s">
        <v>28</v>
      </c>
      <c r="I1007" t="s">
        <v>28</v>
      </c>
      <c r="J1007" t="s">
        <v>124</v>
      </c>
      <c r="K1007" t="s">
        <v>1483</v>
      </c>
      <c r="L1007" t="s">
        <v>2897</v>
      </c>
      <c r="M1007" s="100" t="str">
        <f t="shared" si="30"/>
        <v>CSR_XCP_Signals_Recorder_2026-01-20_09-24-31_CPD_TC240_Try1_NCAP3_3YO_F2L_CPD.MF4.xz</v>
      </c>
      <c r="N1007" s="59" t="str">
        <f t="shared" si="31"/>
        <v>_NCAP3_3YO_F2L_CPD.MF4.xz</v>
      </c>
      <c r="O1007" t="s">
        <v>86</v>
      </c>
    </row>
    <row r="1008" spans="1:16">
      <c r="A1008" s="77">
        <v>240</v>
      </c>
      <c r="B1008" t="s">
        <v>2304</v>
      </c>
      <c r="C1008" t="s">
        <v>66</v>
      </c>
      <c r="D1008" s="97" t="e">
        <f>_xlfn.XLOOKUP(A1008,[1]CPD_SOP_new!$A:$A,[1]CPD_SOP_new!#REF!,"not found",0 )</f>
        <v>#REF!</v>
      </c>
      <c r="E1008" s="97" t="str">
        <f>_xlfn.XLOOKUP(A1008,[1]CPD_SOP_new!$A:$A,[1]CPD_SOP_new!$K:$K,"not found",0 )</f>
        <v>F2L</v>
      </c>
      <c r="F1008" t="s">
        <v>28</v>
      </c>
      <c r="G1008" t="s">
        <v>28</v>
      </c>
      <c r="H1008" t="s">
        <v>28</v>
      </c>
      <c r="I1008" t="s">
        <v>28</v>
      </c>
      <c r="J1008" t="s">
        <v>124</v>
      </c>
      <c r="K1008" t="s">
        <v>1484</v>
      </c>
      <c r="L1008" t="s">
        <v>2898</v>
      </c>
      <c r="M1008" s="100" t="str">
        <f t="shared" si="30"/>
        <v>CSR_XCP_Signals_Recorder_2026-01-20_09-26-00_CPD_TC240_Try2_NCAP3_3YO_F2L_CPD.MF4.xz</v>
      </c>
      <c r="N1008" s="59" t="str">
        <f t="shared" si="31"/>
        <v>_NCAP3_3YO_F2L_CPD.MF4.xz</v>
      </c>
      <c r="O1008" t="s">
        <v>86</v>
      </c>
    </row>
    <row r="1009" spans="1:21">
      <c r="A1009" s="77">
        <v>240</v>
      </c>
      <c r="B1009" t="s">
        <v>2304</v>
      </c>
      <c r="C1009" t="s">
        <v>66</v>
      </c>
      <c r="D1009" s="97" t="e">
        <f>_xlfn.XLOOKUP(A1009,[1]CPD_SOP_new!$A:$A,[1]CPD_SOP_new!#REF!,"not found",0 )</f>
        <v>#REF!</v>
      </c>
      <c r="E1009" s="97" t="str">
        <f>_xlfn.XLOOKUP(A1009,[1]CPD_SOP_new!$A:$A,[1]CPD_SOP_new!$K:$K,"not found",0 )</f>
        <v>F2L</v>
      </c>
      <c r="F1009" t="s">
        <v>28</v>
      </c>
      <c r="G1009" t="s">
        <v>28</v>
      </c>
      <c r="H1009" t="s">
        <v>28</v>
      </c>
      <c r="I1009" t="s">
        <v>28</v>
      </c>
      <c r="J1009" t="s">
        <v>124</v>
      </c>
      <c r="K1009" t="s">
        <v>1485</v>
      </c>
      <c r="L1009" t="s">
        <v>2899</v>
      </c>
      <c r="M1009" s="100" t="str">
        <f t="shared" si="30"/>
        <v>CSR_XCP_Signals_Recorder_2026-01-20_09-27-47_CPD_TC240_Try3_NCAP3_3YO_F2L_CPD.MF4.xz</v>
      </c>
      <c r="N1009" s="59" t="str">
        <f t="shared" si="31"/>
        <v>_NCAP3_3YO_F2L_CPD.MF4.xz</v>
      </c>
      <c r="O1009" t="s">
        <v>86</v>
      </c>
    </row>
    <row r="1010" spans="1:21">
      <c r="A1010" s="77">
        <v>240</v>
      </c>
      <c r="B1010" t="s">
        <v>2304</v>
      </c>
      <c r="C1010" t="s">
        <v>66</v>
      </c>
      <c r="D1010" s="97" t="e">
        <f>_xlfn.XLOOKUP(A1010,[1]CPD_SOP_new!$A:$A,[1]CPD_SOP_new!#REF!,"not found",0 )</f>
        <v>#REF!</v>
      </c>
      <c r="E1010" s="97" t="str">
        <f>_xlfn.XLOOKUP(A1010,[1]CPD_SOP_new!$A:$A,[1]CPD_SOP_new!$K:$K,"not found",0 )</f>
        <v>F2L</v>
      </c>
      <c r="F1010" t="s">
        <v>28</v>
      </c>
      <c r="G1010" t="s">
        <v>28</v>
      </c>
      <c r="H1010" t="s">
        <v>28</v>
      </c>
      <c r="I1010" t="s">
        <v>28</v>
      </c>
      <c r="J1010" t="s">
        <v>124</v>
      </c>
      <c r="K1010" t="s">
        <v>128</v>
      </c>
      <c r="L1010" t="s">
        <v>2900</v>
      </c>
      <c r="M1010" s="100" t="str">
        <f t="shared" si="30"/>
        <v>CSR_XCP_Signals_Recorder_2026-01-20_09-29-35_CPD_TC240_Try4_NCAP3_3YO_F2L_CPD.MF4.xz</v>
      </c>
      <c r="N1010" s="59" t="str">
        <f t="shared" si="31"/>
        <v>_NCAP3_3YO_F2L_CPD.MF4.xz</v>
      </c>
      <c r="O1010" t="s">
        <v>86</v>
      </c>
    </row>
    <row r="1011" spans="1:21">
      <c r="A1011" s="77">
        <v>240</v>
      </c>
      <c r="B1011" t="s">
        <v>2304</v>
      </c>
      <c r="C1011" t="s">
        <v>66</v>
      </c>
      <c r="D1011" s="97" t="e">
        <f>_xlfn.XLOOKUP(A1011,[1]CPD_SOP_new!$A:$A,[1]CPD_SOP_new!#REF!,"not found",0 )</f>
        <v>#REF!</v>
      </c>
      <c r="E1011" s="97" t="str">
        <f>_xlfn.XLOOKUP(A1011,[1]CPD_SOP_new!$A:$A,[1]CPD_SOP_new!$K:$K,"not found",0 )</f>
        <v>F2L</v>
      </c>
      <c r="F1011" t="s">
        <v>28</v>
      </c>
      <c r="G1011" t="s">
        <v>28</v>
      </c>
      <c r="H1011" t="s">
        <v>28</v>
      </c>
      <c r="I1011" t="s">
        <v>28</v>
      </c>
      <c r="J1011" t="s">
        <v>124</v>
      </c>
      <c r="K1011" t="s">
        <v>1487</v>
      </c>
      <c r="L1011" t="s">
        <v>2901</v>
      </c>
      <c r="M1011" s="100" t="str">
        <f t="shared" si="30"/>
        <v>CSR_XCP_Signals_Recorder_2026-01-29_16-44-55_TC240_NCAP3_3YO_F2L_CPD.MF4.xz</v>
      </c>
      <c r="N1011" s="59" t="str">
        <f t="shared" si="31"/>
        <v>_NCAP3_3YO_F2L_CPD.MF4.xz</v>
      </c>
      <c r="O1011" t="s">
        <v>213</v>
      </c>
      <c r="Q1011" t="s">
        <v>124</v>
      </c>
      <c r="R1011" t="s">
        <v>29</v>
      </c>
      <c r="S1011">
        <v>1</v>
      </c>
      <c r="T1011">
        <v>0</v>
      </c>
      <c r="U1011">
        <v>0</v>
      </c>
    </row>
    <row r="1012" spans="1:21">
      <c r="A1012" s="77">
        <v>240</v>
      </c>
      <c r="B1012" t="s">
        <v>2304</v>
      </c>
      <c r="C1012" t="s">
        <v>66</v>
      </c>
      <c r="D1012" s="97" t="e">
        <f>_xlfn.XLOOKUP(A1012,[1]CPD_SOP_new!$A:$A,[1]CPD_SOP_new!#REF!,"not found",0 )</f>
        <v>#REF!</v>
      </c>
      <c r="E1012" s="97" t="str">
        <f>_xlfn.XLOOKUP(A1012,[1]CPD_SOP_new!$A:$A,[1]CPD_SOP_new!$K:$K,"not found",0 )</f>
        <v>F2L</v>
      </c>
      <c r="F1012" t="s">
        <v>28</v>
      </c>
      <c r="G1012" t="s">
        <v>28</v>
      </c>
      <c r="H1012" t="s">
        <v>28</v>
      </c>
      <c r="I1012" t="s">
        <v>28</v>
      </c>
      <c r="J1012" t="s">
        <v>124</v>
      </c>
      <c r="K1012" t="s">
        <v>1489</v>
      </c>
      <c r="L1012" t="s">
        <v>2902</v>
      </c>
      <c r="M1012" s="100" t="str">
        <f t="shared" si="30"/>
        <v>CSR_XCP_Signals_Recorder_2026-01-29_16-46-23_TC240_NCAP3_3YO_F2L_CPD.MF4.xz</v>
      </c>
      <c r="N1012" s="59" t="str">
        <f t="shared" si="31"/>
        <v>_NCAP3_3YO_F2L_CPD.MF4.xz</v>
      </c>
      <c r="O1012" t="s">
        <v>213</v>
      </c>
      <c r="Q1012" t="s">
        <v>124</v>
      </c>
      <c r="R1012" t="s">
        <v>29</v>
      </c>
      <c r="S1012">
        <v>1</v>
      </c>
      <c r="T1012">
        <v>0</v>
      </c>
      <c r="U1012">
        <v>0</v>
      </c>
    </row>
    <row r="1013" spans="1:21" s="137" customFormat="1">
      <c r="A1013" s="77">
        <v>240</v>
      </c>
      <c r="B1013" t="s">
        <v>2304</v>
      </c>
      <c r="C1013" t="s">
        <v>66</v>
      </c>
      <c r="D1013" s="97" t="e">
        <f>_xlfn.XLOOKUP(A1013,[1]CPD_SOP_new!$A:$A,[1]CPD_SOP_new!#REF!,"not found",0 )</f>
        <v>#REF!</v>
      </c>
      <c r="E1013" s="97" t="str">
        <f>_xlfn.XLOOKUP(A1013,[1]CPD_SOP_new!$A:$A,[1]CPD_SOP_new!$K:$K,"not found",0 )</f>
        <v>F2L</v>
      </c>
      <c r="F1013" t="s">
        <v>28</v>
      </c>
      <c r="G1013" t="s">
        <v>28</v>
      </c>
      <c r="H1013" t="s">
        <v>28</v>
      </c>
      <c r="I1013" t="s">
        <v>28</v>
      </c>
      <c r="J1013" t="s">
        <v>124</v>
      </c>
      <c r="K1013" t="s">
        <v>1490</v>
      </c>
      <c r="L1013" t="s">
        <v>2903</v>
      </c>
      <c r="M1013" s="100" t="str">
        <f t="shared" si="30"/>
        <v>CSR_XCP_Signals_Recorder_2026-01-29_16-47-51_TC240_NCAP3_3YO_F2L_CPD.MF4.xz</v>
      </c>
      <c r="N1013" s="59" t="str">
        <f t="shared" si="31"/>
        <v>_NCAP3_3YO_F2L_CPD.MF4.xz</v>
      </c>
      <c r="O1013" t="s">
        <v>213</v>
      </c>
      <c r="Q1013" t="s">
        <v>124</v>
      </c>
      <c r="R1013" t="s">
        <v>29</v>
      </c>
      <c r="S1013">
        <v>1</v>
      </c>
      <c r="T1013">
        <v>0</v>
      </c>
      <c r="U1013">
        <v>0</v>
      </c>
    </row>
    <row r="1014" spans="1:21">
      <c r="A1014" s="77">
        <v>243</v>
      </c>
      <c r="B1014" t="s">
        <v>2304</v>
      </c>
      <c r="C1014" t="s">
        <v>66</v>
      </c>
      <c r="D1014" s="97" t="e">
        <f>_xlfn.XLOOKUP(A1014,[1]CPD_SOP_new!$A:$A,[1]CPD_SOP_new!#REF!,"not found",0 )</f>
        <v>#REF!</v>
      </c>
      <c r="E1014" s="97" t="str">
        <f>_xlfn.XLOOKUP(A1014,[1]CPD_SOP_new!$A:$A,[1]CPD_SOP_new!$K:$K,"not found",0 )</f>
        <v>F2R</v>
      </c>
      <c r="F1014" t="s">
        <v>28</v>
      </c>
      <c r="G1014" t="s">
        <v>28</v>
      </c>
      <c r="H1014" t="s">
        <v>28</v>
      </c>
      <c r="I1014" t="s">
        <v>28</v>
      </c>
      <c r="J1014" t="s">
        <v>124</v>
      </c>
      <c r="K1014" s="16" t="s">
        <v>1491</v>
      </c>
      <c r="L1014" s="16" t="s">
        <v>2904</v>
      </c>
      <c r="M1014" s="100" t="str">
        <f t="shared" si="30"/>
        <v>CPD_TC243_Try1_NCAP3_3YO_F2R_CPD.MF4.xz</v>
      </c>
      <c r="N1014" s="59" t="str">
        <f t="shared" si="31"/>
        <v>_NCAP3_3YO_F2R_CPD.MF4.xz</v>
      </c>
      <c r="O1014" s="16" t="s">
        <v>86</v>
      </c>
      <c r="P1014" s="16"/>
    </row>
    <row r="1015" spans="1:21">
      <c r="A1015" s="77">
        <v>243</v>
      </c>
      <c r="B1015" t="s">
        <v>2304</v>
      </c>
      <c r="C1015" t="s">
        <v>66</v>
      </c>
      <c r="D1015" s="97" t="e">
        <f>_xlfn.XLOOKUP(A1015,[1]CPD_SOP_new!$A:$A,[1]CPD_SOP_new!#REF!,"not found",0 )</f>
        <v>#REF!</v>
      </c>
      <c r="E1015" s="97" t="str">
        <f>_xlfn.XLOOKUP(A1015,[1]CPD_SOP_new!$A:$A,[1]CPD_SOP_new!$K:$K,"not found",0 )</f>
        <v>F2R</v>
      </c>
      <c r="F1015" t="s">
        <v>28</v>
      </c>
      <c r="G1015" t="s">
        <v>28</v>
      </c>
      <c r="H1015" t="s">
        <v>28</v>
      </c>
      <c r="I1015" t="s">
        <v>28</v>
      </c>
      <c r="J1015" t="s">
        <v>124</v>
      </c>
      <c r="K1015" s="16" t="s">
        <v>1493</v>
      </c>
      <c r="L1015" s="16" t="s">
        <v>2905</v>
      </c>
      <c r="M1015" s="100" t="str">
        <f t="shared" si="30"/>
        <v>CPD_TC243_Try2_NCAP3_3YO_F2R_CPD.MF4.xz</v>
      </c>
      <c r="N1015" s="59" t="str">
        <f t="shared" si="31"/>
        <v>_NCAP3_3YO_F2R_CPD.MF4.xz</v>
      </c>
      <c r="O1015" s="16" t="s">
        <v>86</v>
      </c>
      <c r="P1015" s="16"/>
    </row>
    <row r="1016" spans="1:21">
      <c r="A1016" s="77">
        <v>243</v>
      </c>
      <c r="B1016" t="s">
        <v>2304</v>
      </c>
      <c r="C1016" t="s">
        <v>66</v>
      </c>
      <c r="D1016" s="97" t="e">
        <f>_xlfn.XLOOKUP(A1016,[1]CPD_SOP_new!$A:$A,[1]CPD_SOP_new!#REF!,"not found",0 )</f>
        <v>#REF!</v>
      </c>
      <c r="E1016" s="97" t="str">
        <f>_xlfn.XLOOKUP(A1016,[1]CPD_SOP_new!$A:$A,[1]CPD_SOP_new!$K:$K,"not found",0 )</f>
        <v>F2R</v>
      </c>
      <c r="F1016" t="s">
        <v>28</v>
      </c>
      <c r="G1016" t="s">
        <v>28</v>
      </c>
      <c r="H1016" t="s">
        <v>28</v>
      </c>
      <c r="I1016" t="s">
        <v>28</v>
      </c>
      <c r="J1016" t="s">
        <v>124</v>
      </c>
      <c r="K1016" s="16" t="s">
        <v>1494</v>
      </c>
      <c r="L1016" s="16" t="s">
        <v>2906</v>
      </c>
      <c r="M1016" s="100" t="str">
        <f t="shared" si="30"/>
        <v>CPD_TC243_Try3_NCAP3_3YO_F2R_CPD.MF4.xz</v>
      </c>
      <c r="N1016" s="59" t="str">
        <f t="shared" si="31"/>
        <v>_NCAP3_3YO_F2R_CPD.MF4.xz</v>
      </c>
      <c r="O1016" s="16" t="s">
        <v>86</v>
      </c>
      <c r="P1016" s="16"/>
    </row>
    <row r="1017" spans="1:21">
      <c r="A1017" s="77">
        <v>243</v>
      </c>
      <c r="B1017" t="s">
        <v>2304</v>
      </c>
      <c r="C1017" t="s">
        <v>66</v>
      </c>
      <c r="D1017" s="97" t="e">
        <f>_xlfn.XLOOKUP(A1017,[1]CPD_SOP_new!$A:$A,[1]CPD_SOP_new!#REF!,"not found",0 )</f>
        <v>#REF!</v>
      </c>
      <c r="E1017" s="97" t="str">
        <f>_xlfn.XLOOKUP(A1017,[1]CPD_SOP_new!$A:$A,[1]CPD_SOP_new!$K:$K,"not found",0 )</f>
        <v>F2R</v>
      </c>
      <c r="F1017" t="s">
        <v>28</v>
      </c>
      <c r="G1017" t="s">
        <v>28</v>
      </c>
      <c r="H1017" t="s">
        <v>28</v>
      </c>
      <c r="I1017" t="s">
        <v>28</v>
      </c>
      <c r="J1017" t="s">
        <v>124</v>
      </c>
      <c r="K1017" s="16" t="s">
        <v>1495</v>
      </c>
      <c r="L1017" s="16" t="s">
        <v>2907</v>
      </c>
      <c r="M1017" s="100" t="str">
        <f t="shared" si="30"/>
        <v>CPD_TC243_Try4_NCAP3_3YO_F2R_CPD.MF4.xz</v>
      </c>
      <c r="N1017" s="59" t="str">
        <f t="shared" si="31"/>
        <v>_NCAP3_3YO_F2R_CPD.MF4.xz</v>
      </c>
      <c r="O1017" s="16" t="s">
        <v>86</v>
      </c>
      <c r="P1017" s="16"/>
    </row>
    <row r="1018" spans="1:21">
      <c r="A1018" s="77">
        <v>243</v>
      </c>
      <c r="B1018" t="s">
        <v>2304</v>
      </c>
      <c r="C1018" t="s">
        <v>66</v>
      </c>
      <c r="D1018" s="97" t="e">
        <f>_xlfn.XLOOKUP(A1018,[1]CPD_SOP_new!$A:$A,[1]CPD_SOP_new!#REF!,"not found",0 )</f>
        <v>#REF!</v>
      </c>
      <c r="E1018" s="97" t="str">
        <f>_xlfn.XLOOKUP(A1018,[1]CPD_SOP_new!$A:$A,[1]CPD_SOP_new!$K:$K,"not found",0 )</f>
        <v>F2R</v>
      </c>
      <c r="F1018" t="s">
        <v>28</v>
      </c>
      <c r="G1018" t="s">
        <v>28</v>
      </c>
      <c r="H1018" t="s">
        <v>28</v>
      </c>
      <c r="I1018" t="s">
        <v>28</v>
      </c>
      <c r="J1018" t="s">
        <v>124</v>
      </c>
      <c r="K1018" s="16" t="s">
        <v>1496</v>
      </c>
      <c r="L1018" s="16" t="s">
        <v>2908</v>
      </c>
      <c r="M1018" s="100" t="str">
        <f t="shared" si="30"/>
        <v>CPD_TC243_Try5_NCAP3_3YO_F2R_CPD.MF4.xz</v>
      </c>
      <c r="N1018" s="59" t="str">
        <f t="shared" si="31"/>
        <v>_NCAP3_3YO_F2R_CPD.MF4.xz</v>
      </c>
      <c r="O1018" s="16" t="s">
        <v>86</v>
      </c>
      <c r="P1018" s="16"/>
    </row>
    <row r="1019" spans="1:21">
      <c r="A1019" s="77">
        <v>244</v>
      </c>
      <c r="B1019" t="s">
        <v>2304</v>
      </c>
      <c r="C1019" t="s">
        <v>66</v>
      </c>
      <c r="D1019" s="97" t="e">
        <f>_xlfn.XLOOKUP(A1019,[1]CPD_SOP_new!$A:$A,[1]CPD_SOP_new!#REF!,"not found",0 )</f>
        <v>#REF!</v>
      </c>
      <c r="E1019" s="97" t="str">
        <f>_xlfn.XLOOKUP(A1019,[1]CPD_SOP_new!$A:$A,[1]CPD_SOP_new!$K:$K,"not found",0 )</f>
        <v>F3R</v>
      </c>
      <c r="F1019" t="s">
        <v>28</v>
      </c>
      <c r="G1019" t="s">
        <v>28</v>
      </c>
      <c r="H1019" t="s">
        <v>28</v>
      </c>
      <c r="I1019" t="s">
        <v>28</v>
      </c>
      <c r="J1019" t="s">
        <v>124</v>
      </c>
      <c r="K1019" t="s">
        <v>138</v>
      </c>
      <c r="L1019" t="s">
        <v>2909</v>
      </c>
      <c r="M1019" s="100" t="str">
        <f t="shared" si="30"/>
        <v>CSR_XCP_Signals_Recorder_2026-01-20_09-43-14_CPD_TC244_Try5_NCAP3_3YO_F3R_CPD.MF4.xz</v>
      </c>
      <c r="N1019" s="59" t="str">
        <f t="shared" si="31"/>
        <v>_NCAP3_3YO_F3R_CPD.MF4.xz</v>
      </c>
      <c r="O1019" t="s">
        <v>86</v>
      </c>
    </row>
    <row r="1020" spans="1:21">
      <c r="A1020" s="77">
        <v>244</v>
      </c>
      <c r="B1020" t="s">
        <v>2304</v>
      </c>
      <c r="C1020" t="s">
        <v>66</v>
      </c>
      <c r="D1020" s="97" t="e">
        <f>_xlfn.XLOOKUP(A1020,[1]CPD_SOP_new!$A:$A,[1]CPD_SOP_new!#REF!,"not found",0 )</f>
        <v>#REF!</v>
      </c>
      <c r="E1020" s="97" t="str">
        <f>_xlfn.XLOOKUP(A1020,[1]CPD_SOP_new!$A:$A,[1]CPD_SOP_new!$K:$K,"not found",0 )</f>
        <v>F3R</v>
      </c>
      <c r="F1020" t="s">
        <v>28</v>
      </c>
      <c r="G1020" t="s">
        <v>28</v>
      </c>
      <c r="H1020" t="s">
        <v>28</v>
      </c>
      <c r="I1020" t="s">
        <v>28</v>
      </c>
      <c r="J1020" t="s">
        <v>124</v>
      </c>
      <c r="K1020" t="s">
        <v>1498</v>
      </c>
      <c r="L1020" t="s">
        <v>2910</v>
      </c>
      <c r="M1020" s="100" t="str">
        <f t="shared" si="30"/>
        <v>CSR_XCP_Signals_Recorder_2026-01-20_09-37-04_CPD_TC244_Try1_NCAP3_3YO_F3R_CPD.MF4.xz</v>
      </c>
      <c r="N1020" s="59" t="str">
        <f t="shared" si="31"/>
        <v>_NCAP3_3YO_F3R_CPD.MF4.xz</v>
      </c>
      <c r="O1020" t="s">
        <v>86</v>
      </c>
    </row>
    <row r="1021" spans="1:21" s="130" customFormat="1">
      <c r="A1021" s="78">
        <v>244</v>
      </c>
      <c r="B1021" s="130" t="s">
        <v>2304</v>
      </c>
      <c r="C1021" s="130" t="s">
        <v>66</v>
      </c>
      <c r="D1021" s="97" t="e">
        <f>_xlfn.XLOOKUP(A1021,[1]CPD_SOP_new!$A:$A,[1]CPD_SOP_new!#REF!,"not found",0 )</f>
        <v>#REF!</v>
      </c>
      <c r="E1021" s="97" t="str">
        <f>_xlfn.XLOOKUP(A1021,[1]CPD_SOP_new!$A:$A,[1]CPD_SOP_new!$K:$K,"not found",0 )</f>
        <v>F3R</v>
      </c>
      <c r="F1021" s="130" t="s">
        <v>28</v>
      </c>
      <c r="G1021" s="130" t="s">
        <v>28</v>
      </c>
      <c r="H1021" s="130" t="s">
        <v>28</v>
      </c>
      <c r="I1021" s="130" t="s">
        <v>27</v>
      </c>
      <c r="J1021" s="130" t="s">
        <v>124</v>
      </c>
      <c r="K1021" s="130" t="s">
        <v>152</v>
      </c>
      <c r="L1021" s="130" t="s">
        <v>723</v>
      </c>
      <c r="M1021" s="100" t="str">
        <f t="shared" si="30"/>
        <v>Wrong measurement</v>
      </c>
      <c r="N1021" s="59" t="str">
        <f t="shared" si="31"/>
        <v>Wrong measurement</v>
      </c>
      <c r="O1021" s="130" t="s">
        <v>86</v>
      </c>
    </row>
    <row r="1022" spans="1:21">
      <c r="A1022" s="77">
        <v>244</v>
      </c>
      <c r="B1022" t="s">
        <v>2304</v>
      </c>
      <c r="C1022" t="s">
        <v>66</v>
      </c>
      <c r="D1022" s="97" t="e">
        <f>_xlfn.XLOOKUP(A1022,[1]CPD_SOP_new!$A:$A,[1]CPD_SOP_new!#REF!,"not found",0 )</f>
        <v>#REF!</v>
      </c>
      <c r="E1022" s="97" t="str">
        <f>_xlfn.XLOOKUP(A1022,[1]CPD_SOP_new!$A:$A,[1]CPD_SOP_new!$K:$K,"not found",0 )</f>
        <v>F3R</v>
      </c>
      <c r="F1022" t="s">
        <v>28</v>
      </c>
      <c r="G1022" t="s">
        <v>28</v>
      </c>
      <c r="H1022" t="s">
        <v>28</v>
      </c>
      <c r="I1022" t="s">
        <v>28</v>
      </c>
      <c r="J1022" t="s">
        <v>124</v>
      </c>
      <c r="K1022" t="s">
        <v>1502</v>
      </c>
      <c r="L1022" t="s">
        <v>2911</v>
      </c>
      <c r="M1022" s="100" t="str">
        <f t="shared" si="30"/>
        <v>CSR_XCP_Signals_Recorder_2026-01-20_09-40-07_CPD_TC244_Try3_NCAP3_3YO_F3R_CPD.MF4.xz</v>
      </c>
      <c r="N1022" s="59" t="str">
        <f t="shared" si="31"/>
        <v>_NCAP3_3YO_F3R_CPD.MF4.xz</v>
      </c>
      <c r="O1022" t="s">
        <v>86</v>
      </c>
    </row>
    <row r="1023" spans="1:21">
      <c r="A1023" s="77">
        <v>244</v>
      </c>
      <c r="B1023" t="s">
        <v>2304</v>
      </c>
      <c r="C1023" t="s">
        <v>66</v>
      </c>
      <c r="D1023" s="97" t="e">
        <f>_xlfn.XLOOKUP(A1023,[1]CPD_SOP_new!$A:$A,[1]CPD_SOP_new!#REF!,"not found",0 )</f>
        <v>#REF!</v>
      </c>
      <c r="E1023" s="97" t="str">
        <f>_xlfn.XLOOKUP(A1023,[1]CPD_SOP_new!$A:$A,[1]CPD_SOP_new!$K:$K,"not found",0 )</f>
        <v>F3R</v>
      </c>
      <c r="F1023" t="s">
        <v>28</v>
      </c>
      <c r="G1023" t="s">
        <v>28</v>
      </c>
      <c r="H1023" t="s">
        <v>28</v>
      </c>
      <c r="I1023" t="s">
        <v>28</v>
      </c>
      <c r="J1023" t="s">
        <v>124</v>
      </c>
      <c r="K1023" t="s">
        <v>1503</v>
      </c>
      <c r="L1023" t="s">
        <v>2912</v>
      </c>
      <c r="M1023" s="100" t="str">
        <f t="shared" si="30"/>
        <v>CSR_XCP_Signals_Recorder_2026-01-20_09-41-40_CPD_TC244_Try4_NCAP3_3YO_F3R_CPD.MF4.xz</v>
      </c>
      <c r="N1023" s="59" t="str">
        <f t="shared" si="31"/>
        <v>_NCAP3_3YO_F3R_CPD.MF4.xz</v>
      </c>
      <c r="O1023" t="s">
        <v>86</v>
      </c>
    </row>
    <row r="1024" spans="1:21">
      <c r="A1024" s="38">
        <v>247</v>
      </c>
      <c r="B1024" t="s">
        <v>2304</v>
      </c>
      <c r="C1024" t="s">
        <v>66</v>
      </c>
      <c r="D1024" s="97" t="e">
        <f>_xlfn.XLOOKUP(A1024,[1]CPD_SOP_new!$A:$A,[1]CPD_SOP_new!#REF!,"not found",0 )</f>
        <v>#REF!</v>
      </c>
      <c r="E1024" s="97" t="str">
        <f>_xlfn.XLOOKUP(A1024,[1]CPD_SOP_new!$A:$A,[1]CPD_SOP_new!$K:$K,"not found",0 )</f>
        <v>F1D</v>
      </c>
      <c r="F1024" t="s">
        <v>27</v>
      </c>
      <c r="G1024" t="s">
        <v>27</v>
      </c>
      <c r="H1024" t="s">
        <v>27</v>
      </c>
      <c r="I1024" t="s">
        <v>28</v>
      </c>
      <c r="J1024" t="s">
        <v>124</v>
      </c>
      <c r="K1024" t="s">
        <v>1504</v>
      </c>
      <c r="L1024" t="s">
        <v>2913</v>
      </c>
      <c r="M1024" s="100" t="str">
        <f t="shared" si="30"/>
        <v>TC247_Try_1_NCAP3_3YO_F1D_CPD.MF4.xz</v>
      </c>
      <c r="N1024" s="59" t="str">
        <f t="shared" si="31"/>
        <v>_NCAP3_3YO_F1D_CPD.MF4.xz</v>
      </c>
      <c r="O1024" s="134" t="s">
        <v>475</v>
      </c>
      <c r="P1024" s="134"/>
    </row>
    <row r="1025" spans="1:16">
      <c r="A1025" s="38">
        <v>247</v>
      </c>
      <c r="B1025" t="s">
        <v>2304</v>
      </c>
      <c r="C1025" t="s">
        <v>66</v>
      </c>
      <c r="D1025" s="97" t="e">
        <f>_xlfn.XLOOKUP(A1025,[1]CPD_SOP_new!$A:$A,[1]CPD_SOP_new!#REF!,"not found",0 )</f>
        <v>#REF!</v>
      </c>
      <c r="E1025" s="97" t="str">
        <f>_xlfn.XLOOKUP(A1025,[1]CPD_SOP_new!$A:$A,[1]CPD_SOP_new!$K:$K,"not found",0 )</f>
        <v>F1D</v>
      </c>
      <c r="F1025" t="s">
        <v>27</v>
      </c>
      <c r="G1025" t="s">
        <v>27</v>
      </c>
      <c r="H1025" t="s">
        <v>27</v>
      </c>
      <c r="I1025" t="s">
        <v>28</v>
      </c>
      <c r="J1025" t="s">
        <v>124</v>
      </c>
      <c r="K1025" t="s">
        <v>1505</v>
      </c>
      <c r="L1025" t="s">
        <v>2914</v>
      </c>
      <c r="M1025" s="100" t="str">
        <f t="shared" si="30"/>
        <v>TC247_Try_2_NCAP3_3YO_F1D_CPD.MF4.xz</v>
      </c>
      <c r="N1025" s="59" t="str">
        <f t="shared" si="31"/>
        <v>_NCAP3_3YO_F1D_CPD.MF4.xz</v>
      </c>
      <c r="O1025" s="134" t="s">
        <v>475</v>
      </c>
      <c r="P1025" s="134"/>
    </row>
    <row r="1026" spans="1:16">
      <c r="A1026" s="38">
        <v>247</v>
      </c>
      <c r="B1026" t="s">
        <v>2304</v>
      </c>
      <c r="C1026" t="s">
        <v>66</v>
      </c>
      <c r="D1026" s="97" t="e">
        <f>_xlfn.XLOOKUP(A1026,[1]CPD_SOP_new!$A:$A,[1]CPD_SOP_new!#REF!,"not found",0 )</f>
        <v>#REF!</v>
      </c>
      <c r="E1026" s="97" t="str">
        <f>_xlfn.XLOOKUP(A1026,[1]CPD_SOP_new!$A:$A,[1]CPD_SOP_new!$K:$K,"not found",0 )</f>
        <v>F1D</v>
      </c>
      <c r="F1026" t="s">
        <v>27</v>
      </c>
      <c r="G1026" t="s">
        <v>27</v>
      </c>
      <c r="H1026" t="s">
        <v>27</v>
      </c>
      <c r="I1026" t="s">
        <v>28</v>
      </c>
      <c r="J1026" t="s">
        <v>124</v>
      </c>
      <c r="K1026" t="s">
        <v>1506</v>
      </c>
      <c r="L1026" t="s">
        <v>2915</v>
      </c>
      <c r="M1026" s="100" t="str">
        <f t="shared" ref="M1026:M1089" si="32">IF(NOT(N1026="Wrong measurement"),SUBSTITUTE(K1026,".MF4.xz",N1026),"Wrong measurement")</f>
        <v>TC247_Try_3_NCAP3_3YO_F1D_CPD.MF4.xz</v>
      </c>
      <c r="N1026" s="59" t="str">
        <f t="shared" ref="N1026:N1089" si="33">IF(I1026="Y",("_"&amp;B1026 &amp;"_"&amp; IF(C1026="","",C1026)&amp;"_"&amp;E1026&amp;"_CPD.MF4.xz"),"Wrong measurement")</f>
        <v>_NCAP3_3YO_F1D_CPD.MF4.xz</v>
      </c>
      <c r="O1026" s="134" t="s">
        <v>475</v>
      </c>
      <c r="P1026" s="134"/>
    </row>
    <row r="1027" spans="1:16">
      <c r="A1027" s="38">
        <v>248</v>
      </c>
      <c r="B1027" t="s">
        <v>2304</v>
      </c>
      <c r="C1027" t="s">
        <v>66</v>
      </c>
      <c r="D1027" s="97" t="e">
        <f>_xlfn.XLOOKUP(A1027,[1]CPD_SOP_new!$A:$A,[1]CPD_SOP_new!#REF!,"not found",0 )</f>
        <v>#REF!</v>
      </c>
      <c r="E1027" s="97" t="str">
        <f>_xlfn.XLOOKUP(A1027,[1]CPD_SOP_new!$A:$A,[1]CPD_SOP_new!$K:$K,"not found",0 )</f>
        <v>F1P</v>
      </c>
      <c r="F1027" t="s">
        <v>27</v>
      </c>
      <c r="G1027" t="s">
        <v>27</v>
      </c>
      <c r="H1027" t="s">
        <v>27</v>
      </c>
      <c r="I1027" t="s">
        <v>28</v>
      </c>
      <c r="J1027" t="s">
        <v>124</v>
      </c>
      <c r="K1027" t="s">
        <v>1507</v>
      </c>
      <c r="L1027" t="s">
        <v>2916</v>
      </c>
      <c r="M1027" s="100" t="str">
        <f t="shared" si="32"/>
        <v>TC248_Try_1_NCAP3_3YO_F1P_CPD.MF4.xz</v>
      </c>
      <c r="N1027" s="59" t="str">
        <f t="shared" si="33"/>
        <v>_NCAP3_3YO_F1P_CPD.MF4.xz</v>
      </c>
      <c r="O1027" s="134" t="s">
        <v>475</v>
      </c>
      <c r="P1027" s="134"/>
    </row>
    <row r="1028" spans="1:16">
      <c r="A1028" s="38">
        <v>248</v>
      </c>
      <c r="B1028" t="s">
        <v>2304</v>
      </c>
      <c r="C1028" t="s">
        <v>66</v>
      </c>
      <c r="D1028" s="97" t="e">
        <f>_xlfn.XLOOKUP(A1028,[1]CPD_SOP_new!$A:$A,[1]CPD_SOP_new!#REF!,"not found",0 )</f>
        <v>#REF!</v>
      </c>
      <c r="E1028" s="97" t="str">
        <f>_xlfn.XLOOKUP(A1028,[1]CPD_SOP_new!$A:$A,[1]CPD_SOP_new!$K:$K,"not found",0 )</f>
        <v>F1P</v>
      </c>
      <c r="F1028" t="s">
        <v>27</v>
      </c>
      <c r="G1028" t="s">
        <v>27</v>
      </c>
      <c r="H1028" t="s">
        <v>27</v>
      </c>
      <c r="I1028" t="s">
        <v>28</v>
      </c>
      <c r="J1028" t="s">
        <v>124</v>
      </c>
      <c r="K1028" t="s">
        <v>1508</v>
      </c>
      <c r="L1028" t="s">
        <v>2917</v>
      </c>
      <c r="M1028" s="100" t="str">
        <f t="shared" si="32"/>
        <v>TC248_Try_2_NCAP3_3YO_F1P_CPD.MF4.xz</v>
      </c>
      <c r="N1028" s="59" t="str">
        <f t="shared" si="33"/>
        <v>_NCAP3_3YO_F1P_CPD.MF4.xz</v>
      </c>
      <c r="O1028" s="134" t="s">
        <v>475</v>
      </c>
      <c r="P1028" s="134"/>
    </row>
    <row r="1029" spans="1:16">
      <c r="A1029" s="38">
        <v>248</v>
      </c>
      <c r="B1029" t="s">
        <v>2304</v>
      </c>
      <c r="C1029" t="s">
        <v>66</v>
      </c>
      <c r="D1029" s="97" t="e">
        <f>_xlfn.XLOOKUP(A1029,[1]CPD_SOP_new!$A:$A,[1]CPD_SOP_new!#REF!,"not found",0 )</f>
        <v>#REF!</v>
      </c>
      <c r="E1029" s="97" t="str">
        <f>_xlfn.XLOOKUP(A1029,[1]CPD_SOP_new!$A:$A,[1]CPD_SOP_new!$K:$K,"not found",0 )</f>
        <v>F1P</v>
      </c>
      <c r="F1029" t="s">
        <v>27</v>
      </c>
      <c r="G1029" t="s">
        <v>27</v>
      </c>
      <c r="H1029" t="s">
        <v>27</v>
      </c>
      <c r="I1029" t="s">
        <v>28</v>
      </c>
      <c r="J1029" t="s">
        <v>124</v>
      </c>
      <c r="K1029" t="s">
        <v>1509</v>
      </c>
      <c r="L1029" t="s">
        <v>2918</v>
      </c>
      <c r="M1029" s="100" t="str">
        <f t="shared" si="32"/>
        <v>TC248_Try_3_NCAP3_3YO_F1P_CPD.MF4.xz</v>
      </c>
      <c r="N1029" s="59" t="str">
        <f t="shared" si="33"/>
        <v>_NCAP3_3YO_F1P_CPD.MF4.xz</v>
      </c>
      <c r="O1029" s="134" t="s">
        <v>475</v>
      </c>
      <c r="P1029" s="134"/>
    </row>
    <row r="1030" spans="1:16">
      <c r="A1030" s="77">
        <v>249</v>
      </c>
      <c r="B1030" t="s">
        <v>2304</v>
      </c>
      <c r="C1030" t="s">
        <v>66</v>
      </c>
      <c r="D1030" s="97" t="e">
        <f>_xlfn.XLOOKUP(A1030,[1]CPD_SOP_new!$A:$A,[1]CPD_SOP_new!#REF!,"not found",0 )</f>
        <v>#REF!</v>
      </c>
      <c r="E1030" s="97" t="str">
        <f>_xlfn.XLOOKUP(A1030,[1]CPD_SOP_new!$A:$A,[1]CPD_SOP_new!$K:$K,"not found",0 )</f>
        <v>F1D</v>
      </c>
      <c r="F1030" t="s">
        <v>27</v>
      </c>
      <c r="G1030" t="s">
        <v>28</v>
      </c>
      <c r="H1030" t="s">
        <v>27</v>
      </c>
      <c r="I1030" t="s">
        <v>28</v>
      </c>
      <c r="J1030" t="s">
        <v>124</v>
      </c>
      <c r="K1030" t="s">
        <v>1510</v>
      </c>
      <c r="L1030" t="s">
        <v>2919</v>
      </c>
      <c r="M1030" s="100" t="str">
        <f t="shared" si="32"/>
        <v>TC249_Try_1_NCAP3_3YO_F1D_CPD.MF4.xz</v>
      </c>
      <c r="N1030" s="59" t="str">
        <f t="shared" si="33"/>
        <v>_NCAP3_3YO_F1D_CPD.MF4.xz</v>
      </c>
      <c r="O1030" s="132" t="s">
        <v>475</v>
      </c>
      <c r="P1030" s="132"/>
    </row>
    <row r="1031" spans="1:16">
      <c r="A1031" s="77">
        <v>249</v>
      </c>
      <c r="B1031" t="s">
        <v>2304</v>
      </c>
      <c r="C1031" t="s">
        <v>66</v>
      </c>
      <c r="D1031" s="97" t="e">
        <f>_xlfn.XLOOKUP(A1031,[1]CPD_SOP_new!$A:$A,[1]CPD_SOP_new!#REF!,"not found",0 )</f>
        <v>#REF!</v>
      </c>
      <c r="E1031" s="97" t="str">
        <f>_xlfn.XLOOKUP(A1031,[1]CPD_SOP_new!$A:$A,[1]CPD_SOP_new!$K:$K,"not found",0 )</f>
        <v>F1D</v>
      </c>
      <c r="F1031" t="s">
        <v>27</v>
      </c>
      <c r="G1031" t="s">
        <v>28</v>
      </c>
      <c r="H1031" t="s">
        <v>27</v>
      </c>
      <c r="I1031" t="s">
        <v>28</v>
      </c>
      <c r="J1031" t="s">
        <v>124</v>
      </c>
      <c r="K1031" t="s">
        <v>1512</v>
      </c>
      <c r="L1031" t="s">
        <v>2920</v>
      </c>
      <c r="M1031" s="100" t="str">
        <f t="shared" si="32"/>
        <v>TC249_Try_2_NCAP3_3YO_F1D_CPD.MF4.xz</v>
      </c>
      <c r="N1031" s="59" t="str">
        <f t="shared" si="33"/>
        <v>_NCAP3_3YO_F1D_CPD.MF4.xz</v>
      </c>
      <c r="O1031" s="132" t="s">
        <v>475</v>
      </c>
      <c r="P1031" s="132"/>
    </row>
    <row r="1032" spans="1:16">
      <c r="A1032" s="77">
        <v>249</v>
      </c>
      <c r="B1032" t="s">
        <v>2304</v>
      </c>
      <c r="C1032" t="s">
        <v>66</v>
      </c>
      <c r="D1032" s="97" t="e">
        <f>_xlfn.XLOOKUP(A1032,[1]CPD_SOP_new!$A:$A,[1]CPD_SOP_new!#REF!,"not found",0 )</f>
        <v>#REF!</v>
      </c>
      <c r="E1032" s="97" t="str">
        <f>_xlfn.XLOOKUP(A1032,[1]CPD_SOP_new!$A:$A,[1]CPD_SOP_new!$K:$K,"not found",0 )</f>
        <v>F1D</v>
      </c>
      <c r="F1032" t="s">
        <v>27</v>
      </c>
      <c r="G1032" t="s">
        <v>28</v>
      </c>
      <c r="H1032" t="s">
        <v>27</v>
      </c>
      <c r="I1032" t="s">
        <v>28</v>
      </c>
      <c r="J1032" t="s">
        <v>124</v>
      </c>
      <c r="K1032" t="s">
        <v>1513</v>
      </c>
      <c r="L1032" t="s">
        <v>2921</v>
      </c>
      <c r="M1032" s="100" t="str">
        <f t="shared" si="32"/>
        <v>TC249_Try_3_NCAP3_3YO_F1D_CPD.MF4.xz</v>
      </c>
      <c r="N1032" s="59" t="str">
        <f t="shared" si="33"/>
        <v>_NCAP3_3YO_F1D_CPD.MF4.xz</v>
      </c>
      <c r="O1032" s="132" t="s">
        <v>475</v>
      </c>
      <c r="P1032" s="132"/>
    </row>
    <row r="1033" spans="1:16">
      <c r="A1033" s="77">
        <v>251</v>
      </c>
      <c r="B1033" t="s">
        <v>2304</v>
      </c>
      <c r="C1033" t="s">
        <v>66</v>
      </c>
      <c r="D1033" s="97" t="e">
        <f>_xlfn.XLOOKUP(A1033,[1]CPD_SOP_new!$A:$A,[1]CPD_SOP_new!#REF!,"not found",0 )</f>
        <v>#REF!</v>
      </c>
      <c r="E1033" s="97" t="str">
        <f>_xlfn.XLOOKUP(A1033,[1]CPD_SOP_new!$A:$A,[1]CPD_SOP_new!$K:$K,"not found",0 )</f>
        <v>F1P</v>
      </c>
      <c r="F1033" t="s">
        <v>27</v>
      </c>
      <c r="G1033" t="s">
        <v>27</v>
      </c>
      <c r="H1033" t="s">
        <v>27</v>
      </c>
      <c r="I1033" t="s">
        <v>28</v>
      </c>
      <c r="J1033" t="s">
        <v>124</v>
      </c>
      <c r="K1033" t="s">
        <v>1514</v>
      </c>
      <c r="L1033" t="s">
        <v>2922</v>
      </c>
      <c r="M1033" s="100" t="str">
        <f t="shared" si="32"/>
        <v>TC251_Try_1_NCAP3_3YO_F1P_CPD.MF4.xz</v>
      </c>
      <c r="N1033" s="59" t="str">
        <f t="shared" si="33"/>
        <v>_NCAP3_3YO_F1P_CPD.MF4.xz</v>
      </c>
      <c r="O1033" s="134" t="s">
        <v>475</v>
      </c>
      <c r="P1033" s="134"/>
    </row>
    <row r="1034" spans="1:16">
      <c r="A1034" s="77">
        <v>251</v>
      </c>
      <c r="B1034" t="s">
        <v>2304</v>
      </c>
      <c r="C1034" t="s">
        <v>66</v>
      </c>
      <c r="D1034" s="97" t="e">
        <f>_xlfn.XLOOKUP(A1034,[1]CPD_SOP_new!$A:$A,[1]CPD_SOP_new!#REF!,"not found",0 )</f>
        <v>#REF!</v>
      </c>
      <c r="E1034" s="97" t="str">
        <f>_xlfn.XLOOKUP(A1034,[1]CPD_SOP_new!$A:$A,[1]CPD_SOP_new!$K:$K,"not found",0 )</f>
        <v>F1P</v>
      </c>
      <c r="F1034" t="s">
        <v>27</v>
      </c>
      <c r="G1034" t="s">
        <v>27</v>
      </c>
      <c r="H1034" t="s">
        <v>27</v>
      </c>
      <c r="I1034" t="s">
        <v>28</v>
      </c>
      <c r="J1034" t="s">
        <v>124</v>
      </c>
      <c r="K1034" t="s">
        <v>1515</v>
      </c>
      <c r="L1034" t="s">
        <v>2923</v>
      </c>
      <c r="M1034" s="100" t="str">
        <f t="shared" si="32"/>
        <v>TC251_Try_2_NCAP3_3YO_F1P_CPD.MF4.xz</v>
      </c>
      <c r="N1034" s="59" t="str">
        <f t="shared" si="33"/>
        <v>_NCAP3_3YO_F1P_CPD.MF4.xz</v>
      </c>
      <c r="O1034" s="134" t="s">
        <v>475</v>
      </c>
      <c r="P1034" s="134"/>
    </row>
    <row r="1035" spans="1:16">
      <c r="A1035" s="77">
        <v>251</v>
      </c>
      <c r="B1035" t="s">
        <v>2304</v>
      </c>
      <c r="C1035" t="s">
        <v>66</v>
      </c>
      <c r="D1035" s="97" t="e">
        <f>_xlfn.XLOOKUP(A1035,[1]CPD_SOP_new!$A:$A,[1]CPD_SOP_new!#REF!,"not found",0 )</f>
        <v>#REF!</v>
      </c>
      <c r="E1035" s="97" t="str">
        <f>_xlfn.XLOOKUP(A1035,[1]CPD_SOP_new!$A:$A,[1]CPD_SOP_new!$K:$K,"not found",0 )</f>
        <v>F1P</v>
      </c>
      <c r="F1035" t="s">
        <v>27</v>
      </c>
      <c r="G1035" t="s">
        <v>27</v>
      </c>
      <c r="H1035" t="s">
        <v>27</v>
      </c>
      <c r="I1035" t="s">
        <v>28</v>
      </c>
      <c r="J1035" t="s">
        <v>124</v>
      </c>
      <c r="K1035" t="s">
        <v>1516</v>
      </c>
      <c r="L1035" t="s">
        <v>2924</v>
      </c>
      <c r="M1035" s="100" t="str">
        <f t="shared" si="32"/>
        <v>TC251_Try_3_NCAP3_3YO_F1P_CPD.MF4.xz</v>
      </c>
      <c r="N1035" s="59" t="str">
        <f t="shared" si="33"/>
        <v>_NCAP3_3YO_F1P_CPD.MF4.xz</v>
      </c>
      <c r="O1035" s="134" t="s">
        <v>475</v>
      </c>
      <c r="P1035" s="134"/>
    </row>
    <row r="1036" spans="1:16">
      <c r="A1036" s="77">
        <v>252</v>
      </c>
      <c r="B1036" t="s">
        <v>2304</v>
      </c>
      <c r="C1036" t="s">
        <v>66</v>
      </c>
      <c r="D1036" s="97" t="e">
        <f>_xlfn.XLOOKUP(A1036,[1]CPD_SOP_new!$A:$A,[1]CPD_SOP_new!#REF!,"not found",0 )</f>
        <v>#REF!</v>
      </c>
      <c r="E1036" s="97" t="str">
        <f>_xlfn.XLOOKUP(A1036,[1]CPD_SOP_new!$A:$A,[1]CPD_SOP_new!$K:$K,"not found",0 )</f>
        <v>F1P</v>
      </c>
      <c r="F1036" t="s">
        <v>27</v>
      </c>
      <c r="G1036" t="s">
        <v>28</v>
      </c>
      <c r="H1036" t="s">
        <v>27</v>
      </c>
      <c r="I1036" t="s">
        <v>28</v>
      </c>
      <c r="J1036" t="s">
        <v>124</v>
      </c>
      <c r="K1036" t="s">
        <v>1517</v>
      </c>
      <c r="L1036" t="s">
        <v>2925</v>
      </c>
      <c r="M1036" s="100" t="str">
        <f t="shared" si="32"/>
        <v>TC252_Try_1_NCAP3_3YO_F1P_CPD.MF4.xz</v>
      </c>
      <c r="N1036" s="59" t="str">
        <f t="shared" si="33"/>
        <v>_NCAP3_3YO_F1P_CPD.MF4.xz</v>
      </c>
      <c r="O1036" s="132" t="s">
        <v>475</v>
      </c>
      <c r="P1036" s="132"/>
    </row>
    <row r="1037" spans="1:16">
      <c r="A1037" s="77">
        <v>252</v>
      </c>
      <c r="B1037" t="s">
        <v>2304</v>
      </c>
      <c r="C1037" t="s">
        <v>66</v>
      </c>
      <c r="D1037" s="97" t="e">
        <f>_xlfn.XLOOKUP(A1037,[1]CPD_SOP_new!$A:$A,[1]CPD_SOP_new!#REF!,"not found",0 )</f>
        <v>#REF!</v>
      </c>
      <c r="E1037" s="97" t="str">
        <f>_xlfn.XLOOKUP(A1037,[1]CPD_SOP_new!$A:$A,[1]CPD_SOP_new!$K:$K,"not found",0 )</f>
        <v>F1P</v>
      </c>
      <c r="F1037" t="s">
        <v>27</v>
      </c>
      <c r="G1037" t="s">
        <v>28</v>
      </c>
      <c r="H1037" t="s">
        <v>27</v>
      </c>
      <c r="I1037" t="s">
        <v>28</v>
      </c>
      <c r="J1037" t="s">
        <v>124</v>
      </c>
      <c r="K1037" t="s">
        <v>1519</v>
      </c>
      <c r="L1037" t="s">
        <v>2926</v>
      </c>
      <c r="M1037" s="100" t="str">
        <f t="shared" si="32"/>
        <v>TC252_Try_2_NCAP3_3YO_F1P_CPD.MF4.xz</v>
      </c>
      <c r="N1037" s="59" t="str">
        <f t="shared" si="33"/>
        <v>_NCAP3_3YO_F1P_CPD.MF4.xz</v>
      </c>
      <c r="O1037" s="132" t="s">
        <v>475</v>
      </c>
      <c r="P1037" s="132"/>
    </row>
    <row r="1038" spans="1:16">
      <c r="A1038" s="77">
        <v>252</v>
      </c>
      <c r="B1038" t="s">
        <v>2304</v>
      </c>
      <c r="C1038" t="s">
        <v>66</v>
      </c>
      <c r="D1038" s="97" t="e">
        <f>_xlfn.XLOOKUP(A1038,[1]CPD_SOP_new!$A:$A,[1]CPD_SOP_new!#REF!,"not found",0 )</f>
        <v>#REF!</v>
      </c>
      <c r="E1038" s="97" t="str">
        <f>_xlfn.XLOOKUP(A1038,[1]CPD_SOP_new!$A:$A,[1]CPD_SOP_new!$K:$K,"not found",0 )</f>
        <v>F1P</v>
      </c>
      <c r="F1038" t="s">
        <v>27</v>
      </c>
      <c r="G1038" t="s">
        <v>28</v>
      </c>
      <c r="H1038" t="s">
        <v>27</v>
      </c>
      <c r="I1038" t="s">
        <v>28</v>
      </c>
      <c r="J1038" t="s">
        <v>124</v>
      </c>
      <c r="K1038" t="s">
        <v>1520</v>
      </c>
      <c r="L1038" t="s">
        <v>2927</v>
      </c>
      <c r="M1038" s="100" t="str">
        <f t="shared" si="32"/>
        <v>TC252_Try_3_NCAP3_3YO_F1P_CPD.MF4.xz</v>
      </c>
      <c r="N1038" s="59" t="str">
        <f t="shared" si="33"/>
        <v>_NCAP3_3YO_F1P_CPD.MF4.xz</v>
      </c>
      <c r="O1038" s="132" t="s">
        <v>475</v>
      </c>
      <c r="P1038" s="132"/>
    </row>
    <row r="1039" spans="1:16">
      <c r="A1039" s="77">
        <v>253</v>
      </c>
      <c r="B1039" t="s">
        <v>2304</v>
      </c>
      <c r="C1039" t="s">
        <v>66</v>
      </c>
      <c r="D1039" s="97" t="e">
        <f>_xlfn.XLOOKUP(A1039,[1]CPD_SOP_new!$A:$A,[1]CPD_SOP_new!#REF!,"not found",0 )</f>
        <v>#REF!</v>
      </c>
      <c r="E1039" s="97" t="str">
        <f>_xlfn.XLOOKUP(A1039,[1]CPD_SOP_new!$A:$A,[1]CPD_SOP_new!$K:$K,"not found",0 )</f>
        <v>F1D</v>
      </c>
      <c r="F1039" t="s">
        <v>27</v>
      </c>
      <c r="G1039" t="s">
        <v>28</v>
      </c>
      <c r="H1039" t="s">
        <v>27</v>
      </c>
      <c r="I1039" t="s">
        <v>28</v>
      </c>
      <c r="J1039" t="s">
        <v>124</v>
      </c>
      <c r="K1039" t="s">
        <v>1521</v>
      </c>
      <c r="L1039" t="s">
        <v>2928</v>
      </c>
      <c r="M1039" s="100" t="str">
        <f t="shared" si="32"/>
        <v>TC253_Try_1_NCAP3_3YO_F1D_CPD.MF4.xz</v>
      </c>
      <c r="N1039" s="59" t="str">
        <f t="shared" si="33"/>
        <v>_NCAP3_3YO_F1D_CPD.MF4.xz</v>
      </c>
      <c r="O1039" s="132" t="s">
        <v>475</v>
      </c>
      <c r="P1039" s="132"/>
    </row>
    <row r="1040" spans="1:16">
      <c r="A1040" s="77">
        <v>253</v>
      </c>
      <c r="B1040" t="s">
        <v>2304</v>
      </c>
      <c r="C1040" t="s">
        <v>66</v>
      </c>
      <c r="D1040" s="97" t="e">
        <f>_xlfn.XLOOKUP(A1040,[1]CPD_SOP_new!$A:$A,[1]CPD_SOP_new!#REF!,"not found",0 )</f>
        <v>#REF!</v>
      </c>
      <c r="E1040" s="97" t="str">
        <f>_xlfn.XLOOKUP(A1040,[1]CPD_SOP_new!$A:$A,[1]CPD_SOP_new!$K:$K,"not found",0 )</f>
        <v>F1D</v>
      </c>
      <c r="F1040" t="s">
        <v>27</v>
      </c>
      <c r="G1040" t="s">
        <v>28</v>
      </c>
      <c r="H1040" t="s">
        <v>27</v>
      </c>
      <c r="I1040" t="s">
        <v>28</v>
      </c>
      <c r="J1040" t="s">
        <v>124</v>
      </c>
      <c r="K1040" t="s">
        <v>1523</v>
      </c>
      <c r="L1040" t="s">
        <v>2929</v>
      </c>
      <c r="M1040" s="100" t="str">
        <f t="shared" si="32"/>
        <v>TC253_Try_2_NCAP3_3YO_F1D_CPD.MF4.xz</v>
      </c>
      <c r="N1040" s="59" t="str">
        <f t="shared" si="33"/>
        <v>_NCAP3_3YO_F1D_CPD.MF4.xz</v>
      </c>
      <c r="O1040" s="132" t="s">
        <v>475</v>
      </c>
      <c r="P1040" s="132"/>
    </row>
    <row r="1041" spans="1:16">
      <c r="A1041" s="77">
        <v>253</v>
      </c>
      <c r="B1041" t="s">
        <v>2304</v>
      </c>
      <c r="C1041" t="s">
        <v>66</v>
      </c>
      <c r="D1041" s="97" t="e">
        <f>_xlfn.XLOOKUP(A1041,[1]CPD_SOP_new!$A:$A,[1]CPD_SOP_new!#REF!,"not found",0 )</f>
        <v>#REF!</v>
      </c>
      <c r="E1041" s="97" t="str">
        <f>_xlfn.XLOOKUP(A1041,[1]CPD_SOP_new!$A:$A,[1]CPD_SOP_new!$K:$K,"not found",0 )</f>
        <v>F1D</v>
      </c>
      <c r="F1041" t="s">
        <v>27</v>
      </c>
      <c r="G1041" t="s">
        <v>28</v>
      </c>
      <c r="H1041" t="s">
        <v>27</v>
      </c>
      <c r="I1041" t="s">
        <v>28</v>
      </c>
      <c r="J1041" t="s">
        <v>124</v>
      </c>
      <c r="K1041" t="s">
        <v>1524</v>
      </c>
      <c r="L1041" t="s">
        <v>2930</v>
      </c>
      <c r="M1041" s="100" t="str">
        <f t="shared" si="32"/>
        <v>TC253_Try_3_NCAP3_3YO_F1D_CPD.MF4.xz</v>
      </c>
      <c r="N1041" s="59" t="str">
        <f t="shared" si="33"/>
        <v>_NCAP3_3YO_F1D_CPD.MF4.xz</v>
      </c>
      <c r="O1041" s="73" t="s">
        <v>475</v>
      </c>
      <c r="P1041" s="73"/>
    </row>
    <row r="1042" spans="1:16">
      <c r="A1042" s="38">
        <v>257</v>
      </c>
      <c r="B1042" t="s">
        <v>2304</v>
      </c>
      <c r="C1042" t="s">
        <v>66</v>
      </c>
      <c r="D1042" s="97" t="e">
        <f>_xlfn.XLOOKUP(A1042,[1]CPD_SOP_new!$A:$A,[1]CPD_SOP_new!#REF!,"not found",0 )</f>
        <v>#REF!</v>
      </c>
      <c r="E1042" s="97" t="str">
        <f>_xlfn.XLOOKUP(A1042,[1]CPD_SOP_new!$A:$A,[1]CPD_SOP_new!$K:$K,"not found",0 )</f>
        <v>F2R</v>
      </c>
      <c r="F1042" t="s">
        <v>27</v>
      </c>
      <c r="G1042" t="s">
        <v>27</v>
      </c>
      <c r="H1042" t="s">
        <v>27</v>
      </c>
      <c r="I1042" t="s">
        <v>28</v>
      </c>
      <c r="J1042" t="s">
        <v>124</v>
      </c>
      <c r="K1042" t="s">
        <v>1525</v>
      </c>
      <c r="L1042" t="s">
        <v>2931</v>
      </c>
      <c r="M1042" s="100" t="str">
        <f t="shared" si="32"/>
        <v>TC257_Try_1_NCAP3_3YO_F2R_CPD.MF4.xz</v>
      </c>
      <c r="N1042" s="59" t="str">
        <f t="shared" si="33"/>
        <v>_NCAP3_3YO_F2R_CPD.MF4.xz</v>
      </c>
      <c r="O1042" s="134" t="s">
        <v>475</v>
      </c>
      <c r="P1042" s="134"/>
    </row>
    <row r="1043" spans="1:16">
      <c r="A1043" s="38">
        <v>257</v>
      </c>
      <c r="B1043" t="s">
        <v>2304</v>
      </c>
      <c r="C1043" t="s">
        <v>66</v>
      </c>
      <c r="D1043" s="97" t="e">
        <f>_xlfn.XLOOKUP(A1043,[1]CPD_SOP_new!$A:$A,[1]CPD_SOP_new!#REF!,"not found",0 )</f>
        <v>#REF!</v>
      </c>
      <c r="E1043" s="97" t="str">
        <f>_xlfn.XLOOKUP(A1043,[1]CPD_SOP_new!$A:$A,[1]CPD_SOP_new!$K:$K,"not found",0 )</f>
        <v>F2R</v>
      </c>
      <c r="F1043" t="s">
        <v>27</v>
      </c>
      <c r="G1043" t="s">
        <v>27</v>
      </c>
      <c r="H1043" t="s">
        <v>27</v>
      </c>
      <c r="I1043" t="s">
        <v>28</v>
      </c>
      <c r="J1043" t="s">
        <v>124</v>
      </c>
      <c r="K1043" t="s">
        <v>1526</v>
      </c>
      <c r="L1043" t="s">
        <v>2932</v>
      </c>
      <c r="M1043" s="100" t="str">
        <f t="shared" si="32"/>
        <v>TC257_Try_2_NCAP3_3YO_F2R_CPD.MF4.xz</v>
      </c>
      <c r="N1043" s="59" t="str">
        <f t="shared" si="33"/>
        <v>_NCAP3_3YO_F2R_CPD.MF4.xz</v>
      </c>
      <c r="O1043" s="134" t="s">
        <v>475</v>
      </c>
      <c r="P1043" s="134"/>
    </row>
    <row r="1044" spans="1:16">
      <c r="A1044" s="38">
        <v>257</v>
      </c>
      <c r="B1044" t="s">
        <v>2304</v>
      </c>
      <c r="C1044" t="s">
        <v>66</v>
      </c>
      <c r="D1044" s="97" t="e">
        <f>_xlfn.XLOOKUP(A1044,[1]CPD_SOP_new!$A:$A,[1]CPD_SOP_new!#REF!,"not found",0 )</f>
        <v>#REF!</v>
      </c>
      <c r="E1044" s="97" t="str">
        <f>_xlfn.XLOOKUP(A1044,[1]CPD_SOP_new!$A:$A,[1]CPD_SOP_new!$K:$K,"not found",0 )</f>
        <v>F2R</v>
      </c>
      <c r="F1044" t="s">
        <v>27</v>
      </c>
      <c r="G1044" t="s">
        <v>27</v>
      </c>
      <c r="H1044" t="s">
        <v>27</v>
      </c>
      <c r="I1044" t="s">
        <v>28</v>
      </c>
      <c r="J1044" t="s">
        <v>124</v>
      </c>
      <c r="K1044" t="s">
        <v>1527</v>
      </c>
      <c r="L1044" t="s">
        <v>2933</v>
      </c>
      <c r="M1044" s="100" t="str">
        <f t="shared" si="32"/>
        <v>TC257_Try_3_NCAP3_3YO_F2R_CPD.MF4.xz</v>
      </c>
      <c r="N1044" s="59" t="str">
        <f t="shared" si="33"/>
        <v>_NCAP3_3YO_F2R_CPD.MF4.xz</v>
      </c>
      <c r="O1044" s="134" t="s">
        <v>475</v>
      </c>
      <c r="P1044" s="134"/>
    </row>
    <row r="1045" spans="1:16">
      <c r="A1045" s="38">
        <v>258</v>
      </c>
      <c r="B1045" t="s">
        <v>2304</v>
      </c>
      <c r="C1045" t="s">
        <v>66</v>
      </c>
      <c r="D1045" s="97" t="e">
        <f>_xlfn.XLOOKUP(A1045,[1]CPD_SOP_new!$A:$A,[1]CPD_SOP_new!#REF!,"not found",0 )</f>
        <v>#REF!</v>
      </c>
      <c r="E1045" s="97" t="str">
        <f>_xlfn.XLOOKUP(A1045,[1]CPD_SOP_new!$A:$A,[1]CPD_SOP_new!$K:$K,"not found",0 )</f>
        <v>F3R</v>
      </c>
      <c r="F1045" t="s">
        <v>27</v>
      </c>
      <c r="G1045" t="s">
        <v>27</v>
      </c>
      <c r="H1045" t="s">
        <v>27</v>
      </c>
      <c r="I1045" t="s">
        <v>28</v>
      </c>
      <c r="J1045" t="s">
        <v>124</v>
      </c>
      <c r="K1045" t="s">
        <v>1528</v>
      </c>
      <c r="L1045" t="s">
        <v>2934</v>
      </c>
      <c r="M1045" s="100" t="str">
        <f t="shared" si="32"/>
        <v>TC258_Try_1_NCAP3_3YO_F3R_CPD.MF4.xz</v>
      </c>
      <c r="N1045" s="59" t="str">
        <f t="shared" si="33"/>
        <v>_NCAP3_3YO_F3R_CPD.MF4.xz</v>
      </c>
      <c r="O1045" s="134" t="s">
        <v>475</v>
      </c>
      <c r="P1045" s="134"/>
    </row>
    <row r="1046" spans="1:16">
      <c r="A1046" s="38">
        <v>258</v>
      </c>
      <c r="B1046" t="s">
        <v>2304</v>
      </c>
      <c r="C1046" t="s">
        <v>66</v>
      </c>
      <c r="D1046" s="97" t="e">
        <f>_xlfn.XLOOKUP(A1046,[1]CPD_SOP_new!$A:$A,[1]CPD_SOP_new!#REF!,"not found",0 )</f>
        <v>#REF!</v>
      </c>
      <c r="E1046" s="97" t="str">
        <f>_xlfn.XLOOKUP(A1046,[1]CPD_SOP_new!$A:$A,[1]CPD_SOP_new!$K:$K,"not found",0 )</f>
        <v>F3R</v>
      </c>
      <c r="F1046" t="s">
        <v>27</v>
      </c>
      <c r="G1046" t="s">
        <v>27</v>
      </c>
      <c r="H1046" t="s">
        <v>27</v>
      </c>
      <c r="I1046" t="s">
        <v>28</v>
      </c>
      <c r="J1046" t="s">
        <v>124</v>
      </c>
      <c r="K1046" t="s">
        <v>1529</v>
      </c>
      <c r="L1046" t="s">
        <v>2935</v>
      </c>
      <c r="M1046" s="100" t="str">
        <f t="shared" si="32"/>
        <v>TC258_Try_2_NCAP3_3YO_F3R_CPD.MF4.xz</v>
      </c>
      <c r="N1046" s="59" t="str">
        <f t="shared" si="33"/>
        <v>_NCAP3_3YO_F3R_CPD.MF4.xz</v>
      </c>
      <c r="O1046" s="134" t="s">
        <v>475</v>
      </c>
      <c r="P1046" s="134"/>
    </row>
    <row r="1047" spans="1:16">
      <c r="A1047" s="38">
        <v>258</v>
      </c>
      <c r="B1047" t="s">
        <v>2304</v>
      </c>
      <c r="C1047" t="s">
        <v>66</v>
      </c>
      <c r="D1047" s="97" t="e">
        <f>_xlfn.XLOOKUP(A1047,[1]CPD_SOP_new!$A:$A,[1]CPD_SOP_new!#REF!,"not found",0 )</f>
        <v>#REF!</v>
      </c>
      <c r="E1047" s="97" t="str">
        <f>_xlfn.XLOOKUP(A1047,[1]CPD_SOP_new!$A:$A,[1]CPD_SOP_new!$K:$K,"not found",0 )</f>
        <v>F3R</v>
      </c>
      <c r="F1047" t="s">
        <v>27</v>
      </c>
      <c r="G1047" t="s">
        <v>27</v>
      </c>
      <c r="H1047" t="s">
        <v>27</v>
      </c>
      <c r="I1047" t="s">
        <v>28</v>
      </c>
      <c r="J1047" t="s">
        <v>124</v>
      </c>
      <c r="K1047" t="s">
        <v>1530</v>
      </c>
      <c r="L1047" t="s">
        <v>2936</v>
      </c>
      <c r="M1047" s="100" t="str">
        <f t="shared" si="32"/>
        <v>TC258_Try_3_NCAP3_3YO_F3R_CPD.MF4.xz</v>
      </c>
      <c r="N1047" s="59" t="str">
        <f t="shared" si="33"/>
        <v>_NCAP3_3YO_F3R_CPD.MF4.xz</v>
      </c>
      <c r="O1047" s="134" t="s">
        <v>475</v>
      </c>
      <c r="P1047" s="134"/>
    </row>
    <row r="1048" spans="1:16" s="130" customFormat="1">
      <c r="A1048" s="78">
        <v>261</v>
      </c>
      <c r="B1048" s="130" t="s">
        <v>2132</v>
      </c>
      <c r="C1048" s="130" t="s">
        <v>253</v>
      </c>
      <c r="D1048" s="97" t="e">
        <f>_xlfn.XLOOKUP(A1048,[1]CPD_SOP_new!$A:$A,[1]CPD_SOP_new!#REF!,"not found",0 )</f>
        <v>#REF!</v>
      </c>
      <c r="E1048" s="97" t="str">
        <f>_xlfn.XLOOKUP(A1048,[1]CPD_SOP_new!$A:$A,[1]CPD_SOP_new!$K:$K,"not found",0 )</f>
        <v>3L</v>
      </c>
      <c r="F1048" s="130" t="s">
        <v>27</v>
      </c>
      <c r="G1048" s="130" t="s">
        <v>28</v>
      </c>
      <c r="H1048" s="130" t="s">
        <v>28</v>
      </c>
      <c r="I1048" s="130" t="s">
        <v>27</v>
      </c>
      <c r="J1048" t="s">
        <v>124</v>
      </c>
      <c r="K1048" s="136" t="s">
        <v>1531</v>
      </c>
      <c r="L1048" s="136" t="s">
        <v>723</v>
      </c>
      <c r="M1048" s="100" t="str">
        <f t="shared" si="32"/>
        <v>Wrong measurement</v>
      </c>
      <c r="N1048" s="59" t="str">
        <f t="shared" si="33"/>
        <v>Wrong measurement</v>
      </c>
      <c r="O1048" s="136" t="s">
        <v>475</v>
      </c>
      <c r="P1048" s="136"/>
    </row>
    <row r="1049" spans="1:16" s="130" customFormat="1">
      <c r="A1049" s="78">
        <v>261</v>
      </c>
      <c r="B1049" s="130" t="s">
        <v>2132</v>
      </c>
      <c r="C1049" s="130" t="s">
        <v>253</v>
      </c>
      <c r="D1049" s="97" t="e">
        <f>_xlfn.XLOOKUP(A1049,[1]CPD_SOP_new!$A:$A,[1]CPD_SOP_new!#REF!,"not found",0 )</f>
        <v>#REF!</v>
      </c>
      <c r="E1049" s="97" t="str">
        <f>_xlfn.XLOOKUP(A1049,[1]CPD_SOP_new!$A:$A,[1]CPD_SOP_new!$K:$K,"not found",0 )</f>
        <v>3L</v>
      </c>
      <c r="F1049" s="130" t="s">
        <v>27</v>
      </c>
      <c r="G1049" s="130" t="s">
        <v>28</v>
      </c>
      <c r="H1049" s="130" t="s">
        <v>28</v>
      </c>
      <c r="I1049" s="130" t="s">
        <v>27</v>
      </c>
      <c r="J1049" t="s">
        <v>124</v>
      </c>
      <c r="K1049" s="136" t="s">
        <v>1532</v>
      </c>
      <c r="L1049" s="136" t="s">
        <v>723</v>
      </c>
      <c r="M1049" s="100" t="str">
        <f t="shared" si="32"/>
        <v>Wrong measurement</v>
      </c>
      <c r="N1049" s="59" t="str">
        <f t="shared" si="33"/>
        <v>Wrong measurement</v>
      </c>
      <c r="O1049" s="136" t="s">
        <v>475</v>
      </c>
      <c r="P1049" s="136"/>
    </row>
    <row r="1050" spans="1:16" s="130" customFormat="1">
      <c r="A1050" s="78">
        <v>261</v>
      </c>
      <c r="B1050" s="130" t="s">
        <v>2132</v>
      </c>
      <c r="C1050" s="130" t="s">
        <v>253</v>
      </c>
      <c r="D1050" s="97" t="e">
        <f>_xlfn.XLOOKUP(A1050,[1]CPD_SOP_new!$A:$A,[1]CPD_SOP_new!#REF!,"not found",0 )</f>
        <v>#REF!</v>
      </c>
      <c r="E1050" s="97" t="str">
        <f>_xlfn.XLOOKUP(A1050,[1]CPD_SOP_new!$A:$A,[1]CPD_SOP_new!$K:$K,"not found",0 )</f>
        <v>3L</v>
      </c>
      <c r="F1050" s="130" t="s">
        <v>27</v>
      </c>
      <c r="G1050" s="130" t="s">
        <v>28</v>
      </c>
      <c r="H1050" s="130" t="s">
        <v>28</v>
      </c>
      <c r="I1050" s="130" t="s">
        <v>27</v>
      </c>
      <c r="J1050" t="s">
        <v>124</v>
      </c>
      <c r="K1050" s="136" t="s">
        <v>1533</v>
      </c>
      <c r="L1050" s="136" t="s">
        <v>723</v>
      </c>
      <c r="M1050" s="100" t="str">
        <f t="shared" si="32"/>
        <v>Wrong measurement</v>
      </c>
      <c r="N1050" s="59" t="str">
        <f t="shared" si="33"/>
        <v>Wrong measurement</v>
      </c>
      <c r="O1050" s="136" t="s">
        <v>475</v>
      </c>
      <c r="P1050" s="136"/>
    </row>
    <row r="1051" spans="1:16">
      <c r="A1051" s="77">
        <v>261</v>
      </c>
      <c r="B1051" t="s">
        <v>2304</v>
      </c>
      <c r="C1051" s="59" t="s">
        <v>253</v>
      </c>
      <c r="D1051" s="97" t="e">
        <f>_xlfn.XLOOKUP(A1051,[1]CPD_SOP_new!$A:$A,[1]CPD_SOP_new!#REF!,"not found",0 )</f>
        <v>#REF!</v>
      </c>
      <c r="E1051" s="97" t="str">
        <f>_xlfn.XLOOKUP(A1051,[1]CPD_SOP_new!$A:$A,[1]CPD_SOP_new!$K:$K,"not found",0 )</f>
        <v>3L</v>
      </c>
      <c r="F1051" t="s">
        <v>28</v>
      </c>
      <c r="G1051" t="s">
        <v>28</v>
      </c>
      <c r="H1051" t="s">
        <v>28</v>
      </c>
      <c r="I1051" t="s">
        <v>28</v>
      </c>
      <c r="J1051" t="s">
        <v>124</v>
      </c>
      <c r="K1051" t="s">
        <v>1534</v>
      </c>
      <c r="L1051" t="s">
        <v>2937</v>
      </c>
      <c r="M1051" s="100" t="str">
        <f t="shared" si="32"/>
        <v>CSR_XCP_Signals_Recorder_2026-01-23_16-45-01_CPD_TC261_Try1_NCAP3_6YO_3L_CPD.MF4.xz</v>
      </c>
      <c r="N1051" s="59" t="str">
        <f t="shared" si="33"/>
        <v>_NCAP3_6YO_3L_CPD.MF4.xz</v>
      </c>
      <c r="O1051" t="s">
        <v>86</v>
      </c>
    </row>
    <row r="1052" spans="1:16">
      <c r="A1052" s="77">
        <v>261</v>
      </c>
      <c r="B1052" t="s">
        <v>2304</v>
      </c>
      <c r="C1052" s="59" t="s">
        <v>253</v>
      </c>
      <c r="D1052" s="97" t="e">
        <f>_xlfn.XLOOKUP(A1052,[1]CPD_SOP_new!$A:$A,[1]CPD_SOP_new!#REF!,"not found",0 )</f>
        <v>#REF!</v>
      </c>
      <c r="E1052" s="97" t="str">
        <f>_xlfn.XLOOKUP(A1052,[1]CPD_SOP_new!$A:$A,[1]CPD_SOP_new!$K:$K,"not found",0 )</f>
        <v>3L</v>
      </c>
      <c r="F1052" t="s">
        <v>28</v>
      </c>
      <c r="G1052" t="s">
        <v>28</v>
      </c>
      <c r="H1052" t="s">
        <v>28</v>
      </c>
      <c r="I1052" t="s">
        <v>28</v>
      </c>
      <c r="J1052" t="s">
        <v>124</v>
      </c>
      <c r="K1052" t="s">
        <v>1535</v>
      </c>
      <c r="L1052" t="s">
        <v>2938</v>
      </c>
      <c r="M1052" s="100" t="str">
        <f t="shared" si="32"/>
        <v>CSR_XCP_Signals_Recorder_2026-01-23_16-46-27_CPD_TC261_Try2_NCAP3_6YO_3L_CPD.MF4.xz</v>
      </c>
      <c r="N1052" s="59" t="str">
        <f t="shared" si="33"/>
        <v>_NCAP3_6YO_3L_CPD.MF4.xz</v>
      </c>
      <c r="O1052" t="s">
        <v>86</v>
      </c>
    </row>
    <row r="1053" spans="1:16">
      <c r="A1053" s="77">
        <v>261</v>
      </c>
      <c r="B1053" t="s">
        <v>2304</v>
      </c>
      <c r="C1053" s="59" t="s">
        <v>253</v>
      </c>
      <c r="D1053" s="97" t="e">
        <f>_xlfn.XLOOKUP(A1053,[1]CPD_SOP_new!$A:$A,[1]CPD_SOP_new!#REF!,"not found",0 )</f>
        <v>#REF!</v>
      </c>
      <c r="E1053" s="97" t="str">
        <f>_xlfn.XLOOKUP(A1053,[1]CPD_SOP_new!$A:$A,[1]CPD_SOP_new!$K:$K,"not found",0 )</f>
        <v>3L</v>
      </c>
      <c r="F1053" t="s">
        <v>28</v>
      </c>
      <c r="G1053" t="s">
        <v>28</v>
      </c>
      <c r="H1053" t="s">
        <v>28</v>
      </c>
      <c r="I1053" t="s">
        <v>28</v>
      </c>
      <c r="J1053" t="s">
        <v>124</v>
      </c>
      <c r="K1053" t="s">
        <v>1536</v>
      </c>
      <c r="L1053" t="s">
        <v>2939</v>
      </c>
      <c r="M1053" s="100" t="str">
        <f t="shared" si="32"/>
        <v>CSR_XCP_Signals_Recorder_2026-01-23_16-47-51_CPD_TC261_Try3_NCAP3_6YO_3L_CPD.MF4.xz</v>
      </c>
      <c r="N1053" s="59" t="str">
        <f t="shared" si="33"/>
        <v>_NCAP3_6YO_3L_CPD.MF4.xz</v>
      </c>
      <c r="O1053" t="s">
        <v>86</v>
      </c>
    </row>
    <row r="1054" spans="1:16">
      <c r="A1054" s="77">
        <v>261</v>
      </c>
      <c r="B1054" t="s">
        <v>2304</v>
      </c>
      <c r="C1054" s="59" t="s">
        <v>253</v>
      </c>
      <c r="D1054" s="97" t="e">
        <f>_xlfn.XLOOKUP(A1054,[1]CPD_SOP_new!$A:$A,[1]CPD_SOP_new!#REF!,"not found",0 )</f>
        <v>#REF!</v>
      </c>
      <c r="E1054" s="97" t="str">
        <f>_xlfn.XLOOKUP(A1054,[1]CPD_SOP_new!$A:$A,[1]CPD_SOP_new!$K:$K,"not found",0 )</f>
        <v>3L</v>
      </c>
      <c r="F1054" t="s">
        <v>28</v>
      </c>
      <c r="G1054" t="s">
        <v>28</v>
      </c>
      <c r="H1054" t="s">
        <v>28</v>
      </c>
      <c r="I1054" t="s">
        <v>28</v>
      </c>
      <c r="J1054" t="s">
        <v>124</v>
      </c>
      <c r="K1054" t="s">
        <v>1537</v>
      </c>
      <c r="L1054" t="s">
        <v>2940</v>
      </c>
      <c r="M1054" s="100" t="str">
        <f t="shared" si="32"/>
        <v>CSR_XCP_Signals_Recorder_2026-01-23_16-49-15_CPD_TC261_Try4_NCAP3_6YO_3L_CPD.MF4.xz</v>
      </c>
      <c r="N1054" s="59" t="str">
        <f t="shared" si="33"/>
        <v>_NCAP3_6YO_3L_CPD.MF4.xz</v>
      </c>
      <c r="O1054" t="s">
        <v>86</v>
      </c>
    </row>
    <row r="1055" spans="1:16">
      <c r="A1055" s="77">
        <v>261</v>
      </c>
      <c r="B1055" t="s">
        <v>2304</v>
      </c>
      <c r="C1055" s="59" t="s">
        <v>253</v>
      </c>
      <c r="D1055" s="97" t="e">
        <f>_xlfn.XLOOKUP(A1055,[1]CPD_SOP_new!$A:$A,[1]CPD_SOP_new!#REF!,"not found",0 )</f>
        <v>#REF!</v>
      </c>
      <c r="E1055" s="97" t="str">
        <f>_xlfn.XLOOKUP(A1055,[1]CPD_SOP_new!$A:$A,[1]CPD_SOP_new!$K:$K,"not found",0 )</f>
        <v>3L</v>
      </c>
      <c r="F1055" t="s">
        <v>28</v>
      </c>
      <c r="G1055" t="s">
        <v>28</v>
      </c>
      <c r="H1055" t="s">
        <v>28</v>
      </c>
      <c r="I1055" t="s">
        <v>28</v>
      </c>
      <c r="J1055" t="s">
        <v>124</v>
      </c>
      <c r="K1055" t="s">
        <v>1538</v>
      </c>
      <c r="L1055" t="s">
        <v>2941</v>
      </c>
      <c r="M1055" s="100" t="str">
        <f t="shared" si="32"/>
        <v>CSR_XCP_Signals_Recorder_2026-01-23_16-50-42_CPD_TC261_Try5_NCAP3_6YO_3L_CPD.MF4.xz</v>
      </c>
      <c r="N1055" s="59" t="str">
        <f t="shared" si="33"/>
        <v>_NCAP3_6YO_3L_CPD.MF4.xz</v>
      </c>
      <c r="O1055" t="s">
        <v>86</v>
      </c>
    </row>
    <row r="1056" spans="1:16">
      <c r="A1056" s="77">
        <v>262</v>
      </c>
      <c r="B1056" t="s">
        <v>2942</v>
      </c>
      <c r="D1056" s="97" t="e">
        <f>_xlfn.XLOOKUP(A1056,[1]CPD_SOP_new!$A:$A,[1]CPD_SOP_new!#REF!,"not found",0 )</f>
        <v>#REF!</v>
      </c>
      <c r="E1056" s="97">
        <f>_xlfn.XLOOKUP(A1056,[1]CPD_SOP_new!$A:$A,[1]CPD_SOP_new!$K:$K,"not found",0 )</f>
        <v>0</v>
      </c>
      <c r="F1056" t="s">
        <v>27</v>
      </c>
      <c r="G1056" t="s">
        <v>28</v>
      </c>
      <c r="H1056" t="s">
        <v>28</v>
      </c>
      <c r="I1056" t="s">
        <v>28</v>
      </c>
      <c r="J1056" t="s">
        <v>828</v>
      </c>
      <c r="K1056" t="s">
        <v>1540</v>
      </c>
      <c r="L1056" t="s">
        <v>2943</v>
      </c>
      <c r="M1056" s="100" t="str">
        <f t="shared" si="32"/>
        <v>Passenger_Rear_Soft_Empty_car__0_CPD.MF4.xz</v>
      </c>
      <c r="N1056" s="59" t="str">
        <f t="shared" si="33"/>
        <v>_Empty_car__0_CPD.MF4.xz</v>
      </c>
      <c r="O1056" t="s">
        <v>1541</v>
      </c>
    </row>
    <row r="1057" spans="1:15">
      <c r="A1057" s="77">
        <v>262</v>
      </c>
      <c r="B1057" t="s">
        <v>2942</v>
      </c>
      <c r="D1057" s="97" t="e">
        <f>_xlfn.XLOOKUP(A1057,[1]CPD_SOP_new!$A:$A,[1]CPD_SOP_new!#REF!,"not found",0 )</f>
        <v>#REF!</v>
      </c>
      <c r="E1057" s="97">
        <f>_xlfn.XLOOKUP(A1057,[1]CPD_SOP_new!$A:$A,[1]CPD_SOP_new!$K:$K,"not found",0 )</f>
        <v>0</v>
      </c>
      <c r="F1057" t="s">
        <v>27</v>
      </c>
      <c r="G1057" t="s">
        <v>28</v>
      </c>
      <c r="H1057" t="s">
        <v>28</v>
      </c>
      <c r="I1057" t="s">
        <v>28</v>
      </c>
      <c r="J1057" t="s">
        <v>828</v>
      </c>
      <c r="K1057" t="s">
        <v>1543</v>
      </c>
      <c r="L1057" t="s">
        <v>2944</v>
      </c>
      <c r="M1057" s="100" t="str">
        <f t="shared" si="32"/>
        <v>Driver_Front_Hard_Empty_car__0_CPD.MF4.xz</v>
      </c>
      <c r="N1057" s="59" t="str">
        <f t="shared" si="33"/>
        <v>_Empty_car__0_CPD.MF4.xz</v>
      </c>
      <c r="O1057" t="s">
        <v>1541</v>
      </c>
    </row>
    <row r="1058" spans="1:15">
      <c r="A1058" s="77">
        <v>262</v>
      </c>
      <c r="B1058" t="s">
        <v>2942</v>
      </c>
      <c r="D1058" s="97" t="e">
        <f>_xlfn.XLOOKUP(A1058,[1]CPD_SOP_new!$A:$A,[1]CPD_SOP_new!#REF!,"not found",0 )</f>
        <v>#REF!</v>
      </c>
      <c r="E1058" s="97">
        <f>_xlfn.XLOOKUP(A1058,[1]CPD_SOP_new!$A:$A,[1]CPD_SOP_new!$K:$K,"not found",0 )</f>
        <v>0</v>
      </c>
      <c r="F1058" t="s">
        <v>27</v>
      </c>
      <c r="G1058" t="s">
        <v>28</v>
      </c>
      <c r="H1058" t="s">
        <v>28</v>
      </c>
      <c r="I1058" t="s">
        <v>28</v>
      </c>
      <c r="J1058" t="s">
        <v>828</v>
      </c>
      <c r="K1058" t="s">
        <v>1545</v>
      </c>
      <c r="L1058" t="s">
        <v>2945</v>
      </c>
      <c r="M1058" s="100" t="str">
        <f t="shared" si="32"/>
        <v>Driver_Front_Soft_Empty_car__0_CPD.MF4.xz</v>
      </c>
      <c r="N1058" s="59" t="str">
        <f t="shared" si="33"/>
        <v>_Empty_car__0_CPD.MF4.xz</v>
      </c>
      <c r="O1058" t="s">
        <v>1541</v>
      </c>
    </row>
    <row r="1059" spans="1:15">
      <c r="A1059" s="77">
        <v>262</v>
      </c>
      <c r="B1059" t="s">
        <v>2942</v>
      </c>
      <c r="D1059" s="97" t="e">
        <f>_xlfn.XLOOKUP(A1059,[1]CPD_SOP_new!$A:$A,[1]CPD_SOP_new!#REF!,"not found",0 )</f>
        <v>#REF!</v>
      </c>
      <c r="E1059" s="97">
        <f>_xlfn.XLOOKUP(A1059,[1]CPD_SOP_new!$A:$A,[1]CPD_SOP_new!$K:$K,"not found",0 )</f>
        <v>0</v>
      </c>
      <c r="F1059" t="s">
        <v>27</v>
      </c>
      <c r="G1059" t="s">
        <v>28</v>
      </c>
      <c r="H1059" t="s">
        <v>28</v>
      </c>
      <c r="I1059" t="s">
        <v>28</v>
      </c>
      <c r="J1059" t="s">
        <v>828</v>
      </c>
      <c r="K1059" t="s">
        <v>1547</v>
      </c>
      <c r="L1059" t="s">
        <v>2946</v>
      </c>
      <c r="M1059" s="100" t="str">
        <f t="shared" si="32"/>
        <v>Driver_Rear_Hard_Empty_car__0_CPD.MF4.xz</v>
      </c>
      <c r="N1059" s="59" t="str">
        <f t="shared" si="33"/>
        <v>_Empty_car__0_CPD.MF4.xz</v>
      </c>
      <c r="O1059" t="s">
        <v>1541</v>
      </c>
    </row>
    <row r="1060" spans="1:15">
      <c r="A1060" s="77">
        <v>262</v>
      </c>
      <c r="B1060" t="s">
        <v>2942</v>
      </c>
      <c r="D1060" s="97" t="e">
        <f>_xlfn.XLOOKUP(A1060,[1]CPD_SOP_new!$A:$A,[1]CPD_SOP_new!#REF!,"not found",0 )</f>
        <v>#REF!</v>
      </c>
      <c r="E1060" s="97">
        <f>_xlfn.XLOOKUP(A1060,[1]CPD_SOP_new!$A:$A,[1]CPD_SOP_new!$K:$K,"not found",0 )</f>
        <v>0</v>
      </c>
      <c r="F1060" t="s">
        <v>27</v>
      </c>
      <c r="G1060" t="s">
        <v>28</v>
      </c>
      <c r="H1060" t="s">
        <v>28</v>
      </c>
      <c r="I1060" t="s">
        <v>28</v>
      </c>
      <c r="J1060" t="s">
        <v>828</v>
      </c>
      <c r="K1060" t="s">
        <v>1550</v>
      </c>
      <c r="L1060" t="s">
        <v>2947</v>
      </c>
      <c r="M1060" s="100" t="str">
        <f t="shared" si="32"/>
        <v>Driver_Rear_Soft_Empty_car__0_CPD.MF4.xz</v>
      </c>
      <c r="N1060" s="59" t="str">
        <f t="shared" si="33"/>
        <v>_Empty_car__0_CPD.MF4.xz</v>
      </c>
      <c r="O1060" t="s">
        <v>1541</v>
      </c>
    </row>
    <row r="1061" spans="1:15">
      <c r="A1061" s="77">
        <v>262</v>
      </c>
      <c r="B1061" t="s">
        <v>2942</v>
      </c>
      <c r="D1061" s="97" t="e">
        <f>_xlfn.XLOOKUP(A1061,[1]CPD_SOP_new!$A:$A,[1]CPD_SOP_new!#REF!,"not found",0 )</f>
        <v>#REF!</v>
      </c>
      <c r="E1061" s="97">
        <f>_xlfn.XLOOKUP(A1061,[1]CPD_SOP_new!$A:$A,[1]CPD_SOP_new!$K:$K,"not found",0 )</f>
        <v>0</v>
      </c>
      <c r="F1061" t="s">
        <v>27</v>
      </c>
      <c r="G1061" t="s">
        <v>28</v>
      </c>
      <c r="H1061" t="s">
        <v>28</v>
      </c>
      <c r="I1061" t="s">
        <v>28</v>
      </c>
      <c r="J1061" t="s">
        <v>828</v>
      </c>
      <c r="K1061" t="s">
        <v>1551</v>
      </c>
      <c r="L1061" t="s">
        <v>2948</v>
      </c>
      <c r="M1061" s="100" t="str">
        <f t="shared" si="32"/>
        <v>Passenger_Front_Hard_Empty_car__0_CPD.MF4.xz</v>
      </c>
      <c r="N1061" s="59" t="str">
        <f t="shared" si="33"/>
        <v>_Empty_car__0_CPD.MF4.xz</v>
      </c>
      <c r="O1061" t="s">
        <v>1541</v>
      </c>
    </row>
    <row r="1062" spans="1:15">
      <c r="A1062" s="77">
        <v>262</v>
      </c>
      <c r="B1062" t="s">
        <v>2942</v>
      </c>
      <c r="D1062" s="97" t="e">
        <f>_xlfn.XLOOKUP(A1062,[1]CPD_SOP_new!$A:$A,[1]CPD_SOP_new!#REF!,"not found",0 )</f>
        <v>#REF!</v>
      </c>
      <c r="E1062" s="97">
        <f>_xlfn.XLOOKUP(A1062,[1]CPD_SOP_new!$A:$A,[1]CPD_SOP_new!$K:$K,"not found",0 )</f>
        <v>0</v>
      </c>
      <c r="F1062" t="s">
        <v>27</v>
      </c>
      <c r="G1062" t="s">
        <v>28</v>
      </c>
      <c r="H1062" t="s">
        <v>28</v>
      </c>
      <c r="I1062" t="s">
        <v>28</v>
      </c>
      <c r="J1062" t="s">
        <v>828</v>
      </c>
      <c r="K1062" t="s">
        <v>1553</v>
      </c>
      <c r="L1062" t="s">
        <v>2949</v>
      </c>
      <c r="M1062" s="100" t="str">
        <f t="shared" si="32"/>
        <v>Passenger_Front_Soft_Empty_car__0_CPD.MF4.xz</v>
      </c>
      <c r="N1062" s="59" t="str">
        <f t="shared" si="33"/>
        <v>_Empty_car__0_CPD.MF4.xz</v>
      </c>
      <c r="O1062" t="s">
        <v>1541</v>
      </c>
    </row>
    <row r="1063" spans="1:15">
      <c r="A1063" s="77">
        <v>262</v>
      </c>
      <c r="B1063" t="s">
        <v>2942</v>
      </c>
      <c r="D1063" s="97" t="e">
        <f>_xlfn.XLOOKUP(A1063,[1]CPD_SOP_new!$A:$A,[1]CPD_SOP_new!#REF!,"not found",0 )</f>
        <v>#REF!</v>
      </c>
      <c r="E1063" s="97">
        <f>_xlfn.XLOOKUP(A1063,[1]CPD_SOP_new!$A:$A,[1]CPD_SOP_new!$K:$K,"not found",0 )</f>
        <v>0</v>
      </c>
      <c r="F1063" t="s">
        <v>27</v>
      </c>
      <c r="G1063" t="s">
        <v>28</v>
      </c>
      <c r="H1063" t="s">
        <v>28</v>
      </c>
      <c r="I1063" t="s">
        <v>28</v>
      </c>
      <c r="J1063" t="s">
        <v>828</v>
      </c>
      <c r="K1063" t="s">
        <v>1555</v>
      </c>
      <c r="L1063" t="s">
        <v>2950</v>
      </c>
      <c r="M1063" s="100" t="str">
        <f t="shared" si="32"/>
        <v>Passenger_Rear_Hard_Empty_car__0_CPD.MF4.xz</v>
      </c>
      <c r="N1063" s="59" t="str">
        <f t="shared" si="33"/>
        <v>_Empty_car__0_CPD.MF4.xz</v>
      </c>
      <c r="O1063" t="s">
        <v>1541</v>
      </c>
    </row>
    <row r="1064" spans="1:15" s="137" customFormat="1">
      <c r="A1064" s="77">
        <v>263</v>
      </c>
      <c r="B1064" t="s">
        <v>2304</v>
      </c>
      <c r="C1064" t="s">
        <v>66</v>
      </c>
      <c r="D1064" s="97" t="e">
        <f>_xlfn.XLOOKUP(A1064,[1]CPD_SOP_new!$A:$A,[1]CPD_SOP_new!#REF!,"not found",0 )</f>
        <v>#REF!</v>
      </c>
      <c r="E1064" s="97" t="str">
        <f>_xlfn.XLOOKUP(A1064,[1]CPD_SOP_new!$A:$A,[1]CPD_SOP_new!$K:$K,"not found",0 )</f>
        <v>F1P</v>
      </c>
      <c r="F1064" t="s">
        <v>28</v>
      </c>
      <c r="G1064" t="s">
        <v>28</v>
      </c>
      <c r="H1064" t="s">
        <v>28</v>
      </c>
      <c r="I1064" t="s">
        <v>28</v>
      </c>
      <c r="J1064" t="s">
        <v>124</v>
      </c>
      <c r="K1064" t="s">
        <v>1557</v>
      </c>
      <c r="L1064" t="s">
        <v>2951</v>
      </c>
      <c r="M1064" s="100" t="str">
        <f t="shared" si="32"/>
        <v>CSR_XCP_Signals_Recorder_2026-01-21_16-05-44_CPD_TC263_Try1_NCAP3_3YO_F1P_CPD.MF4.xz</v>
      </c>
      <c r="N1064" s="59" t="str">
        <f t="shared" si="33"/>
        <v>_NCAP3_3YO_F1P_CPD.MF4.xz</v>
      </c>
      <c r="O1064" t="s">
        <v>86</v>
      </c>
    </row>
    <row r="1065" spans="1:15" s="137" customFormat="1">
      <c r="A1065" s="77">
        <v>263</v>
      </c>
      <c r="B1065" t="s">
        <v>2304</v>
      </c>
      <c r="C1065" t="s">
        <v>66</v>
      </c>
      <c r="D1065" s="97" t="e">
        <f>_xlfn.XLOOKUP(A1065,[1]CPD_SOP_new!$A:$A,[1]CPD_SOP_new!#REF!,"not found",0 )</f>
        <v>#REF!</v>
      </c>
      <c r="E1065" s="97" t="str">
        <f>_xlfn.XLOOKUP(A1065,[1]CPD_SOP_new!$A:$A,[1]CPD_SOP_new!$K:$K,"not found",0 )</f>
        <v>F1P</v>
      </c>
      <c r="F1065" t="s">
        <v>28</v>
      </c>
      <c r="G1065" t="s">
        <v>28</v>
      </c>
      <c r="H1065" t="s">
        <v>28</v>
      </c>
      <c r="I1065" t="s">
        <v>28</v>
      </c>
      <c r="J1065" t="s">
        <v>124</v>
      </c>
      <c r="K1065" t="s">
        <v>1559</v>
      </c>
      <c r="L1065" t="s">
        <v>2952</v>
      </c>
      <c r="M1065" s="100" t="str">
        <f t="shared" si="32"/>
        <v>CSR_XCP_Signals_Recorder_2026-01-21_16-07-23_CPD_TC263_Try2_NCAP3_3YO_F1P_CPD.MF4.xz</v>
      </c>
      <c r="N1065" s="59" t="str">
        <f t="shared" si="33"/>
        <v>_NCAP3_3YO_F1P_CPD.MF4.xz</v>
      </c>
      <c r="O1065" t="s">
        <v>86</v>
      </c>
    </row>
    <row r="1066" spans="1:15">
      <c r="A1066" s="77">
        <v>263</v>
      </c>
      <c r="B1066" t="s">
        <v>2304</v>
      </c>
      <c r="C1066" t="s">
        <v>66</v>
      </c>
      <c r="D1066" s="97" t="e">
        <f>_xlfn.XLOOKUP(A1066,[1]CPD_SOP_new!$A:$A,[1]CPD_SOP_new!#REF!,"not found",0 )</f>
        <v>#REF!</v>
      </c>
      <c r="E1066" s="97" t="str">
        <f>_xlfn.XLOOKUP(A1066,[1]CPD_SOP_new!$A:$A,[1]CPD_SOP_new!$K:$K,"not found",0 )</f>
        <v>F1P</v>
      </c>
      <c r="F1066" t="s">
        <v>28</v>
      </c>
      <c r="G1066" t="s">
        <v>28</v>
      </c>
      <c r="H1066" t="s">
        <v>28</v>
      </c>
      <c r="I1066" t="s">
        <v>28</v>
      </c>
      <c r="J1066" t="s">
        <v>124</v>
      </c>
      <c r="K1066" t="s">
        <v>1560</v>
      </c>
      <c r="L1066" t="s">
        <v>2953</v>
      </c>
      <c r="M1066" s="100" t="str">
        <f t="shared" si="32"/>
        <v>CSR_XCP_Signals_Recorder_2026-01-21_16-09-25_CPD_TC263_Try3_NCAP3_3YO_F1P_CPD.MF4.xz</v>
      </c>
      <c r="N1066" s="59" t="str">
        <f t="shared" si="33"/>
        <v>_NCAP3_3YO_F1P_CPD.MF4.xz</v>
      </c>
      <c r="O1066" t="s">
        <v>86</v>
      </c>
    </row>
    <row r="1067" spans="1:15" s="137" customFormat="1">
      <c r="A1067" s="77">
        <v>263</v>
      </c>
      <c r="B1067" t="s">
        <v>2304</v>
      </c>
      <c r="C1067" t="s">
        <v>66</v>
      </c>
      <c r="D1067" s="97" t="e">
        <f>_xlfn.XLOOKUP(A1067,[1]CPD_SOP_new!$A:$A,[1]CPD_SOP_new!#REF!,"not found",0 )</f>
        <v>#REF!</v>
      </c>
      <c r="E1067" s="97" t="str">
        <f>_xlfn.XLOOKUP(A1067,[1]CPD_SOP_new!$A:$A,[1]CPD_SOP_new!$K:$K,"not found",0 )</f>
        <v>F1P</v>
      </c>
      <c r="F1067" t="s">
        <v>28</v>
      </c>
      <c r="G1067" t="s">
        <v>28</v>
      </c>
      <c r="H1067" t="s">
        <v>28</v>
      </c>
      <c r="I1067" t="s">
        <v>28</v>
      </c>
      <c r="J1067" t="s">
        <v>124</v>
      </c>
      <c r="K1067" t="s">
        <v>1561</v>
      </c>
      <c r="L1067" t="s">
        <v>2954</v>
      </c>
      <c r="M1067" s="100" t="str">
        <f t="shared" si="32"/>
        <v>CSR_XCP_Signals_Recorder_2026-01-21_16-10-55_CPD_TC263_Try4_NCAP3_3YO_F1P_CPD.MF4.xz</v>
      </c>
      <c r="N1067" s="59" t="str">
        <f t="shared" si="33"/>
        <v>_NCAP3_3YO_F1P_CPD.MF4.xz</v>
      </c>
      <c r="O1067" t="s">
        <v>86</v>
      </c>
    </row>
    <row r="1068" spans="1:15" s="137" customFormat="1">
      <c r="A1068" s="77">
        <v>263</v>
      </c>
      <c r="B1068" t="s">
        <v>2304</v>
      </c>
      <c r="C1068" t="s">
        <v>66</v>
      </c>
      <c r="D1068" s="97" t="e">
        <f>_xlfn.XLOOKUP(A1068,[1]CPD_SOP_new!$A:$A,[1]CPD_SOP_new!#REF!,"not found",0 )</f>
        <v>#REF!</v>
      </c>
      <c r="E1068" s="97" t="str">
        <f>_xlfn.XLOOKUP(A1068,[1]CPD_SOP_new!$A:$A,[1]CPD_SOP_new!$K:$K,"not found",0 )</f>
        <v>F1P</v>
      </c>
      <c r="F1068" t="s">
        <v>28</v>
      </c>
      <c r="G1068" t="s">
        <v>28</v>
      </c>
      <c r="H1068" t="s">
        <v>28</v>
      </c>
      <c r="I1068" t="s">
        <v>28</v>
      </c>
      <c r="J1068" t="s">
        <v>124</v>
      </c>
      <c r="K1068" t="s">
        <v>1562</v>
      </c>
      <c r="L1068" t="s">
        <v>2955</v>
      </c>
      <c r="M1068" s="100" t="str">
        <f t="shared" si="32"/>
        <v>CSR_XCP_Signals_Recorder_2026-01-21_16-12-48_CPD_TC263_Try5_NCAP3_3YO_F1P_CPD.MF4.xz</v>
      </c>
      <c r="N1068" s="59" t="str">
        <f t="shared" si="33"/>
        <v>_NCAP3_3YO_F1P_CPD.MF4.xz</v>
      </c>
      <c r="O1068" t="s">
        <v>86</v>
      </c>
    </row>
    <row r="1069" spans="1:15">
      <c r="A1069" s="77">
        <v>264</v>
      </c>
      <c r="B1069" t="s">
        <v>2304</v>
      </c>
      <c r="C1069" t="s">
        <v>66</v>
      </c>
      <c r="D1069" s="97" t="e">
        <f>_xlfn.XLOOKUP(A1069,[1]CPD_SOP_new!$A:$A,[1]CPD_SOP_new!#REF!,"not found",0 )</f>
        <v>#REF!</v>
      </c>
      <c r="E1069" s="97" t="str">
        <f>_xlfn.XLOOKUP(A1069,[1]CPD_SOP_new!$A:$A,[1]CPD_SOP_new!$K:$K,"not found",0 )</f>
        <v>F1P</v>
      </c>
      <c r="F1069" t="s">
        <v>28</v>
      </c>
      <c r="G1069" t="s">
        <v>28</v>
      </c>
      <c r="H1069" t="s">
        <v>28</v>
      </c>
      <c r="I1069" t="s">
        <v>28</v>
      </c>
      <c r="J1069" t="s">
        <v>124</v>
      </c>
      <c r="K1069" t="s">
        <v>1563</v>
      </c>
      <c r="L1069" t="s">
        <v>2956</v>
      </c>
      <c r="M1069" s="100" t="str">
        <f t="shared" si="32"/>
        <v>CSR_XCP_Signals_Recorder_2026-01-21_16-22-50_CPD_TC264_Try1_NCAP3_3YO_F1P_CPD.MF4.xz</v>
      </c>
      <c r="N1069" s="59" t="str">
        <f t="shared" si="33"/>
        <v>_NCAP3_3YO_F1P_CPD.MF4.xz</v>
      </c>
      <c r="O1069" t="s">
        <v>86</v>
      </c>
    </row>
    <row r="1070" spans="1:15" s="137" customFormat="1">
      <c r="A1070" s="77">
        <v>264</v>
      </c>
      <c r="B1070" t="s">
        <v>2304</v>
      </c>
      <c r="C1070" t="s">
        <v>66</v>
      </c>
      <c r="D1070" s="97" t="e">
        <f>_xlfn.XLOOKUP(A1070,[1]CPD_SOP_new!$A:$A,[1]CPD_SOP_new!#REF!,"not found",0 )</f>
        <v>#REF!</v>
      </c>
      <c r="E1070" s="97" t="str">
        <f>_xlfn.XLOOKUP(A1070,[1]CPD_SOP_new!$A:$A,[1]CPD_SOP_new!$K:$K,"not found",0 )</f>
        <v>F1P</v>
      </c>
      <c r="F1070" t="s">
        <v>28</v>
      </c>
      <c r="G1070" t="s">
        <v>28</v>
      </c>
      <c r="H1070" t="s">
        <v>28</v>
      </c>
      <c r="I1070" t="s">
        <v>28</v>
      </c>
      <c r="J1070" t="s">
        <v>124</v>
      </c>
      <c r="K1070" t="s">
        <v>1564</v>
      </c>
      <c r="L1070" t="s">
        <v>2957</v>
      </c>
      <c r="M1070" s="100" t="str">
        <f t="shared" si="32"/>
        <v>CSR_XCP_Signals_Recorder_2026-01-21_16-24-23_CPD_TC264_Try2_NCAP3_3YO_F1P_CPD.MF4.xz</v>
      </c>
      <c r="N1070" s="59" t="str">
        <f t="shared" si="33"/>
        <v>_NCAP3_3YO_F1P_CPD.MF4.xz</v>
      </c>
      <c r="O1070" t="s">
        <v>86</v>
      </c>
    </row>
    <row r="1071" spans="1:15">
      <c r="A1071" s="77">
        <v>264</v>
      </c>
      <c r="B1071" t="s">
        <v>2304</v>
      </c>
      <c r="C1071" t="s">
        <v>66</v>
      </c>
      <c r="D1071" s="97" t="e">
        <f>_xlfn.XLOOKUP(A1071,[1]CPD_SOP_new!$A:$A,[1]CPD_SOP_new!#REF!,"not found",0 )</f>
        <v>#REF!</v>
      </c>
      <c r="E1071" s="97" t="str">
        <f>_xlfn.XLOOKUP(A1071,[1]CPD_SOP_new!$A:$A,[1]CPD_SOP_new!$K:$K,"not found",0 )</f>
        <v>F1P</v>
      </c>
      <c r="F1071" t="s">
        <v>28</v>
      </c>
      <c r="G1071" t="s">
        <v>28</v>
      </c>
      <c r="H1071" t="s">
        <v>28</v>
      </c>
      <c r="I1071" t="s">
        <v>28</v>
      </c>
      <c r="J1071" t="s">
        <v>124</v>
      </c>
      <c r="K1071" t="s">
        <v>1565</v>
      </c>
      <c r="L1071" t="s">
        <v>2958</v>
      </c>
      <c r="M1071" s="100" t="str">
        <f t="shared" si="32"/>
        <v>CSR_XCP_Signals_Recorder_2026-01-21_16-26-03_CPD_TC264_Try3_NCAP3_3YO_F1P_CPD.MF4.xz</v>
      </c>
      <c r="N1071" s="59" t="str">
        <f t="shared" si="33"/>
        <v>_NCAP3_3YO_F1P_CPD.MF4.xz</v>
      </c>
      <c r="O1071" t="s">
        <v>86</v>
      </c>
    </row>
    <row r="1072" spans="1:15">
      <c r="A1072" s="77">
        <v>264</v>
      </c>
      <c r="B1072" t="s">
        <v>2304</v>
      </c>
      <c r="C1072" t="s">
        <v>66</v>
      </c>
      <c r="D1072" s="97" t="e">
        <f>_xlfn.XLOOKUP(A1072,[1]CPD_SOP_new!$A:$A,[1]CPD_SOP_new!#REF!,"not found",0 )</f>
        <v>#REF!</v>
      </c>
      <c r="E1072" s="97" t="str">
        <f>_xlfn.XLOOKUP(A1072,[1]CPD_SOP_new!$A:$A,[1]CPD_SOP_new!$K:$K,"not found",0 )</f>
        <v>F1P</v>
      </c>
      <c r="F1072" t="s">
        <v>28</v>
      </c>
      <c r="G1072" t="s">
        <v>28</v>
      </c>
      <c r="H1072" t="s">
        <v>28</v>
      </c>
      <c r="I1072" t="s">
        <v>28</v>
      </c>
      <c r="J1072" t="s">
        <v>124</v>
      </c>
      <c r="K1072" t="s">
        <v>1566</v>
      </c>
      <c r="L1072" t="s">
        <v>2959</v>
      </c>
      <c r="M1072" s="100" t="str">
        <f t="shared" si="32"/>
        <v>CSR_XCP_Signals_Recorder_2026-01-21_16-27-36_CPD_TC264_Try4_NCAP3_3YO_F1P_CPD.MF4.xz</v>
      </c>
      <c r="N1072" s="59" t="str">
        <f t="shared" si="33"/>
        <v>_NCAP3_3YO_F1P_CPD.MF4.xz</v>
      </c>
      <c r="O1072" t="s">
        <v>86</v>
      </c>
    </row>
    <row r="1073" spans="1:15">
      <c r="A1073" s="77">
        <v>264</v>
      </c>
      <c r="B1073" t="s">
        <v>2304</v>
      </c>
      <c r="C1073" t="s">
        <v>66</v>
      </c>
      <c r="D1073" s="97" t="e">
        <f>_xlfn.XLOOKUP(A1073,[1]CPD_SOP_new!$A:$A,[1]CPD_SOP_new!#REF!,"not found",0 )</f>
        <v>#REF!</v>
      </c>
      <c r="E1073" s="97" t="str">
        <f>_xlfn.XLOOKUP(A1073,[1]CPD_SOP_new!$A:$A,[1]CPD_SOP_new!$K:$K,"not found",0 )</f>
        <v>F1P</v>
      </c>
      <c r="F1073" t="s">
        <v>28</v>
      </c>
      <c r="G1073" t="s">
        <v>28</v>
      </c>
      <c r="H1073" t="s">
        <v>28</v>
      </c>
      <c r="I1073" t="s">
        <v>28</v>
      </c>
      <c r="J1073" t="s">
        <v>124</v>
      </c>
      <c r="K1073" t="s">
        <v>1567</v>
      </c>
      <c r="L1073" t="s">
        <v>2960</v>
      </c>
      <c r="M1073" s="100" t="str">
        <f t="shared" si="32"/>
        <v>CSR_XCP_Signals_Recorder_2026-01-21_16-29-08_CPD_TC264_Try5_NCAP3_3YO_F1P_CPD.MF4.xz</v>
      </c>
      <c r="N1073" s="59" t="str">
        <f t="shared" si="33"/>
        <v>_NCAP3_3YO_F1P_CPD.MF4.xz</v>
      </c>
      <c r="O1073" t="s">
        <v>86</v>
      </c>
    </row>
    <row r="1074" spans="1:15">
      <c r="A1074" s="77">
        <v>265</v>
      </c>
      <c r="B1074" t="s">
        <v>2304</v>
      </c>
      <c r="C1074" t="s">
        <v>66</v>
      </c>
      <c r="D1074" s="97" t="e">
        <f>_xlfn.XLOOKUP(A1074,[1]CPD_SOP_new!$A:$A,[1]CPD_SOP_new!#REF!,"not found",0 )</f>
        <v>#REF!</v>
      </c>
      <c r="E1074" s="97" t="str">
        <f>_xlfn.XLOOKUP(A1074,[1]CPD_SOP_new!$A:$A,[1]CPD_SOP_new!$K:$K,"not found",0 )</f>
        <v>F1P</v>
      </c>
      <c r="F1074" t="s">
        <v>28</v>
      </c>
      <c r="G1074" t="s">
        <v>28</v>
      </c>
      <c r="H1074" t="s">
        <v>28</v>
      </c>
      <c r="I1074" t="s">
        <v>28</v>
      </c>
      <c r="J1074" t="s">
        <v>124</v>
      </c>
      <c r="K1074" t="s">
        <v>1568</v>
      </c>
      <c r="L1074" t="s">
        <v>2961</v>
      </c>
      <c r="M1074" s="100" t="str">
        <f t="shared" si="32"/>
        <v>CSR_XCP_Signals_Recorder_2026-01-21_16-38-35_CPD_TC265_Try1_NCAP3_3YO_F1P_CPD.MF4.xz</v>
      </c>
      <c r="N1074" s="59" t="str">
        <f t="shared" si="33"/>
        <v>_NCAP3_3YO_F1P_CPD.MF4.xz</v>
      </c>
      <c r="O1074" t="s">
        <v>86</v>
      </c>
    </row>
    <row r="1075" spans="1:15">
      <c r="A1075" s="77">
        <v>265</v>
      </c>
      <c r="B1075" t="s">
        <v>2304</v>
      </c>
      <c r="C1075" t="s">
        <v>66</v>
      </c>
      <c r="D1075" s="97" t="e">
        <f>_xlfn.XLOOKUP(A1075,[1]CPD_SOP_new!$A:$A,[1]CPD_SOP_new!#REF!,"not found",0 )</f>
        <v>#REF!</v>
      </c>
      <c r="E1075" s="97" t="str">
        <f>_xlfn.XLOOKUP(A1075,[1]CPD_SOP_new!$A:$A,[1]CPD_SOP_new!$K:$K,"not found",0 )</f>
        <v>F1P</v>
      </c>
      <c r="F1075" t="s">
        <v>28</v>
      </c>
      <c r="G1075" t="s">
        <v>28</v>
      </c>
      <c r="H1075" t="s">
        <v>28</v>
      </c>
      <c r="I1075" t="s">
        <v>28</v>
      </c>
      <c r="J1075" t="s">
        <v>124</v>
      </c>
      <c r="K1075" t="s">
        <v>1569</v>
      </c>
      <c r="L1075" t="s">
        <v>2962</v>
      </c>
      <c r="M1075" s="100" t="str">
        <f t="shared" si="32"/>
        <v>CSR_XCP_Signals_Recorder_2026-01-21_16-40-05_CPD_TC265_Try2_NCAP3_3YO_F1P_CPD.MF4.xz</v>
      </c>
      <c r="N1075" s="59" t="str">
        <f t="shared" si="33"/>
        <v>_NCAP3_3YO_F1P_CPD.MF4.xz</v>
      </c>
      <c r="O1075" t="s">
        <v>86</v>
      </c>
    </row>
    <row r="1076" spans="1:15">
      <c r="A1076" s="77">
        <v>265</v>
      </c>
      <c r="B1076" t="s">
        <v>2304</v>
      </c>
      <c r="C1076" t="s">
        <v>66</v>
      </c>
      <c r="D1076" s="97" t="e">
        <f>_xlfn.XLOOKUP(A1076,[1]CPD_SOP_new!$A:$A,[1]CPD_SOP_new!#REF!,"not found",0 )</f>
        <v>#REF!</v>
      </c>
      <c r="E1076" s="97" t="str">
        <f>_xlfn.XLOOKUP(A1076,[1]CPD_SOP_new!$A:$A,[1]CPD_SOP_new!$K:$K,"not found",0 )</f>
        <v>F1P</v>
      </c>
      <c r="F1076" t="s">
        <v>28</v>
      </c>
      <c r="G1076" t="s">
        <v>28</v>
      </c>
      <c r="H1076" t="s">
        <v>28</v>
      </c>
      <c r="I1076" t="s">
        <v>28</v>
      </c>
      <c r="J1076" t="s">
        <v>124</v>
      </c>
      <c r="K1076" t="s">
        <v>1570</v>
      </c>
      <c r="L1076" t="s">
        <v>2963</v>
      </c>
      <c r="M1076" s="100" t="str">
        <f t="shared" si="32"/>
        <v>CSR_XCP_Signals_Recorder_2026-01-21_16-41-43_CPD_TC265_Try3_NCAP3_3YO_F1P_CPD.MF4.xz</v>
      </c>
      <c r="N1076" s="59" t="str">
        <f t="shared" si="33"/>
        <v>_NCAP3_3YO_F1P_CPD.MF4.xz</v>
      </c>
      <c r="O1076" t="s">
        <v>86</v>
      </c>
    </row>
    <row r="1077" spans="1:15">
      <c r="A1077" s="77">
        <v>265</v>
      </c>
      <c r="B1077" t="s">
        <v>2304</v>
      </c>
      <c r="C1077" t="s">
        <v>66</v>
      </c>
      <c r="D1077" s="97" t="e">
        <f>_xlfn.XLOOKUP(A1077,[1]CPD_SOP_new!$A:$A,[1]CPD_SOP_new!#REF!,"not found",0 )</f>
        <v>#REF!</v>
      </c>
      <c r="E1077" s="97" t="str">
        <f>_xlfn.XLOOKUP(A1077,[1]CPD_SOP_new!$A:$A,[1]CPD_SOP_new!$K:$K,"not found",0 )</f>
        <v>F1P</v>
      </c>
      <c r="F1077" t="s">
        <v>28</v>
      </c>
      <c r="G1077" t="s">
        <v>28</v>
      </c>
      <c r="H1077" t="s">
        <v>28</v>
      </c>
      <c r="I1077" t="s">
        <v>28</v>
      </c>
      <c r="J1077" t="s">
        <v>124</v>
      </c>
      <c r="K1077" t="s">
        <v>1571</v>
      </c>
      <c r="L1077" t="s">
        <v>2964</v>
      </c>
      <c r="M1077" s="100" t="str">
        <f t="shared" si="32"/>
        <v>CSR_XCP_Signals_Recorder_2026-01-21_16-43-12_CPD_TC265_Try4_NCAP3_3YO_F1P_CPD.MF4.xz</v>
      </c>
      <c r="N1077" s="59" t="str">
        <f t="shared" si="33"/>
        <v>_NCAP3_3YO_F1P_CPD.MF4.xz</v>
      </c>
      <c r="O1077" t="s">
        <v>86</v>
      </c>
    </row>
    <row r="1078" spans="1:15">
      <c r="A1078" s="77">
        <v>265</v>
      </c>
      <c r="B1078" t="s">
        <v>2304</v>
      </c>
      <c r="C1078" t="s">
        <v>66</v>
      </c>
      <c r="D1078" s="97" t="e">
        <f>_xlfn.XLOOKUP(A1078,[1]CPD_SOP_new!$A:$A,[1]CPD_SOP_new!#REF!,"not found",0 )</f>
        <v>#REF!</v>
      </c>
      <c r="E1078" s="97" t="str">
        <f>_xlfn.XLOOKUP(A1078,[1]CPD_SOP_new!$A:$A,[1]CPD_SOP_new!$K:$K,"not found",0 )</f>
        <v>F1P</v>
      </c>
      <c r="F1078" t="s">
        <v>28</v>
      </c>
      <c r="G1078" t="s">
        <v>28</v>
      </c>
      <c r="H1078" t="s">
        <v>28</v>
      </c>
      <c r="I1078" t="s">
        <v>28</v>
      </c>
      <c r="J1078" t="s">
        <v>124</v>
      </c>
      <c r="K1078" t="s">
        <v>1572</v>
      </c>
      <c r="L1078" t="s">
        <v>2965</v>
      </c>
      <c r="M1078" s="100" t="str">
        <f t="shared" si="32"/>
        <v>CSR_XCP_Signals_Recorder_2026-01-21_16-44-52_CPD_TC265_Try5_NCAP3_3YO_F1P_CPD.MF4.xz</v>
      </c>
      <c r="N1078" s="59" t="str">
        <f t="shared" si="33"/>
        <v>_NCAP3_3YO_F1P_CPD.MF4.xz</v>
      </c>
      <c r="O1078" t="s">
        <v>86</v>
      </c>
    </row>
    <row r="1079" spans="1:15">
      <c r="A1079" s="77">
        <v>266</v>
      </c>
      <c r="B1079" t="s">
        <v>2304</v>
      </c>
      <c r="C1079" s="59" t="s">
        <v>253</v>
      </c>
      <c r="D1079" s="97" t="e">
        <f>_xlfn.XLOOKUP(A1079,[1]CPD_SOP_new!$A:$A,[1]CPD_SOP_new!#REF!,"not found",0 )</f>
        <v>#REF!</v>
      </c>
      <c r="E1079" s="97" t="s">
        <v>26</v>
      </c>
      <c r="F1079" t="s">
        <v>28</v>
      </c>
      <c r="G1079" t="s">
        <v>28</v>
      </c>
      <c r="H1079" t="s">
        <v>28</v>
      </c>
      <c r="I1079" t="s">
        <v>28</v>
      </c>
      <c r="J1079" t="s">
        <v>124</v>
      </c>
      <c r="K1079" t="s">
        <v>1573</v>
      </c>
      <c r="L1079" t="s">
        <v>2966</v>
      </c>
      <c r="M1079" s="100" t="str">
        <f t="shared" si="32"/>
        <v>CSR_XCP_Signals_Recorder_2026-01-23_15-45-44_CPD_TC266_Try1_NCAP3_6YO_1R_CPD.MF4.xz</v>
      </c>
      <c r="N1079" s="59" t="str">
        <f t="shared" si="33"/>
        <v>_NCAP3_6YO_1R_CPD.MF4.xz</v>
      </c>
      <c r="O1079" t="s">
        <v>86</v>
      </c>
    </row>
    <row r="1080" spans="1:15">
      <c r="A1080" s="77">
        <v>266</v>
      </c>
      <c r="B1080" t="s">
        <v>2304</v>
      </c>
      <c r="C1080" s="59" t="s">
        <v>253</v>
      </c>
      <c r="D1080" s="97" t="e">
        <f>_xlfn.XLOOKUP(A1080,[1]CPD_SOP_new!$A:$A,[1]CPD_SOP_new!#REF!,"not found",0 )</f>
        <v>#REF!</v>
      </c>
      <c r="E1080" s="97" t="s">
        <v>26</v>
      </c>
      <c r="F1080" t="s">
        <v>28</v>
      </c>
      <c r="G1080" t="s">
        <v>28</v>
      </c>
      <c r="H1080" t="s">
        <v>28</v>
      </c>
      <c r="I1080" t="s">
        <v>28</v>
      </c>
      <c r="J1080" t="s">
        <v>124</v>
      </c>
      <c r="K1080" t="s">
        <v>1575</v>
      </c>
      <c r="L1080" t="s">
        <v>2967</v>
      </c>
      <c r="M1080" s="100" t="str">
        <f t="shared" si="32"/>
        <v>CSR_XCP_Signals_Recorder_2026-01-23_15-48-52_CPD_TC266_Try2_NCAP3_6YO_1R_CPD.MF4.xz</v>
      </c>
      <c r="N1080" s="59" t="str">
        <f t="shared" si="33"/>
        <v>_NCAP3_6YO_1R_CPD.MF4.xz</v>
      </c>
      <c r="O1080" t="s">
        <v>86</v>
      </c>
    </row>
    <row r="1081" spans="1:15">
      <c r="A1081" s="77">
        <v>266</v>
      </c>
      <c r="B1081" t="s">
        <v>2304</v>
      </c>
      <c r="C1081" s="59" t="s">
        <v>253</v>
      </c>
      <c r="D1081" s="97" t="e">
        <f>_xlfn.XLOOKUP(A1081,[1]CPD_SOP_new!$A:$A,[1]CPD_SOP_new!#REF!,"not found",0 )</f>
        <v>#REF!</v>
      </c>
      <c r="E1081" s="97" t="s">
        <v>26</v>
      </c>
      <c r="F1081" t="s">
        <v>28</v>
      </c>
      <c r="G1081" t="s">
        <v>28</v>
      </c>
      <c r="H1081" t="s">
        <v>28</v>
      </c>
      <c r="I1081" t="s">
        <v>28</v>
      </c>
      <c r="J1081" t="s">
        <v>124</v>
      </c>
      <c r="K1081" t="s">
        <v>1576</v>
      </c>
      <c r="L1081" t="s">
        <v>2968</v>
      </c>
      <c r="M1081" s="100" t="str">
        <f t="shared" si="32"/>
        <v>CSR_XCP_Signals_Recorder_2026-01-23_15-50-57_CPD_TC266_Try3_NCAP3_6YO_1R_CPD.MF4.xz</v>
      </c>
      <c r="N1081" s="59" t="str">
        <f t="shared" si="33"/>
        <v>_NCAP3_6YO_1R_CPD.MF4.xz</v>
      </c>
      <c r="O1081" t="s">
        <v>86</v>
      </c>
    </row>
    <row r="1082" spans="1:15" s="137" customFormat="1">
      <c r="A1082" s="77">
        <v>266</v>
      </c>
      <c r="B1082" t="s">
        <v>2304</v>
      </c>
      <c r="C1082" s="59" t="s">
        <v>253</v>
      </c>
      <c r="D1082" s="97" t="e">
        <f>_xlfn.XLOOKUP(A1082,[1]CPD_SOP_new!$A:$A,[1]CPD_SOP_new!#REF!,"not found",0 )</f>
        <v>#REF!</v>
      </c>
      <c r="E1082" s="97" t="s">
        <v>26</v>
      </c>
      <c r="F1082" t="s">
        <v>28</v>
      </c>
      <c r="G1082" t="s">
        <v>28</v>
      </c>
      <c r="H1082" t="s">
        <v>28</v>
      </c>
      <c r="I1082" t="s">
        <v>28</v>
      </c>
      <c r="J1082" t="s">
        <v>124</v>
      </c>
      <c r="K1082" t="s">
        <v>1577</v>
      </c>
      <c r="L1082" t="s">
        <v>2969</v>
      </c>
      <c r="M1082" s="100" t="str">
        <f t="shared" si="32"/>
        <v>CSR_XCP_Signals_Recorder_2026-01-23_15-52-45_CPD_TC266_Try4_NCAP3_6YO_1R_CPD.MF4.xz</v>
      </c>
      <c r="N1082" s="59" t="str">
        <f t="shared" si="33"/>
        <v>_NCAP3_6YO_1R_CPD.MF4.xz</v>
      </c>
      <c r="O1082" t="s">
        <v>86</v>
      </c>
    </row>
    <row r="1083" spans="1:15">
      <c r="A1083" s="77">
        <v>266</v>
      </c>
      <c r="B1083" t="s">
        <v>2304</v>
      </c>
      <c r="C1083" s="59" t="s">
        <v>253</v>
      </c>
      <c r="D1083" s="97" t="e">
        <f>_xlfn.XLOOKUP(A1083,[1]CPD_SOP_new!$A:$A,[1]CPD_SOP_new!#REF!,"not found",0 )</f>
        <v>#REF!</v>
      </c>
      <c r="E1083" s="97" t="s">
        <v>26</v>
      </c>
      <c r="F1083" t="s">
        <v>28</v>
      </c>
      <c r="G1083" t="s">
        <v>28</v>
      </c>
      <c r="H1083" t="s">
        <v>28</v>
      </c>
      <c r="I1083" t="s">
        <v>28</v>
      </c>
      <c r="J1083" t="s">
        <v>124</v>
      </c>
      <c r="K1083" t="s">
        <v>1578</v>
      </c>
      <c r="L1083" t="s">
        <v>2970</v>
      </c>
      <c r="M1083" s="100" t="str">
        <f t="shared" si="32"/>
        <v>CSR_XCP_Signals_Recorder_2026-01-23_15-54-32_CPD_TC266_Try5_NCAP3_6YO_1R_CPD.MF4.xz</v>
      </c>
      <c r="N1083" s="59" t="str">
        <f t="shared" si="33"/>
        <v>_NCAP3_6YO_1R_CPD.MF4.xz</v>
      </c>
      <c r="O1083" t="s">
        <v>86</v>
      </c>
    </row>
    <row r="1084" spans="1:15">
      <c r="A1084" s="77">
        <v>267</v>
      </c>
      <c r="B1084" t="s">
        <v>2304</v>
      </c>
      <c r="C1084" s="59" t="s">
        <v>253</v>
      </c>
      <c r="D1084" s="97" t="e">
        <f>_xlfn.XLOOKUP(A1084,[1]CPD_SOP_new!$A:$A,[1]CPD_SOP_new!#REF!,"not found",0 )</f>
        <v>#REF!</v>
      </c>
      <c r="E1084" s="97" t="s">
        <v>26</v>
      </c>
      <c r="F1084" t="s">
        <v>28</v>
      </c>
      <c r="G1084" t="s">
        <v>28</v>
      </c>
      <c r="H1084" t="s">
        <v>28</v>
      </c>
      <c r="I1084" t="s">
        <v>28</v>
      </c>
      <c r="J1084" t="s">
        <v>124</v>
      </c>
      <c r="K1084" t="s">
        <v>1579</v>
      </c>
      <c r="L1084" t="s">
        <v>2971</v>
      </c>
      <c r="M1084" s="100" t="str">
        <f t="shared" si="32"/>
        <v>CSR_XCP_Signals_Recorder_2026-01-23_15-58-26_CPD_TC267_Try1_NCAP3_6YO_1R_CPD.MF4.xz</v>
      </c>
      <c r="N1084" s="59" t="str">
        <f t="shared" si="33"/>
        <v>_NCAP3_6YO_1R_CPD.MF4.xz</v>
      </c>
      <c r="O1084" t="s">
        <v>86</v>
      </c>
    </row>
    <row r="1085" spans="1:15">
      <c r="A1085" s="77">
        <v>267</v>
      </c>
      <c r="B1085" t="s">
        <v>2304</v>
      </c>
      <c r="C1085" s="59" t="s">
        <v>253</v>
      </c>
      <c r="D1085" s="97" t="e">
        <f>_xlfn.XLOOKUP(A1085,[1]CPD_SOP_new!$A:$A,[1]CPD_SOP_new!#REF!,"not found",0 )</f>
        <v>#REF!</v>
      </c>
      <c r="E1085" s="97" t="s">
        <v>26</v>
      </c>
      <c r="F1085" t="s">
        <v>28</v>
      </c>
      <c r="G1085" t="s">
        <v>28</v>
      </c>
      <c r="H1085" t="s">
        <v>28</v>
      </c>
      <c r="I1085" t="s">
        <v>28</v>
      </c>
      <c r="J1085" t="s">
        <v>124</v>
      </c>
      <c r="K1085" t="s">
        <v>1580</v>
      </c>
      <c r="L1085" t="s">
        <v>2972</v>
      </c>
      <c r="M1085" s="100" t="str">
        <f t="shared" si="32"/>
        <v>CSR_XCP_Signals_Recorder_2026-01-23_16-00-01_CPD_TC267_Try2_NCAP3_6YO_1R_CPD.MF4.xz</v>
      </c>
      <c r="N1085" s="59" t="str">
        <f t="shared" si="33"/>
        <v>_NCAP3_6YO_1R_CPD.MF4.xz</v>
      </c>
      <c r="O1085" t="s">
        <v>86</v>
      </c>
    </row>
    <row r="1086" spans="1:15">
      <c r="A1086" s="77">
        <v>267</v>
      </c>
      <c r="B1086" t="s">
        <v>2304</v>
      </c>
      <c r="C1086" s="59" t="s">
        <v>253</v>
      </c>
      <c r="D1086" s="97" t="e">
        <f>_xlfn.XLOOKUP(A1086,[1]CPD_SOP_new!$A:$A,[1]CPD_SOP_new!#REF!,"not found",0 )</f>
        <v>#REF!</v>
      </c>
      <c r="E1086" s="97" t="s">
        <v>26</v>
      </c>
      <c r="F1086" t="s">
        <v>28</v>
      </c>
      <c r="G1086" t="s">
        <v>28</v>
      </c>
      <c r="H1086" t="s">
        <v>28</v>
      </c>
      <c r="I1086" t="s">
        <v>28</v>
      </c>
      <c r="J1086" t="s">
        <v>124</v>
      </c>
      <c r="K1086" t="s">
        <v>1581</v>
      </c>
      <c r="L1086" t="s">
        <v>2973</v>
      </c>
      <c r="M1086" s="100" t="str">
        <f t="shared" si="32"/>
        <v>CSR_XCP_Signals_Recorder_2026-01-23_16-03-00_CPD_TC267_Try4_NCAP3_6YO_1R_CPD.MF4.xz</v>
      </c>
      <c r="N1086" s="59" t="str">
        <f t="shared" si="33"/>
        <v>_NCAP3_6YO_1R_CPD.MF4.xz</v>
      </c>
      <c r="O1086" t="s">
        <v>86</v>
      </c>
    </row>
    <row r="1087" spans="1:15">
      <c r="A1087" s="77">
        <v>267</v>
      </c>
      <c r="B1087" t="s">
        <v>2304</v>
      </c>
      <c r="C1087" s="59" t="s">
        <v>253</v>
      </c>
      <c r="D1087" s="97" t="e">
        <f>_xlfn.XLOOKUP(A1087,[1]CPD_SOP_new!$A:$A,[1]CPD_SOP_new!#REF!,"not found",0 )</f>
        <v>#REF!</v>
      </c>
      <c r="E1087" s="97" t="s">
        <v>26</v>
      </c>
      <c r="F1087" t="s">
        <v>28</v>
      </c>
      <c r="G1087" t="s">
        <v>28</v>
      </c>
      <c r="H1087" t="s">
        <v>28</v>
      </c>
      <c r="I1087" t="s">
        <v>28</v>
      </c>
      <c r="J1087" t="s">
        <v>124</v>
      </c>
      <c r="K1087" t="s">
        <v>1582</v>
      </c>
      <c r="L1087" t="s">
        <v>2974</v>
      </c>
      <c r="M1087" s="100" t="str">
        <f t="shared" si="32"/>
        <v>CSR_XCP_Signals_Recorder_2026-01-23_16-04-26_CPD_TC267_Try5_NCAP3_6YO_1R_CPD.MF4.xz</v>
      </c>
      <c r="N1087" s="59" t="str">
        <f t="shared" si="33"/>
        <v>_NCAP3_6YO_1R_CPD.MF4.xz</v>
      </c>
      <c r="O1087" t="s">
        <v>86</v>
      </c>
    </row>
    <row r="1088" spans="1:15">
      <c r="A1088" s="77">
        <v>268</v>
      </c>
      <c r="B1088" t="s">
        <v>2304</v>
      </c>
      <c r="C1088" s="59" t="s">
        <v>253</v>
      </c>
      <c r="D1088" s="97" t="e">
        <f>_xlfn.XLOOKUP(A1088,[1]CPD_SOP_new!$A:$A,[1]CPD_SOP_new!#REF!,"not found",0 )</f>
        <v>#REF!</v>
      </c>
      <c r="E1088" s="97" t="s">
        <v>26</v>
      </c>
      <c r="F1088" t="s">
        <v>28</v>
      </c>
      <c r="G1088" t="s">
        <v>28</v>
      </c>
      <c r="H1088" t="s">
        <v>28</v>
      </c>
      <c r="I1088" t="s">
        <v>28</v>
      </c>
      <c r="J1088" t="s">
        <v>124</v>
      </c>
      <c r="K1088" t="s">
        <v>1583</v>
      </c>
      <c r="L1088" t="s">
        <v>2975</v>
      </c>
      <c r="M1088" s="100" t="str">
        <f t="shared" si="32"/>
        <v>CSR_XCP_Signals_Recorder_2026-01-23_16-56-27_CPD_TC268_Try1_NCAP3_6YO_1R_CPD.MF4.xz</v>
      </c>
      <c r="N1088" s="59" t="str">
        <f t="shared" si="33"/>
        <v>_NCAP3_6YO_1R_CPD.MF4.xz</v>
      </c>
      <c r="O1088" t="s">
        <v>86</v>
      </c>
    </row>
    <row r="1089" spans="1:21" s="137" customFormat="1">
      <c r="A1089" s="77">
        <v>268</v>
      </c>
      <c r="B1089" t="s">
        <v>2304</v>
      </c>
      <c r="C1089" s="59" t="s">
        <v>253</v>
      </c>
      <c r="D1089" s="97" t="e">
        <f>_xlfn.XLOOKUP(A1089,[1]CPD_SOP_new!$A:$A,[1]CPD_SOP_new!#REF!,"not found",0 )</f>
        <v>#REF!</v>
      </c>
      <c r="E1089" s="97" t="s">
        <v>26</v>
      </c>
      <c r="F1089" t="s">
        <v>28</v>
      </c>
      <c r="G1089" t="s">
        <v>28</v>
      </c>
      <c r="H1089" t="s">
        <v>28</v>
      </c>
      <c r="I1089" t="s">
        <v>28</v>
      </c>
      <c r="J1089" t="s">
        <v>124</v>
      </c>
      <c r="K1089" t="s">
        <v>1585</v>
      </c>
      <c r="L1089" t="s">
        <v>2976</v>
      </c>
      <c r="M1089" s="100" t="str">
        <f t="shared" si="32"/>
        <v>CSR_XCP_Signals_Recorder_2026-01-23_16-58-05_CPD_TC268_Try2_NCAP3_6YO_1R_CPD.MF4.xz</v>
      </c>
      <c r="N1089" s="59" t="str">
        <f t="shared" si="33"/>
        <v>_NCAP3_6YO_1R_CPD.MF4.xz</v>
      </c>
      <c r="O1089" t="s">
        <v>86</v>
      </c>
    </row>
    <row r="1090" spans="1:21">
      <c r="A1090" s="77">
        <v>268</v>
      </c>
      <c r="B1090" t="s">
        <v>2304</v>
      </c>
      <c r="C1090" s="59" t="s">
        <v>253</v>
      </c>
      <c r="D1090" s="97" t="e">
        <f>_xlfn.XLOOKUP(A1090,[1]CPD_SOP_new!$A:$A,[1]CPD_SOP_new!#REF!,"not found",0 )</f>
        <v>#REF!</v>
      </c>
      <c r="E1090" s="97" t="s">
        <v>26</v>
      </c>
      <c r="F1090" t="s">
        <v>28</v>
      </c>
      <c r="G1090" t="s">
        <v>28</v>
      </c>
      <c r="H1090" t="s">
        <v>28</v>
      </c>
      <c r="I1090" t="s">
        <v>28</v>
      </c>
      <c r="J1090" t="s">
        <v>124</v>
      </c>
      <c r="K1090" t="s">
        <v>1586</v>
      </c>
      <c r="L1090" t="s">
        <v>2977</v>
      </c>
      <c r="M1090" s="100" t="str">
        <f t="shared" ref="M1090:M1153" si="34">IF(NOT(N1090="Wrong measurement"),SUBSTITUTE(K1090,".MF4.xz",N1090),"Wrong measurement")</f>
        <v>CSR_XCP_Signals_Recorder_2026-01-23_16-59-34_CPD_TC268_Try3_NCAP3_6YO_1R_CPD.MF4.xz</v>
      </c>
      <c r="N1090" s="59" t="str">
        <f t="shared" ref="N1090:N1153" si="35">IF(I1090="Y",("_"&amp;B1090 &amp;"_"&amp; IF(C1090="","",C1090)&amp;"_"&amp;E1090&amp;"_CPD.MF4.xz"),"Wrong measurement")</f>
        <v>_NCAP3_6YO_1R_CPD.MF4.xz</v>
      </c>
      <c r="O1090" t="s">
        <v>86</v>
      </c>
    </row>
    <row r="1091" spans="1:21">
      <c r="A1091" s="77">
        <v>268</v>
      </c>
      <c r="B1091" t="s">
        <v>2304</v>
      </c>
      <c r="C1091" s="59" t="s">
        <v>253</v>
      </c>
      <c r="D1091" s="97" t="e">
        <f>_xlfn.XLOOKUP(A1091,[1]CPD_SOP_new!$A:$A,[1]CPD_SOP_new!#REF!,"not found",0 )</f>
        <v>#REF!</v>
      </c>
      <c r="E1091" s="97" t="s">
        <v>26</v>
      </c>
      <c r="F1091" t="s">
        <v>28</v>
      </c>
      <c r="G1091" t="s">
        <v>28</v>
      </c>
      <c r="H1091" t="s">
        <v>28</v>
      </c>
      <c r="I1091" t="s">
        <v>28</v>
      </c>
      <c r="J1091" t="s">
        <v>124</v>
      </c>
      <c r="K1091" t="s">
        <v>1587</v>
      </c>
      <c r="L1091" t="s">
        <v>2978</v>
      </c>
      <c r="M1091" s="100" t="str">
        <f t="shared" si="34"/>
        <v>CSR_XCP_Signals_Recorder_2026-01-23_17-01-03_CPD_TC268_Try4_NCAP3_6YO_1R_CPD.MF4.xz</v>
      </c>
      <c r="N1091" s="59" t="str">
        <f t="shared" si="35"/>
        <v>_NCAP3_6YO_1R_CPD.MF4.xz</v>
      </c>
      <c r="O1091" t="s">
        <v>86</v>
      </c>
    </row>
    <row r="1092" spans="1:21">
      <c r="A1092" s="77">
        <v>268</v>
      </c>
      <c r="B1092" t="s">
        <v>2304</v>
      </c>
      <c r="C1092" s="59" t="s">
        <v>253</v>
      </c>
      <c r="D1092" s="97" t="e">
        <f>_xlfn.XLOOKUP(A1092,[1]CPD_SOP_new!$A:$A,[1]CPD_SOP_new!#REF!,"not found",0 )</f>
        <v>#REF!</v>
      </c>
      <c r="E1092" s="97" t="s">
        <v>26</v>
      </c>
      <c r="F1092" t="s">
        <v>28</v>
      </c>
      <c r="G1092" t="s">
        <v>28</v>
      </c>
      <c r="H1092" t="s">
        <v>28</v>
      </c>
      <c r="I1092" t="s">
        <v>28</v>
      </c>
      <c r="J1092" t="s">
        <v>124</v>
      </c>
      <c r="K1092" t="s">
        <v>1588</v>
      </c>
      <c r="L1092" t="s">
        <v>2979</v>
      </c>
      <c r="M1092" s="100" t="str">
        <f t="shared" si="34"/>
        <v>CSR_XCP_Signals_Recorder_2026-01-23_17-02-35_CPD_TC268_Try5_NCAP3_6YO_1R_CPD.MF4.xz</v>
      </c>
      <c r="N1092" s="59" t="str">
        <f t="shared" si="35"/>
        <v>_NCAP3_6YO_1R_CPD.MF4.xz</v>
      </c>
      <c r="O1092" t="s">
        <v>86</v>
      </c>
    </row>
    <row r="1093" spans="1:21">
      <c r="A1093" s="59" t="s">
        <v>1589</v>
      </c>
      <c r="B1093" t="s">
        <v>1084</v>
      </c>
      <c r="D1093" s="97" t="e">
        <f>_xlfn.XLOOKUP(A1093,[1]CPD_SOP_new!$A:$A,[1]CPD_SOP_new!#REF!,"not found",0 )</f>
        <v>#REF!</v>
      </c>
      <c r="E1093" s="97" t="str">
        <f>_xlfn.XLOOKUP(A1093,[1]CPD_SOP_new!$A:$A,[1]CPD_SOP_new!$K:$K,"not found",0 )</f>
        <v>not found</v>
      </c>
      <c r="F1093" t="s">
        <v>27</v>
      </c>
      <c r="G1093" t="s">
        <v>27</v>
      </c>
      <c r="H1093" t="s">
        <v>27</v>
      </c>
      <c r="I1093" t="s">
        <v>27</v>
      </c>
      <c r="J1093" t="s">
        <v>828</v>
      </c>
      <c r="K1093" t="s">
        <v>2980</v>
      </c>
      <c r="L1093" t="s">
        <v>723</v>
      </c>
      <c r="M1093" s="100" t="str">
        <f t="shared" si="34"/>
        <v>Wrong measurement</v>
      </c>
      <c r="N1093" s="59" t="str">
        <f t="shared" si="35"/>
        <v>Wrong measurement</v>
      </c>
      <c r="O1093" t="s">
        <v>1086</v>
      </c>
      <c r="Q1093" t="s">
        <v>828</v>
      </c>
      <c r="R1093" t="s">
        <v>828</v>
      </c>
      <c r="S1093">
        <v>0</v>
      </c>
      <c r="T1093">
        <v>0</v>
      </c>
      <c r="U1093">
        <v>0</v>
      </c>
    </row>
    <row r="1094" spans="1:21">
      <c r="A1094" s="59" t="s">
        <v>1589</v>
      </c>
      <c r="B1094" t="s">
        <v>1084</v>
      </c>
      <c r="D1094" s="97" t="e">
        <f>_xlfn.XLOOKUP(A1094,[1]CPD_SOP_new!$A:$A,[1]CPD_SOP_new!#REF!,"not found",0 )</f>
        <v>#REF!</v>
      </c>
      <c r="E1094" s="97" t="str">
        <f>_xlfn.XLOOKUP(A1094,[1]CPD_SOP_new!$A:$A,[1]CPD_SOP_new!$K:$K,"not found",0 )</f>
        <v>not found</v>
      </c>
      <c r="F1094" t="s">
        <v>27</v>
      </c>
      <c r="G1094" t="s">
        <v>27</v>
      </c>
      <c r="H1094" t="s">
        <v>27</v>
      </c>
      <c r="I1094" t="s">
        <v>27</v>
      </c>
      <c r="J1094" t="s">
        <v>828</v>
      </c>
      <c r="K1094" t="s">
        <v>2981</v>
      </c>
      <c r="L1094" t="s">
        <v>723</v>
      </c>
      <c r="M1094" s="100" t="str">
        <f t="shared" si="34"/>
        <v>Wrong measurement</v>
      </c>
      <c r="N1094" s="59" t="str">
        <f t="shared" si="35"/>
        <v>Wrong measurement</v>
      </c>
      <c r="O1094" t="s">
        <v>1086</v>
      </c>
      <c r="Q1094" t="s">
        <v>828</v>
      </c>
      <c r="R1094" t="s">
        <v>828</v>
      </c>
      <c r="S1094">
        <v>0</v>
      </c>
      <c r="T1094">
        <v>0</v>
      </c>
      <c r="U1094">
        <v>0</v>
      </c>
    </row>
    <row r="1095" spans="1:21">
      <c r="A1095" s="59" t="s">
        <v>1589</v>
      </c>
      <c r="B1095" t="s">
        <v>1084</v>
      </c>
      <c r="D1095" s="97" t="e">
        <f>_xlfn.XLOOKUP(A1095,[1]CPD_SOP_new!$A:$A,[1]CPD_SOP_new!#REF!,"not found",0 )</f>
        <v>#REF!</v>
      </c>
      <c r="E1095" s="97" t="str">
        <f>_xlfn.XLOOKUP(A1095,[1]CPD_SOP_new!$A:$A,[1]CPD_SOP_new!$K:$K,"not found",0 )</f>
        <v>not found</v>
      </c>
      <c r="F1095" t="s">
        <v>27</v>
      </c>
      <c r="G1095" t="s">
        <v>27</v>
      </c>
      <c r="H1095" t="s">
        <v>27</v>
      </c>
      <c r="I1095" t="s">
        <v>27</v>
      </c>
      <c r="J1095" t="s">
        <v>828</v>
      </c>
      <c r="K1095" t="s">
        <v>2982</v>
      </c>
      <c r="L1095" t="s">
        <v>723</v>
      </c>
      <c r="M1095" s="100" t="str">
        <f t="shared" si="34"/>
        <v>Wrong measurement</v>
      </c>
      <c r="N1095" s="59" t="str">
        <f t="shared" si="35"/>
        <v>Wrong measurement</v>
      </c>
      <c r="O1095" t="s">
        <v>1086</v>
      </c>
      <c r="Q1095" t="s">
        <v>828</v>
      </c>
      <c r="R1095" t="s">
        <v>828</v>
      </c>
      <c r="S1095">
        <v>0</v>
      </c>
      <c r="T1095">
        <v>0</v>
      </c>
      <c r="U1095">
        <v>0</v>
      </c>
    </row>
    <row r="1096" spans="1:21">
      <c r="A1096" s="59" t="s">
        <v>1589</v>
      </c>
      <c r="B1096" t="s">
        <v>1084</v>
      </c>
      <c r="D1096" s="97" t="e">
        <f>_xlfn.XLOOKUP(A1096,[1]CPD_SOP_new!$A:$A,[1]CPD_SOP_new!#REF!,"not found",0 )</f>
        <v>#REF!</v>
      </c>
      <c r="E1096" s="97" t="str">
        <f>_xlfn.XLOOKUP(A1096,[1]CPD_SOP_new!$A:$A,[1]CPD_SOP_new!$K:$K,"not found",0 )</f>
        <v>not found</v>
      </c>
      <c r="F1096" t="s">
        <v>27</v>
      </c>
      <c r="G1096" t="s">
        <v>27</v>
      </c>
      <c r="H1096" t="s">
        <v>27</v>
      </c>
      <c r="I1096" t="s">
        <v>27</v>
      </c>
      <c r="J1096" t="s">
        <v>828</v>
      </c>
      <c r="K1096" t="s">
        <v>2983</v>
      </c>
      <c r="L1096" t="s">
        <v>723</v>
      </c>
      <c r="M1096" s="100" t="str">
        <f t="shared" si="34"/>
        <v>Wrong measurement</v>
      </c>
      <c r="N1096" s="59" t="str">
        <f t="shared" si="35"/>
        <v>Wrong measurement</v>
      </c>
      <c r="O1096" t="s">
        <v>1086</v>
      </c>
      <c r="Q1096" t="s">
        <v>828</v>
      </c>
      <c r="R1096" t="s">
        <v>828</v>
      </c>
      <c r="S1096">
        <v>0</v>
      </c>
      <c r="T1096">
        <v>0</v>
      </c>
      <c r="U1096">
        <v>0</v>
      </c>
    </row>
    <row r="1097" spans="1:21">
      <c r="A1097" s="59" t="s">
        <v>1589</v>
      </c>
      <c r="B1097" t="s">
        <v>1084</v>
      </c>
      <c r="D1097" s="97" t="e">
        <f>_xlfn.XLOOKUP(A1097,[1]CPD_SOP_new!$A:$A,[1]CPD_SOP_new!#REF!,"not found",0 )</f>
        <v>#REF!</v>
      </c>
      <c r="E1097" s="97" t="str">
        <f>_xlfn.XLOOKUP(A1097,[1]CPD_SOP_new!$A:$A,[1]CPD_SOP_new!$K:$K,"not found",0 )</f>
        <v>not found</v>
      </c>
      <c r="F1097" t="s">
        <v>27</v>
      </c>
      <c r="G1097" t="s">
        <v>27</v>
      </c>
      <c r="H1097" t="s">
        <v>27</v>
      </c>
      <c r="I1097" t="s">
        <v>27</v>
      </c>
      <c r="J1097" t="s">
        <v>828</v>
      </c>
      <c r="K1097" t="s">
        <v>1600</v>
      </c>
      <c r="L1097" t="s">
        <v>723</v>
      </c>
      <c r="M1097" s="100" t="str">
        <f t="shared" si="34"/>
        <v>Wrong measurement</v>
      </c>
      <c r="N1097" s="59" t="str">
        <f t="shared" si="35"/>
        <v>Wrong measurement</v>
      </c>
      <c r="O1097" t="s">
        <v>1086</v>
      </c>
      <c r="Q1097" t="s">
        <v>828</v>
      </c>
      <c r="R1097" t="s">
        <v>828</v>
      </c>
      <c r="S1097">
        <v>0</v>
      </c>
      <c r="T1097">
        <v>0</v>
      </c>
      <c r="U1097">
        <v>0</v>
      </c>
    </row>
    <row r="1098" spans="1:21">
      <c r="A1098" s="59" t="s">
        <v>1589</v>
      </c>
      <c r="B1098" t="s">
        <v>1084</v>
      </c>
      <c r="D1098" s="97" t="e">
        <f>_xlfn.XLOOKUP(A1098,[1]CPD_SOP_new!$A:$A,[1]CPD_SOP_new!#REF!,"not found",0 )</f>
        <v>#REF!</v>
      </c>
      <c r="E1098" s="97" t="str">
        <f>_xlfn.XLOOKUP(A1098,[1]CPD_SOP_new!$A:$A,[1]CPD_SOP_new!$K:$K,"not found",0 )</f>
        <v>not found</v>
      </c>
      <c r="F1098" t="s">
        <v>27</v>
      </c>
      <c r="G1098" t="s">
        <v>27</v>
      </c>
      <c r="H1098" t="s">
        <v>27</v>
      </c>
      <c r="I1098" t="s">
        <v>27</v>
      </c>
      <c r="J1098" t="s">
        <v>828</v>
      </c>
      <c r="K1098" t="s">
        <v>1601</v>
      </c>
      <c r="L1098" t="s">
        <v>723</v>
      </c>
      <c r="M1098" s="100" t="str">
        <f t="shared" si="34"/>
        <v>Wrong measurement</v>
      </c>
      <c r="N1098" s="59" t="str">
        <f t="shared" si="35"/>
        <v>Wrong measurement</v>
      </c>
      <c r="O1098" t="s">
        <v>1086</v>
      </c>
      <c r="Q1098" t="s">
        <v>828</v>
      </c>
      <c r="R1098" t="s">
        <v>828</v>
      </c>
      <c r="S1098">
        <v>0</v>
      </c>
      <c r="T1098">
        <v>0</v>
      </c>
      <c r="U1098">
        <v>0</v>
      </c>
    </row>
    <row r="1099" spans="1:21">
      <c r="A1099" s="59" t="s">
        <v>1589</v>
      </c>
      <c r="B1099" t="s">
        <v>1084</v>
      </c>
      <c r="D1099" s="97" t="e">
        <f>_xlfn.XLOOKUP(A1099,[1]CPD_SOP_new!$A:$A,[1]CPD_SOP_new!#REF!,"not found",0 )</f>
        <v>#REF!</v>
      </c>
      <c r="E1099" s="97" t="str">
        <f>_xlfn.XLOOKUP(A1099,[1]CPD_SOP_new!$A:$A,[1]CPD_SOP_new!$K:$K,"not found",0 )</f>
        <v>not found</v>
      </c>
      <c r="F1099" t="s">
        <v>27</v>
      </c>
      <c r="G1099" t="s">
        <v>27</v>
      </c>
      <c r="H1099" t="s">
        <v>27</v>
      </c>
      <c r="I1099" t="s">
        <v>27</v>
      </c>
      <c r="J1099" t="s">
        <v>828</v>
      </c>
      <c r="K1099" t="s">
        <v>1602</v>
      </c>
      <c r="L1099" t="s">
        <v>723</v>
      </c>
      <c r="M1099" s="100" t="str">
        <f t="shared" si="34"/>
        <v>Wrong measurement</v>
      </c>
      <c r="N1099" s="59" t="str">
        <f t="shared" si="35"/>
        <v>Wrong measurement</v>
      </c>
      <c r="O1099" t="s">
        <v>1086</v>
      </c>
      <c r="Q1099" t="s">
        <v>828</v>
      </c>
      <c r="R1099" t="s">
        <v>828</v>
      </c>
      <c r="S1099">
        <v>0</v>
      </c>
      <c r="T1099">
        <v>0</v>
      </c>
      <c r="U1099">
        <v>0</v>
      </c>
    </row>
    <row r="1100" spans="1:21">
      <c r="A1100" s="59" t="s">
        <v>1589</v>
      </c>
      <c r="B1100" t="s">
        <v>1084</v>
      </c>
      <c r="D1100" s="97" t="e">
        <f>_xlfn.XLOOKUP(A1100,[1]CPD_SOP_new!$A:$A,[1]CPD_SOP_new!#REF!,"not found",0 )</f>
        <v>#REF!</v>
      </c>
      <c r="E1100" s="97" t="str">
        <f>_xlfn.XLOOKUP(A1100,[1]CPD_SOP_new!$A:$A,[1]CPD_SOP_new!$K:$K,"not found",0 )</f>
        <v>not found</v>
      </c>
      <c r="F1100" t="s">
        <v>27</v>
      </c>
      <c r="G1100" t="s">
        <v>27</v>
      </c>
      <c r="H1100" t="s">
        <v>27</v>
      </c>
      <c r="I1100" t="s">
        <v>27</v>
      </c>
      <c r="J1100" t="s">
        <v>828</v>
      </c>
      <c r="K1100" t="s">
        <v>1603</v>
      </c>
      <c r="L1100" t="s">
        <v>723</v>
      </c>
      <c r="M1100" s="100" t="str">
        <f t="shared" si="34"/>
        <v>Wrong measurement</v>
      </c>
      <c r="N1100" s="59" t="str">
        <f t="shared" si="35"/>
        <v>Wrong measurement</v>
      </c>
      <c r="O1100" t="s">
        <v>1086</v>
      </c>
      <c r="Q1100" t="s">
        <v>828</v>
      </c>
      <c r="R1100" t="s">
        <v>828</v>
      </c>
      <c r="S1100">
        <v>0</v>
      </c>
      <c r="T1100">
        <v>0</v>
      </c>
      <c r="U1100">
        <v>0</v>
      </c>
    </row>
    <row r="1101" spans="1:21">
      <c r="A1101" s="59" t="s">
        <v>1589</v>
      </c>
      <c r="B1101" t="s">
        <v>1084</v>
      </c>
      <c r="D1101" s="97" t="e">
        <f>_xlfn.XLOOKUP(A1101,[1]CPD_SOP_new!$A:$A,[1]CPD_SOP_new!#REF!,"not found",0 )</f>
        <v>#REF!</v>
      </c>
      <c r="E1101" s="97" t="str">
        <f>_xlfn.XLOOKUP(A1101,[1]CPD_SOP_new!$A:$A,[1]CPD_SOP_new!$K:$K,"not found",0 )</f>
        <v>not found</v>
      </c>
      <c r="F1101" t="s">
        <v>27</v>
      </c>
      <c r="G1101" t="s">
        <v>27</v>
      </c>
      <c r="H1101" t="s">
        <v>27</v>
      </c>
      <c r="I1101" t="s">
        <v>27</v>
      </c>
      <c r="J1101" t="s">
        <v>828</v>
      </c>
      <c r="K1101" t="s">
        <v>1604</v>
      </c>
      <c r="L1101" t="s">
        <v>723</v>
      </c>
      <c r="M1101" s="100" t="str">
        <f t="shared" si="34"/>
        <v>Wrong measurement</v>
      </c>
      <c r="N1101" s="59" t="str">
        <f t="shared" si="35"/>
        <v>Wrong measurement</v>
      </c>
      <c r="O1101" t="s">
        <v>353</v>
      </c>
      <c r="Q1101" t="s">
        <v>828</v>
      </c>
      <c r="R1101" t="s">
        <v>828</v>
      </c>
      <c r="S1101">
        <v>0</v>
      </c>
      <c r="T1101">
        <v>0</v>
      </c>
      <c r="U1101">
        <v>0</v>
      </c>
    </row>
    <row r="1102" spans="1:21">
      <c r="A1102" s="59" t="s">
        <v>1589</v>
      </c>
      <c r="B1102" t="s">
        <v>1084</v>
      </c>
      <c r="D1102" s="97" t="e">
        <f>_xlfn.XLOOKUP(A1102,[1]CPD_SOP_new!$A:$A,[1]CPD_SOP_new!#REF!,"not found",0 )</f>
        <v>#REF!</v>
      </c>
      <c r="E1102" s="97" t="str">
        <f>_xlfn.XLOOKUP(A1102,[1]CPD_SOP_new!$A:$A,[1]CPD_SOP_new!$K:$K,"not found",0 )</f>
        <v>not found</v>
      </c>
      <c r="F1102" t="s">
        <v>27</v>
      </c>
      <c r="G1102" t="s">
        <v>27</v>
      </c>
      <c r="H1102" t="s">
        <v>27</v>
      </c>
      <c r="I1102" t="s">
        <v>27</v>
      </c>
      <c r="J1102" t="s">
        <v>828</v>
      </c>
      <c r="K1102" t="s">
        <v>1606</v>
      </c>
      <c r="L1102" t="s">
        <v>723</v>
      </c>
      <c r="M1102" s="100" t="str">
        <f t="shared" si="34"/>
        <v>Wrong measurement</v>
      </c>
      <c r="N1102" s="59" t="str">
        <f t="shared" si="35"/>
        <v>Wrong measurement</v>
      </c>
      <c r="O1102" t="s">
        <v>353</v>
      </c>
      <c r="Q1102" t="s">
        <v>828</v>
      </c>
      <c r="R1102" t="s">
        <v>828</v>
      </c>
      <c r="S1102">
        <v>0</v>
      </c>
      <c r="T1102">
        <v>0</v>
      </c>
      <c r="U1102">
        <v>0</v>
      </c>
    </row>
    <row r="1103" spans="1:21">
      <c r="A1103" s="59" t="s">
        <v>1589</v>
      </c>
      <c r="B1103" t="s">
        <v>1084</v>
      </c>
      <c r="D1103" s="97" t="e">
        <f>_xlfn.XLOOKUP(A1103,[1]CPD_SOP_new!$A:$A,[1]CPD_SOP_new!#REF!,"not found",0 )</f>
        <v>#REF!</v>
      </c>
      <c r="E1103" s="97" t="str">
        <f>_xlfn.XLOOKUP(A1103,[1]CPD_SOP_new!$A:$A,[1]CPD_SOP_new!$K:$K,"not found",0 )</f>
        <v>not found</v>
      </c>
      <c r="F1103" t="s">
        <v>27</v>
      </c>
      <c r="G1103" t="s">
        <v>27</v>
      </c>
      <c r="H1103" t="s">
        <v>27</v>
      </c>
      <c r="I1103" t="s">
        <v>27</v>
      </c>
      <c r="J1103" t="s">
        <v>828</v>
      </c>
      <c r="K1103" t="s">
        <v>1607</v>
      </c>
      <c r="L1103" t="s">
        <v>723</v>
      </c>
      <c r="M1103" s="100" t="str">
        <f t="shared" si="34"/>
        <v>Wrong measurement</v>
      </c>
      <c r="N1103" s="59" t="str">
        <f t="shared" si="35"/>
        <v>Wrong measurement</v>
      </c>
      <c r="O1103" t="s">
        <v>353</v>
      </c>
      <c r="Q1103" t="s">
        <v>828</v>
      </c>
      <c r="R1103" t="s">
        <v>828</v>
      </c>
      <c r="S1103">
        <v>0</v>
      </c>
      <c r="T1103">
        <v>0</v>
      </c>
      <c r="U1103">
        <v>0</v>
      </c>
    </row>
    <row r="1104" spans="1:21">
      <c r="A1104" s="59" t="s">
        <v>1589</v>
      </c>
      <c r="B1104" t="s">
        <v>1084</v>
      </c>
      <c r="D1104" s="97" t="e">
        <f>_xlfn.XLOOKUP(A1104,[1]CPD_SOP_new!$A:$A,[1]CPD_SOP_new!#REF!,"not found",0 )</f>
        <v>#REF!</v>
      </c>
      <c r="E1104" s="97" t="str">
        <f>_xlfn.XLOOKUP(A1104,[1]CPD_SOP_new!$A:$A,[1]CPD_SOP_new!$K:$K,"not found",0 )</f>
        <v>not found</v>
      </c>
      <c r="F1104" t="s">
        <v>27</v>
      </c>
      <c r="G1104" t="s">
        <v>27</v>
      </c>
      <c r="H1104" t="s">
        <v>27</v>
      </c>
      <c r="I1104" t="s">
        <v>27</v>
      </c>
      <c r="J1104" t="s">
        <v>828</v>
      </c>
      <c r="K1104" t="s">
        <v>1608</v>
      </c>
      <c r="L1104" t="s">
        <v>723</v>
      </c>
      <c r="M1104" s="100" t="str">
        <f t="shared" si="34"/>
        <v>Wrong measurement</v>
      </c>
      <c r="N1104" s="59" t="str">
        <f t="shared" si="35"/>
        <v>Wrong measurement</v>
      </c>
      <c r="O1104" t="s">
        <v>353</v>
      </c>
      <c r="Q1104" t="s">
        <v>828</v>
      </c>
      <c r="R1104" t="s">
        <v>828</v>
      </c>
      <c r="S1104">
        <v>0</v>
      </c>
      <c r="T1104">
        <v>0</v>
      </c>
      <c r="U1104">
        <v>0</v>
      </c>
    </row>
    <row r="1105" spans="1:21" s="137" customFormat="1">
      <c r="A1105" s="59" t="s">
        <v>1589</v>
      </c>
      <c r="B1105" t="s">
        <v>1084</v>
      </c>
      <c r="D1105" s="97" t="e">
        <f>_xlfn.XLOOKUP(A1105,[1]CPD_SOP_new!$A:$A,[1]CPD_SOP_new!#REF!,"not found",0 )</f>
        <v>#REF!</v>
      </c>
      <c r="E1105" s="97" t="str">
        <f>_xlfn.XLOOKUP(A1105,[1]CPD_SOP_new!$A:$A,[1]CPD_SOP_new!$K:$K,"not found",0 )</f>
        <v>not found</v>
      </c>
      <c r="F1105" t="s">
        <v>27</v>
      </c>
      <c r="G1105" t="s">
        <v>27</v>
      </c>
      <c r="H1105" t="s">
        <v>27</v>
      </c>
      <c r="I1105" t="s">
        <v>27</v>
      </c>
      <c r="J1105" t="s">
        <v>828</v>
      </c>
      <c r="K1105" t="s">
        <v>1609</v>
      </c>
      <c r="L1105" t="s">
        <v>723</v>
      </c>
      <c r="M1105" s="100" t="str">
        <f t="shared" si="34"/>
        <v>Wrong measurement</v>
      </c>
      <c r="N1105" s="59" t="str">
        <f t="shared" si="35"/>
        <v>Wrong measurement</v>
      </c>
      <c r="O1105" t="s">
        <v>353</v>
      </c>
      <c r="Q1105" t="s">
        <v>828</v>
      </c>
      <c r="R1105" t="s">
        <v>828</v>
      </c>
      <c r="S1105">
        <v>0</v>
      </c>
      <c r="T1105">
        <v>0</v>
      </c>
      <c r="U1105">
        <v>0</v>
      </c>
    </row>
    <row r="1106" spans="1:21">
      <c r="A1106" s="59" t="s">
        <v>1589</v>
      </c>
      <c r="B1106" t="s">
        <v>2536</v>
      </c>
      <c r="D1106" s="97" t="e">
        <f>_xlfn.XLOOKUP(A1106,[1]CPD_SOP_new!$A:$A,[1]CPD_SOP_new!#REF!,"not found",0 )</f>
        <v>#REF!</v>
      </c>
      <c r="E1106" s="97" t="str">
        <f>_xlfn.XLOOKUP(A1106,[1]CPD_SOP_new!$A:$A,[1]CPD_SOP_new!$K:$K,"not found",0 )</f>
        <v>not found</v>
      </c>
      <c r="F1106" t="s">
        <v>27</v>
      </c>
      <c r="G1106" t="s">
        <v>27</v>
      </c>
      <c r="H1106" t="s">
        <v>27</v>
      </c>
      <c r="I1106" t="s">
        <v>27</v>
      </c>
      <c r="J1106" t="s">
        <v>113</v>
      </c>
      <c r="K1106" s="129" t="s">
        <v>1610</v>
      </c>
      <c r="L1106" s="129" t="s">
        <v>723</v>
      </c>
      <c r="M1106" s="100" t="str">
        <f t="shared" si="34"/>
        <v>Wrong measurement</v>
      </c>
      <c r="N1106" s="59" t="str">
        <f t="shared" si="35"/>
        <v>Wrong measurement</v>
      </c>
      <c r="O1106" t="s">
        <v>767</v>
      </c>
    </row>
    <row r="1107" spans="1:21">
      <c r="A1107" s="59">
        <v>2</v>
      </c>
      <c r="B1107" t="s">
        <v>2133</v>
      </c>
      <c r="C1107" t="s">
        <v>43</v>
      </c>
      <c r="D1107" s="97" t="e">
        <f>_xlfn.XLOOKUP(A1107,[1]CPD_SOP_new!$A:$A,[1]CPD_SOP_new!#REF!,"not found",0 )</f>
        <v>#REF!</v>
      </c>
      <c r="E1107" s="97" t="s">
        <v>26</v>
      </c>
      <c r="F1107" t="s">
        <v>27</v>
      </c>
      <c r="G1107" t="s">
        <v>28</v>
      </c>
      <c r="H1107" t="s">
        <v>28</v>
      </c>
      <c r="I1107" t="s">
        <v>28</v>
      </c>
      <c r="J1107" t="s">
        <v>29</v>
      </c>
      <c r="K1107" t="s">
        <v>1129</v>
      </c>
      <c r="L1107" t="s">
        <v>2984</v>
      </c>
      <c r="M1107" s="100" t="str">
        <f t="shared" si="34"/>
        <v>CSR_XCP_Signals_Recorder_2026-02-02_11-36-22_TC2_NCAP12_NB_1R_CPD.MF4.xz</v>
      </c>
      <c r="N1107" s="59" t="str">
        <f t="shared" si="35"/>
        <v>_NCAP12_NB_1R_CPD.MF4.xz</v>
      </c>
      <c r="O1107" t="s">
        <v>767</v>
      </c>
    </row>
    <row r="1108" spans="1:21">
      <c r="A1108" s="59">
        <v>190</v>
      </c>
      <c r="B1108" t="s">
        <v>2133</v>
      </c>
      <c r="C1108" t="s">
        <v>48</v>
      </c>
      <c r="D1108" s="97" t="e">
        <f>_xlfn.XLOOKUP(A1108,[1]CPD_SOP_new!$A:$A,[1]CPD_SOP_new!#REF!,"not found",0 )</f>
        <v>#REF!</v>
      </c>
      <c r="E1108" s="97" t="str">
        <f>_xlfn.XLOOKUP(A1108,[1]CPD_SOP_new!$A:$A,[1]CPD_SOP_new!$K:$K,"not found",0 )</f>
        <v>2L</v>
      </c>
      <c r="F1108" t="s">
        <v>27</v>
      </c>
      <c r="G1108" t="s">
        <v>28</v>
      </c>
      <c r="H1108" t="s">
        <v>27</v>
      </c>
      <c r="I1108" t="s">
        <v>28</v>
      </c>
      <c r="J1108" t="s">
        <v>29</v>
      </c>
      <c r="K1108" t="s">
        <v>1457</v>
      </c>
      <c r="L1108" t="s">
        <v>2985</v>
      </c>
      <c r="M1108" s="100" t="str">
        <f t="shared" si="34"/>
        <v>CSR_XCP_Signals_Recorder_2026-02-02_11-39-26_TC190_NCAP12_1YO_2L_CPD.MF4.xz</v>
      </c>
      <c r="N1108" s="59" t="str">
        <f t="shared" si="35"/>
        <v>_NCAP12_1YO_2L_CPD.MF4.xz</v>
      </c>
      <c r="O1108" t="s">
        <v>767</v>
      </c>
    </row>
    <row r="1109" spans="1:21">
      <c r="A1109" s="59">
        <v>12</v>
      </c>
      <c r="B1109" t="s">
        <v>2133</v>
      </c>
      <c r="C1109" t="s">
        <v>48</v>
      </c>
      <c r="D1109" s="97" t="e">
        <f>_xlfn.XLOOKUP(A1109,[1]CPD_SOP_new!$A:$A,[1]CPD_SOP_new!#REF!,"not found",0 )</f>
        <v>#REF!</v>
      </c>
      <c r="E1109" s="97" t="str">
        <f>_xlfn.XLOOKUP(A1109,[1]CPD_SOP_new!$A:$A,[1]CPD_SOP_new!$K:$K,"not found",0 )</f>
        <v>2L</v>
      </c>
      <c r="F1109" t="s">
        <v>27</v>
      </c>
      <c r="G1109" t="s">
        <v>28</v>
      </c>
      <c r="H1109" t="s">
        <v>28</v>
      </c>
      <c r="I1109" t="s">
        <v>28</v>
      </c>
      <c r="J1109" t="s">
        <v>29</v>
      </c>
      <c r="K1109" t="s">
        <v>1131</v>
      </c>
      <c r="L1109" t="s">
        <v>2986</v>
      </c>
      <c r="M1109" s="100" t="str">
        <f t="shared" si="34"/>
        <v>CSR_XCP_Signals_Recorder_2026-02-02_11-42-23_TC12_Added_Sunshield_NCAP12_1YO_2L_CPD.MF4.xz</v>
      </c>
      <c r="N1109" s="59" t="str">
        <f t="shared" si="35"/>
        <v>_NCAP12_1YO_2L_CPD.MF4.xz</v>
      </c>
      <c r="O1109" t="s">
        <v>767</v>
      </c>
    </row>
    <row r="1110" spans="1:21">
      <c r="A1110" s="59">
        <v>10</v>
      </c>
      <c r="B1110" t="s">
        <v>2133</v>
      </c>
      <c r="C1110" t="s">
        <v>48</v>
      </c>
      <c r="D1110" s="97" t="e">
        <f>_xlfn.XLOOKUP(A1110,[1]CPD_SOP_new!$A:$A,[1]CPD_SOP_new!#REF!,"not found",0 )</f>
        <v>#REF!</v>
      </c>
      <c r="E1110" s="97" t="str">
        <f>_xlfn.XLOOKUP(A1110,[1]CPD_SOP_new!$A:$A,[1]CPD_SOP_new!$K:$K,"not found",0 )</f>
        <v>2R</v>
      </c>
      <c r="F1110" t="s">
        <v>27</v>
      </c>
      <c r="G1110" t="s">
        <v>28</v>
      </c>
      <c r="H1110" t="s">
        <v>28</v>
      </c>
      <c r="I1110" t="s">
        <v>28</v>
      </c>
      <c r="J1110" t="s">
        <v>29</v>
      </c>
      <c r="K1110" t="s">
        <v>1130</v>
      </c>
      <c r="L1110" t="s">
        <v>2987</v>
      </c>
      <c r="M1110" s="100" t="str">
        <f t="shared" si="34"/>
        <v>CSR_XCP_Signals_Recorder_2026-02-02_11-44-54_TC10_NCAP12_1YO_2R_CPD.MF4.xz</v>
      </c>
      <c r="N1110" s="59" t="str">
        <f t="shared" si="35"/>
        <v>_NCAP12_1YO_2R_CPD.MF4.xz</v>
      </c>
      <c r="O1110" t="s">
        <v>767</v>
      </c>
    </row>
    <row r="1111" spans="1:21">
      <c r="A1111" s="59">
        <v>187</v>
      </c>
      <c r="B1111" t="s">
        <v>2133</v>
      </c>
      <c r="C1111" t="s">
        <v>43</v>
      </c>
      <c r="D1111" s="97" t="e">
        <f>_xlfn.XLOOKUP(A1111,[1]CPD_SOP_new!$A:$A,[1]CPD_SOP_new!#REF!,"not found",0 )</f>
        <v>#REF!</v>
      </c>
      <c r="E1111" s="97" t="str">
        <f>_xlfn.XLOOKUP(A1111,[1]CPD_SOP_new!$A:$A,[1]CPD_SOP_new!$K:$K,"not found",0 )</f>
        <v>3L</v>
      </c>
      <c r="F1111" t="s">
        <v>27</v>
      </c>
      <c r="G1111" t="s">
        <v>28</v>
      </c>
      <c r="H1111" t="s">
        <v>28</v>
      </c>
      <c r="I1111" t="s">
        <v>28</v>
      </c>
      <c r="J1111" t="s">
        <v>29</v>
      </c>
      <c r="K1111" t="s">
        <v>1265</v>
      </c>
      <c r="L1111" t="s">
        <v>2988</v>
      </c>
      <c r="M1111" s="100" t="str">
        <f t="shared" si="34"/>
        <v>CSR_XCP_Signals_Recorder_2026-02-02_11-47-51_TC187_NCAP12_NB_3L_CPD.MF4.xz</v>
      </c>
      <c r="N1111" s="59" t="str">
        <f t="shared" si="35"/>
        <v>_NCAP12_NB_3L_CPD.MF4.xz</v>
      </c>
      <c r="O1111" t="s">
        <v>767</v>
      </c>
    </row>
    <row r="1112" spans="1:21">
      <c r="A1112" s="59">
        <v>14</v>
      </c>
      <c r="B1112" t="s">
        <v>2133</v>
      </c>
      <c r="C1112" t="s">
        <v>48</v>
      </c>
      <c r="D1112" s="97" t="e">
        <f>_xlfn.XLOOKUP(A1112,[1]CPD_SOP_new!$A:$A,[1]CPD_SOP_new!#REF!,"not found",0 )</f>
        <v>#REF!</v>
      </c>
      <c r="E1112" s="97" t="str">
        <f>_xlfn.XLOOKUP(A1112,[1]CPD_SOP_new!$A:$A,[1]CPD_SOP_new!$K:$K,"not found",0 )</f>
        <v>3R</v>
      </c>
      <c r="F1112" t="s">
        <v>27</v>
      </c>
      <c r="G1112" t="s">
        <v>28</v>
      </c>
      <c r="H1112" t="s">
        <v>28</v>
      </c>
      <c r="I1112" t="s">
        <v>28</v>
      </c>
      <c r="J1112" t="s">
        <v>29</v>
      </c>
      <c r="K1112" t="s">
        <v>1132</v>
      </c>
      <c r="L1112" t="s">
        <v>2989</v>
      </c>
      <c r="M1112" s="100" t="str">
        <f t="shared" si="34"/>
        <v>CSR_XCP_Signals_Recorder_2026-02-02_11-50-31_TC14_NCAP12_1YO_3R_CPD.MF4.xz</v>
      </c>
      <c r="N1112" s="59" t="str">
        <f t="shared" si="35"/>
        <v>_NCAP12_1YO_3R_CPD.MF4.xz</v>
      </c>
      <c r="O1112" t="s">
        <v>767</v>
      </c>
    </row>
    <row r="1113" spans="1:21">
      <c r="A1113" s="59">
        <v>147</v>
      </c>
      <c r="B1113" t="s">
        <v>940</v>
      </c>
      <c r="D1113" s="97" t="e">
        <f>_xlfn.XLOOKUP(A1113,[1]CPD_SOP_new!$A:$A,[1]CPD_SOP_new!#REF!,"not found",0 )</f>
        <v>#REF!</v>
      </c>
      <c r="E1113" s="97" t="s">
        <v>26</v>
      </c>
      <c r="F1113" t="s">
        <v>27</v>
      </c>
      <c r="G1113" t="s">
        <v>28</v>
      </c>
      <c r="H1113" t="s">
        <v>28</v>
      </c>
      <c r="I1113" t="s">
        <v>28</v>
      </c>
      <c r="J1113" t="s">
        <v>828</v>
      </c>
      <c r="K1113" t="s">
        <v>951</v>
      </c>
      <c r="L1113" t="s">
        <v>2990</v>
      </c>
      <c r="M1113" s="100" t="str">
        <f t="shared" si="34"/>
        <v>CSR_XCP_Signals_Recorder_2026-02-02_13-21-38_TC147_NCAP1_2_Liquid__1R_CPD.MF4.xz</v>
      </c>
      <c r="N1113" s="59" t="str">
        <f t="shared" si="35"/>
        <v>_Liquid__1R_CPD.MF4.xz</v>
      </c>
      <c r="O1113" t="s">
        <v>767</v>
      </c>
    </row>
    <row r="1114" spans="1:21">
      <c r="A1114" s="59">
        <v>149</v>
      </c>
      <c r="B1114" t="s">
        <v>940</v>
      </c>
      <c r="D1114" s="97" t="e">
        <f>_xlfn.XLOOKUP(A1114,[1]CPD_SOP_new!$A:$A,[1]CPD_SOP_new!#REF!,"not found",0 )</f>
        <v>#REF!</v>
      </c>
      <c r="E1114" s="97" t="str">
        <f>_xlfn.XLOOKUP(A1114,[1]CPD_SOP_new!$A:$A,[1]CPD_SOP_new!$K:$K,"not found",0 )</f>
        <v>2L</v>
      </c>
      <c r="F1114" t="s">
        <v>27</v>
      </c>
      <c r="G1114" t="s">
        <v>27</v>
      </c>
      <c r="H1114" t="s">
        <v>27</v>
      </c>
      <c r="I1114" t="s">
        <v>28</v>
      </c>
      <c r="J1114" t="s">
        <v>828</v>
      </c>
      <c r="K1114" t="s">
        <v>962</v>
      </c>
      <c r="L1114" t="s">
        <v>2991</v>
      </c>
      <c r="M1114" s="100" t="str">
        <f t="shared" si="34"/>
        <v>CSR_XCP_Signals_Recorder_2026-02-02_13-25-02_TC149_NCAP1_2_Liquid__2L_CPD.MF4.xz</v>
      </c>
      <c r="N1114" s="59" t="str">
        <f t="shared" si="35"/>
        <v>_Liquid__2L_CPD.MF4.xz</v>
      </c>
      <c r="O1114" t="s">
        <v>767</v>
      </c>
    </row>
    <row r="1115" spans="1:21">
      <c r="A1115" s="59">
        <v>152</v>
      </c>
      <c r="B1115" t="s">
        <v>940</v>
      </c>
      <c r="D1115" s="97" t="e">
        <f>_xlfn.XLOOKUP(A1115,[1]CPD_SOP_new!$A:$A,[1]CPD_SOP_new!#REF!,"not found",0 )</f>
        <v>#REF!</v>
      </c>
      <c r="E1115" s="97" t="str">
        <f>_xlfn.XLOOKUP(A1115,[1]CPD_SOP_new!$A:$A,[1]CPD_SOP_new!$K:$K,"not found",0 )</f>
        <v>3L</v>
      </c>
      <c r="F1115" t="s">
        <v>27</v>
      </c>
      <c r="G1115" t="s">
        <v>27</v>
      </c>
      <c r="H1115" t="s">
        <v>27</v>
      </c>
      <c r="I1115" t="s">
        <v>28</v>
      </c>
      <c r="J1115" t="s">
        <v>828</v>
      </c>
      <c r="K1115" t="s">
        <v>989</v>
      </c>
      <c r="L1115" t="s">
        <v>2992</v>
      </c>
      <c r="M1115" s="100" t="str">
        <f t="shared" si="34"/>
        <v>CSR_XCP_Signals_Recorder_2026-02-02_13-26-35_TC152_NCAP1_2_Liquid__3L_CPD.MF4.xz</v>
      </c>
      <c r="N1115" s="59" t="str">
        <f t="shared" si="35"/>
        <v>_Liquid__3L_CPD.MF4.xz</v>
      </c>
      <c r="O1115" t="s">
        <v>767</v>
      </c>
    </row>
    <row r="1116" spans="1:21">
      <c r="A1116" s="59">
        <v>151</v>
      </c>
      <c r="B1116" t="s">
        <v>940</v>
      </c>
      <c r="D1116" s="97" t="e">
        <f>_xlfn.XLOOKUP(A1116,[1]CPD_SOP_new!$A:$A,[1]CPD_SOP_new!#REF!,"not found",0 )</f>
        <v>#REF!</v>
      </c>
      <c r="E1116" s="97" t="str">
        <f>_xlfn.XLOOKUP(A1116,[1]CPD_SOP_new!$A:$A,[1]CPD_SOP_new!$K:$K,"not found",0 )</f>
        <v>3R</v>
      </c>
      <c r="F1116" t="s">
        <v>27</v>
      </c>
      <c r="G1116" t="s">
        <v>27</v>
      </c>
      <c r="H1116" t="s">
        <v>27</v>
      </c>
      <c r="I1116" t="s">
        <v>27</v>
      </c>
      <c r="J1116" t="s">
        <v>828</v>
      </c>
      <c r="K1116" t="s">
        <v>1181</v>
      </c>
      <c r="L1116" t="s">
        <v>723</v>
      </c>
      <c r="M1116" s="100" t="str">
        <f t="shared" si="34"/>
        <v>Wrong measurement</v>
      </c>
      <c r="N1116" s="59" t="str">
        <f t="shared" si="35"/>
        <v>Wrong measurement</v>
      </c>
      <c r="O1116" t="s">
        <v>767</v>
      </c>
    </row>
    <row r="1117" spans="1:21">
      <c r="A1117" s="59">
        <v>148</v>
      </c>
      <c r="B1117" t="s">
        <v>940</v>
      </c>
      <c r="D1117" s="97" t="e">
        <f>_xlfn.XLOOKUP(A1117,[1]CPD_SOP_new!$A:$A,[1]CPD_SOP_new!#REF!,"not found",0 )</f>
        <v>#REF!</v>
      </c>
      <c r="E1117" s="97" t="str">
        <f>_xlfn.XLOOKUP(A1117,[1]CPD_SOP_new!$A:$A,[1]CPD_SOP_new!$K:$K,"not found",0 )</f>
        <v>2R</v>
      </c>
      <c r="F1117" t="s">
        <v>27</v>
      </c>
      <c r="G1117" t="s">
        <v>28</v>
      </c>
      <c r="H1117" t="s">
        <v>28</v>
      </c>
      <c r="I1117" t="s">
        <v>27</v>
      </c>
      <c r="J1117" t="s">
        <v>828</v>
      </c>
      <c r="K1117" t="s">
        <v>1139</v>
      </c>
      <c r="L1117" t="s">
        <v>723</v>
      </c>
      <c r="M1117" s="100" t="str">
        <f t="shared" si="34"/>
        <v>Wrong measurement</v>
      </c>
      <c r="N1117" s="59" t="str">
        <f t="shared" si="35"/>
        <v>Wrong measurement</v>
      </c>
      <c r="O1117" t="s">
        <v>767</v>
      </c>
    </row>
    <row r="1118" spans="1:21">
      <c r="A1118" s="59">
        <v>149</v>
      </c>
      <c r="B1118" t="s">
        <v>940</v>
      </c>
      <c r="D1118" s="97" t="e">
        <f>_xlfn.XLOOKUP(A1118,[1]CPD_SOP_new!$A:$A,[1]CPD_SOP_new!#REF!,"not found",0 )</f>
        <v>#REF!</v>
      </c>
      <c r="E1118" s="97" t="str">
        <f>_xlfn.XLOOKUP(A1118,[1]CPD_SOP_new!$A:$A,[1]CPD_SOP_new!$K:$K,"not found",0 )</f>
        <v>2L</v>
      </c>
      <c r="F1118" t="s">
        <v>27</v>
      </c>
      <c r="G1118" t="s">
        <v>27</v>
      </c>
      <c r="H1118" t="s">
        <v>27</v>
      </c>
      <c r="I1118" t="s">
        <v>27</v>
      </c>
      <c r="J1118" t="s">
        <v>828</v>
      </c>
      <c r="K1118" t="s">
        <v>1154</v>
      </c>
      <c r="L1118" t="s">
        <v>723</v>
      </c>
      <c r="M1118" s="100" t="str">
        <f t="shared" si="34"/>
        <v>Wrong measurement</v>
      </c>
      <c r="N1118" s="59" t="str">
        <f t="shared" si="35"/>
        <v>Wrong measurement</v>
      </c>
      <c r="O1118" t="s">
        <v>767</v>
      </c>
    </row>
    <row r="1119" spans="1:21">
      <c r="A1119" s="59">
        <v>146</v>
      </c>
      <c r="B1119" t="s">
        <v>940</v>
      </c>
      <c r="D1119" s="97" t="e">
        <f>_xlfn.XLOOKUP(A1119,[1]CPD_SOP_new!$A:$A,[1]CPD_SOP_new!#REF!,"not found",0 )</f>
        <v>#REF!</v>
      </c>
      <c r="E1119" s="97" t="s">
        <v>112</v>
      </c>
      <c r="F1119" t="s">
        <v>27</v>
      </c>
      <c r="G1119" t="s">
        <v>27</v>
      </c>
      <c r="H1119" t="s">
        <v>27</v>
      </c>
      <c r="I1119" t="s">
        <v>27</v>
      </c>
      <c r="J1119" t="s">
        <v>828</v>
      </c>
      <c r="K1119" t="s">
        <v>1138</v>
      </c>
      <c r="L1119" t="s">
        <v>723</v>
      </c>
      <c r="M1119" s="100" t="str">
        <f t="shared" si="34"/>
        <v>Wrong measurement</v>
      </c>
      <c r="N1119" s="59" t="str">
        <f t="shared" si="35"/>
        <v>Wrong measurement</v>
      </c>
      <c r="O1119" t="s">
        <v>767</v>
      </c>
    </row>
    <row r="1120" spans="1:21">
      <c r="A1120" s="59" t="s">
        <v>1589</v>
      </c>
      <c r="B1120" t="s">
        <v>1084</v>
      </c>
      <c r="D1120" s="97" t="e">
        <f>_xlfn.XLOOKUP(A1120,[1]CPD_SOP_new!$A:$A,[1]CPD_SOP_new!#REF!,"not found",0 )</f>
        <v>#REF!</v>
      </c>
      <c r="E1120" s="97" t="str">
        <f>_xlfn.XLOOKUP(A1120,[1]CPD_SOP_new!$A:$A,[1]CPD_SOP_new!$K:$K,"not found",0 )</f>
        <v>not found</v>
      </c>
      <c r="F1120" t="s">
        <v>27</v>
      </c>
      <c r="G1120" t="s">
        <v>27</v>
      </c>
      <c r="H1120" t="s">
        <v>27</v>
      </c>
      <c r="I1120" t="s">
        <v>27</v>
      </c>
      <c r="J1120" t="s">
        <v>828</v>
      </c>
      <c r="K1120" t="s">
        <v>1612</v>
      </c>
      <c r="L1120" t="s">
        <v>723</v>
      </c>
      <c r="M1120" s="100" t="str">
        <f t="shared" si="34"/>
        <v>Wrong measurement</v>
      </c>
      <c r="N1120" s="59" t="str">
        <f t="shared" si="35"/>
        <v>Wrong measurement</v>
      </c>
      <c r="O1120" t="s">
        <v>767</v>
      </c>
    </row>
    <row r="1121" spans="1:15">
      <c r="A1121" s="59" t="s">
        <v>1589</v>
      </c>
      <c r="B1121" t="s">
        <v>1084</v>
      </c>
      <c r="D1121" s="97" t="e">
        <f>_xlfn.XLOOKUP(A1121,[1]CPD_SOP_new!$A:$A,[1]CPD_SOP_new!#REF!,"not found",0 )</f>
        <v>#REF!</v>
      </c>
      <c r="E1121" s="97" t="str">
        <f>_xlfn.XLOOKUP(A1121,[1]CPD_SOP_new!$A:$A,[1]CPD_SOP_new!$K:$K,"not found",0 )</f>
        <v>not found</v>
      </c>
      <c r="F1121" t="s">
        <v>27</v>
      </c>
      <c r="G1121" t="s">
        <v>27</v>
      </c>
      <c r="H1121" t="s">
        <v>27</v>
      </c>
      <c r="I1121" t="s">
        <v>27</v>
      </c>
      <c r="J1121" t="s">
        <v>828</v>
      </c>
      <c r="K1121" t="s">
        <v>1614</v>
      </c>
      <c r="L1121" t="s">
        <v>723</v>
      </c>
      <c r="M1121" s="100" t="str">
        <f t="shared" si="34"/>
        <v>Wrong measurement</v>
      </c>
      <c r="N1121" s="59" t="str">
        <f t="shared" si="35"/>
        <v>Wrong measurement</v>
      </c>
      <c r="O1121" t="s">
        <v>767</v>
      </c>
    </row>
    <row r="1122" spans="1:15">
      <c r="A1122" s="59" t="s">
        <v>1589</v>
      </c>
      <c r="B1122" t="s">
        <v>1084</v>
      </c>
      <c r="D1122" s="97" t="e">
        <f>_xlfn.XLOOKUP(A1122,[1]CPD_SOP_new!$A:$A,[1]CPD_SOP_new!#REF!,"not found",0 )</f>
        <v>#REF!</v>
      </c>
      <c r="E1122" s="97" t="str">
        <f>_xlfn.XLOOKUP(A1122,[1]CPD_SOP_new!$A:$A,[1]CPD_SOP_new!$K:$K,"not found",0 )</f>
        <v>not found</v>
      </c>
      <c r="F1122" t="s">
        <v>27</v>
      </c>
      <c r="G1122" t="s">
        <v>27</v>
      </c>
      <c r="H1122" t="s">
        <v>27</v>
      </c>
      <c r="I1122" t="s">
        <v>27</v>
      </c>
      <c r="J1122" t="s">
        <v>828</v>
      </c>
      <c r="K1122" t="s">
        <v>1616</v>
      </c>
      <c r="L1122" t="s">
        <v>723</v>
      </c>
      <c r="M1122" s="100" t="str">
        <f t="shared" si="34"/>
        <v>Wrong measurement</v>
      </c>
      <c r="N1122" s="59" t="str">
        <f t="shared" si="35"/>
        <v>Wrong measurement</v>
      </c>
      <c r="O1122" t="s">
        <v>767</v>
      </c>
    </row>
    <row r="1123" spans="1:15">
      <c r="A1123" s="59" t="s">
        <v>1589</v>
      </c>
      <c r="B1123" t="s">
        <v>1084</v>
      </c>
      <c r="D1123" s="97" t="e">
        <f>_xlfn.XLOOKUP(A1123,[1]CPD_SOP_new!$A:$A,[1]CPD_SOP_new!#REF!,"not found",0 )</f>
        <v>#REF!</v>
      </c>
      <c r="E1123" s="97" t="str">
        <f>_xlfn.XLOOKUP(A1123,[1]CPD_SOP_new!$A:$A,[1]CPD_SOP_new!$K:$K,"not found",0 )</f>
        <v>not found</v>
      </c>
      <c r="F1123" t="s">
        <v>27</v>
      </c>
      <c r="G1123" t="s">
        <v>27</v>
      </c>
      <c r="H1123" t="s">
        <v>27</v>
      </c>
      <c r="I1123" t="s">
        <v>27</v>
      </c>
      <c r="J1123" t="s">
        <v>828</v>
      </c>
      <c r="K1123" t="s">
        <v>1618</v>
      </c>
      <c r="L1123" t="s">
        <v>723</v>
      </c>
      <c r="M1123" s="100" t="str">
        <f t="shared" si="34"/>
        <v>Wrong measurement</v>
      </c>
      <c r="N1123" s="59" t="str">
        <f t="shared" si="35"/>
        <v>Wrong measurement</v>
      </c>
      <c r="O1123" t="s">
        <v>767</v>
      </c>
    </row>
    <row r="1124" spans="1:15">
      <c r="A1124" s="59" t="s">
        <v>1589</v>
      </c>
      <c r="B1124" t="s">
        <v>1084</v>
      </c>
      <c r="D1124" s="97" t="e">
        <f>_xlfn.XLOOKUP(A1124,[1]CPD_SOP_new!$A:$A,[1]CPD_SOP_new!#REF!,"not found",0 )</f>
        <v>#REF!</v>
      </c>
      <c r="E1124" s="97" t="str">
        <f>_xlfn.XLOOKUP(A1124,[1]CPD_SOP_new!$A:$A,[1]CPD_SOP_new!$K:$K,"not found",0 )</f>
        <v>not found</v>
      </c>
      <c r="F1124" t="s">
        <v>27</v>
      </c>
      <c r="G1124" t="s">
        <v>27</v>
      </c>
      <c r="H1124" t="s">
        <v>27</v>
      </c>
      <c r="I1124" t="s">
        <v>27</v>
      </c>
      <c r="J1124" t="s">
        <v>828</v>
      </c>
      <c r="K1124" t="s">
        <v>1620</v>
      </c>
      <c r="L1124" t="s">
        <v>723</v>
      </c>
      <c r="M1124" s="100" t="str">
        <f t="shared" si="34"/>
        <v>Wrong measurement</v>
      </c>
      <c r="N1124" s="59" t="str">
        <f t="shared" si="35"/>
        <v>Wrong measurement</v>
      </c>
      <c r="O1124" t="s">
        <v>767</v>
      </c>
    </row>
    <row r="1125" spans="1:15">
      <c r="A1125" s="59" t="s">
        <v>1589</v>
      </c>
      <c r="B1125" t="s">
        <v>1084</v>
      </c>
      <c r="D1125" s="97" t="e">
        <f>_xlfn.XLOOKUP(A1125,[1]CPD_SOP_new!$A:$A,[1]CPD_SOP_new!#REF!,"not found",0 )</f>
        <v>#REF!</v>
      </c>
      <c r="E1125" s="97" t="str">
        <f>_xlfn.XLOOKUP(A1125,[1]CPD_SOP_new!$A:$A,[1]CPD_SOP_new!$K:$K,"not found",0 )</f>
        <v>not found</v>
      </c>
      <c r="F1125" t="s">
        <v>27</v>
      </c>
      <c r="G1125" t="s">
        <v>27</v>
      </c>
      <c r="H1125" t="s">
        <v>27</v>
      </c>
      <c r="I1125" t="s">
        <v>27</v>
      </c>
      <c r="J1125" t="s">
        <v>828</v>
      </c>
      <c r="K1125" t="s">
        <v>1622</v>
      </c>
      <c r="L1125" t="s">
        <v>723</v>
      </c>
      <c r="M1125" s="100" t="str">
        <f t="shared" si="34"/>
        <v>Wrong measurement</v>
      </c>
      <c r="N1125" s="59" t="str">
        <f t="shared" si="35"/>
        <v>Wrong measurement</v>
      </c>
      <c r="O1125" t="s">
        <v>767</v>
      </c>
    </row>
    <row r="1126" spans="1:15">
      <c r="A1126" s="59" t="s">
        <v>1589</v>
      </c>
      <c r="B1126" t="s">
        <v>1084</v>
      </c>
      <c r="D1126" s="97" t="e">
        <f>_xlfn.XLOOKUP(A1126,[1]CPD_SOP_new!$A:$A,[1]CPD_SOP_new!#REF!,"not found",0 )</f>
        <v>#REF!</v>
      </c>
      <c r="E1126" s="97" t="str">
        <f>_xlfn.XLOOKUP(A1126,[1]CPD_SOP_new!$A:$A,[1]CPD_SOP_new!$K:$K,"not found",0 )</f>
        <v>not found</v>
      </c>
      <c r="F1126" t="s">
        <v>27</v>
      </c>
      <c r="G1126" t="s">
        <v>27</v>
      </c>
      <c r="H1126" t="s">
        <v>27</v>
      </c>
      <c r="I1126" t="s">
        <v>27</v>
      </c>
      <c r="J1126" t="s">
        <v>828</v>
      </c>
      <c r="K1126" t="s">
        <v>1624</v>
      </c>
      <c r="L1126" t="s">
        <v>723</v>
      </c>
      <c r="M1126" s="100" t="str">
        <f t="shared" si="34"/>
        <v>Wrong measurement</v>
      </c>
      <c r="N1126" s="59" t="str">
        <f t="shared" si="35"/>
        <v>Wrong measurement</v>
      </c>
      <c r="O1126" t="s">
        <v>767</v>
      </c>
    </row>
    <row r="1127" spans="1:15" s="130" customFormat="1">
      <c r="A1127" s="130">
        <v>176</v>
      </c>
      <c r="B1127" s="130" t="s">
        <v>1084</v>
      </c>
      <c r="D1127" s="98" t="e">
        <f>_xlfn.XLOOKUP(A1127,[1]CPD_SOP_new!$A:$A,[1]CPD_SOP_new!#REF!,"not found",0 )</f>
        <v>#REF!</v>
      </c>
      <c r="E1127" s="98" t="str">
        <f>_xlfn.XLOOKUP(A1127,[1]CPD_SOP_new!$A:$A,[1]CPD_SOP_new!$K:$K,"not found",0 )</f>
        <v>2R</v>
      </c>
      <c r="F1127" s="130" t="s">
        <v>27</v>
      </c>
      <c r="G1127" s="130" t="s">
        <v>28</v>
      </c>
      <c r="H1127" s="130" t="s">
        <v>28</v>
      </c>
      <c r="I1127" s="130" t="s">
        <v>27</v>
      </c>
      <c r="J1127" s="130" t="s">
        <v>828</v>
      </c>
      <c r="K1127" s="130" t="s">
        <v>1263</v>
      </c>
      <c r="L1127" s="130" t="s">
        <v>723</v>
      </c>
      <c r="M1127" s="100" t="str">
        <f t="shared" si="34"/>
        <v>Wrong measurement</v>
      </c>
      <c r="N1127" s="59" t="str">
        <f t="shared" si="35"/>
        <v>Wrong measurement</v>
      </c>
      <c r="O1127" s="130" t="s">
        <v>767</v>
      </c>
    </row>
    <row r="1128" spans="1:15" s="130" customFormat="1">
      <c r="A1128" s="130">
        <v>176</v>
      </c>
      <c r="B1128" s="130" t="s">
        <v>1084</v>
      </c>
      <c r="D1128" s="98" t="e">
        <f>_xlfn.XLOOKUP(A1128,[1]CPD_SOP_new!$A:$A,[1]CPD_SOP_new!#REF!,"not found",0 )</f>
        <v>#REF!</v>
      </c>
      <c r="E1128" s="98" t="str">
        <f>_xlfn.XLOOKUP(A1128,[1]CPD_SOP_new!$A:$A,[1]CPD_SOP_new!$K:$K,"not found",0 )</f>
        <v>2R</v>
      </c>
      <c r="F1128" s="130" t="s">
        <v>27</v>
      </c>
      <c r="G1128" s="130" t="s">
        <v>28</v>
      </c>
      <c r="H1128" s="130" t="s">
        <v>28</v>
      </c>
      <c r="I1128" s="130" t="s">
        <v>27</v>
      </c>
      <c r="J1128" s="130" t="s">
        <v>828</v>
      </c>
      <c r="K1128" s="130" t="s">
        <v>1264</v>
      </c>
      <c r="L1128" s="130" t="s">
        <v>723</v>
      </c>
      <c r="M1128" s="100" t="str">
        <f t="shared" si="34"/>
        <v>Wrong measurement</v>
      </c>
      <c r="N1128" s="59" t="str">
        <f t="shared" si="35"/>
        <v>Wrong measurement</v>
      </c>
      <c r="O1128" s="130" t="s">
        <v>767</v>
      </c>
    </row>
    <row r="1129" spans="1:15">
      <c r="A1129" s="59">
        <v>176</v>
      </c>
      <c r="B1129" t="s">
        <v>1084</v>
      </c>
      <c r="D1129" s="97" t="e">
        <f>_xlfn.XLOOKUP(A1129,[1]CPD_SOP_new!$A:$A,[1]CPD_SOP_new!#REF!,"not found",0 )</f>
        <v>#REF!</v>
      </c>
      <c r="E1129" s="97" t="str">
        <f>_xlfn.XLOOKUP(A1129,[1]CPD_SOP_new!$A:$A,[1]CPD_SOP_new!$K:$K,"not found",0 )</f>
        <v>2R</v>
      </c>
      <c r="F1129" t="s">
        <v>27</v>
      </c>
      <c r="G1129" t="s">
        <v>28</v>
      </c>
      <c r="H1129" t="s">
        <v>28</v>
      </c>
      <c r="I1129" t="s">
        <v>28</v>
      </c>
      <c r="J1129" t="s">
        <v>828</v>
      </c>
      <c r="K1129" t="s">
        <v>1100</v>
      </c>
      <c r="L1129" t="s">
        <v>2993</v>
      </c>
      <c r="M1129" s="100" t="str">
        <f t="shared" si="34"/>
        <v>CSR_XCP_Signals_Recorder_2026-02-03_13-15-09_TC176_NCAP1_2_Outside__2R_CPD.MF4.xz</v>
      </c>
      <c r="N1129" s="59" t="str">
        <f t="shared" si="35"/>
        <v>_Outside__2R_CPD.MF4.xz</v>
      </c>
      <c r="O1129" t="s">
        <v>767</v>
      </c>
    </row>
    <row r="1130" spans="1:15">
      <c r="A1130" s="59">
        <v>176</v>
      </c>
      <c r="B1130" t="s">
        <v>1084</v>
      </c>
      <c r="D1130" s="97" t="e">
        <f>_xlfn.XLOOKUP(A1130,[1]CPD_SOP_new!$A:$A,[1]CPD_SOP_new!#REF!,"not found",0 )</f>
        <v>#REF!</v>
      </c>
      <c r="E1130" s="97" t="str">
        <f>_xlfn.XLOOKUP(A1130,[1]CPD_SOP_new!$A:$A,[1]CPD_SOP_new!$K:$K,"not found",0 )</f>
        <v>2R</v>
      </c>
      <c r="F1130" t="s">
        <v>27</v>
      </c>
      <c r="G1130" t="s">
        <v>28</v>
      </c>
      <c r="H1130" t="s">
        <v>28</v>
      </c>
      <c r="I1130" t="s">
        <v>28</v>
      </c>
      <c r="J1130" t="s">
        <v>828</v>
      </c>
      <c r="K1130" t="s">
        <v>1101</v>
      </c>
      <c r="L1130" t="s">
        <v>2994</v>
      </c>
      <c r="M1130" s="100" t="str">
        <f t="shared" si="34"/>
        <v>CSR_XCP_Signals_Recorder_2026-02-03_13-16-13_TC176_NCAP1_2_Outside__2R_CPD.MF4.xz</v>
      </c>
      <c r="N1130" s="59" t="str">
        <f t="shared" si="35"/>
        <v>_Outside__2R_CPD.MF4.xz</v>
      </c>
      <c r="O1130" t="s">
        <v>767</v>
      </c>
    </row>
    <row r="1131" spans="1:15">
      <c r="A1131" s="59">
        <v>176</v>
      </c>
      <c r="B1131" t="s">
        <v>1084</v>
      </c>
      <c r="D1131" s="97" t="e">
        <f>_xlfn.XLOOKUP(A1131,[1]CPD_SOP_new!$A:$A,[1]CPD_SOP_new!#REF!,"not found",0 )</f>
        <v>#REF!</v>
      </c>
      <c r="E1131" s="97" t="str">
        <f>_xlfn.XLOOKUP(A1131,[1]CPD_SOP_new!$A:$A,[1]CPD_SOP_new!$K:$K,"not found",0 )</f>
        <v>2R</v>
      </c>
      <c r="F1131" t="s">
        <v>27</v>
      </c>
      <c r="G1131" t="s">
        <v>28</v>
      </c>
      <c r="H1131" t="s">
        <v>28</v>
      </c>
      <c r="I1131" t="s">
        <v>28</v>
      </c>
      <c r="J1131" t="s">
        <v>828</v>
      </c>
      <c r="K1131" t="s">
        <v>1102</v>
      </c>
      <c r="L1131" t="s">
        <v>2995</v>
      </c>
      <c r="M1131" s="100" t="str">
        <f t="shared" si="34"/>
        <v>CSR_XCP_Signals_Recorder_2026-02-03_13-17-37_TC176_NCAP1_2_Outside__2R_CPD.MF4.xz</v>
      </c>
      <c r="N1131" s="59" t="str">
        <f t="shared" si="35"/>
        <v>_Outside__2R_CPD.MF4.xz</v>
      </c>
      <c r="O1131" t="s">
        <v>767</v>
      </c>
    </row>
    <row r="1132" spans="1:15">
      <c r="A1132" s="59">
        <v>134</v>
      </c>
      <c r="B1132" t="s">
        <v>234</v>
      </c>
      <c r="D1132" s="97" t="e">
        <f>_xlfn.XLOOKUP(A1132,[1]CPD_SOP_new!$A:$A,[1]CPD_SOP_new!#REF!,"not found",0 )</f>
        <v>#REF!</v>
      </c>
      <c r="E1132" s="97" t="str">
        <f>_xlfn.XLOOKUP(A1132,[1]CPD_SOP_new!$A:$A,[1]CPD_SOP_new!$K:$K,"not found",0 )</f>
        <v>2R+F2L</v>
      </c>
      <c r="F1132" t="s">
        <v>27</v>
      </c>
      <c r="G1132" t="s">
        <v>28</v>
      </c>
      <c r="H1132" t="s">
        <v>28</v>
      </c>
      <c r="I1132" t="s">
        <v>28</v>
      </c>
      <c r="J1132" t="s">
        <v>828</v>
      </c>
      <c r="K1132" t="s">
        <v>856</v>
      </c>
      <c r="L1132" t="s">
        <v>2996</v>
      </c>
      <c r="M1132" s="100" t="str">
        <f t="shared" si="34"/>
        <v>CSR_XCP_Signals_Recorder_2026-02-03_13-20-27_TC134_Object__2R+F2L_CPD.MF4.xz</v>
      </c>
      <c r="N1132" s="59" t="str">
        <f t="shared" si="35"/>
        <v>_Object__2R+F2L_CPD.MF4.xz</v>
      </c>
      <c r="O1132" t="s">
        <v>767</v>
      </c>
    </row>
    <row r="1133" spans="1:15">
      <c r="A1133" s="59">
        <v>134</v>
      </c>
      <c r="B1133" t="s">
        <v>234</v>
      </c>
      <c r="D1133" s="97" t="e">
        <f>_xlfn.XLOOKUP(A1133,[1]CPD_SOP_new!$A:$A,[1]CPD_SOP_new!#REF!,"not found",0 )</f>
        <v>#REF!</v>
      </c>
      <c r="E1133" s="97" t="str">
        <f>_xlfn.XLOOKUP(A1133,[1]CPD_SOP_new!$A:$A,[1]CPD_SOP_new!$K:$K,"not found",0 )</f>
        <v>2R+F2L</v>
      </c>
      <c r="F1133" t="s">
        <v>27</v>
      </c>
      <c r="G1133" t="s">
        <v>28</v>
      </c>
      <c r="H1133" t="s">
        <v>28</v>
      </c>
      <c r="I1133" t="s">
        <v>28</v>
      </c>
      <c r="J1133" t="s">
        <v>828</v>
      </c>
      <c r="K1133" t="s">
        <v>858</v>
      </c>
      <c r="L1133" t="s">
        <v>2997</v>
      </c>
      <c r="M1133" s="100" t="str">
        <f t="shared" si="34"/>
        <v>CSR_XCP_Signals_Recorder_2026-02-03_13-21-51_TC134_Object__2R+F2L_CPD.MF4.xz</v>
      </c>
      <c r="N1133" s="59" t="str">
        <f t="shared" si="35"/>
        <v>_Object__2R+F2L_CPD.MF4.xz</v>
      </c>
      <c r="O1133" t="s">
        <v>767</v>
      </c>
    </row>
    <row r="1134" spans="1:15">
      <c r="A1134" s="59">
        <v>134</v>
      </c>
      <c r="B1134" t="s">
        <v>234</v>
      </c>
      <c r="D1134" s="97" t="e">
        <f>_xlfn.XLOOKUP(A1134,[1]CPD_SOP_new!$A:$A,[1]CPD_SOP_new!#REF!,"not found",0 )</f>
        <v>#REF!</v>
      </c>
      <c r="E1134" s="97" t="str">
        <f>_xlfn.XLOOKUP(A1134,[1]CPD_SOP_new!$A:$A,[1]CPD_SOP_new!$K:$K,"not found",0 )</f>
        <v>2R+F2L</v>
      </c>
      <c r="F1134" t="s">
        <v>27</v>
      </c>
      <c r="G1134" t="s">
        <v>28</v>
      </c>
      <c r="H1134" t="s">
        <v>28</v>
      </c>
      <c r="I1134" t="s">
        <v>28</v>
      </c>
      <c r="J1134" t="s">
        <v>828</v>
      </c>
      <c r="K1134" t="s">
        <v>859</v>
      </c>
      <c r="L1134" t="s">
        <v>2998</v>
      </c>
      <c r="M1134" s="100" t="str">
        <f t="shared" si="34"/>
        <v>CSR_XCP_Signals_Recorder_2026-02-03_13-22-39_TC134_Object__2R+F2L_CPD.MF4.xz</v>
      </c>
      <c r="N1134" s="59" t="str">
        <f t="shared" si="35"/>
        <v>_Object__2R+F2L_CPD.MF4.xz</v>
      </c>
      <c r="O1134" t="s">
        <v>767</v>
      </c>
    </row>
    <row r="1135" spans="1:15">
      <c r="A1135" s="59">
        <v>162</v>
      </c>
      <c r="B1135" t="s">
        <v>405</v>
      </c>
      <c r="D1135" s="97" t="e">
        <f>_xlfn.XLOOKUP(A1135,[1]CPD_SOP_new!$A:$A,[1]CPD_SOP_new!#REF!,"not found",0 )</f>
        <v>#REF!</v>
      </c>
      <c r="E1135" s="97" t="str">
        <f>_xlfn.XLOOKUP(A1135,[1]CPD_SOP_new!$A:$A,[1]CPD_SOP_new!$K:$K,"not found",0 )</f>
        <v>2R</v>
      </c>
      <c r="F1135" t="s">
        <v>27</v>
      </c>
      <c r="G1135" t="s">
        <v>27</v>
      </c>
      <c r="H1135" t="s">
        <v>27</v>
      </c>
      <c r="I1135" t="s">
        <v>28</v>
      </c>
      <c r="J1135" t="s">
        <v>828</v>
      </c>
      <c r="K1135" t="s">
        <v>1037</v>
      </c>
      <c r="L1135" t="s">
        <v>2999</v>
      </c>
      <c r="M1135" s="100" t="str">
        <f t="shared" si="34"/>
        <v>CSR_XCP_Signals_Recorder_2026-02-03_13-24-06_TC162_NCAP1_2_Phone__2R_CPD.MF4.xz</v>
      </c>
      <c r="N1135" s="59" t="str">
        <f t="shared" si="35"/>
        <v>_Phone__2R_CPD.MF4.xz</v>
      </c>
      <c r="O1135" t="s">
        <v>767</v>
      </c>
    </row>
    <row r="1136" spans="1:15">
      <c r="A1136" s="59">
        <v>162</v>
      </c>
      <c r="B1136" t="s">
        <v>405</v>
      </c>
      <c r="D1136" s="97" t="e">
        <f>_xlfn.XLOOKUP(A1136,[1]CPD_SOP_new!$A:$A,[1]CPD_SOP_new!#REF!,"not found",0 )</f>
        <v>#REF!</v>
      </c>
      <c r="E1136" s="97" t="str">
        <f>_xlfn.XLOOKUP(A1136,[1]CPD_SOP_new!$A:$A,[1]CPD_SOP_new!$K:$K,"not found",0 )</f>
        <v>2R</v>
      </c>
      <c r="F1136" t="s">
        <v>27</v>
      </c>
      <c r="G1136" t="s">
        <v>27</v>
      </c>
      <c r="H1136" t="s">
        <v>27</v>
      </c>
      <c r="I1136" t="s">
        <v>28</v>
      </c>
      <c r="J1136" t="s">
        <v>828</v>
      </c>
      <c r="K1136" t="s">
        <v>1038</v>
      </c>
      <c r="L1136" t="s">
        <v>3000</v>
      </c>
      <c r="M1136" s="100" t="str">
        <f t="shared" si="34"/>
        <v>CSR_XCP_Signals_Recorder_2026-02-03_13-25-09_TC162_NCAP1_2_Phone__2R_CPD.MF4.xz</v>
      </c>
      <c r="N1136" s="59" t="str">
        <f t="shared" si="35"/>
        <v>_Phone__2R_CPD.MF4.xz</v>
      </c>
      <c r="O1136" t="s">
        <v>767</v>
      </c>
    </row>
    <row r="1137" spans="1:15">
      <c r="A1137" s="59">
        <v>162</v>
      </c>
      <c r="B1137" t="s">
        <v>405</v>
      </c>
      <c r="D1137" s="97" t="e">
        <f>_xlfn.XLOOKUP(A1137,[1]CPD_SOP_new!$A:$A,[1]CPD_SOP_new!#REF!,"not found",0 )</f>
        <v>#REF!</v>
      </c>
      <c r="E1137" s="97" t="str">
        <f>_xlfn.XLOOKUP(A1137,[1]CPD_SOP_new!$A:$A,[1]CPD_SOP_new!$K:$K,"not found",0 )</f>
        <v>2R</v>
      </c>
      <c r="F1137" t="s">
        <v>27</v>
      </c>
      <c r="G1137" t="s">
        <v>27</v>
      </c>
      <c r="H1137" t="s">
        <v>27</v>
      </c>
      <c r="I1137" t="s">
        <v>28</v>
      </c>
      <c r="J1137" t="s">
        <v>828</v>
      </c>
      <c r="K1137" t="s">
        <v>1039</v>
      </c>
      <c r="L1137" t="s">
        <v>3001</v>
      </c>
      <c r="M1137" s="100" t="str">
        <f t="shared" si="34"/>
        <v>CSR_XCP_Signals_Recorder_2026-02-03_13-26-00_TC162_NCAP1_2_Phone__2R_CPD.MF4.xz</v>
      </c>
      <c r="N1137" s="59" t="str">
        <f t="shared" si="35"/>
        <v>_Phone__2R_CPD.MF4.xz</v>
      </c>
      <c r="O1137" t="s">
        <v>767</v>
      </c>
    </row>
    <row r="1138" spans="1:15" s="130" customFormat="1">
      <c r="A1138" s="130">
        <v>162</v>
      </c>
      <c r="B1138" s="130" t="s">
        <v>405</v>
      </c>
      <c r="D1138" s="98" t="e">
        <f>_xlfn.XLOOKUP(A1138,[1]CPD_SOP_new!$A:$A,[1]CPD_SOP_new!#REF!,"not found",0 )</f>
        <v>#REF!</v>
      </c>
      <c r="E1138" s="98" t="str">
        <f>_xlfn.XLOOKUP(A1138,[1]CPD_SOP_new!$A:$A,[1]CPD_SOP_new!$K:$K,"not found",0 )</f>
        <v>2R</v>
      </c>
      <c r="F1138" s="130" t="s">
        <v>27</v>
      </c>
      <c r="G1138" s="130" t="s">
        <v>27</v>
      </c>
      <c r="H1138" s="130" t="s">
        <v>27</v>
      </c>
      <c r="I1138" s="130" t="s">
        <v>27</v>
      </c>
      <c r="J1138" s="130" t="s">
        <v>828</v>
      </c>
      <c r="K1138" s="130" t="s">
        <v>1196</v>
      </c>
      <c r="L1138" s="130" t="s">
        <v>723</v>
      </c>
      <c r="M1138" s="100" t="str">
        <f t="shared" si="34"/>
        <v>Wrong measurement</v>
      </c>
      <c r="N1138" s="59" t="str">
        <f t="shared" si="35"/>
        <v>Wrong measurement</v>
      </c>
      <c r="O1138" s="130" t="s">
        <v>767</v>
      </c>
    </row>
    <row r="1139" spans="1:15" s="130" customFormat="1">
      <c r="A1139" s="130">
        <v>162</v>
      </c>
      <c r="B1139" s="130" t="s">
        <v>405</v>
      </c>
      <c r="D1139" s="98" t="e">
        <f>_xlfn.XLOOKUP(A1139,[1]CPD_SOP_new!$A:$A,[1]CPD_SOP_new!#REF!,"not found",0 )</f>
        <v>#REF!</v>
      </c>
      <c r="E1139" s="98" t="str">
        <f>_xlfn.XLOOKUP(A1139,[1]CPD_SOP_new!$A:$A,[1]CPD_SOP_new!$K:$K,"not found",0 )</f>
        <v>2R</v>
      </c>
      <c r="F1139" s="130" t="s">
        <v>27</v>
      </c>
      <c r="G1139" s="130" t="s">
        <v>27</v>
      </c>
      <c r="H1139" s="130" t="s">
        <v>27</v>
      </c>
      <c r="I1139" s="130" t="s">
        <v>27</v>
      </c>
      <c r="J1139" s="130" t="s">
        <v>828</v>
      </c>
      <c r="K1139" s="130" t="s">
        <v>1200</v>
      </c>
      <c r="L1139" s="130" t="s">
        <v>723</v>
      </c>
      <c r="M1139" s="100" t="str">
        <f t="shared" si="34"/>
        <v>Wrong measurement</v>
      </c>
      <c r="N1139" s="59" t="str">
        <f t="shared" si="35"/>
        <v>Wrong measurement</v>
      </c>
      <c r="O1139" s="130" t="s">
        <v>767</v>
      </c>
    </row>
    <row r="1140" spans="1:15" s="130" customFormat="1">
      <c r="A1140" s="130">
        <v>162</v>
      </c>
      <c r="B1140" s="130" t="s">
        <v>405</v>
      </c>
      <c r="D1140" s="98" t="e">
        <f>_xlfn.XLOOKUP(A1140,[1]CPD_SOP_new!$A:$A,[1]CPD_SOP_new!#REF!,"not found",0 )</f>
        <v>#REF!</v>
      </c>
      <c r="E1140" s="98" t="str">
        <f>_xlfn.XLOOKUP(A1140,[1]CPD_SOP_new!$A:$A,[1]CPD_SOP_new!$K:$K,"not found",0 )</f>
        <v>2R</v>
      </c>
      <c r="F1140" s="130" t="s">
        <v>27</v>
      </c>
      <c r="G1140" s="130" t="s">
        <v>27</v>
      </c>
      <c r="H1140" s="130" t="s">
        <v>27</v>
      </c>
      <c r="I1140" s="130" t="s">
        <v>27</v>
      </c>
      <c r="J1140" s="130" t="s">
        <v>828</v>
      </c>
      <c r="K1140" s="130" t="s">
        <v>1201</v>
      </c>
      <c r="L1140" s="130" t="s">
        <v>723</v>
      </c>
      <c r="M1140" s="100" t="str">
        <f t="shared" si="34"/>
        <v>Wrong measurement</v>
      </c>
      <c r="N1140" s="59" t="str">
        <f t="shared" si="35"/>
        <v>Wrong measurement</v>
      </c>
      <c r="O1140" s="130" t="s">
        <v>767</v>
      </c>
    </row>
    <row r="1141" spans="1:15" s="130" customFormat="1">
      <c r="A1141" s="130">
        <v>104</v>
      </c>
      <c r="B1141" t="s">
        <v>2536</v>
      </c>
      <c r="D1141" s="98" t="e">
        <f>_xlfn.XLOOKUP(A1141,[1]CPD_SOP_new!$A:$A,[1]CPD_SOP_new!#REF!,"not found",0 )</f>
        <v>#REF!</v>
      </c>
      <c r="E1141" s="98" t="str">
        <f>_xlfn.XLOOKUP(A1141,[1]CPD_SOP_new!$A:$A,[1]CPD_SOP_new!$K:$K,"not found",0 )</f>
        <v>2R</v>
      </c>
      <c r="F1141" s="130" t="s">
        <v>27</v>
      </c>
      <c r="G1141" s="130" t="s">
        <v>27</v>
      </c>
      <c r="H1141" s="130" t="s">
        <v>28</v>
      </c>
      <c r="I1141" s="130" t="s">
        <v>27</v>
      </c>
      <c r="J1141" s="130" t="s">
        <v>765</v>
      </c>
      <c r="K1141" s="130" t="s">
        <v>1135</v>
      </c>
      <c r="L1141" s="130" t="s">
        <v>723</v>
      </c>
      <c r="M1141" s="100" t="str">
        <f t="shared" si="34"/>
        <v>Wrong measurement</v>
      </c>
      <c r="N1141" s="59" t="str">
        <f t="shared" si="35"/>
        <v>Wrong measurement</v>
      </c>
      <c r="O1141" s="130" t="s">
        <v>767</v>
      </c>
    </row>
    <row r="1142" spans="1:15" s="130" customFormat="1">
      <c r="A1142" s="130">
        <v>104</v>
      </c>
      <c r="B1142" t="s">
        <v>2536</v>
      </c>
      <c r="D1142" s="98" t="e">
        <f>_xlfn.XLOOKUP(A1142,[1]CPD_SOP_new!$A:$A,[1]CPD_SOP_new!#REF!,"not found",0 )</f>
        <v>#REF!</v>
      </c>
      <c r="E1142" s="98" t="str">
        <f>_xlfn.XLOOKUP(A1142,[1]CPD_SOP_new!$A:$A,[1]CPD_SOP_new!$K:$K,"not found",0 )</f>
        <v>2R</v>
      </c>
      <c r="F1142" s="130" t="s">
        <v>27</v>
      </c>
      <c r="G1142" s="130" t="s">
        <v>27</v>
      </c>
      <c r="H1142" s="130" t="s">
        <v>28</v>
      </c>
      <c r="I1142" s="130" t="s">
        <v>27</v>
      </c>
      <c r="J1142" s="130" t="s">
        <v>1136</v>
      </c>
      <c r="K1142" s="130" t="s">
        <v>1137</v>
      </c>
      <c r="L1142" s="130" t="s">
        <v>723</v>
      </c>
      <c r="M1142" s="100" t="str">
        <f t="shared" si="34"/>
        <v>Wrong measurement</v>
      </c>
      <c r="N1142" s="59" t="str">
        <f t="shared" si="35"/>
        <v>Wrong measurement</v>
      </c>
      <c r="O1142" s="130" t="s">
        <v>767</v>
      </c>
    </row>
    <row r="1143" spans="1:15" s="130" customFormat="1">
      <c r="A1143" s="130">
        <v>104</v>
      </c>
      <c r="B1143" t="s">
        <v>2536</v>
      </c>
      <c r="D1143" s="98" t="e">
        <f>_xlfn.XLOOKUP(A1143,[1]CPD_SOP_new!$A:$A,[1]CPD_SOP_new!#REF!,"not found",0 )</f>
        <v>#REF!</v>
      </c>
      <c r="E1143" s="98" t="str">
        <f>_xlfn.XLOOKUP(A1143,[1]CPD_SOP_new!$A:$A,[1]CPD_SOP_new!$K:$K,"not found",0 )</f>
        <v>2R</v>
      </c>
      <c r="F1143" s="130" t="s">
        <v>27</v>
      </c>
      <c r="G1143" s="130" t="s">
        <v>27</v>
      </c>
      <c r="H1143" s="130" t="s">
        <v>28</v>
      </c>
      <c r="I1143" s="130" t="s">
        <v>27</v>
      </c>
      <c r="J1143" s="130" t="s">
        <v>765</v>
      </c>
      <c r="K1143" s="130" t="s">
        <v>766</v>
      </c>
      <c r="L1143" s="130" t="s">
        <v>723</v>
      </c>
      <c r="M1143" s="100" t="str">
        <f t="shared" si="34"/>
        <v>Wrong measurement</v>
      </c>
      <c r="N1143" s="59" t="str">
        <f t="shared" si="35"/>
        <v>Wrong measurement</v>
      </c>
      <c r="O1143" s="130" t="s">
        <v>767</v>
      </c>
    </row>
    <row r="1144" spans="1:15">
      <c r="A1144" s="59">
        <v>104</v>
      </c>
      <c r="B1144" t="s">
        <v>2536</v>
      </c>
      <c r="D1144" s="97" t="e">
        <f>_xlfn.XLOOKUP(A1144,[1]CPD_SOP_new!$A:$A,[1]CPD_SOP_new!#REF!,"not found",0 )</f>
        <v>#REF!</v>
      </c>
      <c r="E1144" s="97" t="str">
        <f>_xlfn.XLOOKUP(A1144,[1]CPD_SOP_new!$A:$A,[1]CPD_SOP_new!$K:$K,"not found",0 )</f>
        <v>2R</v>
      </c>
      <c r="F1144" t="s">
        <v>27</v>
      </c>
      <c r="G1144" t="s">
        <v>27</v>
      </c>
      <c r="H1144" t="s">
        <v>28</v>
      </c>
      <c r="I1144" s="81" t="s">
        <v>28</v>
      </c>
      <c r="J1144" s="85" t="s">
        <v>113</v>
      </c>
      <c r="K1144" t="s">
        <v>768</v>
      </c>
      <c r="L1144" t="s">
        <v>3002</v>
      </c>
      <c r="M1144" s="100" t="str">
        <f t="shared" si="34"/>
        <v>CSR_XCP_Signals_Recorder_2026-02-03_15-05-58_TC104_AF95_NCAP1_2_Adult_only__2R_CPD.MF4.xz</v>
      </c>
      <c r="N1144" s="59" t="str">
        <f t="shared" si="35"/>
        <v>_Adult_only__2R_CPD.MF4.xz</v>
      </c>
      <c r="O1144" t="s">
        <v>767</v>
      </c>
    </row>
    <row r="1145" spans="1:15">
      <c r="A1145" s="59">
        <v>104</v>
      </c>
      <c r="B1145" t="s">
        <v>2536</v>
      </c>
      <c r="D1145" s="97" t="e">
        <f>_xlfn.XLOOKUP(A1145,[1]CPD_SOP_new!$A:$A,[1]CPD_SOP_new!#REF!,"not found",0 )</f>
        <v>#REF!</v>
      </c>
      <c r="E1145" s="97" t="str">
        <f>_xlfn.XLOOKUP(A1145,[1]CPD_SOP_new!$A:$A,[1]CPD_SOP_new!$K:$K,"not found",0 )</f>
        <v>2R</v>
      </c>
      <c r="F1145" t="s">
        <v>27</v>
      </c>
      <c r="G1145" t="s">
        <v>27</v>
      </c>
      <c r="H1145" t="s">
        <v>28</v>
      </c>
      <c r="I1145" s="81" t="s">
        <v>28</v>
      </c>
      <c r="J1145" s="85" t="s">
        <v>113</v>
      </c>
      <c r="K1145" t="s">
        <v>769</v>
      </c>
      <c r="L1145" t="s">
        <v>3003</v>
      </c>
      <c r="M1145" s="100" t="str">
        <f t="shared" si="34"/>
        <v>CSR_XCP_Signals_Recorder_2026-02-03_15-06-57_TC104_AF95_NCAP1_2_Adult_only__2R_CPD.MF4.xz</v>
      </c>
      <c r="N1145" s="59" t="str">
        <f t="shared" si="35"/>
        <v>_Adult_only__2R_CPD.MF4.xz</v>
      </c>
      <c r="O1145" t="s">
        <v>767</v>
      </c>
    </row>
    <row r="1146" spans="1:15">
      <c r="A1146" s="59">
        <v>104</v>
      </c>
      <c r="B1146" t="s">
        <v>2536</v>
      </c>
      <c r="D1146" s="97" t="e">
        <f>_xlfn.XLOOKUP(A1146,[1]CPD_SOP_new!$A:$A,[1]CPD_SOP_new!#REF!,"not found",0 )</f>
        <v>#REF!</v>
      </c>
      <c r="E1146" s="97" t="str">
        <f>_xlfn.XLOOKUP(A1146,[1]CPD_SOP_new!$A:$A,[1]CPD_SOP_new!$K:$K,"not found",0 )</f>
        <v>2R</v>
      </c>
      <c r="F1146" t="s">
        <v>27</v>
      </c>
      <c r="G1146" t="s">
        <v>27</v>
      </c>
      <c r="H1146" t="s">
        <v>28</v>
      </c>
      <c r="I1146" s="81" t="s">
        <v>28</v>
      </c>
      <c r="J1146" s="85" t="s">
        <v>113</v>
      </c>
      <c r="K1146" t="s">
        <v>770</v>
      </c>
      <c r="L1146" t="s">
        <v>3004</v>
      </c>
      <c r="M1146" s="100" t="str">
        <f t="shared" si="34"/>
        <v>CSR_XCP_Signals_Recorder_2026-02-03_15-07-43_TC104_AF95_NCAP1_2_Adult_only__2R_CPD.MF4.xz</v>
      </c>
      <c r="N1146" s="59" t="str">
        <f t="shared" si="35"/>
        <v>_Adult_only__2R_CPD.MF4.xz</v>
      </c>
      <c r="O1146" t="s">
        <v>767</v>
      </c>
    </row>
    <row r="1147" spans="1:15">
      <c r="A1147" s="59" t="s">
        <v>1589</v>
      </c>
      <c r="B1147" t="s">
        <v>2536</v>
      </c>
      <c r="D1147" s="97" t="e">
        <f>_xlfn.XLOOKUP(A1147,[1]CPD_SOP_new!$A:$A,[1]CPD_SOP_new!#REF!,"not found",0 )</f>
        <v>#REF!</v>
      </c>
      <c r="E1147" s="97" t="str">
        <f>_xlfn.XLOOKUP(A1147,[1]CPD_SOP_new!$A:$A,[1]CPD_SOP_new!$K:$K,"not found",0 )</f>
        <v>not found</v>
      </c>
      <c r="F1147" t="s">
        <v>27</v>
      </c>
      <c r="G1147" t="s">
        <v>27</v>
      </c>
      <c r="H1147" t="s">
        <v>27</v>
      </c>
      <c r="I1147" s="81" t="s">
        <v>28</v>
      </c>
      <c r="J1147" s="85" t="s">
        <v>113</v>
      </c>
      <c r="K1147" t="s">
        <v>1625</v>
      </c>
      <c r="L1147" t="s">
        <v>3005</v>
      </c>
      <c r="M1147" s="100" t="str">
        <f t="shared" si="34"/>
        <v>CSR_XCP_Signals_Recorder_2026-02-03_15-08-50_AF95_2L_NCAP1_2_Adult_only__not found_CPD.MF4.xz</v>
      </c>
      <c r="N1147" s="59" t="str">
        <f t="shared" si="35"/>
        <v>_Adult_only__not found_CPD.MF4.xz</v>
      </c>
      <c r="O1147" t="s">
        <v>767</v>
      </c>
    </row>
    <row r="1148" spans="1:15">
      <c r="A1148" s="59" t="s">
        <v>1589</v>
      </c>
      <c r="B1148" t="s">
        <v>2536</v>
      </c>
      <c r="D1148" s="97" t="e">
        <f>_xlfn.XLOOKUP(A1148,[1]CPD_SOP_new!$A:$A,[1]CPD_SOP_new!#REF!,"not found",0 )</f>
        <v>#REF!</v>
      </c>
      <c r="E1148" s="97" t="str">
        <f>_xlfn.XLOOKUP(A1148,[1]CPD_SOP_new!$A:$A,[1]CPD_SOP_new!$K:$K,"not found",0 )</f>
        <v>not found</v>
      </c>
      <c r="F1148" t="s">
        <v>27</v>
      </c>
      <c r="G1148" t="s">
        <v>27</v>
      </c>
      <c r="H1148" t="s">
        <v>27</v>
      </c>
      <c r="I1148" s="81" t="s">
        <v>28</v>
      </c>
      <c r="J1148" s="85" t="s">
        <v>113</v>
      </c>
      <c r="K1148" t="s">
        <v>1626</v>
      </c>
      <c r="L1148" t="s">
        <v>3006</v>
      </c>
      <c r="M1148" s="100" t="str">
        <f t="shared" si="34"/>
        <v>CSR_XCP_Signals_Recorder_2026-02-03_15-09-35_AF95_2L_NCAP1_2_Adult_only__not found_CPD.MF4.xz</v>
      </c>
      <c r="N1148" s="59" t="str">
        <f t="shared" si="35"/>
        <v>_Adult_only__not found_CPD.MF4.xz</v>
      </c>
      <c r="O1148" t="s">
        <v>767</v>
      </c>
    </row>
    <row r="1149" spans="1:15">
      <c r="A1149" s="59" t="s">
        <v>1589</v>
      </c>
      <c r="B1149" t="s">
        <v>2536</v>
      </c>
      <c r="D1149" s="97" t="e">
        <f>_xlfn.XLOOKUP(A1149,[1]CPD_SOP_new!$A:$A,[1]CPD_SOP_new!#REF!,"not found",0 )</f>
        <v>#REF!</v>
      </c>
      <c r="E1149" s="97" t="str">
        <f>_xlfn.XLOOKUP(A1149,[1]CPD_SOP_new!$A:$A,[1]CPD_SOP_new!$K:$K,"not found",0 )</f>
        <v>not found</v>
      </c>
      <c r="F1149" t="s">
        <v>27</v>
      </c>
      <c r="G1149" t="s">
        <v>27</v>
      </c>
      <c r="H1149" t="s">
        <v>27</v>
      </c>
      <c r="I1149" s="81" t="s">
        <v>28</v>
      </c>
      <c r="J1149" s="85" t="s">
        <v>113</v>
      </c>
      <c r="K1149" t="s">
        <v>1627</v>
      </c>
      <c r="L1149" t="s">
        <v>3007</v>
      </c>
      <c r="M1149" s="100" t="str">
        <f t="shared" si="34"/>
        <v>CSR_XCP_Signals_Recorder_2026-02-03_15-11-10_AF95_2L_NCAP1_2_Adult_only__not found_CPD.MF4.xz</v>
      </c>
      <c r="N1149" s="59" t="str">
        <f t="shared" si="35"/>
        <v>_Adult_only__not found_CPD.MF4.xz</v>
      </c>
      <c r="O1149" t="s">
        <v>767</v>
      </c>
    </row>
    <row r="1150" spans="1:15">
      <c r="A1150" s="59" t="s">
        <v>1589</v>
      </c>
      <c r="B1150" t="s">
        <v>2536</v>
      </c>
      <c r="D1150" s="97" t="e">
        <f>_xlfn.XLOOKUP(A1150,[1]CPD_SOP_new!$A:$A,[1]CPD_SOP_new!#REF!,"not found",0 )</f>
        <v>#REF!</v>
      </c>
      <c r="E1150" s="97" t="str">
        <f>_xlfn.XLOOKUP(A1150,[1]CPD_SOP_new!$A:$A,[1]CPD_SOP_new!$K:$K,"not found",0 )</f>
        <v>not found</v>
      </c>
      <c r="F1150" t="s">
        <v>27</v>
      </c>
      <c r="G1150" t="s">
        <v>27</v>
      </c>
      <c r="H1150" t="s">
        <v>27</v>
      </c>
      <c r="I1150" s="81" t="s">
        <v>28</v>
      </c>
      <c r="J1150" s="85" t="s">
        <v>113</v>
      </c>
      <c r="K1150" t="s">
        <v>1628</v>
      </c>
      <c r="L1150" t="s">
        <v>3008</v>
      </c>
      <c r="M1150" s="100" t="str">
        <f t="shared" si="34"/>
        <v>CSR_XCP_Signals_Recorder_2026-02-03_15-12-37_AF95_2L_NCAP3_Adult_only__not found_CPD.MF4.xz</v>
      </c>
      <c r="N1150" s="59" t="str">
        <f t="shared" si="35"/>
        <v>_Adult_only__not found_CPD.MF4.xz</v>
      </c>
      <c r="O1150" t="s">
        <v>767</v>
      </c>
    </row>
    <row r="1151" spans="1:15">
      <c r="A1151" s="59" t="s">
        <v>1589</v>
      </c>
      <c r="B1151" t="s">
        <v>2536</v>
      </c>
      <c r="D1151" s="97" t="e">
        <f>_xlfn.XLOOKUP(A1151,[1]CPD_SOP_new!$A:$A,[1]CPD_SOP_new!#REF!,"not found",0 )</f>
        <v>#REF!</v>
      </c>
      <c r="E1151" s="97" t="str">
        <f>_xlfn.XLOOKUP(A1151,[1]CPD_SOP_new!$A:$A,[1]CPD_SOP_new!$K:$K,"not found",0 )</f>
        <v>not found</v>
      </c>
      <c r="F1151" t="s">
        <v>27</v>
      </c>
      <c r="G1151" t="s">
        <v>27</v>
      </c>
      <c r="H1151" t="s">
        <v>27</v>
      </c>
      <c r="I1151" s="81" t="s">
        <v>28</v>
      </c>
      <c r="J1151" s="85" t="s">
        <v>113</v>
      </c>
      <c r="K1151" t="s">
        <v>1629</v>
      </c>
      <c r="L1151" t="s">
        <v>3009</v>
      </c>
      <c r="M1151" s="100" t="str">
        <f t="shared" si="34"/>
        <v>CSR_XCP_Signals_Recorder_2026-02-03_15-15-00_AF50_2L_NCAP1_2_Adult_only__not found_CPD.MF4.xz</v>
      </c>
      <c r="N1151" s="59" t="str">
        <f t="shared" si="35"/>
        <v>_Adult_only__not found_CPD.MF4.xz</v>
      </c>
      <c r="O1151" t="s">
        <v>767</v>
      </c>
    </row>
    <row r="1152" spans="1:15">
      <c r="A1152" s="59" t="s">
        <v>1589</v>
      </c>
      <c r="B1152" t="s">
        <v>2536</v>
      </c>
      <c r="D1152" s="97" t="e">
        <f>_xlfn.XLOOKUP(A1152,[1]CPD_SOP_new!$A:$A,[1]CPD_SOP_new!#REF!,"not found",0 )</f>
        <v>#REF!</v>
      </c>
      <c r="E1152" s="97" t="str">
        <f>_xlfn.XLOOKUP(A1152,[1]CPD_SOP_new!$A:$A,[1]CPD_SOP_new!$K:$K,"not found",0 )</f>
        <v>not found</v>
      </c>
      <c r="F1152" t="s">
        <v>27</v>
      </c>
      <c r="G1152" t="s">
        <v>27</v>
      </c>
      <c r="H1152" t="s">
        <v>27</v>
      </c>
      <c r="I1152" s="81" t="s">
        <v>28</v>
      </c>
      <c r="J1152" s="85" t="s">
        <v>113</v>
      </c>
      <c r="K1152" t="s">
        <v>1630</v>
      </c>
      <c r="L1152" t="s">
        <v>3010</v>
      </c>
      <c r="M1152" s="100" t="str">
        <f t="shared" si="34"/>
        <v>CSR_XCP_Signals_Recorder_2026-02-03_15-16-44_AF50_2L_NCAP1_2_Adult_only__not found_CPD.MF4.xz</v>
      </c>
      <c r="N1152" s="59" t="str">
        <f t="shared" si="35"/>
        <v>_Adult_only__not found_CPD.MF4.xz</v>
      </c>
      <c r="O1152" t="s">
        <v>767</v>
      </c>
    </row>
    <row r="1153" spans="1:15">
      <c r="A1153" s="59">
        <v>200</v>
      </c>
      <c r="B1153" t="s">
        <v>2133</v>
      </c>
      <c r="C1153" t="s">
        <v>48</v>
      </c>
      <c r="D1153" s="97" t="e">
        <f>_xlfn.XLOOKUP(A1153,[1]CPD_SOP_new!$A:$A,[1]CPD_SOP_new!#REF!,"not found",0 )</f>
        <v>#REF!</v>
      </c>
      <c r="E1153" s="97" t="s">
        <v>26</v>
      </c>
      <c r="F1153" t="s">
        <v>27</v>
      </c>
      <c r="G1153" t="s">
        <v>28</v>
      </c>
      <c r="H1153" t="s">
        <v>28</v>
      </c>
      <c r="I1153" t="s">
        <v>28</v>
      </c>
      <c r="J1153" s="85" t="s">
        <v>29</v>
      </c>
      <c r="K1153" s="129" t="s">
        <v>1256</v>
      </c>
      <c r="L1153" s="129" t="s">
        <v>3011</v>
      </c>
      <c r="M1153" s="100" t="str">
        <f t="shared" si="34"/>
        <v>CSR_XCP_Signals_Recorder_2026-01-31_13-33-25_TC200_Reset_NCAP12_1YO_1R_CPD.MF4.xz</v>
      </c>
      <c r="N1153" s="59" t="str">
        <f t="shared" si="35"/>
        <v>_NCAP12_1YO_1R_CPD.MF4.xz</v>
      </c>
      <c r="O1153" t="s">
        <v>1257</v>
      </c>
    </row>
    <row r="1154" spans="1:15">
      <c r="A1154" s="59">
        <v>200</v>
      </c>
      <c r="B1154" t="s">
        <v>2133</v>
      </c>
      <c r="C1154" t="s">
        <v>48</v>
      </c>
      <c r="D1154" s="97" t="e">
        <f>_xlfn.XLOOKUP(A1154,[1]CPD_SOP_new!$A:$A,[1]CPD_SOP_new!#REF!,"not found",0 )</f>
        <v>#REF!</v>
      </c>
      <c r="E1154" s="97" t="s">
        <v>26</v>
      </c>
      <c r="F1154" t="s">
        <v>27</v>
      </c>
      <c r="G1154" t="s">
        <v>28</v>
      </c>
      <c r="H1154" t="s">
        <v>28</v>
      </c>
      <c r="I1154" t="s">
        <v>28</v>
      </c>
      <c r="J1154" s="85" t="s">
        <v>29</v>
      </c>
      <c r="K1154" t="s">
        <v>1258</v>
      </c>
      <c r="L1154" t="s">
        <v>3012</v>
      </c>
      <c r="M1154" s="100" t="str">
        <f t="shared" ref="M1154:M1217" si="36">IF(NOT(N1154="Wrong measurement"),SUBSTITUTE(K1154,".MF4.xz",N1154),"Wrong measurement")</f>
        <v>CSR_XCP_Signals_Recorder_2026-01-31_13-25-44_TC200_No_Reset_NCAP12_1YO_1R_CPD.MF4.xz</v>
      </c>
      <c r="N1154" s="59" t="str">
        <f t="shared" ref="N1154:N1217" si="37">IF(I1154="Y",("_"&amp;B1154 &amp;"_"&amp; IF(C1154="","",C1154)&amp;"_"&amp;E1154&amp;"_CPD.MF4.xz"),"Wrong measurement")</f>
        <v>_NCAP12_1YO_1R_CPD.MF4.xz</v>
      </c>
      <c r="O1154" t="s">
        <v>1257</v>
      </c>
    </row>
    <row r="1155" spans="1:15">
      <c r="A1155" s="59">
        <v>200</v>
      </c>
      <c r="B1155" t="s">
        <v>2133</v>
      </c>
      <c r="C1155" t="s">
        <v>48</v>
      </c>
      <c r="D1155" s="97" t="e">
        <f>_xlfn.XLOOKUP(A1155,[1]CPD_SOP_new!$A:$A,[1]CPD_SOP_new!#REF!,"not found",0 )</f>
        <v>#REF!</v>
      </c>
      <c r="E1155" s="97" t="s">
        <v>26</v>
      </c>
      <c r="F1155" t="s">
        <v>27</v>
      </c>
      <c r="G1155" t="s">
        <v>28</v>
      </c>
      <c r="H1155" t="s">
        <v>28</v>
      </c>
      <c r="I1155" t="s">
        <v>28</v>
      </c>
      <c r="J1155" s="85" t="s">
        <v>29</v>
      </c>
      <c r="K1155" t="s">
        <v>1259</v>
      </c>
      <c r="L1155" t="s">
        <v>3013</v>
      </c>
      <c r="M1155" s="100" t="str">
        <f t="shared" si="36"/>
        <v>CSR_XCP_Signals_Recorder_2026-01-31_13-26-47_TC200_No_Reset_NCAP12_1YO_1R_CPD.MF4.xz</v>
      </c>
      <c r="N1155" s="59" t="str">
        <f t="shared" si="37"/>
        <v>_NCAP12_1YO_1R_CPD.MF4.xz</v>
      </c>
      <c r="O1155" t="s">
        <v>1257</v>
      </c>
    </row>
    <row r="1156" spans="1:15">
      <c r="A1156" s="59">
        <v>200</v>
      </c>
      <c r="B1156" t="s">
        <v>2133</v>
      </c>
      <c r="C1156" t="s">
        <v>48</v>
      </c>
      <c r="D1156" s="97" t="e">
        <f>_xlfn.XLOOKUP(A1156,[1]CPD_SOP_new!$A:$A,[1]CPD_SOP_new!#REF!,"not found",0 )</f>
        <v>#REF!</v>
      </c>
      <c r="E1156" s="97" t="s">
        <v>26</v>
      </c>
      <c r="F1156" t="s">
        <v>27</v>
      </c>
      <c r="G1156" t="s">
        <v>28</v>
      </c>
      <c r="H1156" t="s">
        <v>28</v>
      </c>
      <c r="I1156" t="s">
        <v>28</v>
      </c>
      <c r="J1156" s="85" t="s">
        <v>29</v>
      </c>
      <c r="K1156" t="s">
        <v>1260</v>
      </c>
      <c r="L1156" t="s">
        <v>3014</v>
      </c>
      <c r="M1156" s="100" t="str">
        <f t="shared" si="36"/>
        <v>CSR_XCP_Signals_Recorder_2026-01-31_13-28-02_TC200_No_Reset_NCAP12_1YO_1R_CPD.MF4.xz</v>
      </c>
      <c r="N1156" s="59" t="str">
        <f t="shared" si="37"/>
        <v>_NCAP12_1YO_1R_CPD.MF4.xz</v>
      </c>
      <c r="O1156" t="s">
        <v>1257</v>
      </c>
    </row>
    <row r="1157" spans="1:15">
      <c r="A1157" s="59">
        <v>200</v>
      </c>
      <c r="B1157" t="s">
        <v>2133</v>
      </c>
      <c r="C1157" t="s">
        <v>48</v>
      </c>
      <c r="D1157" s="97" t="e">
        <f>_xlfn.XLOOKUP(A1157,[1]CPD_SOP_new!$A:$A,[1]CPD_SOP_new!#REF!,"not found",0 )</f>
        <v>#REF!</v>
      </c>
      <c r="E1157" s="97" t="s">
        <v>26</v>
      </c>
      <c r="F1157" t="s">
        <v>27</v>
      </c>
      <c r="G1157" t="s">
        <v>28</v>
      </c>
      <c r="H1157" t="s">
        <v>28</v>
      </c>
      <c r="I1157" t="s">
        <v>28</v>
      </c>
      <c r="J1157" s="85" t="s">
        <v>29</v>
      </c>
      <c r="K1157" t="s">
        <v>1261</v>
      </c>
      <c r="L1157" t="s">
        <v>3015</v>
      </c>
      <c r="M1157" s="100" t="str">
        <f t="shared" si="36"/>
        <v>CSR_XCP_Signals_Recorder_2026-01-31_13-29-23_TC200_Reset_NCAP12_1YO_1R_CPD.MF4.xz</v>
      </c>
      <c r="N1157" s="59" t="str">
        <f t="shared" si="37"/>
        <v>_NCAP12_1YO_1R_CPD.MF4.xz</v>
      </c>
      <c r="O1157" t="s">
        <v>1257</v>
      </c>
    </row>
    <row r="1158" spans="1:15">
      <c r="A1158" s="59">
        <v>200</v>
      </c>
      <c r="B1158" t="s">
        <v>2133</v>
      </c>
      <c r="C1158" t="s">
        <v>48</v>
      </c>
      <c r="D1158" s="97" t="e">
        <f>_xlfn.XLOOKUP(A1158,[1]CPD_SOP_new!$A:$A,[1]CPD_SOP_new!#REF!,"not found",0 )</f>
        <v>#REF!</v>
      </c>
      <c r="E1158" s="97" t="s">
        <v>26</v>
      </c>
      <c r="F1158" t="s">
        <v>27</v>
      </c>
      <c r="G1158" t="s">
        <v>28</v>
      </c>
      <c r="H1158" t="s">
        <v>28</v>
      </c>
      <c r="I1158" t="s">
        <v>28</v>
      </c>
      <c r="J1158" s="85" t="s">
        <v>29</v>
      </c>
      <c r="K1158" t="s">
        <v>1262</v>
      </c>
      <c r="L1158" t="s">
        <v>3016</v>
      </c>
      <c r="M1158" s="100" t="str">
        <f t="shared" si="36"/>
        <v>CSR_XCP_Signals_Recorder_2026-01-31_13-31-56_TC200_Reset_NCAP12_1YO_1R_CPD.MF4.xz</v>
      </c>
      <c r="N1158" s="59" t="str">
        <f t="shared" si="37"/>
        <v>_NCAP12_1YO_1R_CPD.MF4.xz</v>
      </c>
      <c r="O1158" t="s">
        <v>1257</v>
      </c>
    </row>
    <row r="1159" spans="1:15">
      <c r="A1159" s="59">
        <v>23</v>
      </c>
      <c r="B1159" t="s">
        <v>2133</v>
      </c>
      <c r="C1159" t="s">
        <v>253</v>
      </c>
      <c r="D1159" s="97" t="e">
        <f>_xlfn.XLOOKUP(A1159,[1]CPD_SOP_new!$A:$A,[1]CPD_SOP_new!#REF!,"not found",0 )</f>
        <v>#REF!</v>
      </c>
      <c r="E1159" s="97" t="s">
        <v>26</v>
      </c>
      <c r="F1159" t="s">
        <v>28</v>
      </c>
      <c r="G1159" t="s">
        <v>28</v>
      </c>
      <c r="H1159" t="s">
        <v>28</v>
      </c>
      <c r="I1159" t="s">
        <v>28</v>
      </c>
      <c r="J1159" s="85" t="s">
        <v>29</v>
      </c>
      <c r="K1159" s="59" t="s">
        <v>276</v>
      </c>
      <c r="L1159" s="59" t="s">
        <v>3017</v>
      </c>
      <c r="M1159" s="100" t="str">
        <f t="shared" si="36"/>
        <v>CSR_XCP_Signals_Recorder_2026-02-04_17-07-40_CPD_TC23_with_reset_NCAP12_6YO_1R_CPD.MF4.xz</v>
      </c>
      <c r="N1159" s="59" t="str">
        <f t="shared" si="37"/>
        <v>_NCAP12_6YO_1R_CPD.MF4.xz</v>
      </c>
      <c r="O1159" t="s">
        <v>277</v>
      </c>
    </row>
    <row r="1160" spans="1:15">
      <c r="A1160" s="59">
        <v>23</v>
      </c>
      <c r="B1160" t="s">
        <v>2133</v>
      </c>
      <c r="C1160" t="s">
        <v>253</v>
      </c>
      <c r="D1160" s="97" t="e">
        <f>_xlfn.XLOOKUP(A1160,[1]CPD_SOP_new!$A:$A,[1]CPD_SOP_new!#REF!,"not found",0 )</f>
        <v>#REF!</v>
      </c>
      <c r="E1160" s="97" t="s">
        <v>26</v>
      </c>
      <c r="F1160" t="s">
        <v>28</v>
      </c>
      <c r="G1160" t="s">
        <v>28</v>
      </c>
      <c r="H1160" t="s">
        <v>28</v>
      </c>
      <c r="I1160" t="s">
        <v>28</v>
      </c>
      <c r="J1160" s="85" t="s">
        <v>29</v>
      </c>
      <c r="K1160" s="59" t="s">
        <v>278</v>
      </c>
      <c r="L1160" s="59" t="s">
        <v>3018</v>
      </c>
      <c r="M1160" s="100" t="str">
        <f t="shared" si="36"/>
        <v>CSR_XCP_Signals_Recorder_2026-02-04_17-08-51_CPD_TC23_with_reset_NCAP12_6YO_1R_CPD.MF4.xz</v>
      </c>
      <c r="N1160" s="59" t="str">
        <f t="shared" si="37"/>
        <v>_NCAP12_6YO_1R_CPD.MF4.xz</v>
      </c>
      <c r="O1160" t="s">
        <v>277</v>
      </c>
    </row>
    <row r="1161" spans="1:15">
      <c r="A1161" s="59">
        <v>23</v>
      </c>
      <c r="B1161" t="s">
        <v>2133</v>
      </c>
      <c r="C1161" t="s">
        <v>253</v>
      </c>
      <c r="D1161" s="97" t="e">
        <f>_xlfn.XLOOKUP(A1161,[1]CPD_SOP_new!$A:$A,[1]CPD_SOP_new!#REF!,"not found",0 )</f>
        <v>#REF!</v>
      </c>
      <c r="E1161" s="97" t="s">
        <v>26</v>
      </c>
      <c r="F1161" t="s">
        <v>28</v>
      </c>
      <c r="G1161" t="s">
        <v>28</v>
      </c>
      <c r="H1161" t="s">
        <v>28</v>
      </c>
      <c r="I1161" t="s">
        <v>28</v>
      </c>
      <c r="J1161" s="85" t="s">
        <v>29</v>
      </c>
      <c r="K1161" s="59" t="s">
        <v>279</v>
      </c>
      <c r="L1161" s="59" t="s">
        <v>3019</v>
      </c>
      <c r="M1161" s="100" t="str">
        <f t="shared" si="36"/>
        <v>CSR_XCP_Signals_Recorder_2026-02-04_17-10-10_CPD_TC23_with_reset_NCAP12_6YO_1R_CPD.MF4.xz</v>
      </c>
      <c r="N1161" s="59" t="str">
        <f t="shared" si="37"/>
        <v>_NCAP12_6YO_1R_CPD.MF4.xz</v>
      </c>
      <c r="O1161" t="s">
        <v>277</v>
      </c>
    </row>
    <row r="1162" spans="1:15">
      <c r="A1162" s="59">
        <v>25</v>
      </c>
      <c r="B1162" t="s">
        <v>2133</v>
      </c>
      <c r="C1162" t="s">
        <v>253</v>
      </c>
      <c r="D1162" s="97" t="e">
        <f>_xlfn.XLOOKUP(A1162,[1]CPD_SOP_new!$A:$A,[1]CPD_SOP_new!#REF!,"not found",0 )</f>
        <v>#REF!</v>
      </c>
      <c r="E1162" s="97" t="str">
        <f>_xlfn.XLOOKUP(A1162,[1]CPD_SOP_new!$A:$A,[1]CPD_SOP_new!$K:$K,"not found",0 )</f>
        <v>2L</v>
      </c>
      <c r="F1162" t="s">
        <v>28</v>
      </c>
      <c r="G1162" t="s">
        <v>28</v>
      </c>
      <c r="H1162" t="s">
        <v>28</v>
      </c>
      <c r="I1162" t="s">
        <v>28</v>
      </c>
      <c r="J1162" s="85" t="s">
        <v>29</v>
      </c>
      <c r="K1162" s="59" t="s">
        <v>311</v>
      </c>
      <c r="L1162" s="59" t="s">
        <v>3020</v>
      </c>
      <c r="M1162" s="100" t="str">
        <f t="shared" si="36"/>
        <v>CSR_XCP_Signals_Recorder_2026-02-04_17-13-56_CPD_TC25_with_reset_NCAP12_6YO_2L_CPD.MF4.xz</v>
      </c>
      <c r="N1162" s="59" t="str">
        <f t="shared" si="37"/>
        <v>_NCAP12_6YO_2L_CPD.MF4.xz</v>
      </c>
      <c r="O1162" t="s">
        <v>277</v>
      </c>
    </row>
    <row r="1163" spans="1:15">
      <c r="A1163" s="59">
        <v>25</v>
      </c>
      <c r="B1163" t="s">
        <v>2133</v>
      </c>
      <c r="C1163" t="s">
        <v>253</v>
      </c>
      <c r="D1163" s="97" t="e">
        <f>_xlfn.XLOOKUP(A1163,[1]CPD_SOP_new!$A:$A,[1]CPD_SOP_new!#REF!,"not found",0 )</f>
        <v>#REF!</v>
      </c>
      <c r="E1163" s="97" t="str">
        <f>_xlfn.XLOOKUP(A1163,[1]CPD_SOP_new!$A:$A,[1]CPD_SOP_new!$K:$K,"not found",0 )</f>
        <v>2L</v>
      </c>
      <c r="F1163" t="s">
        <v>28</v>
      </c>
      <c r="G1163" t="s">
        <v>28</v>
      </c>
      <c r="H1163" t="s">
        <v>28</v>
      </c>
      <c r="I1163" t="s">
        <v>28</v>
      </c>
      <c r="J1163" s="85" t="s">
        <v>29</v>
      </c>
      <c r="K1163" s="59" t="s">
        <v>312</v>
      </c>
      <c r="L1163" s="59" t="s">
        <v>3021</v>
      </c>
      <c r="M1163" s="100" t="str">
        <f t="shared" si="36"/>
        <v>CSR_XCP_Signals_Recorder_2026-02-04_17-15-12_CPD_TC25_with_reset_NCAP12_6YO_2L_CPD.MF4.xz</v>
      </c>
      <c r="N1163" s="59" t="str">
        <f t="shared" si="37"/>
        <v>_NCAP12_6YO_2L_CPD.MF4.xz</v>
      </c>
      <c r="O1163" t="s">
        <v>277</v>
      </c>
    </row>
    <row r="1164" spans="1:15">
      <c r="A1164" s="59">
        <v>25</v>
      </c>
      <c r="B1164" t="s">
        <v>2133</v>
      </c>
      <c r="C1164" t="s">
        <v>253</v>
      </c>
      <c r="D1164" s="97" t="e">
        <f>_xlfn.XLOOKUP(A1164,[1]CPD_SOP_new!$A:$A,[1]CPD_SOP_new!#REF!,"not found",0 )</f>
        <v>#REF!</v>
      </c>
      <c r="E1164" s="97" t="str">
        <f>_xlfn.XLOOKUP(A1164,[1]CPD_SOP_new!$A:$A,[1]CPD_SOP_new!$K:$K,"not found",0 )</f>
        <v>2L</v>
      </c>
      <c r="F1164" t="s">
        <v>28</v>
      </c>
      <c r="G1164" t="s">
        <v>28</v>
      </c>
      <c r="H1164" t="s">
        <v>28</v>
      </c>
      <c r="I1164" t="s">
        <v>28</v>
      </c>
      <c r="J1164" s="85" t="s">
        <v>29</v>
      </c>
      <c r="K1164" s="59" t="s">
        <v>313</v>
      </c>
      <c r="L1164" s="59" t="s">
        <v>3022</v>
      </c>
      <c r="M1164" s="100" t="str">
        <f t="shared" si="36"/>
        <v>CSR_XCP_Signals_Recorder_2026-02-04_17-16-32_CPD_TC25_with_reset_NCAP12_6YO_2L_CPD.MF4.xz</v>
      </c>
      <c r="N1164" s="59" t="str">
        <f t="shared" si="37"/>
        <v>_NCAP12_6YO_2L_CPD.MF4.xz</v>
      </c>
      <c r="O1164" t="s">
        <v>277</v>
      </c>
    </row>
    <row r="1165" spans="1:15">
      <c r="A1165" s="59">
        <v>27</v>
      </c>
      <c r="B1165" t="s">
        <v>2133</v>
      </c>
      <c r="C1165" t="s">
        <v>253</v>
      </c>
      <c r="D1165" s="97" t="e">
        <f>_xlfn.XLOOKUP(A1165,[1]CPD_SOP_new!$A:$A,[1]CPD_SOP_new!#REF!,"not found",0 )</f>
        <v>#REF!</v>
      </c>
      <c r="E1165" s="97" t="str">
        <f>_xlfn.XLOOKUP(A1165,[1]CPD_SOP_new!$A:$A,[1]CPD_SOP_new!$K:$K,"not found",0 )</f>
        <v>3R</v>
      </c>
      <c r="F1165" t="s">
        <v>28</v>
      </c>
      <c r="G1165" t="s">
        <v>28</v>
      </c>
      <c r="H1165" t="s">
        <v>28</v>
      </c>
      <c r="I1165" t="s">
        <v>28</v>
      </c>
      <c r="J1165" s="85" t="s">
        <v>29</v>
      </c>
      <c r="K1165" s="59" t="s">
        <v>339</v>
      </c>
      <c r="L1165" s="59" t="s">
        <v>3023</v>
      </c>
      <c r="M1165" s="100" t="str">
        <f t="shared" si="36"/>
        <v>CSR_XCP_Signals_Recorder_2026-02-04_17-20-23_CPD_TC27_with_reset_NCAP12_6YO_3R_CPD.MF4.xz</v>
      </c>
      <c r="N1165" s="59" t="str">
        <f t="shared" si="37"/>
        <v>_NCAP12_6YO_3R_CPD.MF4.xz</v>
      </c>
      <c r="O1165" t="s">
        <v>277</v>
      </c>
    </row>
    <row r="1166" spans="1:15">
      <c r="A1166" s="59">
        <v>27</v>
      </c>
      <c r="B1166" t="s">
        <v>2133</v>
      </c>
      <c r="C1166" t="s">
        <v>253</v>
      </c>
      <c r="D1166" s="97" t="e">
        <f>_xlfn.XLOOKUP(A1166,[1]CPD_SOP_new!$A:$A,[1]CPD_SOP_new!#REF!,"not found",0 )</f>
        <v>#REF!</v>
      </c>
      <c r="E1166" s="97" t="str">
        <f>_xlfn.XLOOKUP(A1166,[1]CPD_SOP_new!$A:$A,[1]CPD_SOP_new!$K:$K,"not found",0 )</f>
        <v>3R</v>
      </c>
      <c r="F1166" t="s">
        <v>28</v>
      </c>
      <c r="G1166" t="s">
        <v>28</v>
      </c>
      <c r="H1166" t="s">
        <v>28</v>
      </c>
      <c r="I1166" t="s">
        <v>28</v>
      </c>
      <c r="J1166" s="85" t="s">
        <v>29</v>
      </c>
      <c r="K1166" s="59" t="s">
        <v>340</v>
      </c>
      <c r="L1166" s="59" t="s">
        <v>3024</v>
      </c>
      <c r="M1166" s="100" t="str">
        <f t="shared" si="36"/>
        <v>CSR_XCP_Signals_Recorder_2026-02-04_17-21-34_CPD_TC27_with_reset_NCAP12_6YO_3R_CPD.MF4.xz</v>
      </c>
      <c r="N1166" s="59" t="str">
        <f t="shared" si="37"/>
        <v>_NCAP12_6YO_3R_CPD.MF4.xz</v>
      </c>
      <c r="O1166" t="s">
        <v>277</v>
      </c>
    </row>
    <row r="1167" spans="1:15">
      <c r="A1167" s="59">
        <v>27</v>
      </c>
      <c r="B1167" t="s">
        <v>2133</v>
      </c>
      <c r="C1167" t="s">
        <v>253</v>
      </c>
      <c r="D1167" s="97" t="e">
        <f>_xlfn.XLOOKUP(A1167,[1]CPD_SOP_new!$A:$A,[1]CPD_SOP_new!#REF!,"not found",0 )</f>
        <v>#REF!</v>
      </c>
      <c r="E1167" s="97" t="str">
        <f>_xlfn.XLOOKUP(A1167,[1]CPD_SOP_new!$A:$A,[1]CPD_SOP_new!$K:$K,"not found",0 )</f>
        <v>3R</v>
      </c>
      <c r="F1167" t="s">
        <v>28</v>
      </c>
      <c r="G1167" t="s">
        <v>28</v>
      </c>
      <c r="H1167" t="s">
        <v>28</v>
      </c>
      <c r="I1167" t="s">
        <v>28</v>
      </c>
      <c r="J1167" s="85" t="s">
        <v>29</v>
      </c>
      <c r="K1167" s="59" t="s">
        <v>341</v>
      </c>
      <c r="L1167" s="59" t="s">
        <v>3025</v>
      </c>
      <c r="M1167" s="100" t="str">
        <f t="shared" si="36"/>
        <v>CSR_XCP_Signals_Recorder_2026-02-04_17-22-54_CPD_TC27_with_reset_NCAP12_6YO_3R_CPD.MF4.xz</v>
      </c>
      <c r="N1167" s="59" t="str">
        <f t="shared" si="37"/>
        <v>_NCAP12_6YO_3R_CPD.MF4.xz</v>
      </c>
      <c r="O1167" t="s">
        <v>277</v>
      </c>
    </row>
    <row r="1168" spans="1:15">
      <c r="A1168" s="59">
        <v>30</v>
      </c>
      <c r="B1168" t="s">
        <v>2575</v>
      </c>
      <c r="C1168" t="s">
        <v>360</v>
      </c>
      <c r="D1168" s="97" t="e">
        <f>_xlfn.XLOOKUP(A1168,[1]CPD_SOP_new!$A:$A,[1]CPD_SOP_new!#REF!,"not found",0 )</f>
        <v>#REF!</v>
      </c>
      <c r="E1168" s="97" t="str">
        <f>_xlfn.XLOOKUP(A1168,[1]CPD_SOP_new!$A:$A,[1]CPD_SOP_new!$K:$K,"not found",0 )</f>
        <v>2R+3R</v>
      </c>
      <c r="F1168" t="s">
        <v>28</v>
      </c>
      <c r="G1168" t="s">
        <v>27</v>
      </c>
      <c r="H1168" t="s">
        <v>27</v>
      </c>
      <c r="I1168" t="s">
        <v>28</v>
      </c>
      <c r="J1168" s="85" t="s">
        <v>29</v>
      </c>
      <c r="K1168" s="59" t="s">
        <v>361</v>
      </c>
      <c r="L1168" s="59" t="s">
        <v>3026</v>
      </c>
      <c r="M1168" s="100" t="str">
        <f t="shared" si="36"/>
        <v>CSR_XCP_Signals_Recorder_2026-02-04_17-27-04_CPD_TC30_with_reset_multiple_children_NB+6YO_2R+3R_CPD.MF4.xz</v>
      </c>
      <c r="N1168" s="59" t="str">
        <f t="shared" si="37"/>
        <v>_multiple_children_NB+6YO_2R+3R_CPD.MF4.xz</v>
      </c>
      <c r="O1168" t="s">
        <v>277</v>
      </c>
    </row>
    <row r="1169" spans="1:15">
      <c r="A1169" s="59">
        <v>30</v>
      </c>
      <c r="B1169" t="s">
        <v>2575</v>
      </c>
      <c r="C1169" t="s">
        <v>360</v>
      </c>
      <c r="D1169" s="97" t="e">
        <f>_xlfn.XLOOKUP(A1169,[1]CPD_SOP_new!$A:$A,[1]CPD_SOP_new!#REF!,"not found",0 )</f>
        <v>#REF!</v>
      </c>
      <c r="E1169" s="97" t="str">
        <f>_xlfn.XLOOKUP(A1169,[1]CPD_SOP_new!$A:$A,[1]CPD_SOP_new!$K:$K,"not found",0 )</f>
        <v>2R+3R</v>
      </c>
      <c r="F1169" t="s">
        <v>28</v>
      </c>
      <c r="G1169" t="s">
        <v>27</v>
      </c>
      <c r="H1169" t="s">
        <v>27</v>
      </c>
      <c r="I1169" t="s">
        <v>28</v>
      </c>
      <c r="J1169" s="85" t="s">
        <v>29</v>
      </c>
      <c r="K1169" s="59" t="s">
        <v>362</v>
      </c>
      <c r="L1169" s="59" t="s">
        <v>3027</v>
      </c>
      <c r="M1169" s="100" t="str">
        <f t="shared" si="36"/>
        <v>CSR_XCP_Signals_Recorder_2026-02-04_17-28-15_CPD_TC30_with_reset_multiple_children_NB+6YO_2R+3R_CPD.MF4.xz</v>
      </c>
      <c r="N1169" s="59" t="str">
        <f t="shared" si="37"/>
        <v>_multiple_children_NB+6YO_2R+3R_CPD.MF4.xz</v>
      </c>
      <c r="O1169" t="s">
        <v>277</v>
      </c>
    </row>
    <row r="1170" spans="1:15">
      <c r="A1170" s="59">
        <v>30</v>
      </c>
      <c r="B1170" t="s">
        <v>2575</v>
      </c>
      <c r="C1170" t="s">
        <v>360</v>
      </c>
      <c r="D1170" s="97" t="e">
        <f>_xlfn.XLOOKUP(A1170,[1]CPD_SOP_new!$A:$A,[1]CPD_SOP_new!#REF!,"not found",0 )</f>
        <v>#REF!</v>
      </c>
      <c r="E1170" s="97" t="str">
        <f>_xlfn.XLOOKUP(A1170,[1]CPD_SOP_new!$A:$A,[1]CPD_SOP_new!$K:$K,"not found",0 )</f>
        <v>2R+3R</v>
      </c>
      <c r="F1170" t="s">
        <v>28</v>
      </c>
      <c r="G1170" t="s">
        <v>27</v>
      </c>
      <c r="H1170" t="s">
        <v>27</v>
      </c>
      <c r="I1170" t="s">
        <v>28</v>
      </c>
      <c r="J1170" s="85" t="s">
        <v>29</v>
      </c>
      <c r="K1170" s="59" t="s">
        <v>363</v>
      </c>
      <c r="L1170" s="59" t="s">
        <v>3028</v>
      </c>
      <c r="M1170" s="100" t="str">
        <f t="shared" si="36"/>
        <v>CSR_XCP_Signals_Recorder_2026-02-04_17-29-33_CPD_TC30_with_reset_multiple_children_NB+6YO_2R+3R_CPD.MF4.xz</v>
      </c>
      <c r="N1170" s="59" t="str">
        <f t="shared" si="37"/>
        <v>_multiple_children_NB+6YO_2R+3R_CPD.MF4.xz</v>
      </c>
      <c r="O1170" t="s">
        <v>277</v>
      </c>
    </row>
    <row r="1171" spans="1:15">
      <c r="A1171" s="59">
        <v>217</v>
      </c>
      <c r="B1171" t="s">
        <v>2304</v>
      </c>
      <c r="C1171" t="s">
        <v>253</v>
      </c>
      <c r="D1171" s="97" t="e">
        <f>_xlfn.XLOOKUP(A1171,[1]CPD_SOP_new!$A:$A,[1]CPD_SOP_new!#REF!,"not found",0 )</f>
        <v>#REF!</v>
      </c>
      <c r="E1171" s="97" t="str">
        <f>_xlfn.XLOOKUP(A1171,[1]CPD_SOP_new!$A:$A,[1]CPD_SOP_new!$K:$K,"not found",0 )</f>
        <v>3L</v>
      </c>
      <c r="F1171" t="s">
        <v>28</v>
      </c>
      <c r="G1171" t="s">
        <v>28</v>
      </c>
      <c r="H1171" t="s">
        <v>28</v>
      </c>
      <c r="I1171" t="s">
        <v>28</v>
      </c>
      <c r="J1171" s="85" t="s">
        <v>124</v>
      </c>
      <c r="K1171" s="59" t="s">
        <v>1385</v>
      </c>
      <c r="L1171" s="59" t="s">
        <v>3029</v>
      </c>
      <c r="M1171" s="100" t="str">
        <f t="shared" si="36"/>
        <v>CSR_XCP_Signals_Recorder_2026-02-04_17-33-15_CPD_TC217_with_reset_NCAP3_6YO_3L_CPD.MF4.xz</v>
      </c>
      <c r="N1171" s="59" t="str">
        <f t="shared" si="37"/>
        <v>_NCAP3_6YO_3L_CPD.MF4.xz</v>
      </c>
      <c r="O1171" t="s">
        <v>277</v>
      </c>
    </row>
    <row r="1172" spans="1:15">
      <c r="A1172" s="59">
        <v>217</v>
      </c>
      <c r="B1172" t="s">
        <v>2304</v>
      </c>
      <c r="C1172" t="s">
        <v>253</v>
      </c>
      <c r="D1172" s="97" t="e">
        <f>_xlfn.XLOOKUP(A1172,[1]CPD_SOP_new!$A:$A,[1]CPD_SOP_new!#REF!,"not found",0 )</f>
        <v>#REF!</v>
      </c>
      <c r="E1172" s="97" t="str">
        <f>_xlfn.XLOOKUP(A1172,[1]CPD_SOP_new!$A:$A,[1]CPD_SOP_new!$K:$K,"not found",0 )</f>
        <v>3L</v>
      </c>
      <c r="F1172" t="s">
        <v>28</v>
      </c>
      <c r="G1172" t="s">
        <v>28</v>
      </c>
      <c r="H1172" t="s">
        <v>28</v>
      </c>
      <c r="I1172" t="s">
        <v>28</v>
      </c>
      <c r="J1172" s="85" t="s">
        <v>124</v>
      </c>
      <c r="K1172" s="59" t="s">
        <v>1386</v>
      </c>
      <c r="L1172" s="59" t="s">
        <v>3030</v>
      </c>
      <c r="M1172" s="100" t="str">
        <f t="shared" si="36"/>
        <v>CSR_XCP_Signals_Recorder_2026-02-04_17-35-19_CPD_TC217_with_reset_NCAP3_6YO_3L_CPD.MF4.xz</v>
      </c>
      <c r="N1172" s="59" t="str">
        <f t="shared" si="37"/>
        <v>_NCAP3_6YO_3L_CPD.MF4.xz</v>
      </c>
      <c r="O1172" t="s">
        <v>277</v>
      </c>
    </row>
    <row r="1173" spans="1:15">
      <c r="A1173" s="59">
        <v>217</v>
      </c>
      <c r="B1173" t="s">
        <v>2304</v>
      </c>
      <c r="C1173" t="s">
        <v>253</v>
      </c>
      <c r="D1173" s="97" t="e">
        <f>_xlfn.XLOOKUP(A1173,[1]CPD_SOP_new!$A:$A,[1]CPD_SOP_new!#REF!,"not found",0 )</f>
        <v>#REF!</v>
      </c>
      <c r="E1173" s="97" t="str">
        <f>_xlfn.XLOOKUP(A1173,[1]CPD_SOP_new!$A:$A,[1]CPD_SOP_new!$K:$K,"not found",0 )</f>
        <v>3L</v>
      </c>
      <c r="F1173" t="s">
        <v>28</v>
      </c>
      <c r="G1173" t="s">
        <v>28</v>
      </c>
      <c r="H1173" t="s">
        <v>28</v>
      </c>
      <c r="I1173" t="s">
        <v>28</v>
      </c>
      <c r="J1173" s="85" t="s">
        <v>124</v>
      </c>
      <c r="K1173" s="59" t="s">
        <v>1387</v>
      </c>
      <c r="L1173" s="59" t="s">
        <v>3031</v>
      </c>
      <c r="M1173" s="100" t="str">
        <f t="shared" si="36"/>
        <v>CSR_XCP_Signals_Recorder_2026-02-04_17-37-19_CPD_TC217_with_reset_NCAP3_6YO_3L_CPD.MF4.xz</v>
      </c>
      <c r="N1173" s="59" t="str">
        <f t="shared" si="37"/>
        <v>_NCAP3_6YO_3L_CPD.MF4.xz</v>
      </c>
      <c r="O1173" t="s">
        <v>277</v>
      </c>
    </row>
    <row r="1174" spans="1:15">
      <c r="A1174" s="59">
        <v>235</v>
      </c>
      <c r="B1174" t="s">
        <v>2304</v>
      </c>
      <c r="C1174" t="s">
        <v>253</v>
      </c>
      <c r="D1174" s="97" t="e">
        <f>_xlfn.XLOOKUP(A1174,[1]CPD_SOP_new!$A:$A,[1]CPD_SOP_new!#REF!,"not found",0 )</f>
        <v>#REF!</v>
      </c>
      <c r="E1174" s="97" t="s">
        <v>112</v>
      </c>
      <c r="F1174" t="s">
        <v>28</v>
      </c>
      <c r="G1174" t="s">
        <v>28</v>
      </c>
      <c r="H1174" t="s">
        <v>28</v>
      </c>
      <c r="I1174" t="s">
        <v>28</v>
      </c>
      <c r="J1174" s="85" t="s">
        <v>124</v>
      </c>
      <c r="K1174" s="59" t="s">
        <v>1461</v>
      </c>
      <c r="L1174" s="59" t="s">
        <v>3032</v>
      </c>
      <c r="M1174" s="100" t="str">
        <f t="shared" si="36"/>
        <v>CSR_XCP_Signals_Recorder_2026-02-04_17-41-07_CPD_TC235_with_reset_NCAP3_6YO_1L_CPD.MF4.xz</v>
      </c>
      <c r="N1174" s="59" t="str">
        <f t="shared" si="37"/>
        <v>_NCAP3_6YO_1L_CPD.MF4.xz</v>
      </c>
      <c r="O1174" t="s">
        <v>277</v>
      </c>
    </row>
    <row r="1175" spans="1:15">
      <c r="A1175" s="59">
        <v>235</v>
      </c>
      <c r="B1175" t="s">
        <v>2304</v>
      </c>
      <c r="C1175" t="s">
        <v>253</v>
      </c>
      <c r="D1175" s="97" t="e">
        <f>_xlfn.XLOOKUP(A1175,[1]CPD_SOP_new!$A:$A,[1]CPD_SOP_new!#REF!,"not found",0 )</f>
        <v>#REF!</v>
      </c>
      <c r="E1175" s="97" t="s">
        <v>112</v>
      </c>
      <c r="F1175" t="s">
        <v>28</v>
      </c>
      <c r="G1175" t="s">
        <v>28</v>
      </c>
      <c r="H1175" t="s">
        <v>28</v>
      </c>
      <c r="I1175" t="s">
        <v>28</v>
      </c>
      <c r="J1175" s="85" t="s">
        <v>124</v>
      </c>
      <c r="K1175" s="59" t="s">
        <v>1462</v>
      </c>
      <c r="L1175" s="59" t="s">
        <v>3033</v>
      </c>
      <c r="M1175" s="100" t="str">
        <f t="shared" si="36"/>
        <v>CSR_XCP_Signals_Recorder_2026-02-04_17-43-25_CPD_TC235_with_reset_NCAP3_6YO_1L_CPD.MF4.xz</v>
      </c>
      <c r="N1175" s="59" t="str">
        <f t="shared" si="37"/>
        <v>_NCAP3_6YO_1L_CPD.MF4.xz</v>
      </c>
      <c r="O1175" t="s">
        <v>277</v>
      </c>
    </row>
    <row r="1176" spans="1:15">
      <c r="A1176" s="59">
        <v>235</v>
      </c>
      <c r="B1176" t="s">
        <v>2304</v>
      </c>
      <c r="C1176" t="s">
        <v>253</v>
      </c>
      <c r="D1176" s="97" t="e">
        <f>_xlfn.XLOOKUP(A1176,[1]CPD_SOP_new!$A:$A,[1]CPD_SOP_new!#REF!,"not found",0 )</f>
        <v>#REF!</v>
      </c>
      <c r="E1176" s="97" t="s">
        <v>112</v>
      </c>
      <c r="F1176" t="s">
        <v>28</v>
      </c>
      <c r="G1176" t="s">
        <v>28</v>
      </c>
      <c r="H1176" t="s">
        <v>28</v>
      </c>
      <c r="I1176" t="s">
        <v>28</v>
      </c>
      <c r="J1176" s="85" t="s">
        <v>124</v>
      </c>
      <c r="K1176" s="59" t="s">
        <v>1463</v>
      </c>
      <c r="L1176" s="59" t="s">
        <v>3034</v>
      </c>
      <c r="M1176" s="100" t="str">
        <f t="shared" si="36"/>
        <v>CSR_XCP_Signals_Recorder_2026-02-04_17-45-44_CPD_TC235_with_reset_NCAP3_6YO_1L_CPD.MF4.xz</v>
      </c>
      <c r="N1176" s="59" t="str">
        <f t="shared" si="37"/>
        <v>_NCAP3_6YO_1L_CPD.MF4.xz</v>
      </c>
      <c r="O1176" t="s">
        <v>277</v>
      </c>
    </row>
    <row r="1177" spans="1:15" s="130" customFormat="1">
      <c r="A1177" s="130">
        <v>178</v>
      </c>
      <c r="B1177" s="130" t="s">
        <v>1084</v>
      </c>
      <c r="D1177" s="98" t="e">
        <f>_xlfn.XLOOKUP(A1177,[1]CPD_SOP_new!$A:$A,[1]CPD_SOP_new!#REF!,"not found",0 )</f>
        <v>#REF!</v>
      </c>
      <c r="E1177" s="98" t="str">
        <f>_xlfn.XLOOKUP(A1177,[1]CPD_SOP_new!$A:$A,[1]CPD_SOP_new!$K:$K,"not found",0 )</f>
        <v>2R+3R</v>
      </c>
      <c r="F1177" s="130" t="s">
        <v>27</v>
      </c>
      <c r="G1177" s="130" t="s">
        <v>27</v>
      </c>
      <c r="H1177" s="130" t="s">
        <v>27</v>
      </c>
      <c r="I1177" s="130" t="s">
        <v>27</v>
      </c>
      <c r="J1177" s="130" t="s">
        <v>237</v>
      </c>
      <c r="K1177" s="130" t="s">
        <v>1107</v>
      </c>
      <c r="L1177" s="130" t="s">
        <v>723</v>
      </c>
      <c r="M1177" s="100" t="str">
        <f t="shared" si="36"/>
        <v>Wrong measurement</v>
      </c>
      <c r="N1177" s="59" t="str">
        <f t="shared" si="37"/>
        <v>Wrong measurement</v>
      </c>
      <c r="O1177" s="130" t="s">
        <v>277</v>
      </c>
    </row>
    <row r="1178" spans="1:15" s="130" customFormat="1">
      <c r="A1178" s="130">
        <v>178</v>
      </c>
      <c r="B1178" s="130" t="s">
        <v>1084</v>
      </c>
      <c r="D1178" s="98" t="e">
        <f>_xlfn.XLOOKUP(A1178,[1]CPD_SOP_new!$A:$A,[1]CPD_SOP_new!#REF!,"not found",0 )</f>
        <v>#REF!</v>
      </c>
      <c r="E1178" s="98" t="str">
        <f>_xlfn.XLOOKUP(A1178,[1]CPD_SOP_new!$A:$A,[1]CPD_SOP_new!$K:$K,"not found",0 )</f>
        <v>2R+3R</v>
      </c>
      <c r="F1178" s="130" t="s">
        <v>27</v>
      </c>
      <c r="G1178" s="130" t="s">
        <v>27</v>
      </c>
      <c r="H1178" s="130" t="s">
        <v>27</v>
      </c>
      <c r="I1178" s="130" t="s">
        <v>27</v>
      </c>
      <c r="J1178" s="130" t="s">
        <v>237</v>
      </c>
      <c r="K1178" s="130" t="s">
        <v>1108</v>
      </c>
      <c r="L1178" s="130" t="s">
        <v>723</v>
      </c>
      <c r="M1178" s="100" t="str">
        <f t="shared" si="36"/>
        <v>Wrong measurement</v>
      </c>
      <c r="N1178" s="59" t="str">
        <f t="shared" si="37"/>
        <v>Wrong measurement</v>
      </c>
      <c r="O1178" s="130" t="s">
        <v>277</v>
      </c>
    </row>
    <row r="1179" spans="1:15">
      <c r="A1179" s="59">
        <v>151</v>
      </c>
      <c r="B1179" t="s">
        <v>940</v>
      </c>
      <c r="D1179" s="97">
        <v>3</v>
      </c>
      <c r="E1179" s="97" t="s">
        <v>74</v>
      </c>
      <c r="F1179" t="s">
        <v>27</v>
      </c>
      <c r="G1179" t="s">
        <v>27</v>
      </c>
      <c r="H1179" t="s">
        <v>27</v>
      </c>
      <c r="I1179" t="s">
        <v>28</v>
      </c>
      <c r="J1179" s="85" t="s">
        <v>828</v>
      </c>
      <c r="K1179" t="s">
        <v>980</v>
      </c>
      <c r="L1179" t="s">
        <v>3035</v>
      </c>
      <c r="M1179" s="100" t="str">
        <f t="shared" si="36"/>
        <v>CSR_XCP_Signals_Recorder_2026-02-05_17-25-50_TC151_Liquid3R_CPD_Liquid__3R_CPD.MF4.xz</v>
      </c>
      <c r="N1179" s="59" t="str">
        <f t="shared" si="37"/>
        <v>_Liquid__3R_CPD.MF4.xz</v>
      </c>
      <c r="O1179" t="s">
        <v>831</v>
      </c>
    </row>
    <row r="1180" spans="1:15">
      <c r="A1180" s="59">
        <v>151</v>
      </c>
      <c r="B1180" t="s">
        <v>940</v>
      </c>
      <c r="D1180" s="97">
        <v>3</v>
      </c>
      <c r="E1180" s="97" t="s">
        <v>74</v>
      </c>
      <c r="F1180" t="s">
        <v>27</v>
      </c>
      <c r="G1180" t="s">
        <v>27</v>
      </c>
      <c r="H1180" t="s">
        <v>27</v>
      </c>
      <c r="I1180" t="s">
        <v>28</v>
      </c>
      <c r="J1180" s="85" t="s">
        <v>828</v>
      </c>
      <c r="K1180" t="s">
        <v>982</v>
      </c>
      <c r="L1180" t="s">
        <v>3036</v>
      </c>
      <c r="M1180" s="100" t="str">
        <f t="shared" si="36"/>
        <v>CSR_XCP_Signals_Recorder_2026-02-05_17-35-44_TC151_Liquid3R_CPD_Liquid__3R_CPD.MF4.xz</v>
      </c>
      <c r="N1180" s="59" t="str">
        <f t="shared" si="37"/>
        <v>_Liquid__3R_CPD.MF4.xz</v>
      </c>
      <c r="O1180" t="s">
        <v>831</v>
      </c>
    </row>
    <row r="1181" spans="1:15">
      <c r="A1181" s="59">
        <v>151</v>
      </c>
      <c r="B1181" t="s">
        <v>940</v>
      </c>
      <c r="D1181" s="97">
        <v>3</v>
      </c>
      <c r="E1181" s="97" t="s">
        <v>74</v>
      </c>
      <c r="F1181" t="s">
        <v>27</v>
      </c>
      <c r="G1181" t="s">
        <v>27</v>
      </c>
      <c r="H1181" t="s">
        <v>27</v>
      </c>
      <c r="I1181" t="s">
        <v>28</v>
      </c>
      <c r="J1181" s="85" t="s">
        <v>828</v>
      </c>
      <c r="K1181" t="s">
        <v>983</v>
      </c>
      <c r="L1181" t="s">
        <v>3037</v>
      </c>
      <c r="M1181" s="100" t="str">
        <f t="shared" si="36"/>
        <v>CSR_XCP_Signals_Recorder_2026-02-05_17-37-41_TC151_Liquid3R_CPD_Liquid__3R_CPD.MF4.xz</v>
      </c>
      <c r="N1181" s="59" t="str">
        <f t="shared" si="37"/>
        <v>_Liquid__3R_CPD.MF4.xz</v>
      </c>
      <c r="O1181" t="s">
        <v>831</v>
      </c>
    </row>
    <row r="1182" spans="1:15">
      <c r="A1182" s="59">
        <v>151</v>
      </c>
      <c r="B1182" t="s">
        <v>940</v>
      </c>
      <c r="D1182" s="97">
        <v>3</v>
      </c>
      <c r="E1182" s="97" t="s">
        <v>74</v>
      </c>
      <c r="F1182" t="s">
        <v>27</v>
      </c>
      <c r="G1182" t="s">
        <v>27</v>
      </c>
      <c r="H1182" t="s">
        <v>27</v>
      </c>
      <c r="I1182" t="s">
        <v>28</v>
      </c>
      <c r="J1182" s="85" t="s">
        <v>828</v>
      </c>
      <c r="K1182" t="s">
        <v>984</v>
      </c>
      <c r="L1182" t="s">
        <v>3038</v>
      </c>
      <c r="M1182" s="100" t="str">
        <f t="shared" si="36"/>
        <v>CSR_XCP_Signals_Recorder_2026-02-05_17-41-37_TC151_Liquid3R_CPD_Liquid__3R_CPD.MF4.xz</v>
      </c>
      <c r="N1182" s="59" t="str">
        <f t="shared" si="37"/>
        <v>_Liquid__3R_CPD.MF4.xz</v>
      </c>
      <c r="O1182" t="s">
        <v>831</v>
      </c>
    </row>
    <row r="1183" spans="1:15">
      <c r="A1183" s="59">
        <v>151</v>
      </c>
      <c r="B1183" t="s">
        <v>940</v>
      </c>
      <c r="D1183" s="97">
        <v>3</v>
      </c>
      <c r="E1183" s="97" t="s">
        <v>74</v>
      </c>
      <c r="F1183" t="s">
        <v>27</v>
      </c>
      <c r="G1183" t="s">
        <v>27</v>
      </c>
      <c r="H1183" t="s">
        <v>27</v>
      </c>
      <c r="I1183" t="s">
        <v>28</v>
      </c>
      <c r="J1183" s="85" t="s">
        <v>828</v>
      </c>
      <c r="K1183" t="s">
        <v>985</v>
      </c>
      <c r="L1183" t="s">
        <v>3039</v>
      </c>
      <c r="M1183" s="100" t="str">
        <f t="shared" si="36"/>
        <v>CSR_XCP_Signals_Recorder_2026-02-05_17-43-08_TC151_Liquid3R_CPD_Liquid__3R_CPD.MF4.xz</v>
      </c>
      <c r="N1183" s="59" t="str">
        <f t="shared" si="37"/>
        <v>_Liquid__3R_CPD.MF4.xz</v>
      </c>
      <c r="O1183" t="s">
        <v>831</v>
      </c>
    </row>
    <row r="1184" spans="1:15">
      <c r="A1184" s="59">
        <v>132</v>
      </c>
      <c r="B1184" t="s">
        <v>234</v>
      </c>
      <c r="D1184" s="97">
        <v>1</v>
      </c>
      <c r="E1184" s="97" t="s">
        <v>827</v>
      </c>
      <c r="F1184" t="s">
        <v>27</v>
      </c>
      <c r="G1184" t="s">
        <v>27</v>
      </c>
      <c r="H1184" t="s">
        <v>27</v>
      </c>
      <c r="I1184" t="s">
        <v>28</v>
      </c>
      <c r="J1184" s="85" t="s">
        <v>828</v>
      </c>
      <c r="K1184" t="s">
        <v>830</v>
      </c>
      <c r="L1184" t="s">
        <v>3040</v>
      </c>
      <c r="M1184" s="100" t="str">
        <f t="shared" si="36"/>
        <v>CSR_XCP_Signals_Recorder_2026-02-05_15-19-14_TC132_MovingToy1L_BagF1R_CPD_Object__1L+F1R_CPD.MF4.xz</v>
      </c>
      <c r="N1184" s="59" t="str">
        <f t="shared" si="37"/>
        <v>_Object__1L+F1R_CPD.MF4.xz</v>
      </c>
      <c r="O1184" t="s">
        <v>831</v>
      </c>
    </row>
    <row r="1185" spans="1:15">
      <c r="A1185" s="59">
        <v>132</v>
      </c>
      <c r="B1185" t="s">
        <v>234</v>
      </c>
      <c r="D1185" s="97">
        <v>1</v>
      </c>
      <c r="E1185" s="97" t="s">
        <v>827</v>
      </c>
      <c r="F1185" t="s">
        <v>27</v>
      </c>
      <c r="G1185" t="s">
        <v>27</v>
      </c>
      <c r="H1185" t="s">
        <v>27</v>
      </c>
      <c r="I1185" t="s">
        <v>28</v>
      </c>
      <c r="J1185" s="85" t="s">
        <v>828</v>
      </c>
      <c r="K1185" t="s">
        <v>833</v>
      </c>
      <c r="L1185" t="s">
        <v>3041</v>
      </c>
      <c r="M1185" s="100" t="str">
        <f t="shared" si="36"/>
        <v>CSR_XCP_Signals_Recorder_2026-02-05_15-20-28_TC132_MovingToy1L_BagF1R_CPD_Object__1L+F1R_CPD.MF4.xz</v>
      </c>
      <c r="N1185" s="59" t="str">
        <f t="shared" si="37"/>
        <v>_Object__1L+F1R_CPD.MF4.xz</v>
      </c>
      <c r="O1185" t="s">
        <v>831</v>
      </c>
    </row>
    <row r="1186" spans="1:15">
      <c r="A1186" s="59">
        <v>132</v>
      </c>
      <c r="B1186" t="s">
        <v>234</v>
      </c>
      <c r="D1186" s="97">
        <v>1</v>
      </c>
      <c r="E1186" s="97" t="s">
        <v>827</v>
      </c>
      <c r="F1186" t="s">
        <v>27</v>
      </c>
      <c r="G1186" t="s">
        <v>27</v>
      </c>
      <c r="H1186" t="s">
        <v>27</v>
      </c>
      <c r="I1186" t="s">
        <v>28</v>
      </c>
      <c r="J1186" s="85" t="s">
        <v>828</v>
      </c>
      <c r="K1186" t="s">
        <v>834</v>
      </c>
      <c r="L1186" t="s">
        <v>3042</v>
      </c>
      <c r="M1186" s="100" t="str">
        <f t="shared" si="36"/>
        <v>CSR_XCP_Signals_Recorder_2026-02-05_15-21-37_TC132_MovingToy1L_BagF1R_CPD_Object__1L+F1R_CPD.MF4.xz</v>
      </c>
      <c r="N1186" s="59" t="str">
        <f t="shared" si="37"/>
        <v>_Object__1L+F1R_CPD.MF4.xz</v>
      </c>
      <c r="O1186" t="s">
        <v>831</v>
      </c>
    </row>
    <row r="1187" spans="1:15">
      <c r="A1187" s="59">
        <v>132</v>
      </c>
      <c r="B1187" t="s">
        <v>234</v>
      </c>
      <c r="D1187" s="97">
        <v>1</v>
      </c>
      <c r="E1187" s="97" t="s">
        <v>827</v>
      </c>
      <c r="F1187" t="s">
        <v>27</v>
      </c>
      <c r="G1187" t="s">
        <v>27</v>
      </c>
      <c r="H1187" t="s">
        <v>27</v>
      </c>
      <c r="I1187" t="s">
        <v>28</v>
      </c>
      <c r="J1187" s="85" t="s">
        <v>828</v>
      </c>
      <c r="K1187" t="s">
        <v>835</v>
      </c>
      <c r="L1187" t="s">
        <v>3043</v>
      </c>
      <c r="M1187" s="100" t="str">
        <f t="shared" si="36"/>
        <v>CSR_XCP_Signals_Recorder_2026-02-05_15-23-32_TC132_MovingToy1L_BagF1R_CPD_Object__1L+F1R_CPD.MF4.xz</v>
      </c>
      <c r="N1187" s="59" t="str">
        <f t="shared" si="37"/>
        <v>_Object__1L+F1R_CPD.MF4.xz</v>
      </c>
      <c r="O1187" t="s">
        <v>831</v>
      </c>
    </row>
    <row r="1188" spans="1:15">
      <c r="A1188" s="59">
        <v>132</v>
      </c>
      <c r="B1188" t="s">
        <v>234</v>
      </c>
      <c r="D1188" s="97">
        <v>1</v>
      </c>
      <c r="E1188" s="97" t="s">
        <v>827</v>
      </c>
      <c r="F1188" t="s">
        <v>27</v>
      </c>
      <c r="G1188" t="s">
        <v>27</v>
      </c>
      <c r="H1188" t="s">
        <v>27</v>
      </c>
      <c r="I1188" t="s">
        <v>28</v>
      </c>
      <c r="J1188" s="85" t="s">
        <v>828</v>
      </c>
      <c r="K1188" t="s">
        <v>836</v>
      </c>
      <c r="L1188" t="s">
        <v>3044</v>
      </c>
      <c r="M1188" s="100" t="str">
        <f t="shared" si="36"/>
        <v>CSR_XCP_Signals_Recorder_2026-02-05_15-25-04_TC132_MovingToy1L_BagF1R_CPD_Object__1L+F1R_CPD.MF4.xz</v>
      </c>
      <c r="N1188" s="59" t="str">
        <f t="shared" si="37"/>
        <v>_Object__1L+F1R_CPD.MF4.xz</v>
      </c>
      <c r="O1188" t="s">
        <v>831</v>
      </c>
    </row>
    <row r="1189" spans="1:15">
      <c r="A1189" s="59">
        <v>133</v>
      </c>
      <c r="B1189" t="s">
        <v>234</v>
      </c>
      <c r="D1189" s="97">
        <v>1</v>
      </c>
      <c r="E1189" s="97" t="s">
        <v>841</v>
      </c>
      <c r="F1189" t="s">
        <v>27</v>
      </c>
      <c r="G1189" t="s">
        <v>27</v>
      </c>
      <c r="H1189" t="s">
        <v>27</v>
      </c>
      <c r="I1189" t="s">
        <v>28</v>
      </c>
      <c r="J1189" s="85" t="s">
        <v>828</v>
      </c>
      <c r="K1189" t="s">
        <v>842</v>
      </c>
      <c r="L1189" t="s">
        <v>3045</v>
      </c>
      <c r="M1189" s="100" t="str">
        <f t="shared" si="36"/>
        <v>CSR_XCP_Signals_Recorder_2026-02-05_15-42-34_TC133_StaticToy1R_BagF2R_CPD_Object__1R+F2R_CPD.MF4.xz</v>
      </c>
      <c r="N1189" s="59" t="str">
        <f t="shared" si="37"/>
        <v>_Object__1R+F2R_CPD.MF4.xz</v>
      </c>
      <c r="O1189" t="s">
        <v>831</v>
      </c>
    </row>
    <row r="1190" spans="1:15">
      <c r="A1190" s="59">
        <v>133</v>
      </c>
      <c r="B1190" t="s">
        <v>234</v>
      </c>
      <c r="D1190" s="97">
        <v>1</v>
      </c>
      <c r="E1190" s="97" t="s">
        <v>841</v>
      </c>
      <c r="F1190" t="s">
        <v>27</v>
      </c>
      <c r="G1190" t="s">
        <v>27</v>
      </c>
      <c r="H1190" t="s">
        <v>27</v>
      </c>
      <c r="I1190" t="s">
        <v>28</v>
      </c>
      <c r="J1190" s="85" t="s">
        <v>828</v>
      </c>
      <c r="K1190" t="s">
        <v>844</v>
      </c>
      <c r="L1190" t="s">
        <v>3046</v>
      </c>
      <c r="M1190" s="100" t="str">
        <f t="shared" si="36"/>
        <v>CSR_XCP_Signals_Recorder_2026-02-05_15-43-58_TC133_StaticToy1R_BagF2R_CPD_Object__1R+F2R_CPD.MF4.xz</v>
      </c>
      <c r="N1190" s="59" t="str">
        <f t="shared" si="37"/>
        <v>_Object__1R+F2R_CPD.MF4.xz</v>
      </c>
      <c r="O1190" t="s">
        <v>831</v>
      </c>
    </row>
    <row r="1191" spans="1:15">
      <c r="A1191" s="59">
        <v>133</v>
      </c>
      <c r="B1191" t="s">
        <v>234</v>
      </c>
      <c r="D1191" s="97">
        <v>1</v>
      </c>
      <c r="E1191" s="97" t="s">
        <v>841</v>
      </c>
      <c r="F1191" t="s">
        <v>27</v>
      </c>
      <c r="G1191" t="s">
        <v>27</v>
      </c>
      <c r="H1191" t="s">
        <v>27</v>
      </c>
      <c r="I1191" t="s">
        <v>28</v>
      </c>
      <c r="J1191" s="85" t="s">
        <v>828</v>
      </c>
      <c r="K1191" t="s">
        <v>845</v>
      </c>
      <c r="L1191" t="s">
        <v>3047</v>
      </c>
      <c r="M1191" s="100" t="str">
        <f t="shared" si="36"/>
        <v>CSR_XCP_Signals_Recorder_2026-02-05_15-45-20_TC133_StaticToy1R_BagF2R_CPD_Object__1R+F2R_CPD.MF4.xz</v>
      </c>
      <c r="N1191" s="59" t="str">
        <f t="shared" si="37"/>
        <v>_Object__1R+F2R_CPD.MF4.xz</v>
      </c>
      <c r="O1191" t="s">
        <v>831</v>
      </c>
    </row>
    <row r="1192" spans="1:15">
      <c r="A1192" s="59">
        <v>133</v>
      </c>
      <c r="B1192" t="s">
        <v>234</v>
      </c>
      <c r="D1192" s="97">
        <v>1</v>
      </c>
      <c r="E1192" s="97" t="s">
        <v>841</v>
      </c>
      <c r="F1192" t="s">
        <v>27</v>
      </c>
      <c r="G1192" t="s">
        <v>27</v>
      </c>
      <c r="H1192" t="s">
        <v>27</v>
      </c>
      <c r="I1192" t="s">
        <v>28</v>
      </c>
      <c r="J1192" s="85" t="s">
        <v>828</v>
      </c>
      <c r="K1192" t="s">
        <v>846</v>
      </c>
      <c r="L1192" t="s">
        <v>3048</v>
      </c>
      <c r="M1192" s="100" t="str">
        <f t="shared" si="36"/>
        <v>CSR_XCP_Signals_Recorder_2026-02-05_15-46-57_TC133_StaticToy1R_BagF2R_CPD_Object__1R+F2R_CPD.MF4.xz</v>
      </c>
      <c r="N1192" s="59" t="str">
        <f t="shared" si="37"/>
        <v>_Object__1R+F2R_CPD.MF4.xz</v>
      </c>
      <c r="O1192" t="s">
        <v>831</v>
      </c>
    </row>
    <row r="1193" spans="1:15">
      <c r="A1193" s="59">
        <v>133</v>
      </c>
      <c r="B1193" t="s">
        <v>234</v>
      </c>
      <c r="D1193" s="97">
        <v>1</v>
      </c>
      <c r="E1193" s="97" t="s">
        <v>841</v>
      </c>
      <c r="F1193" t="s">
        <v>27</v>
      </c>
      <c r="G1193" t="s">
        <v>27</v>
      </c>
      <c r="H1193" t="s">
        <v>27</v>
      </c>
      <c r="I1193" t="s">
        <v>28</v>
      </c>
      <c r="J1193" s="85" t="s">
        <v>828</v>
      </c>
      <c r="K1193" t="s">
        <v>847</v>
      </c>
      <c r="L1193" t="s">
        <v>3049</v>
      </c>
      <c r="M1193" s="100" t="str">
        <f t="shared" si="36"/>
        <v>CSR_XCP_Signals_Recorder_2026-02-05_15-48-23_TC133_StaticToy1R_BagF2R_CPD_Object__1R+F2R_CPD.MF4.xz</v>
      </c>
      <c r="N1193" s="59" t="str">
        <f t="shared" si="37"/>
        <v>_Object__1R+F2R_CPD.MF4.xz</v>
      </c>
      <c r="O1193" t="s">
        <v>831</v>
      </c>
    </row>
    <row r="1194" spans="1:15">
      <c r="A1194" s="59">
        <v>135</v>
      </c>
      <c r="B1194" t="s">
        <v>234</v>
      </c>
      <c r="D1194" s="97">
        <v>2</v>
      </c>
      <c r="E1194" s="97" t="s">
        <v>860</v>
      </c>
      <c r="F1194" t="s">
        <v>27</v>
      </c>
      <c r="G1194" t="s">
        <v>27</v>
      </c>
      <c r="H1194" t="s">
        <v>27</v>
      </c>
      <c r="I1194" t="s">
        <v>28</v>
      </c>
      <c r="J1194" s="85" t="s">
        <v>828</v>
      </c>
      <c r="K1194" t="s">
        <v>864</v>
      </c>
      <c r="L1194" t="s">
        <v>3050</v>
      </c>
      <c r="M1194" s="100" t="str">
        <f t="shared" si="36"/>
        <v>CSR_XCP_Signals_Recorder_2026-02-05_15-53-32_TC135_StaticToy2L_BagF2C_CPD_Object__2L+F2C_CPD.MF4.xz</v>
      </c>
      <c r="N1194" s="59" t="str">
        <f t="shared" si="37"/>
        <v>_Object__2L+F2C_CPD.MF4.xz</v>
      </c>
      <c r="O1194" t="s">
        <v>831</v>
      </c>
    </row>
    <row r="1195" spans="1:15">
      <c r="A1195" s="59">
        <v>135</v>
      </c>
      <c r="B1195" t="s">
        <v>234</v>
      </c>
      <c r="D1195" s="97">
        <v>2</v>
      </c>
      <c r="E1195" s="97" t="s">
        <v>860</v>
      </c>
      <c r="F1195" t="s">
        <v>27</v>
      </c>
      <c r="G1195" t="s">
        <v>27</v>
      </c>
      <c r="H1195" t="s">
        <v>27</v>
      </c>
      <c r="I1195" t="s">
        <v>28</v>
      </c>
      <c r="J1195" s="85" t="s">
        <v>828</v>
      </c>
      <c r="K1195" t="s">
        <v>866</v>
      </c>
      <c r="L1195" t="s">
        <v>3051</v>
      </c>
      <c r="M1195" s="100" t="str">
        <f t="shared" si="36"/>
        <v>CSR_XCP_Signals_Recorder_2026-02-05_15-55-10_TC135_StaticToy2L_BagF2C_CPD_Object__2L+F2C_CPD.MF4.xz</v>
      </c>
      <c r="N1195" s="59" t="str">
        <f t="shared" si="37"/>
        <v>_Object__2L+F2C_CPD.MF4.xz</v>
      </c>
      <c r="O1195" t="s">
        <v>831</v>
      </c>
    </row>
    <row r="1196" spans="1:15">
      <c r="A1196" s="59">
        <v>135</v>
      </c>
      <c r="B1196" t="s">
        <v>234</v>
      </c>
      <c r="D1196" s="97">
        <v>2</v>
      </c>
      <c r="E1196" s="97" t="s">
        <v>860</v>
      </c>
      <c r="F1196" t="s">
        <v>27</v>
      </c>
      <c r="G1196" t="s">
        <v>27</v>
      </c>
      <c r="H1196" t="s">
        <v>27</v>
      </c>
      <c r="I1196" t="s">
        <v>28</v>
      </c>
      <c r="J1196" s="85" t="s">
        <v>828</v>
      </c>
      <c r="K1196" t="s">
        <v>867</v>
      </c>
      <c r="L1196" t="s">
        <v>3052</v>
      </c>
      <c r="M1196" s="100" t="str">
        <f t="shared" si="36"/>
        <v>CSR_XCP_Signals_Recorder_2026-02-05_15-56-41_TC135_StaticToy2L_BagF2C_CPD_Object__2L+F2C_CPD.MF4.xz</v>
      </c>
      <c r="N1196" s="59" t="str">
        <f t="shared" si="37"/>
        <v>_Object__2L+F2C_CPD.MF4.xz</v>
      </c>
      <c r="O1196" t="s">
        <v>831</v>
      </c>
    </row>
    <row r="1197" spans="1:15">
      <c r="A1197" s="59">
        <v>135</v>
      </c>
      <c r="B1197" t="s">
        <v>234</v>
      </c>
      <c r="D1197" s="97">
        <v>2</v>
      </c>
      <c r="E1197" s="97" t="s">
        <v>860</v>
      </c>
      <c r="F1197" t="s">
        <v>27</v>
      </c>
      <c r="G1197" t="s">
        <v>27</v>
      </c>
      <c r="H1197" t="s">
        <v>27</v>
      </c>
      <c r="I1197" t="s">
        <v>28</v>
      </c>
      <c r="J1197" s="85" t="s">
        <v>828</v>
      </c>
      <c r="K1197" t="s">
        <v>868</v>
      </c>
      <c r="L1197" t="s">
        <v>3053</v>
      </c>
      <c r="M1197" s="100" t="str">
        <f t="shared" si="36"/>
        <v>CSR_XCP_Signals_Recorder_2026-02-05_15-58-52_TC135_StaticToy2L_BagF2C_CPD_Object__2L+F2C_CPD.MF4.xz</v>
      </c>
      <c r="N1197" s="59" t="str">
        <f t="shared" si="37"/>
        <v>_Object__2L+F2C_CPD.MF4.xz</v>
      </c>
      <c r="O1197" t="s">
        <v>831</v>
      </c>
    </row>
    <row r="1198" spans="1:15">
      <c r="A1198" s="59">
        <v>135</v>
      </c>
      <c r="B1198" t="s">
        <v>234</v>
      </c>
      <c r="D1198" s="97">
        <v>2</v>
      </c>
      <c r="E1198" s="97" t="s">
        <v>860</v>
      </c>
      <c r="F1198" t="s">
        <v>27</v>
      </c>
      <c r="G1198" t="s">
        <v>27</v>
      </c>
      <c r="H1198" t="s">
        <v>27</v>
      </c>
      <c r="I1198" t="s">
        <v>28</v>
      </c>
      <c r="J1198" s="85" t="s">
        <v>828</v>
      </c>
      <c r="K1198" t="s">
        <v>869</v>
      </c>
      <c r="L1198" t="s">
        <v>3054</v>
      </c>
      <c r="M1198" s="100" t="str">
        <f t="shared" si="36"/>
        <v>CSR_XCP_Signals_Recorder_2026-02-05_16-01-12_TC135_StaticToy2L_BagF2C_CPD_Object__2L+F2C_CPD.MF4.xz</v>
      </c>
      <c r="N1198" s="59" t="str">
        <f t="shared" si="37"/>
        <v>_Object__2L+F2C_CPD.MF4.xz</v>
      </c>
      <c r="O1198" t="s">
        <v>831</v>
      </c>
    </row>
    <row r="1199" spans="1:15">
      <c r="A1199" s="59">
        <v>136</v>
      </c>
      <c r="B1199" t="s">
        <v>234</v>
      </c>
      <c r="D1199" s="97">
        <v>2</v>
      </c>
      <c r="E1199" s="97" t="s">
        <v>870</v>
      </c>
      <c r="F1199" t="s">
        <v>27</v>
      </c>
      <c r="G1199" t="s">
        <v>27</v>
      </c>
      <c r="H1199" t="s">
        <v>27</v>
      </c>
      <c r="I1199" t="s">
        <v>28</v>
      </c>
      <c r="J1199" s="85" t="s">
        <v>828</v>
      </c>
      <c r="K1199" t="s">
        <v>874</v>
      </c>
      <c r="L1199" t="s">
        <v>3055</v>
      </c>
      <c r="M1199" s="100" t="str">
        <f t="shared" si="36"/>
        <v>CSR_XCP_Signals_Recorder_2026-02-05_16-07-52_TC136_MovingToy2C_BagF3R_CPD_Object__2C+F3R_CPD.MF4.xz</v>
      </c>
      <c r="N1199" s="59" t="str">
        <f t="shared" si="37"/>
        <v>_Object__2C+F3R_CPD.MF4.xz</v>
      </c>
      <c r="O1199" t="s">
        <v>831</v>
      </c>
    </row>
    <row r="1200" spans="1:15">
      <c r="A1200" s="59">
        <v>136</v>
      </c>
      <c r="B1200" t="s">
        <v>234</v>
      </c>
      <c r="D1200" s="97">
        <v>2</v>
      </c>
      <c r="E1200" s="97" t="s">
        <v>870</v>
      </c>
      <c r="F1200" t="s">
        <v>27</v>
      </c>
      <c r="G1200" t="s">
        <v>27</v>
      </c>
      <c r="H1200" t="s">
        <v>27</v>
      </c>
      <c r="I1200" t="s">
        <v>28</v>
      </c>
      <c r="J1200" s="85" t="s">
        <v>828</v>
      </c>
      <c r="K1200" t="s">
        <v>876</v>
      </c>
      <c r="L1200" t="s">
        <v>3056</v>
      </c>
      <c r="M1200" s="100" t="str">
        <f t="shared" si="36"/>
        <v>CSR_XCP_Signals_Recorder_2026-02-05_16-10-17_TC136_MovingToy2C_BagF3R_CPD_Object__2C+F3R_CPD.MF4.xz</v>
      </c>
      <c r="N1200" s="59" t="str">
        <f t="shared" si="37"/>
        <v>_Object__2C+F3R_CPD.MF4.xz</v>
      </c>
      <c r="O1200" t="s">
        <v>831</v>
      </c>
    </row>
    <row r="1201" spans="1:15">
      <c r="A1201" s="59">
        <v>136</v>
      </c>
      <c r="B1201" t="s">
        <v>234</v>
      </c>
      <c r="D1201" s="97">
        <v>2</v>
      </c>
      <c r="E1201" s="97" t="s">
        <v>870</v>
      </c>
      <c r="F1201" t="s">
        <v>27</v>
      </c>
      <c r="G1201" t="s">
        <v>27</v>
      </c>
      <c r="H1201" t="s">
        <v>27</v>
      </c>
      <c r="I1201" t="s">
        <v>28</v>
      </c>
      <c r="J1201" s="85" t="s">
        <v>828</v>
      </c>
      <c r="K1201" t="s">
        <v>877</v>
      </c>
      <c r="L1201" t="s">
        <v>3057</v>
      </c>
      <c r="M1201" s="100" t="str">
        <f t="shared" si="36"/>
        <v>CSR_XCP_Signals_Recorder_2026-02-05_16-12-32_TC136_MovingToy2C_BagF3R_CPD_Object__2C+F3R_CPD.MF4.xz</v>
      </c>
      <c r="N1201" s="59" t="str">
        <f t="shared" si="37"/>
        <v>_Object__2C+F3R_CPD.MF4.xz</v>
      </c>
      <c r="O1201" t="s">
        <v>831</v>
      </c>
    </row>
    <row r="1202" spans="1:15">
      <c r="A1202" s="59">
        <v>136</v>
      </c>
      <c r="B1202" t="s">
        <v>234</v>
      </c>
      <c r="D1202" s="97">
        <v>2</v>
      </c>
      <c r="E1202" s="97" t="s">
        <v>870</v>
      </c>
      <c r="F1202" t="s">
        <v>27</v>
      </c>
      <c r="G1202" t="s">
        <v>27</v>
      </c>
      <c r="H1202" t="s">
        <v>27</v>
      </c>
      <c r="I1202" t="s">
        <v>28</v>
      </c>
      <c r="J1202" s="85" t="s">
        <v>828</v>
      </c>
      <c r="K1202" t="s">
        <v>878</v>
      </c>
      <c r="L1202" t="s">
        <v>3058</v>
      </c>
      <c r="M1202" s="100" t="str">
        <f t="shared" si="36"/>
        <v>CSR_XCP_Signals_Recorder_2026-02-05_16-14-45_TC136_MovingToy2C_BagF3R_CPD_Object__2C+F3R_CPD.MF4.xz</v>
      </c>
      <c r="N1202" s="59" t="str">
        <f t="shared" si="37"/>
        <v>_Object__2C+F3R_CPD.MF4.xz</v>
      </c>
      <c r="O1202" t="s">
        <v>831</v>
      </c>
    </row>
    <row r="1203" spans="1:15">
      <c r="A1203" s="59">
        <v>136</v>
      </c>
      <c r="B1203" t="s">
        <v>234</v>
      </c>
      <c r="D1203" s="97">
        <v>2</v>
      </c>
      <c r="E1203" s="97" t="s">
        <v>870</v>
      </c>
      <c r="F1203" t="s">
        <v>27</v>
      </c>
      <c r="G1203" t="s">
        <v>27</v>
      </c>
      <c r="H1203" t="s">
        <v>27</v>
      </c>
      <c r="I1203" t="s">
        <v>28</v>
      </c>
      <c r="J1203" s="85" t="s">
        <v>828</v>
      </c>
      <c r="K1203" t="s">
        <v>879</v>
      </c>
      <c r="L1203" t="s">
        <v>3059</v>
      </c>
      <c r="M1203" s="100" t="str">
        <f t="shared" si="36"/>
        <v>CSR_XCP_Signals_Recorder_2026-02-05_16-16-37_TC136_MovingToy2C_BagF3R_CPD_Object__2C+F3R_CPD.MF4.xz</v>
      </c>
      <c r="N1203" s="59" t="str">
        <f t="shared" si="37"/>
        <v>_Object__2C+F3R_CPD.MF4.xz</v>
      </c>
      <c r="O1203" t="s">
        <v>831</v>
      </c>
    </row>
    <row r="1204" spans="1:15">
      <c r="A1204" s="59">
        <v>137</v>
      </c>
      <c r="B1204" t="s">
        <v>234</v>
      </c>
      <c r="D1204" s="97">
        <v>3</v>
      </c>
      <c r="E1204" s="97" t="s">
        <v>880</v>
      </c>
      <c r="F1204" t="s">
        <v>27</v>
      </c>
      <c r="G1204" t="s">
        <v>27</v>
      </c>
      <c r="H1204" t="s">
        <v>27</v>
      </c>
      <c r="I1204" t="s">
        <v>28</v>
      </c>
      <c r="J1204" s="85" t="s">
        <v>828</v>
      </c>
      <c r="K1204" t="s">
        <v>884</v>
      </c>
      <c r="L1204" t="s">
        <v>3060</v>
      </c>
      <c r="M1204" s="100" t="str">
        <f t="shared" si="36"/>
        <v>CSR_XCP_Signals_Recorder_2026-02-05_16-23-24_TC137_StaticToy3R_BagF3L_CPD_Object__3R+F3L_CPD.MF4.xz</v>
      </c>
      <c r="N1204" s="59" t="str">
        <f t="shared" si="37"/>
        <v>_Object__3R+F3L_CPD.MF4.xz</v>
      </c>
      <c r="O1204" t="s">
        <v>831</v>
      </c>
    </row>
    <row r="1205" spans="1:15">
      <c r="A1205" s="59">
        <v>137</v>
      </c>
      <c r="B1205" t="s">
        <v>234</v>
      </c>
      <c r="D1205" s="97">
        <v>3</v>
      </c>
      <c r="E1205" s="97" t="s">
        <v>880</v>
      </c>
      <c r="F1205" t="s">
        <v>27</v>
      </c>
      <c r="G1205" t="s">
        <v>27</v>
      </c>
      <c r="H1205" t="s">
        <v>27</v>
      </c>
      <c r="I1205" t="s">
        <v>28</v>
      </c>
      <c r="J1205" s="85" t="s">
        <v>828</v>
      </c>
      <c r="K1205" t="s">
        <v>886</v>
      </c>
      <c r="L1205" t="s">
        <v>3061</v>
      </c>
      <c r="M1205" s="100" t="str">
        <f t="shared" si="36"/>
        <v>CSR_XCP_Signals_Recorder_2026-02-05_16-25-08_TC137_StaticToy3R_BagF3L_CPD_Object__3R+F3L_CPD.MF4.xz</v>
      </c>
      <c r="N1205" s="59" t="str">
        <f t="shared" si="37"/>
        <v>_Object__3R+F3L_CPD.MF4.xz</v>
      </c>
      <c r="O1205" t="s">
        <v>831</v>
      </c>
    </row>
    <row r="1206" spans="1:15">
      <c r="A1206" s="59">
        <v>137</v>
      </c>
      <c r="B1206" t="s">
        <v>234</v>
      </c>
      <c r="D1206" s="97">
        <v>3</v>
      </c>
      <c r="E1206" s="97" t="s">
        <v>880</v>
      </c>
      <c r="F1206" t="s">
        <v>27</v>
      </c>
      <c r="G1206" t="s">
        <v>27</v>
      </c>
      <c r="H1206" t="s">
        <v>27</v>
      </c>
      <c r="I1206" t="s">
        <v>28</v>
      </c>
      <c r="J1206" s="85" t="s">
        <v>828</v>
      </c>
      <c r="K1206" t="s">
        <v>887</v>
      </c>
      <c r="L1206" t="s">
        <v>3062</v>
      </c>
      <c r="M1206" s="100" t="str">
        <f t="shared" si="36"/>
        <v>CSR_XCP_Signals_Recorder_2026-02-05_16-27-38_TC137_StaticToy3R_BagF3L_CPD_Object__3R+F3L_CPD.MF4.xz</v>
      </c>
      <c r="N1206" s="59" t="str">
        <f t="shared" si="37"/>
        <v>_Object__3R+F3L_CPD.MF4.xz</v>
      </c>
      <c r="O1206" t="s">
        <v>831</v>
      </c>
    </row>
    <row r="1207" spans="1:15" s="137" customFormat="1">
      <c r="A1207" s="130">
        <v>137</v>
      </c>
      <c r="B1207" s="137" t="s">
        <v>234</v>
      </c>
      <c r="D1207" s="98">
        <v>3</v>
      </c>
      <c r="E1207" s="98" t="s">
        <v>880</v>
      </c>
      <c r="F1207" s="137" t="s">
        <v>27</v>
      </c>
      <c r="G1207" s="137" t="s">
        <v>27</v>
      </c>
      <c r="H1207" s="137" t="s">
        <v>27</v>
      </c>
      <c r="I1207" s="137" t="s">
        <v>27</v>
      </c>
      <c r="J1207" s="99" t="s">
        <v>888</v>
      </c>
      <c r="K1207" s="137" t="s">
        <v>889</v>
      </c>
      <c r="L1207" s="137" t="s">
        <v>723</v>
      </c>
      <c r="M1207" s="100" t="str">
        <f t="shared" si="36"/>
        <v>Wrong measurement</v>
      </c>
      <c r="N1207" s="59" t="str">
        <f t="shared" si="37"/>
        <v>Wrong measurement</v>
      </c>
      <c r="O1207" s="137" t="s">
        <v>831</v>
      </c>
    </row>
    <row r="1208" spans="1:15">
      <c r="A1208" s="59">
        <v>137</v>
      </c>
      <c r="B1208" t="s">
        <v>234</v>
      </c>
      <c r="D1208" s="97">
        <v>3</v>
      </c>
      <c r="E1208" s="97" t="s">
        <v>880</v>
      </c>
      <c r="F1208" t="s">
        <v>27</v>
      </c>
      <c r="G1208" t="s">
        <v>27</v>
      </c>
      <c r="H1208" t="s">
        <v>27</v>
      </c>
      <c r="I1208" t="s">
        <v>28</v>
      </c>
      <c r="J1208" s="85" t="s">
        <v>828</v>
      </c>
      <c r="K1208" t="s">
        <v>890</v>
      </c>
      <c r="L1208" t="s">
        <v>3063</v>
      </c>
      <c r="M1208" s="100" t="str">
        <f t="shared" si="36"/>
        <v>CSR_XCP_Signals_Recorder_2026-02-05_16-38-27_TC137_StaticToy3R_BagF3L_CPD_Object__3R+F3L_CPD.MF4.xz</v>
      </c>
      <c r="N1208" s="59" t="str">
        <f t="shared" si="37"/>
        <v>_Object__3R+F3L_CPD.MF4.xz</v>
      </c>
      <c r="O1208" t="s">
        <v>831</v>
      </c>
    </row>
    <row r="1209" spans="1:15">
      <c r="A1209" s="59">
        <v>140</v>
      </c>
      <c r="B1209" t="s">
        <v>234</v>
      </c>
      <c r="D1209" s="97">
        <v>2</v>
      </c>
      <c r="E1209" s="97" t="s">
        <v>902</v>
      </c>
      <c r="F1209" t="s">
        <v>27</v>
      </c>
      <c r="G1209" t="s">
        <v>27</v>
      </c>
      <c r="H1209" t="s">
        <v>27</v>
      </c>
      <c r="I1209" t="s">
        <v>28</v>
      </c>
      <c r="J1209" s="85" t="s">
        <v>828</v>
      </c>
      <c r="K1209" t="s">
        <v>903</v>
      </c>
      <c r="L1209" t="s">
        <v>3064</v>
      </c>
      <c r="M1209" s="100" t="str">
        <f t="shared" si="36"/>
        <v>CSR_XCP_Signals_Recorder_2026-02-05_16-42-37_TC140_Bag2R_StaticToyF1R_CPD_Object__2R+F1R_CPD.MF4.xz</v>
      </c>
      <c r="N1209" s="59" t="str">
        <f t="shared" si="37"/>
        <v>_Object__2R+F1R_CPD.MF4.xz</v>
      </c>
      <c r="O1209" t="s">
        <v>831</v>
      </c>
    </row>
    <row r="1210" spans="1:15">
      <c r="A1210" s="59">
        <v>140</v>
      </c>
      <c r="B1210" t="s">
        <v>234</v>
      </c>
      <c r="D1210" s="97">
        <v>2</v>
      </c>
      <c r="E1210" s="97" t="s">
        <v>902</v>
      </c>
      <c r="F1210" t="s">
        <v>27</v>
      </c>
      <c r="G1210" t="s">
        <v>27</v>
      </c>
      <c r="H1210" t="s">
        <v>27</v>
      </c>
      <c r="I1210" t="s">
        <v>28</v>
      </c>
      <c r="J1210" s="85" t="s">
        <v>828</v>
      </c>
      <c r="K1210" t="s">
        <v>905</v>
      </c>
      <c r="L1210" t="s">
        <v>3065</v>
      </c>
      <c r="M1210" s="100" t="str">
        <f t="shared" si="36"/>
        <v>CSR_XCP_Signals_Recorder_2026-02-05_16-44-16_TC140_Bag2R_StaticToyF1R_CPD_Object__2R+F1R_CPD.MF4.xz</v>
      </c>
      <c r="N1210" s="59" t="str">
        <f t="shared" si="37"/>
        <v>_Object__2R+F1R_CPD.MF4.xz</v>
      </c>
      <c r="O1210" t="s">
        <v>831</v>
      </c>
    </row>
    <row r="1211" spans="1:15">
      <c r="A1211" s="59">
        <v>140</v>
      </c>
      <c r="B1211" t="s">
        <v>234</v>
      </c>
      <c r="D1211" s="97">
        <v>2</v>
      </c>
      <c r="E1211" s="97" t="s">
        <v>902</v>
      </c>
      <c r="F1211" t="s">
        <v>27</v>
      </c>
      <c r="G1211" t="s">
        <v>27</v>
      </c>
      <c r="H1211" t="s">
        <v>27</v>
      </c>
      <c r="I1211" t="s">
        <v>28</v>
      </c>
      <c r="J1211" s="85" t="s">
        <v>828</v>
      </c>
      <c r="K1211" t="s">
        <v>906</v>
      </c>
      <c r="L1211" t="s">
        <v>3066</v>
      </c>
      <c r="M1211" s="100" t="str">
        <f t="shared" si="36"/>
        <v>CSR_XCP_Signals_Recorder_2026-02-05_16-45-47_TC140_Bag2R_StaticToyF1R_CPD_Object__2R+F1R_CPD.MF4.xz</v>
      </c>
      <c r="N1211" s="59" t="str">
        <f t="shared" si="37"/>
        <v>_Object__2R+F1R_CPD.MF4.xz</v>
      </c>
      <c r="O1211" t="s">
        <v>831</v>
      </c>
    </row>
    <row r="1212" spans="1:15">
      <c r="A1212" s="59">
        <v>140</v>
      </c>
      <c r="B1212" t="s">
        <v>234</v>
      </c>
      <c r="D1212" s="97">
        <v>2</v>
      </c>
      <c r="E1212" s="97" t="s">
        <v>902</v>
      </c>
      <c r="F1212" t="s">
        <v>27</v>
      </c>
      <c r="G1212" t="s">
        <v>27</v>
      </c>
      <c r="H1212" t="s">
        <v>27</v>
      </c>
      <c r="I1212" t="s">
        <v>28</v>
      </c>
      <c r="J1212" s="85" t="s">
        <v>828</v>
      </c>
      <c r="K1212" t="s">
        <v>907</v>
      </c>
      <c r="L1212" t="s">
        <v>3067</v>
      </c>
      <c r="M1212" s="100" t="str">
        <f t="shared" si="36"/>
        <v>CSR_XCP_Signals_Recorder_2026-02-05_16-47-23_TC140_Bag2R_StaticToyF1R_CPD_Object__2R+F1R_CPD.MF4.xz</v>
      </c>
      <c r="N1212" s="59" t="str">
        <f t="shared" si="37"/>
        <v>_Object__2R+F1R_CPD.MF4.xz</v>
      </c>
      <c r="O1212" t="s">
        <v>831</v>
      </c>
    </row>
    <row r="1213" spans="1:15">
      <c r="A1213" s="59">
        <v>140</v>
      </c>
      <c r="B1213" t="s">
        <v>234</v>
      </c>
      <c r="D1213" s="97">
        <v>2</v>
      </c>
      <c r="E1213" s="97" t="s">
        <v>902</v>
      </c>
      <c r="F1213" t="s">
        <v>27</v>
      </c>
      <c r="G1213" t="s">
        <v>27</v>
      </c>
      <c r="H1213" t="s">
        <v>27</v>
      </c>
      <c r="I1213" t="s">
        <v>28</v>
      </c>
      <c r="J1213" s="85" t="s">
        <v>828</v>
      </c>
      <c r="K1213" t="s">
        <v>908</v>
      </c>
      <c r="L1213" t="s">
        <v>3068</v>
      </c>
      <c r="M1213" s="100" t="str">
        <f t="shared" si="36"/>
        <v>CSR_XCP_Signals_Recorder_2026-02-05_16-49-15_TC140_Bag2R_StaticToyF1R_CPD_Object__2R+F1R_CPD.MF4.xz</v>
      </c>
      <c r="N1213" s="59" t="str">
        <f t="shared" si="37"/>
        <v>_Object__2R+F1R_CPD.MF4.xz</v>
      </c>
      <c r="O1213" t="s">
        <v>831</v>
      </c>
    </row>
    <row r="1214" spans="1:15">
      <c r="A1214" s="59">
        <v>142</v>
      </c>
      <c r="B1214" t="s">
        <v>234</v>
      </c>
      <c r="D1214" s="97">
        <v>2</v>
      </c>
      <c r="E1214" s="97" t="s">
        <v>913</v>
      </c>
      <c r="F1214" t="s">
        <v>27</v>
      </c>
      <c r="G1214" t="s">
        <v>27</v>
      </c>
      <c r="H1214" t="s">
        <v>27</v>
      </c>
      <c r="I1214" t="s">
        <v>28</v>
      </c>
      <c r="J1214" s="85" t="s">
        <v>828</v>
      </c>
      <c r="K1214" t="s">
        <v>917</v>
      </c>
      <c r="L1214" t="s">
        <v>3069</v>
      </c>
      <c r="M1214" s="100" t="str">
        <f t="shared" si="36"/>
        <v>CSR_XCP_Signals_Recorder_2026-02-05_16-55-13_TC142_Bag2C_StaticToyF2L_CPD_Object__2C+F2L_CPD.MF4.xz</v>
      </c>
      <c r="N1214" s="59" t="str">
        <f t="shared" si="37"/>
        <v>_Object__2C+F2L_CPD.MF4.xz</v>
      </c>
      <c r="O1214" t="s">
        <v>831</v>
      </c>
    </row>
    <row r="1215" spans="1:15">
      <c r="A1215" s="59">
        <v>142</v>
      </c>
      <c r="B1215" t="s">
        <v>234</v>
      </c>
      <c r="D1215" s="97">
        <v>2</v>
      </c>
      <c r="E1215" s="97" t="s">
        <v>913</v>
      </c>
      <c r="F1215" t="s">
        <v>27</v>
      </c>
      <c r="G1215" t="s">
        <v>27</v>
      </c>
      <c r="H1215" t="s">
        <v>27</v>
      </c>
      <c r="I1215" t="s">
        <v>28</v>
      </c>
      <c r="J1215" s="85" t="s">
        <v>828</v>
      </c>
      <c r="K1215" t="s">
        <v>919</v>
      </c>
      <c r="L1215" t="s">
        <v>3070</v>
      </c>
      <c r="M1215" s="100" t="str">
        <f t="shared" si="36"/>
        <v>CSR_XCP_Signals_Recorder_2026-02-05_16-57-50_TC142_Bag2C_StaticToyF2L_CPD_Object__2C+F2L_CPD.MF4.xz</v>
      </c>
      <c r="N1215" s="59" t="str">
        <f t="shared" si="37"/>
        <v>_Object__2C+F2L_CPD.MF4.xz</v>
      </c>
      <c r="O1215" t="s">
        <v>831</v>
      </c>
    </row>
    <row r="1216" spans="1:15">
      <c r="A1216" s="59">
        <v>142</v>
      </c>
      <c r="B1216" t="s">
        <v>234</v>
      </c>
      <c r="D1216" s="97">
        <v>2</v>
      </c>
      <c r="E1216" s="97" t="s">
        <v>913</v>
      </c>
      <c r="F1216" t="s">
        <v>27</v>
      </c>
      <c r="G1216" t="s">
        <v>27</v>
      </c>
      <c r="H1216" t="s">
        <v>27</v>
      </c>
      <c r="I1216" t="s">
        <v>28</v>
      </c>
      <c r="J1216" s="85" t="s">
        <v>828</v>
      </c>
      <c r="K1216" t="s">
        <v>920</v>
      </c>
      <c r="L1216" t="s">
        <v>3071</v>
      </c>
      <c r="M1216" s="100" t="str">
        <f t="shared" si="36"/>
        <v>CSR_XCP_Signals_Recorder_2026-02-05_16-59-41_TC142_Bag2C_StaticToyF2L_CPD_Object__2C+F2L_CPD.MF4.xz</v>
      </c>
      <c r="N1216" s="59" t="str">
        <f t="shared" si="37"/>
        <v>_Object__2C+F2L_CPD.MF4.xz</v>
      </c>
      <c r="O1216" t="s">
        <v>831</v>
      </c>
    </row>
    <row r="1217" spans="1:15">
      <c r="A1217" s="59">
        <v>142</v>
      </c>
      <c r="B1217" t="s">
        <v>234</v>
      </c>
      <c r="D1217" s="97">
        <v>2</v>
      </c>
      <c r="E1217" s="97" t="s">
        <v>913</v>
      </c>
      <c r="F1217" t="s">
        <v>27</v>
      </c>
      <c r="G1217" t="s">
        <v>27</v>
      </c>
      <c r="H1217" t="s">
        <v>27</v>
      </c>
      <c r="I1217" t="s">
        <v>28</v>
      </c>
      <c r="J1217" s="85" t="s">
        <v>828</v>
      </c>
      <c r="K1217" t="s">
        <v>921</v>
      </c>
      <c r="L1217" t="s">
        <v>3072</v>
      </c>
      <c r="M1217" s="100" t="str">
        <f t="shared" si="36"/>
        <v>CSR_XCP_Signals_Recorder_2026-02-05_17-04-53_TC142_Bag2C_StaticToyF2L_CPD_Object__2C+F2L_CPD.MF4.xz</v>
      </c>
      <c r="N1217" s="59" t="str">
        <f t="shared" si="37"/>
        <v>_Object__2C+F2L_CPD.MF4.xz</v>
      </c>
      <c r="O1217" t="s">
        <v>831</v>
      </c>
    </row>
    <row r="1218" spans="1:15">
      <c r="A1218" s="59">
        <v>142</v>
      </c>
      <c r="B1218" t="s">
        <v>234</v>
      </c>
      <c r="D1218" s="97">
        <v>2</v>
      </c>
      <c r="E1218" s="97" t="s">
        <v>913</v>
      </c>
      <c r="F1218" t="s">
        <v>27</v>
      </c>
      <c r="G1218" t="s">
        <v>27</v>
      </c>
      <c r="H1218" t="s">
        <v>27</v>
      </c>
      <c r="I1218" t="s">
        <v>28</v>
      </c>
      <c r="J1218" s="85" t="s">
        <v>828</v>
      </c>
      <c r="K1218" t="s">
        <v>922</v>
      </c>
      <c r="L1218" t="s">
        <v>3073</v>
      </c>
      <c r="M1218" s="100" t="str">
        <f t="shared" ref="M1218:M1223" si="38">IF(NOT(N1218="Wrong measurement"),SUBSTITUTE(K1218,".MF4.xz",N1218),"Wrong measurement")</f>
        <v>CSR_XCP_Signals_Recorder_2026-02-05_17-06-43_TC142_Bag2C_StaticToyF2L_CPD_Object__2C+F2L_CPD.MF4.xz</v>
      </c>
      <c r="N1218" s="59" t="str">
        <f t="shared" ref="N1218:N1223" si="39">IF(I1218="Y",("_"&amp;B1218 &amp;"_"&amp; IF(C1218="","",C1218)&amp;"_"&amp;E1218&amp;"_CPD.MF4.xz"),"Wrong measurement")</f>
        <v>_Object__2C+F2L_CPD.MF4.xz</v>
      </c>
      <c r="O1218" t="s">
        <v>831</v>
      </c>
    </row>
    <row r="1219" spans="1:15">
      <c r="A1219" s="59">
        <v>144</v>
      </c>
      <c r="B1219" t="s">
        <v>234</v>
      </c>
      <c r="D1219" s="97">
        <v>3</v>
      </c>
      <c r="E1219" s="97" t="s">
        <v>927</v>
      </c>
      <c r="F1219" t="s">
        <v>27</v>
      </c>
      <c r="G1219" t="s">
        <v>27</v>
      </c>
      <c r="H1219" t="s">
        <v>27</v>
      </c>
      <c r="I1219" t="s">
        <v>28</v>
      </c>
      <c r="J1219" s="85" t="s">
        <v>828</v>
      </c>
      <c r="K1219" t="s">
        <v>931</v>
      </c>
      <c r="L1219" t="s">
        <v>3074</v>
      </c>
      <c r="M1219" s="100" t="str">
        <f t="shared" si="38"/>
        <v>CSR_XCP_Signals_Recorder_2026-02-05_17-10-14_TC144_Bag3L_StaticToyF3R_CPD_Object__3L+F3R_CPD.MF4.xz</v>
      </c>
      <c r="N1219" s="59" t="str">
        <f t="shared" si="39"/>
        <v>_Object__3L+F3R_CPD.MF4.xz</v>
      </c>
      <c r="O1219" t="s">
        <v>831</v>
      </c>
    </row>
    <row r="1220" spans="1:15">
      <c r="A1220" s="59">
        <v>144</v>
      </c>
      <c r="B1220" t="s">
        <v>234</v>
      </c>
      <c r="D1220" s="97">
        <v>3</v>
      </c>
      <c r="E1220" s="97" t="s">
        <v>927</v>
      </c>
      <c r="F1220" t="s">
        <v>27</v>
      </c>
      <c r="G1220" t="s">
        <v>27</v>
      </c>
      <c r="H1220" t="s">
        <v>27</v>
      </c>
      <c r="I1220" t="s">
        <v>28</v>
      </c>
      <c r="J1220" s="85" t="s">
        <v>828</v>
      </c>
      <c r="K1220" t="s">
        <v>933</v>
      </c>
      <c r="L1220" t="s">
        <v>3075</v>
      </c>
      <c r="M1220" s="100" t="str">
        <f t="shared" si="38"/>
        <v>CSR_XCP_Signals_Recorder_2026-02-05_17-12-02_TC144_Bag3L_StaticToyF3R_CPD_Object__3L+F3R_CPD.MF4.xz</v>
      </c>
      <c r="N1220" s="59" t="str">
        <f t="shared" si="39"/>
        <v>_Object__3L+F3R_CPD.MF4.xz</v>
      </c>
      <c r="O1220" t="s">
        <v>831</v>
      </c>
    </row>
    <row r="1221" spans="1:15">
      <c r="A1221" s="59">
        <v>144</v>
      </c>
      <c r="B1221" t="s">
        <v>234</v>
      </c>
      <c r="D1221" s="97">
        <v>3</v>
      </c>
      <c r="E1221" s="97" t="s">
        <v>927</v>
      </c>
      <c r="F1221" t="s">
        <v>27</v>
      </c>
      <c r="G1221" t="s">
        <v>27</v>
      </c>
      <c r="H1221" t="s">
        <v>27</v>
      </c>
      <c r="I1221" t="s">
        <v>28</v>
      </c>
      <c r="J1221" s="85" t="s">
        <v>828</v>
      </c>
      <c r="K1221" t="s">
        <v>934</v>
      </c>
      <c r="L1221" t="s">
        <v>3076</v>
      </c>
      <c r="M1221" s="100" t="str">
        <f t="shared" si="38"/>
        <v>CSR_XCP_Signals_Recorder_2026-02-05_17-14-34_TC144_Bag3L_StaticToyF3R_CPD_Object__3L+F3R_CPD.MF4.xz</v>
      </c>
      <c r="N1221" s="59" t="str">
        <f t="shared" si="39"/>
        <v>_Object__3L+F3R_CPD.MF4.xz</v>
      </c>
      <c r="O1221" t="s">
        <v>831</v>
      </c>
    </row>
    <row r="1222" spans="1:15">
      <c r="A1222" s="59">
        <v>144</v>
      </c>
      <c r="B1222" t="s">
        <v>234</v>
      </c>
      <c r="D1222" s="97">
        <v>3</v>
      </c>
      <c r="E1222" s="97" t="s">
        <v>927</v>
      </c>
      <c r="F1222" t="s">
        <v>27</v>
      </c>
      <c r="G1222" t="s">
        <v>27</v>
      </c>
      <c r="H1222" t="s">
        <v>27</v>
      </c>
      <c r="I1222" t="s">
        <v>28</v>
      </c>
      <c r="J1222" s="85" t="s">
        <v>828</v>
      </c>
      <c r="K1222" t="s">
        <v>935</v>
      </c>
      <c r="L1222" t="s">
        <v>3077</v>
      </c>
      <c r="M1222" s="100" t="str">
        <f t="shared" si="38"/>
        <v>CSR_XCP_Signals_Recorder_2026-02-05_17-16-24_TC144_Bag3L_StaticToyF3R_CPD_Object__3L+F3R_CPD.MF4.xz</v>
      </c>
      <c r="N1222" s="59" t="str">
        <f t="shared" si="39"/>
        <v>_Object__3L+F3R_CPD.MF4.xz</v>
      </c>
      <c r="O1222" t="s">
        <v>831</v>
      </c>
    </row>
    <row r="1223" spans="1:15">
      <c r="A1223" s="59">
        <v>144</v>
      </c>
      <c r="B1223" t="s">
        <v>234</v>
      </c>
      <c r="D1223" s="97">
        <v>3</v>
      </c>
      <c r="E1223" s="97" t="s">
        <v>927</v>
      </c>
      <c r="F1223" t="s">
        <v>27</v>
      </c>
      <c r="G1223" t="s">
        <v>27</v>
      </c>
      <c r="H1223" t="s">
        <v>27</v>
      </c>
      <c r="I1223" t="s">
        <v>28</v>
      </c>
      <c r="J1223" s="85" t="s">
        <v>828</v>
      </c>
      <c r="K1223" t="s">
        <v>936</v>
      </c>
      <c r="L1223" t="s">
        <v>3078</v>
      </c>
      <c r="M1223" s="100" t="str">
        <f t="shared" si="38"/>
        <v>CSR_XCP_Signals_Recorder_2026-02-05_17-17-48_TC144_Bag3L_StaticToyF3R_CPD_Object__3L+F3R_CPD.MF4.xz</v>
      </c>
      <c r="N1223" s="59" t="str">
        <f t="shared" si="39"/>
        <v>_Object__3L+F3R_CPD.MF4.xz</v>
      </c>
      <c r="O1223" t="s">
        <v>3079</v>
      </c>
    </row>
  </sheetData>
  <autoFilter ref="A1:U1223" xr:uid="{00000000-0009-0000-0000-000001000000}"/>
  <conditionalFormatting sqref="K11:L11">
    <cfRule type="duplicateValues" dxfId="137" priority="43"/>
  </conditionalFormatting>
  <conditionalFormatting sqref="K12:L12">
    <cfRule type="duplicateValues" dxfId="136" priority="42"/>
  </conditionalFormatting>
  <conditionalFormatting sqref="K21:L21">
    <cfRule type="duplicateValues" dxfId="135" priority="40"/>
  </conditionalFormatting>
  <conditionalFormatting sqref="K22:L22">
    <cfRule type="duplicateValues" dxfId="134" priority="41"/>
  </conditionalFormatting>
  <conditionalFormatting sqref="K34:L34">
    <cfRule type="duplicateValues" dxfId="133" priority="39"/>
  </conditionalFormatting>
  <conditionalFormatting sqref="K39:L39">
    <cfRule type="duplicateValues" dxfId="132" priority="38"/>
  </conditionalFormatting>
  <conditionalFormatting sqref="K40:L40">
    <cfRule type="duplicateValues" dxfId="131" priority="37"/>
  </conditionalFormatting>
  <conditionalFormatting sqref="K41:L41">
    <cfRule type="duplicateValues" dxfId="130" priority="36"/>
  </conditionalFormatting>
  <conditionalFormatting sqref="K52:L52">
    <cfRule type="duplicateValues" dxfId="129" priority="35"/>
  </conditionalFormatting>
  <conditionalFormatting sqref="K53:L53">
    <cfRule type="duplicateValues" dxfId="128" priority="34"/>
  </conditionalFormatting>
  <conditionalFormatting sqref="K54:L55">
    <cfRule type="duplicateValues" dxfId="127" priority="33"/>
  </conditionalFormatting>
  <conditionalFormatting sqref="K79:L79">
    <cfRule type="duplicateValues" dxfId="126" priority="32"/>
  </conditionalFormatting>
  <conditionalFormatting sqref="K80:L80">
    <cfRule type="duplicateValues" dxfId="125" priority="1"/>
  </conditionalFormatting>
  <conditionalFormatting sqref="K116:L116">
    <cfRule type="duplicateValues" dxfId="124" priority="31"/>
  </conditionalFormatting>
  <conditionalFormatting sqref="K117:L117">
    <cfRule type="duplicateValues" dxfId="123" priority="30"/>
  </conditionalFormatting>
  <conditionalFormatting sqref="K134:L136">
    <cfRule type="duplicateValues" dxfId="122" priority="29"/>
  </conditionalFormatting>
  <conditionalFormatting sqref="K140:L140">
    <cfRule type="duplicateValues" dxfId="121" priority="28"/>
  </conditionalFormatting>
  <conditionalFormatting sqref="K141:L145">
    <cfRule type="duplicateValues" dxfId="120" priority="27"/>
  </conditionalFormatting>
  <conditionalFormatting sqref="K146:L146">
    <cfRule type="duplicateValues" dxfId="119" priority="26"/>
  </conditionalFormatting>
  <conditionalFormatting sqref="K152:L154">
    <cfRule type="duplicateValues" dxfId="118" priority="25"/>
  </conditionalFormatting>
  <conditionalFormatting sqref="K163:L165">
    <cfRule type="duplicateValues" dxfId="117" priority="24"/>
  </conditionalFormatting>
  <conditionalFormatting sqref="K177:L177">
    <cfRule type="duplicateValues" dxfId="116" priority="23"/>
  </conditionalFormatting>
  <conditionalFormatting sqref="K178:L178">
    <cfRule type="duplicateValues" dxfId="115" priority="22"/>
  </conditionalFormatting>
  <conditionalFormatting sqref="K182:L184">
    <cfRule type="duplicateValues" dxfId="114" priority="21"/>
  </conditionalFormatting>
  <conditionalFormatting sqref="K185:L189">
    <cfRule type="duplicateValues" dxfId="113" priority="20"/>
  </conditionalFormatting>
  <conditionalFormatting sqref="K193:L197">
    <cfRule type="duplicateValues" dxfId="112" priority="19"/>
  </conditionalFormatting>
  <conditionalFormatting sqref="K198:L202">
    <cfRule type="duplicateValues" dxfId="111" priority="18"/>
  </conditionalFormatting>
  <conditionalFormatting sqref="K206:L210">
    <cfRule type="duplicateValues" dxfId="110" priority="46"/>
  </conditionalFormatting>
  <conditionalFormatting sqref="K238:L238">
    <cfRule type="duplicateValues" dxfId="109" priority="17"/>
  </conditionalFormatting>
  <conditionalFormatting sqref="K239:L248 K250:L260">
    <cfRule type="duplicateValues" dxfId="108" priority="44"/>
  </conditionalFormatting>
  <conditionalFormatting sqref="K296:L296">
    <cfRule type="duplicateValues" dxfId="107" priority="16"/>
  </conditionalFormatting>
  <conditionalFormatting sqref="K297:L297">
    <cfRule type="duplicateValues" dxfId="106" priority="15"/>
  </conditionalFormatting>
  <conditionalFormatting sqref="K302:L302">
    <cfRule type="duplicateValues" dxfId="105" priority="14"/>
  </conditionalFormatting>
  <conditionalFormatting sqref="K303:L321">
    <cfRule type="duplicateValues" dxfId="104" priority="45"/>
  </conditionalFormatting>
  <conditionalFormatting sqref="K327:L331">
    <cfRule type="duplicateValues" dxfId="103" priority="13"/>
  </conditionalFormatting>
  <conditionalFormatting sqref="K354:L354">
    <cfRule type="duplicateValues" dxfId="102" priority="12"/>
  </conditionalFormatting>
  <conditionalFormatting sqref="K375:L375">
    <cfRule type="duplicateValues" dxfId="101" priority="11"/>
  </conditionalFormatting>
  <conditionalFormatting sqref="K397:L397">
    <cfRule type="duplicateValues" dxfId="100" priority="10"/>
  </conditionalFormatting>
  <conditionalFormatting sqref="K408:L412">
    <cfRule type="duplicateValues" dxfId="99" priority="9"/>
  </conditionalFormatting>
  <conditionalFormatting sqref="K428:L432">
    <cfRule type="duplicateValues" dxfId="98" priority="8"/>
  </conditionalFormatting>
  <conditionalFormatting sqref="K436:L439">
    <cfRule type="duplicateValues" dxfId="97" priority="7"/>
  </conditionalFormatting>
  <conditionalFormatting sqref="K455:L462">
    <cfRule type="duplicateValues" dxfId="96" priority="6"/>
  </conditionalFormatting>
  <conditionalFormatting sqref="K513:L521">
    <cfRule type="duplicateValues" dxfId="95" priority="5"/>
  </conditionalFormatting>
  <conditionalFormatting sqref="K760:L760">
    <cfRule type="duplicateValues" dxfId="94" priority="4"/>
  </conditionalFormatting>
  <conditionalFormatting sqref="K761:L761">
    <cfRule type="duplicateValues" dxfId="93" priority="3"/>
  </conditionalFormatting>
  <conditionalFormatting sqref="K822:L824">
    <cfRule type="duplicateValues" dxfId="92" priority="2"/>
  </conditionalFormatting>
  <hyperlinks>
    <hyperlink ref="O3" r:id="rId1" display="\\abtvdfs2.de.bosch.com\ismdfs\ilm\abt\IMS\Platform\400_Cabin_Sensing_Radar\20_Measurements\07_CANape\Mitsubishi\5K45\MMC4.1.2\Validation\2025_11_29\child\part1\Sleep" xr:uid="{00000000-0004-0000-0100-000000000000}"/>
    <hyperlink ref="O14" r:id="rId2" display="\\abt-soc501-dfs.de.bosch.com\XC_IMS_Platform\400_Cabin_Sensing_Radar\20_Measurements\07_CANape\Mitsubishi\5K45\5.2.0\5K457EG11\SmokeTest\CPD" xr:uid="{00000000-0004-0000-0100-000001000000}"/>
    <hyperlink ref="O26" r:id="rId3" display="\\abtvdfs2.de.bosch.com\ismdfs\ilm\abt\IMS\Platform\400_Cabin_Sensing_Radar\20_Measurements\07_CANape\Mitsubishi\5K45\MMC5.0.2\5K457EG11\RealChild" xr:uid="{00000000-0004-0000-0100-000002000000}"/>
    <hyperlink ref="O27" r:id="rId4" display="\\abtvdfs2.de.bosch.com\ismdfs\ilm\abt\IMS\Platform\400_Cabin_Sensing_Radar\20_Measurements\07_CANape\Mitsubishi\5K45\MMC5.0.2\5K457EG11\RealChild" xr:uid="{00000000-0004-0000-0100-000003000000}"/>
    <hyperlink ref="O28" r:id="rId5" display="\\abtvdfs2.de.bosch.com\ismdfs\ilm\abt\IMS\Platform\400_Cabin_Sensing_Radar\20_Measurements\07_CANape\Mitsubishi\5K45\MMC5.0.2\5K457EG11\RealChild" xr:uid="{00000000-0004-0000-0100-000004000000}"/>
    <hyperlink ref="O29" r:id="rId6" display="\\abtvdfs2.de.bosch.com\ismdfs\ilm\abt\IMS\Platform\400_Cabin_Sensing_Radar\20_Measurements\07_CANape\Mitsubishi\5K45\MMC5.0.2\5K457EG11\RealChild" xr:uid="{00000000-0004-0000-0100-000005000000}"/>
    <hyperlink ref="O30" r:id="rId7" display="\\abtvdfs2.de.bosch.com\ismdfs\ilm\abt\IMS\Platform\400_Cabin_Sensing_Radar\20_Measurements\07_CANape\Mitsubishi\5K45\MMC5.0.2\5K457EG11\RealChild" xr:uid="{00000000-0004-0000-0100-000006000000}"/>
    <hyperlink ref="O37" r:id="rId8" display="\\abtvdfs2.de.bosch.com\ismdfs\ilm\abt\IMS\Platform\400_Cabin_Sensing_Radar\20_Measurements\07_CANape\Mitsubishi\5K45\MMC5.0.1\5K457EG-11\Real_Child_Measurements" xr:uid="{00000000-0004-0000-0100-000007000000}"/>
    <hyperlink ref="O38" r:id="rId9" display="\\abtvdfs2.de.bosch.com\ismdfs\ilm\abt\IMS\Platform\400_Cabin_Sensing_Radar\20_Measurements\07_CANape\Mitsubishi\5K45\MMC5.0.1\5K457EG-11\Real_Child_Measurements" xr:uid="{00000000-0004-0000-0100-000008000000}"/>
    <hyperlink ref="O39" r:id="rId10" display="\\abtvdfs2.de.bosch.com\ismdfs\ilm\abt\IMS\Platform\400_Cabin_Sensing_Radar\20_Measurements\07_CANape\Mitsubishi\5K45\MMC5.0.1\5K457EG-11\Real_Child_Measurements" xr:uid="{00000000-0004-0000-0100-000009000000}"/>
    <hyperlink ref="O40" r:id="rId11" display="\\abtvdfs2.de.bosch.com\ismdfs\ilm\abt\IMS\Platform\400_Cabin_Sensing_Radar\20_Measurements\07_CANape\Mitsubishi\5K45\MMC5.0.1\5K457EG-11\Real_Child_Measurements" xr:uid="{00000000-0004-0000-0100-00000A000000}"/>
    <hyperlink ref="O41" r:id="rId12" display="\\abtvdfs2.de.bosch.com\ismdfs\ilm\abt\IMS\Platform\400_Cabin_Sensing_Radar\20_Measurements\07_CANape\Mitsubishi\5K45\MMC5.0.1\5K457EG-11\Real_Child_Measurements" xr:uid="{00000000-0004-0000-0100-00000B000000}"/>
    <hyperlink ref="O48" r:id="rId13" display="\\abt-soc501-dfs.de.bosch.com\XC_IMS_Platform\400_Cabin_Sensing_Radar\20_Measurements\07_CANape\Mitsubishi\5K45\MMC5.0.2\5K457MG57\SmokeTest" xr:uid="{00000000-0004-0000-0100-00000C000000}"/>
    <hyperlink ref="O49" r:id="rId14" display="\\abt-soc501-dfs.de.bosch.com\XC_IMS_Platform\400_Cabin_Sensing_Radar\20_Measurements\07_CANape\Mitsubishi\5K45\MMC5.1.1\5K457EG11\Smoke Tests" xr:uid="{00000000-0004-0000-0100-00000D000000}"/>
    <hyperlink ref="O55" r:id="rId15" display="\\abtvdfs2.de.bosch.com\ismdfs\ilm\abt\IMS\Platform\400_Cabin_Sensing_Radar\20_Measurements\07_CANape\Mitsubishi\5K45\MMC5.0.1\5K457EG-11\Real_Child_Measurements" xr:uid="{00000000-0004-0000-0100-00000E000000}"/>
    <hyperlink ref="O56" r:id="rId16" display="\\abtvdfs2.de.bosch.com\ismdfs\ilm\abt\IMS\Platform\400_Cabin_Sensing_Radar\20_Measurements\07_CANape\Mitsubishi\5K45\MMC5.0.1\5K457EG-11\Real_Child_Measurements" xr:uid="{00000000-0004-0000-0100-00000F000000}"/>
    <hyperlink ref="O57" r:id="rId17" display="\\abtvdfs2.de.bosch.com\ismdfs\ilm\abt\IMS\Platform\400_Cabin_Sensing_Radar\20_Measurements\07_CANape\Mitsubishi\5K45\MMC5.0.1\5K457EG-11\Real_Child_Measurements" xr:uid="{00000000-0004-0000-0100-000010000000}"/>
    <hyperlink ref="O58" r:id="rId18" display="\\abtvdfs2.de.bosch.com\ismdfs\ilm\abt\IMS\Platform\400_Cabin_Sensing_Radar\20_Measurements\07_CANape\Mitsubishi\5K45\MMC5.0.1\5K457EG-11\Real_Child_Measurements" xr:uid="{00000000-0004-0000-0100-000011000000}"/>
    <hyperlink ref="O59" r:id="rId19" display="\\abtvdfs2.de.bosch.com\ismdfs\ilm\abt\IMS\Platform\400_Cabin_Sensing_Radar\20_Measurements\07_CANape\Mitsubishi\5K45\MMC5.0.1\5K457EG-11\Real_Child_Measurements" xr:uid="{00000000-0004-0000-0100-000012000000}"/>
    <hyperlink ref="O84" r:id="rId20" display="\\abt-soc501-dfs.de.bosch.com\XC_IMS_Platform\400_Cabin_Sensing_Radar\20_Measurements\07_CANape\Mitsubishi\5K45\MMC4.1.2\Validation\2025_11_29\child\part1\Awake" xr:uid="{00000000-0004-0000-0100-000013000000}"/>
    <hyperlink ref="O85" r:id="rId21" display="\\abt-soc501-dfs.de.bosch.com\XC_IMS_Platform\400_Cabin_Sensing_Radar\20_Measurements\07_CANape\Mitsubishi\5K45\MMC4.1.2\Validation\2025_11_29\child\part1\Awake" xr:uid="{00000000-0004-0000-0100-000014000000}"/>
    <hyperlink ref="O87" r:id="rId22" display="\\abtvdfs2.de.bosch.com\ismdfs\ilm\abt\IMS\Platform\400_Cabin_Sensing_Radar\20_Measurements\07_CANape\Mitsubishi\5K45\MMC4.1.2\Validation\child\Awake" xr:uid="{00000000-0004-0000-0100-000015000000}"/>
    <hyperlink ref="O88" r:id="rId23" display="\\abtvdfs2.de.bosch.com\ismdfs\ilm\abt\IMS\Platform\400_Cabin_Sensing_Radar\20_Measurements\07_CANape\Mitsubishi\5K45\MMC4.1.2\Validation\child\Awake" xr:uid="{00000000-0004-0000-0100-000016000000}"/>
    <hyperlink ref="O90" r:id="rId24" display="\\abt-soc501-dfs.de.bosch.com\XC_IMS_Platform\400_Cabin_Sensing_Radar\20_Measurements\07_CANape\Mitsubishi\5K45\MMC4.1.2\Validation\2025_11_29\child\part1\Awake" xr:uid="{00000000-0004-0000-0100-000017000000}"/>
    <hyperlink ref="O91" r:id="rId25" display="\\abtvdfs2.de.bosch.com\ismdfs\ilm\abt\IMS\Platform\400_Cabin_Sensing_Radar\20_Measurements\07_CANape\Mitsubishi\5K45\5.2.0\5K457EG11\Real_Childs" xr:uid="{00000000-0004-0000-0100-000018000000}"/>
    <hyperlink ref="O92" r:id="rId26" display="\\abtvdfs2.de.bosch.com\ismdfs\ilm\abt\IMS\Platform\400_Cabin_Sensing_Radar\20_Measurements\07_CANape\Mitsubishi\5K45\5.2.0\5K457EG11\Real_Childs" xr:uid="{00000000-0004-0000-0100-000019000000}"/>
    <hyperlink ref="O93" r:id="rId27" display="\\abtvdfs2.de.bosch.com\ismdfs\ilm\abt\IMS\Platform\400_Cabin_Sensing_Radar\20_Measurements\07_CANape\Mitsubishi\5K45\5.2.0\5K457EG11\Real_Childs" xr:uid="{00000000-0004-0000-0100-00001A000000}"/>
    <hyperlink ref="O94" r:id="rId28" display="\\abtvdfs2.de.bosch.com\ismdfs\ilm\abt\IMS\Platform\400_Cabin_Sensing_Radar\20_Measurements\07_CANape\Mitsubishi\5K45\5.2.0\5K457EG11\Real_Childs" xr:uid="{00000000-0004-0000-0100-00001B000000}"/>
    <hyperlink ref="O95" r:id="rId29" display="\\abtvdfs2.de.bosch.com\ismdfs\ilm\abt\IMS\Platform\400_Cabin_Sensing_Radar\20_Measurements\07_CANape\Mitsubishi\5K45\5.2.0\5K457EG11\Real_Childs" xr:uid="{00000000-0004-0000-0100-00001C000000}"/>
    <hyperlink ref="O114" r:id="rId30" display="\\abtvdfs2.de.bosch.com\ismdfs\ilm\abt\IMS\Platform\400_Cabin_Sensing_Radar\20_Measurements\07_CANape\Mitsubishi\5K45\MMC5.0.0_RC3\Real_Child_Tests" xr:uid="{00000000-0004-0000-0100-00001D000000}"/>
    <hyperlink ref="O115" r:id="rId31" display="\\abtvdfs2.de.bosch.com\ismdfs\ilm\abt\IMS\Platform\400_Cabin_Sensing_Radar\20_Measurements\07_CANape\Mitsubishi\5K45\MMC5.0.0_RC3\Real_Child_Tests" xr:uid="{00000000-0004-0000-0100-00001E000000}"/>
    <hyperlink ref="O116" r:id="rId32" display="\\abtvdfs2.de.bosch.com\ismdfs\ilm\abt\IMS\Platform\400_Cabin_Sensing_Radar\20_Measurements\07_CANape\Mitsubishi\5K45\MMC5.0.0_RC3\Real_Child_Tests" xr:uid="{00000000-0004-0000-0100-00001F000000}"/>
    <hyperlink ref="O117" r:id="rId33" display="\\abtvdfs2.de.bosch.com\ismdfs\ilm\abt\IMS\Platform\400_Cabin_Sensing_Radar\20_Measurements\07_CANape\Mitsubishi\5K45\MMC5.0.0_RC3\Real_Child_Tests" xr:uid="{00000000-0004-0000-0100-000020000000}"/>
    <hyperlink ref="O118" r:id="rId34" display="\\abtvdfs2.de.bosch.com\ismdfs\ilm\abt\IMS\Platform\400_Cabin_Sensing_Radar\20_Measurements\07_CANape\Mitsubishi\5K45\MMC5.0.0_RC3\Real_Child_Tests" xr:uid="{00000000-0004-0000-0100-000021000000}"/>
    <hyperlink ref="O122" r:id="rId35" display="\\abtvdfs2.de.bosch.com\ismdfs\ilm\abt\IMS\Platform\400_Cabin_Sensing_Radar\20_Measurements\07_CANape\Mitsubishi\5K45\MMC5.0.0_RC3\Real_Child_Tests" xr:uid="{00000000-0004-0000-0100-000022000000}"/>
    <hyperlink ref="O123" r:id="rId36" display="\\abtvdfs2.de.bosch.com\ismdfs\ilm\abt\IMS\Platform\400_Cabin_Sensing_Radar\20_Measurements\07_CANape\Mitsubishi\5K45\MMC5.0.0_RC3\Real_Child_Tests" xr:uid="{00000000-0004-0000-0100-000023000000}"/>
    <hyperlink ref="O124" r:id="rId37" display="\\abtvdfs2.de.bosch.com\ismdfs\ilm\abt\IMS\Platform\400_Cabin_Sensing_Radar\20_Measurements\07_CANape\Mitsubishi\5K45\MMC5.0.0_RC3\Real_Child_Tests" xr:uid="{00000000-0004-0000-0100-000024000000}"/>
    <hyperlink ref="O125" r:id="rId38" display="\\abtvdfs2.de.bosch.com\ismdfs\ilm\abt\IMS\Platform\400_Cabin_Sensing_Radar\20_Measurements\07_CANape\Mitsubishi\5K45\MMC5.0.0_RC3\Real_Child_Tests" xr:uid="{00000000-0004-0000-0100-000025000000}"/>
    <hyperlink ref="O126" r:id="rId39" display="\\abtvdfs2.de.bosch.com\ismdfs\ilm\abt\IMS\Platform\400_Cabin_Sensing_Radar\20_Measurements\07_CANape\Mitsubishi\5K45\MMC5.0.0_RC3\Real_Child_Tests" xr:uid="{00000000-0004-0000-0100-000026000000}"/>
    <hyperlink ref="O130" r:id="rId40" display="\\abtvdfs2.de.bosch.com\ismdfs\ilm\abt\IMS\Platform\400_Cabin_Sensing_Radar\20_Measurements\07_CANape\Mitsubishi\5K45\MMC4.1.2\Validation\2025_11_29\child\part2\Awake\" xr:uid="{00000000-0004-0000-0100-000027000000}"/>
    <hyperlink ref="O131" r:id="rId41" display="\\abtvdfs2.de.bosch.com\ismdfs\ilm\abt\IMS\Platform\400_Cabin_Sensing_Radar\20_Measurements\07_CANape\Mitsubishi\5K45\MMC4.1.2\Validation\2025_11_29\child\part2\Awake\" xr:uid="{00000000-0004-0000-0100-000028000000}"/>
    <hyperlink ref="O132" r:id="rId42" display="\\abtvdfs2.de.bosch.com\ismdfs\ilm\abt\IMS\Platform\400_Cabin_Sensing_Radar\20_Measurements\07_CANape\Mitsubishi\5K45\MMC4.1.2\Validation\2025_11_29\child\part2\Awake\" xr:uid="{00000000-0004-0000-0100-000029000000}"/>
    <hyperlink ref="O133" r:id="rId43" display="\\abtvdfs2.de.bosch.com\ismdfs\ilm\abt\IMS\Platform\400_Cabin_Sensing_Radar\20_Measurements\07_CANape\Mitsubishi\5K45\MMC5.0.0_RC3\Real_Child_Tests" xr:uid="{00000000-0004-0000-0100-00002A000000}"/>
    <hyperlink ref="O134" r:id="rId44" display="\\abtvdfs2.de.bosch.com\ismdfs\ilm\abt\IMS\Platform\400_Cabin_Sensing_Radar\20_Measurements\07_CANape\Mitsubishi\5K45\MMC5.0.0_RC3\Real_Child_Tests" xr:uid="{00000000-0004-0000-0100-00002B000000}"/>
    <hyperlink ref="O135" r:id="rId45" display="\\abtvdfs2.de.bosch.com\ismdfs\ilm\abt\IMS\Platform\400_Cabin_Sensing_Radar\20_Measurements\07_CANape\Mitsubishi\5K45\MMC5.0.0_RC3\Real_Child_Tests" xr:uid="{00000000-0004-0000-0100-00002C000000}"/>
    <hyperlink ref="O136" r:id="rId46" display="\\abtvdfs2.de.bosch.com\ismdfs\ilm\abt\IMS\Platform\400_Cabin_Sensing_Radar\20_Measurements\07_CANape\Mitsubishi\5K45\MMC5.0.0_RC3\Real_Child_Tests" xr:uid="{00000000-0004-0000-0100-00002D000000}"/>
    <hyperlink ref="O137" r:id="rId47" display="\\abtvdfs2.de.bosch.com\ismdfs\ilm\abt\IMS\Platform\400_Cabin_Sensing_Radar\20_Measurements\07_CANape\Mitsubishi\5K45\MMC5.0.0_RC3\Real_Child_Tests" xr:uid="{00000000-0004-0000-0100-00002E000000}"/>
    <hyperlink ref="O138" r:id="rId48" display="\\abtvdfs2.de.bosch.com\ismdfs\ilm\abt\IMS\Platform\400_Cabin_Sensing_Radar\20_Measurements\07_CANape\Mitsubishi\5K45\MMC5.0.0_RC3\Real_Child_Tests" xr:uid="{00000000-0004-0000-0100-00002F000000}"/>
    <hyperlink ref="O139" r:id="rId49" display="\\abtvdfs2.de.bosch.com\ismdfs\ilm\abt\IMS\Platform\400_Cabin_Sensing_Radar\20_Measurements\07_CANape\Mitsubishi\5K45\MMC5.0.0_RC3\Real_Child_Tests" xr:uid="{00000000-0004-0000-0100-000030000000}"/>
    <hyperlink ref="O140" r:id="rId50" display="\\abtvdfs2.de.bosch.com\ismdfs\ilm\abt\IMS\Platform\400_Cabin_Sensing_Radar\20_Measurements\07_CANape\Mitsubishi\5K45\MMC5.0.0_RC3\Real_Child_Tests" xr:uid="{00000000-0004-0000-0100-000031000000}"/>
    <hyperlink ref="O141" r:id="rId51" display="\\abtvdfs2.de.bosch.com\ismdfs\ilm\abt\IMS\Platform\400_Cabin_Sensing_Radar\20_Measurements\07_CANape\Mitsubishi\5K45\MMC5.0.0_RC3\Real_Child_Tests" xr:uid="{00000000-0004-0000-0100-000032000000}"/>
    <hyperlink ref="O142" r:id="rId52" display="\\abtvdfs2.de.bosch.com\ismdfs\ilm\abt\IMS\Platform\400_Cabin_Sensing_Radar\20_Measurements\07_CANape\Mitsubishi\5K45\MMC5.0.0_RC3\Real_Child_Tests" xr:uid="{00000000-0004-0000-0100-000033000000}"/>
    <hyperlink ref="O143" r:id="rId53" display="\\abtvdfs2.de.bosch.com\ismdfs\ilm\abt\IMS\Platform\400_Cabin_Sensing_Radar\20_Measurements\07_CANape\Mitsubishi\5K45\MMC5.0.0_RC3\Real_Child_Tests" xr:uid="{00000000-0004-0000-0100-000034000000}"/>
    <hyperlink ref="O144" r:id="rId54" display="\\abtvdfs2.de.bosch.com\ismdfs\ilm\abt\IMS\Platform\400_Cabin_Sensing_Radar\20_Measurements\07_CANape\Mitsubishi\5K45\MMC5.0.0_RC3\Real_Child_Tests" xr:uid="{00000000-0004-0000-0100-000035000000}"/>
    <hyperlink ref="O154" r:id="rId55" display="\\abtvdfs2.de.bosch.com\ismdfs\ilm\abt\IMS\Platform\400_Cabin_Sensing_Radar\20_Measurements\07_CANape\Mitsubishi\5K45\MMC4.1.2\Validation\2025_11_29\child\part2\Sleep\" xr:uid="{00000000-0004-0000-0100-000036000000}"/>
    <hyperlink ref="O155" r:id="rId56" display="\\abtvdfs2.de.bosch.com\ismdfs\ilm\abt\IMS\Platform\400_Cabin_Sensing_Radar\20_Measurements\07_CANape\Mitsubishi\5K45\MMC4.1.2\Validation\2025_11_29\child\part2\Sleep\" xr:uid="{00000000-0004-0000-0100-000037000000}"/>
    <hyperlink ref="O156" r:id="rId57" display="\\abtvdfs2.de.bosch.com\ismdfs\ilm\abt\IMS\Platform\400_Cabin_Sensing_Radar\20_Measurements\07_CANape\Mitsubishi\5K45\MMC4.1.2\Validation\2025_11_29\child\part2\Sleep\" xr:uid="{00000000-0004-0000-0100-000038000000}"/>
    <hyperlink ref="O167" r:id="rId58" display="\\abtvdfs2.de.bosch.com\ismdfs\ilm\abt\IMS\Platform\400_Cabin_Sensing_Radar\20_Measurements\07_CANape\Mitsubishi\5K45\MMC5.0.0_RC3\Real_Child_Tests" xr:uid="{00000000-0004-0000-0100-000039000000}"/>
    <hyperlink ref="O168" r:id="rId59" display="\\abtvdfs2.de.bosch.com\ismdfs\ilm\abt\IMS\Platform\400_Cabin_Sensing_Radar\20_Measurements\07_CANape\Mitsubishi\5K45\MMC5.0.0_RC3\Real_Child_Tests" xr:uid="{00000000-0004-0000-0100-00003A000000}"/>
    <hyperlink ref="O169" r:id="rId60" display="\\abtvdfs2.de.bosch.com\ismdfs\ilm\abt\IMS\Platform\400_Cabin_Sensing_Radar\20_Measurements\07_CANape\Mitsubishi\5K45\MMC5.0.0_RC3\Real_Child_Tests" xr:uid="{00000000-0004-0000-0100-00003B000000}"/>
    <hyperlink ref="O170" r:id="rId61" display="\\abtvdfs2.de.bosch.com\ismdfs\ilm\abt\IMS\Platform\400_Cabin_Sensing_Radar\20_Measurements\07_CANape\Mitsubishi\5K45\MMC5.0.0_RC3\Real_Child_Tests" xr:uid="{00000000-0004-0000-0100-00003C000000}"/>
    <hyperlink ref="O171" r:id="rId62" display="\\abtvdfs2.de.bosch.com\ismdfs\ilm\abt\IMS\Platform\400_Cabin_Sensing_Radar\20_Measurements\07_CANape\Mitsubishi\5K45\MMC5.0.0_RC3\Real_Child_Tests" xr:uid="{00000000-0004-0000-0100-00003D000000}"/>
    <hyperlink ref="O181" r:id="rId63" display="\\abtvdfs2.de.bosch.com\ismdfs\ilm\abt\IMS\Platform\400_Cabin_Sensing_Radar\20_Measurements\07_CANape\Mitsubishi\5K45\MMC4.1.2\Validation\2025_11_29\child\part2\Sleep\" xr:uid="{00000000-0004-0000-0100-00003E000000}"/>
    <hyperlink ref="O182" r:id="rId64" display="\\abtvdfs2.de.bosch.com\ismdfs\ilm\abt\IMS\Platform\400_Cabin_Sensing_Radar\20_Measurements\07_CANape\Mitsubishi\5K45\MMC4.1.2\Validation\2025_11_29\child\part2\Sleep\" xr:uid="{00000000-0004-0000-0100-00003F000000}"/>
    <hyperlink ref="O183" r:id="rId65" display="\\abtvdfs2.de.bosch.com\ismdfs\ilm\abt\IMS\Platform\400_Cabin_Sensing_Radar\20_Measurements\07_CANape\Mitsubishi\5K45\MMC4.1.2\Validation\2025_11_29\child\part2\Sleep\" xr:uid="{00000000-0004-0000-0100-000040000000}"/>
    <hyperlink ref="O189" r:id="rId66" display="\\abtvdfs2.de.bosch.com\ismdfs\ilm\abt\IMS\Platform\400_Cabin_Sensing_Radar\20_Measurements\07_CANape\Mitsubishi\5K45\MMC5.0.0_RC3\Real_Child_Tests" xr:uid="{00000000-0004-0000-0100-000041000000}"/>
    <hyperlink ref="O190" r:id="rId67" display="\\abtvdfs2.de.bosch.com\ismdfs\ilm\abt\IMS\Platform\400_Cabin_Sensing_Radar\20_Measurements\07_CANape\Mitsubishi\5K45\MMC5.0.0_RC3\Real_Child_Tests" xr:uid="{00000000-0004-0000-0100-000042000000}"/>
    <hyperlink ref="O191" r:id="rId68" display="\\abtvdfs2.de.bosch.com\ismdfs\ilm\abt\IMS\Platform\400_Cabin_Sensing_Radar\20_Measurements\07_CANape\Mitsubishi\5K45\MMC5.0.0_RC3\Real_Child_Tests" xr:uid="{00000000-0004-0000-0100-000043000000}"/>
    <hyperlink ref="O192" r:id="rId69" display="\\abtvdfs2.de.bosch.com\ismdfs\ilm\abt\IMS\Platform\400_Cabin_Sensing_Radar\20_Measurements\07_CANape\Mitsubishi\5K45\MMC5.0.0_RC3\Real_Child_Tests" xr:uid="{00000000-0004-0000-0100-000044000000}"/>
    <hyperlink ref="O193" r:id="rId70" display="\\abtvdfs2.de.bosch.com\ismdfs\ilm\abt\IMS\Platform\400_Cabin_Sensing_Radar\20_Measurements\07_CANape\Mitsubishi\5K45\MMC5.0.0_RC3\Real_Child_Tests" xr:uid="{00000000-0004-0000-0100-000045000000}"/>
    <hyperlink ref="O203" r:id="rId71" display="\\abtvdfs2.de.bosch.com\ismdfs\ilm\abt\IMS\Platform\400_Cabin_Sensing_Radar\20_Measurements\07_CANape\Mitsubishi\5K45\MMC4.1.2\Validation\2025_11_29\child\part2\Sleep\" xr:uid="{00000000-0004-0000-0100-000046000000}"/>
    <hyperlink ref="O204" r:id="rId72" display="\\abtvdfs2.de.bosch.com\ismdfs\ilm\abt\IMS\Platform\400_Cabin_Sensing_Radar\20_Measurements\07_CANape\Mitsubishi\5K45\MMC4.1.2\Validation\2025_11_29\child\part2\Sleep\" xr:uid="{00000000-0004-0000-0100-000047000000}"/>
    <hyperlink ref="O205" r:id="rId73" display="\\abtvdfs2.de.bosch.com\ismdfs\ilm\abt\IMS\Platform\400_Cabin_Sensing_Radar\20_Measurements\07_CANape\Mitsubishi\5K45\MMC4.1.2\Validation\2025_11_29\child\part2\Sleep\" xr:uid="{00000000-0004-0000-0100-000048000000}"/>
    <hyperlink ref="O283" r:id="rId74" display="\\abtvdfs2.de.bosch.com\ismdfs\ilm\abt\IMS\Platform\400_Cabin_Sensing_Radar\20_Measurements\07_CANape\Mitsubishi\5K45\MMC5.0.0_RC3_with_resetfix\CPD\" xr:uid="{00000000-0004-0000-0100-000049000000}"/>
    <hyperlink ref="O284" r:id="rId75" display="\\abtvdfs2.de.bosch.com\ismdfs\ilm\abt\IMS\Platform\400_Cabin_Sensing_Radar\20_Measurements\07_CANape\Mitsubishi\5K45\MMC5.0.0_RC3_with_resetfix\CPD\" xr:uid="{00000000-0004-0000-0100-00004A000000}"/>
    <hyperlink ref="O285" r:id="rId76" display="\\abtvdfs2.de.bosch.com\ismdfs\ilm\abt\IMS\Platform\400_Cabin_Sensing_Radar\20_Measurements\07_CANape\Mitsubishi\5K45\MMC5.0.0_RC3_with_resetfix\CPD\" xr:uid="{00000000-0004-0000-0100-00004B000000}"/>
    <hyperlink ref="O286" r:id="rId77" display="\\abt-soc501-dfs.de.bosch.com\XC_IMS_Platform\400_Cabin_Sensing_Radar\20_Measurements\07_CANape\Mitsubishi\5K45\MMC4.1.2\Validation\2025_11_28\orderedByTargetType\child\Sleep" xr:uid="{00000000-0004-0000-0100-00004C000000}"/>
    <hyperlink ref="O287" r:id="rId78" display="\\abt-soc501-dfs.de.bosch.com\XC_IMS_Platform\400_Cabin_Sensing_Radar\20_Measurements\07_CANape\Mitsubishi\5K45\MMC4.1.2\Validation\2025_11_28\orderedByTargetType\child\Sleep" xr:uid="{00000000-0004-0000-0100-00004D000000}"/>
    <hyperlink ref="O288" r:id="rId79" display="\\abt-soc501-dfs.de.bosch.com\XC_IMS_Platform\400_Cabin_Sensing_Radar\20_Measurements\07_CANape\Mitsubishi\5K45\MMC4.1.2\Validation\2025_11_28\orderedByTargetType\child\Sleep" xr:uid="{00000000-0004-0000-0100-00004E000000}"/>
    <hyperlink ref="O289" r:id="rId80" display="\\abtvdfs2.de.bosch.com\ismdfs\ilm\abt\IMS\Platform\400_Cabin_Sensing_Radar\20_Measurements\07_CANape\Mitsubishi\5K45\MMC5.0.0_RC3_with_resetfix\CPD\" xr:uid="{00000000-0004-0000-0100-00004F000000}"/>
    <hyperlink ref="O290" r:id="rId81" display="\\abtvdfs2.de.bosch.com\ismdfs\ilm\abt\IMS\Platform\400_Cabin_Sensing_Radar\20_Measurements\07_CANape\Mitsubishi\5K45\MMC5.0.0_RC3_with_resetfix\CPD\" xr:uid="{00000000-0004-0000-0100-000050000000}"/>
    <hyperlink ref="O291" r:id="rId82" display="\\abtvdfs2.de.bosch.com\ismdfs\ilm\abt\IMS\Platform\400_Cabin_Sensing_Radar\20_Measurements\07_CANape\Mitsubishi\5K45\MMC5.0.0_RC3_with_resetfix\CPD\" xr:uid="{00000000-0004-0000-0100-000051000000}"/>
    <hyperlink ref="O317" r:id="rId83" display="\\abtvdfs2.de.bosch.com\ismdfs\ilm\abt\IMS\Platform\400_Cabin_Sensing_Radar\20_Measurements\07_CANape\Mitsubishi\5K45\MMC5.0.1\5K457EG-11\Real_Child_Measurements" xr:uid="{00000000-0004-0000-0100-000052000000}"/>
    <hyperlink ref="O318" r:id="rId84" display="\\abtvdfs2.de.bosch.com\ismdfs\ilm\abt\IMS\Platform\400_Cabin_Sensing_Radar\20_Measurements\07_CANape\Mitsubishi\5K45\MMC5.0.1\5K457EG-11\Real_Child_Measurements" xr:uid="{00000000-0004-0000-0100-000053000000}"/>
    <hyperlink ref="O319" r:id="rId85" display="\\abtvdfs2.de.bosch.com\ismdfs\ilm\abt\IMS\Platform\400_Cabin_Sensing_Radar\20_Measurements\07_CANape\Mitsubishi\5K45\MMC5.0.1\5K457EG-11\Real_Child_Measurements" xr:uid="{00000000-0004-0000-0100-000054000000}"/>
    <hyperlink ref="O320" r:id="rId86" display="\\abtvdfs2.de.bosch.com\ismdfs\ilm\abt\IMS\Platform\400_Cabin_Sensing_Radar\20_Measurements\07_CANape\Mitsubishi\5K45\MMC5.0.1\5K457EG-11\Real_Child_Measurements" xr:uid="{00000000-0004-0000-0100-000055000000}"/>
    <hyperlink ref="O321" r:id="rId87" display="\\abtvdfs2.de.bosch.com\ismdfs\ilm\abt\IMS\Platform\400_Cabin_Sensing_Radar\20_Measurements\07_CANape\Mitsubishi\5K45\MMC5.0.1\5K457EG-11\Real_Child_Measurements" xr:uid="{00000000-0004-0000-0100-000056000000}"/>
    <hyperlink ref="O322" r:id="rId88" display="\\abtvdfs2.de.bosch.com\ismdfs\ilm\abt\IMS\Platform\400_Cabin_Sensing_Radar\20_Measurements\07_CANape\Mitsubishi\5K45\MMC5.0.0_RC3_with_resetfix\CPD\" xr:uid="{00000000-0004-0000-0100-000057000000}"/>
    <hyperlink ref="O323" r:id="rId89" display="\\abtvdfs2.de.bosch.com\ismdfs\ilm\abt\IMS\Platform\400_Cabin_Sensing_Radar\20_Measurements\07_CANape\Mitsubishi\5K45\MMC5.0.0_RC3_with_resetfix\CPD\" xr:uid="{00000000-0004-0000-0100-000058000000}"/>
    <hyperlink ref="O324" r:id="rId90" display="\\abtvdfs2.de.bosch.com\ismdfs\ilm\abt\IMS\Platform\400_Cabin_Sensing_Radar\20_Measurements\07_CANape\Mitsubishi\5K45\MMC5.0.0_RC3_with_resetfix\CPD\" xr:uid="{00000000-0004-0000-0100-000059000000}"/>
    <hyperlink ref="O338" r:id="rId91" display="\\abtvdfs2.de.bosch.com\ismdfs\ilm\abt\IMS\Platform\400_Cabin_Sensing_Radar\20_Measurements\07_CANape\Mitsubishi\5K45\MMC5.0.0_RC3_with_resetfix\CPD\" xr:uid="{00000000-0004-0000-0100-00005A000000}"/>
    <hyperlink ref="O339" r:id="rId92" display="\\abtvdfs2.de.bosch.com\ismdfs\ilm\abt\IMS\Platform\400_Cabin_Sensing_Radar\20_Measurements\07_CANape\Mitsubishi\5K45\MMC5.0.0_RC3_with_resetfix\CPD\" xr:uid="{00000000-0004-0000-0100-00005B000000}"/>
    <hyperlink ref="O340" r:id="rId93" display="\\abtvdfs2.de.bosch.com\ismdfs\ilm\abt\IMS\Platform\400_Cabin_Sensing_Radar\20_Measurements\07_CANape\Mitsubishi\5K45\MMC5.0.0_RC3_with_resetfix\CPD\" xr:uid="{00000000-0004-0000-0100-00005C000000}"/>
    <hyperlink ref="O354" r:id="rId94" display="\\abtvdfs2.de.bosch.com\ismdfs\ilm\abt\IMS\Platform\400_Cabin_Sensing_Radar\20_Measurements\07_CANape\Mitsubishi\5K45\MMC5.0.0_RC3_with_resetfix\CPD\" xr:uid="{00000000-0004-0000-0100-00005D000000}"/>
    <hyperlink ref="O355" r:id="rId95" display="\\abtvdfs2.de.bosch.com\ismdfs\ilm\abt\IMS\Platform\400_Cabin_Sensing_Radar\20_Measurements\07_CANape\Mitsubishi\5K45\MMC5.0.0_RC3_with_resetfix\CPD\" xr:uid="{00000000-0004-0000-0100-00005E000000}"/>
    <hyperlink ref="O356" r:id="rId96" display="\\abtvdfs2.de.bosch.com\ismdfs\ilm\abt\IMS\Platform\400_Cabin_Sensing_Radar\20_Measurements\07_CANape\Mitsubishi\5K45\MMC5.0.0_RC3_with_resetfix\CPD\" xr:uid="{00000000-0004-0000-0100-00005F000000}"/>
    <hyperlink ref="O404" r:id="rId97" display="\\abt-soc501-dfs.de.bosch.com\XC_IMS_Platform\400_Cabin_Sensing_Radar\20_Measurements\07_CANape\Mitsubishi\5K45\MMC4.1.2\Validation\2025_12_02\ChildAwake" xr:uid="{00000000-0004-0000-0100-000060000000}"/>
    <hyperlink ref="O461" r:id="rId98" display="\\abtvdfs2.de.bosch.com\ismdfs\ilm\abt\IMS\Platform\400_Cabin_Sensing_Radar\20_Measurements\07_CANape\Mitsubishi\5K45\MMC5.0.0_RC3\Real_Child_Tests" xr:uid="{00000000-0004-0000-0100-000061000000}"/>
    <hyperlink ref="O462" r:id="rId99" display="\\abtvdfs2.de.bosch.com\ismdfs\ilm\abt\IMS\Platform\400_Cabin_Sensing_Radar\20_Measurements\07_CANape\Mitsubishi\5K45\MMC5.0.0_RC3\Real_Child_Tests" xr:uid="{00000000-0004-0000-0100-000062000000}"/>
    <hyperlink ref="O463" r:id="rId100" display="\\abtvdfs2.de.bosch.com\ismdfs\ilm\abt\IMS\Platform\400_Cabin_Sensing_Radar\20_Measurements\07_CANape\Mitsubishi\5K45\MMC5.0.0_RC3\Real_Child_Tests" xr:uid="{00000000-0004-0000-0100-000063000000}"/>
    <hyperlink ref="O464" r:id="rId101" display="\\abtvdfs2.de.bosch.com\ismdfs\ilm\abt\IMS\Platform\400_Cabin_Sensing_Radar\20_Measurements\07_CANape\Mitsubishi\5K45\MMC5.0.0_RC3\Real_Child_Tests" xr:uid="{00000000-0004-0000-0100-000064000000}"/>
    <hyperlink ref="O465" r:id="rId102" display="\\abtvdfs2.de.bosch.com\ismdfs\ilm\abt\IMS\Platform\400_Cabin_Sensing_Radar\20_Measurements\07_CANape\Mitsubishi\5K45\MMC5.0.0_RC3\Real_Child_Tests" xr:uid="{00000000-0004-0000-0100-000065000000}"/>
    <hyperlink ref="O487" r:id="rId103" display="\\abtvdfs2.de.bosch.com\ismdfs\ilm\abt\IMS\Platform\400_Cabin_Sensing_Radar\20_Measurements\07_CANape\Mitsubishi\5K45\MMC5.0.0_RC3\Real_Child_Tests" xr:uid="{00000000-0004-0000-0100-000066000000}"/>
    <hyperlink ref="O488" r:id="rId104" display="\\abtvdfs2.de.bosch.com\ismdfs\ilm\abt\IMS\Platform\400_Cabin_Sensing_Radar\20_Measurements\07_CANape\Mitsubishi\5K45\MMC5.0.0_RC3\Real_Child_Tests" xr:uid="{00000000-0004-0000-0100-000067000000}"/>
    <hyperlink ref="O489" r:id="rId105" display="\\abtvdfs2.de.bosch.com\ismdfs\ilm\abt\IMS\Platform\400_Cabin_Sensing_Radar\20_Measurements\07_CANape\Mitsubishi\5K45\MMC5.0.0_RC3\Real_Child_Tests" xr:uid="{00000000-0004-0000-0100-000068000000}"/>
    <hyperlink ref="O490" r:id="rId106" display="\\abtvdfs2.de.bosch.com\ismdfs\ilm\abt\IMS\Platform\400_Cabin_Sensing_Radar\20_Measurements\07_CANape\Mitsubishi\5K45\MMC5.0.0_RC3\Real_Child_Tests" xr:uid="{00000000-0004-0000-0100-000069000000}"/>
    <hyperlink ref="O491" r:id="rId107" display="\\abtvdfs2.de.bosch.com\ismdfs\ilm\abt\IMS\Platform\400_Cabin_Sensing_Radar\20_Measurements\07_CANape\Mitsubishi\5K45\MMC5.0.0_RC3\Real_Child_Tests" xr:uid="{00000000-0004-0000-0100-00006A000000}"/>
    <hyperlink ref="O495" r:id="rId108" display="\\abtvdfs2.de.bosch.com\ismdfs\ilm\abt\IMS\Platform\400_Cabin_Sensing_Radar\20_Measurements\07_CANape\Mitsubishi\5K45\MMC5.0.1\5K457EG-11\Real_Child_Measurements" xr:uid="{00000000-0004-0000-0100-00006B000000}"/>
    <hyperlink ref="O496" r:id="rId109" display="\\abtvdfs2.de.bosch.com\ismdfs\ilm\abt\IMS\Platform\400_Cabin_Sensing_Radar\20_Measurements\07_CANape\Mitsubishi\5K45\MMC5.0.1\5K457EG-11\Real_Child_Measurements" xr:uid="{00000000-0004-0000-0100-00006C000000}"/>
    <hyperlink ref="O497" r:id="rId110" display="\\abtvdfs2.de.bosch.com\ismdfs\ilm\abt\IMS\Platform\400_Cabin_Sensing_Radar\20_Measurements\07_CANape\Mitsubishi\5K45\MMC5.0.1\5K457EG-11\Real_Child_Measurements" xr:uid="{00000000-0004-0000-0100-00006D000000}"/>
    <hyperlink ref="O498" r:id="rId111" display="\\abtvdfs2.de.bosch.com\ismdfs\ilm\abt\IMS\Platform\400_Cabin_Sensing_Radar\20_Measurements\07_CANape\Mitsubishi\5K45\MMC5.0.1\5K457EG-11\Real_Child_Measurements" xr:uid="{00000000-0004-0000-0100-00006E000000}"/>
    <hyperlink ref="O511" r:id="rId112" display="\\abtvdfs2.de.bosch.com\ismdfs\ilm\abt\IMS\Platform\400_Cabin_Sensing_Radar\20_Measurements\07_CANape\Mitsubishi\5K45\MMC4.1.2\Validation\2025_11_28\TC_103_Try1.MF4.xz" xr:uid="{00000000-0004-0000-0100-00006F000000}"/>
    <hyperlink ref="O512" r:id="rId113" display="\\abtvdfs2.de.bosch.com\ismdfs\ilm\abt\IMS\Platform\400_Cabin_Sensing_Radar\20_Measurements\07_CANape\Mitsubishi\5K45\MMC4.1.2\Validation\2025_11_28\TC_103_Try2.MF4.xz" xr:uid="{00000000-0004-0000-0100-000070000000}"/>
    <hyperlink ref="O513" r:id="rId114" display="\\abtvdfs2.de.bosch.com\ismdfs\ilm\abt\IMS\Platform\400_Cabin_Sensing_Radar\20_Measurements\07_CANape\Mitsubishi\5K45\MMC4.1.2\Validation\2025_11_28\TC_103_Try3.MF4.xz" xr:uid="{00000000-0004-0000-0100-000071000000}"/>
    <hyperlink ref="O514" r:id="rId115" display="\\abtvdfs2.de.bosch.com\ismdfs\ilm\abt\IMS\Platform\400_Cabin_Sensing_Radar\20_Measurements\07_CANape\Mitsubishi\5K45\MMC4.1.2\Validation\2025_11_28\TC_103_Try3_Retry.MF4.xz" xr:uid="{00000000-0004-0000-0100-000072000000}"/>
    <hyperlink ref="K724" r:id="rId116" display="\\abtvdfs2.de.bosch.com\ismdfs\ilm\abt\IMS\Platform\400_Cabin_Sensing_Radar\20_Measurements\07_CANape\Mitsubishi\5K45\MMC5.0.2\5K457EG11\CPD\CSR_XCP_Signals_Recorder_2026-01-26_11-23-32_CPD_TC182_Try5.MF4.xz" xr:uid="{00000000-0004-0000-0100-000073000000}"/>
    <hyperlink ref="O792" r:id="rId117" display="\\abtvdfs2.de.bosch.com\ismdfs\ilm\abt\IMS\Platform\400_Cabin_Sensing_Radar\20_Measurements\07_CANape\Mitsubishi\5K45\MMC5.0.0_RC3_with_resetfix\CPD" xr:uid="{00000000-0004-0000-0100-000074000000}"/>
    <hyperlink ref="O793" r:id="rId118" display="\\abtvdfs2.de.bosch.com\ismdfs\ilm\abt\IMS\Platform\400_Cabin_Sensing_Radar\20_Measurements\07_CANape\Mitsubishi\5K45\MMC5.0.0_RC3_with_resetfix\CPD" xr:uid="{00000000-0004-0000-0100-000075000000}"/>
    <hyperlink ref="O794" r:id="rId119" display="\\abtvdfs2.de.bosch.com\ismdfs\ilm\abt\IMS\Platform\400_Cabin_Sensing_Radar\20_Measurements\07_CANape\Mitsubishi\5K45\MMC5.0.0_RC3_with_resetfix\CPD" xr:uid="{00000000-0004-0000-0100-000076000000}"/>
    <hyperlink ref="O808" r:id="rId120" display="\\abtvdfs2.de.bosch.com\ismdfs\ilm\abt\IMS\Platform\400_Cabin_Sensing_Radar\20_Measurements\07_CANape\Mitsubishi\5K45\MMC4.1.2\Validation\child\Awake" xr:uid="{00000000-0004-0000-0100-000077000000}"/>
    <hyperlink ref="O837" r:id="rId121" display="\\abt-soc501-dfs.de.bosch.com\XC_IMS_Platform\400_Cabin_Sensing_Radar\20_Measurements\07_CANape\Mitsubishi\5K45\MMC5.0.2\5K457EG11\RealChild" xr:uid="{00000000-0004-0000-0100-000078000000}"/>
    <hyperlink ref="O841" r:id="rId122" display="\\abtvdfs2.de.bosch.com\ismdfs\ilm\abt\IMS\Platform\400_Cabin_Sensing_Radar\20_Measurements\07_CANape\Mitsubishi\5K45\MMC5.0.0_RC3_with_resetfix\CPD" xr:uid="{00000000-0004-0000-0100-000079000000}"/>
    <hyperlink ref="O842" r:id="rId123" display="\\abtvdfs2.de.bosch.com\ismdfs\ilm\abt\IMS\Platform\400_Cabin_Sensing_Radar\20_Measurements\07_CANape\Mitsubishi\5K45\MMC5.0.0_RC3_with_resetfix\CPD" xr:uid="{00000000-0004-0000-0100-00007A000000}"/>
    <hyperlink ref="O843" r:id="rId124" display="\\abtvdfs2.de.bosch.com\ismdfs\ilm\abt\IMS\Platform\400_Cabin_Sensing_Radar\20_Measurements\07_CANape\Mitsubishi\5K45\MMC5.0.0_RC3_with_resetfix\CPD" xr:uid="{00000000-0004-0000-0100-00007B000000}"/>
    <hyperlink ref="O849" r:id="rId125" display="\\abtvdfs2.de.bosch.com\ismdfs\ilm\abt\IMS\Platform\400_Cabin_Sensing_Radar\20_Measurements\07_CANape\Mitsubishi\5K45\MMC5.0.0_RC3_with_resetfix\CPD" xr:uid="{00000000-0004-0000-0100-00007C000000}"/>
    <hyperlink ref="O850" r:id="rId126" display="\\abtvdfs2.de.bosch.com\ismdfs\ilm\abt\IMS\Platform\400_Cabin_Sensing_Radar\20_Measurements\07_CANape\Mitsubishi\5K45\MMC5.0.0_RC3_with_resetfix\CPD" xr:uid="{00000000-0004-0000-0100-00007D000000}"/>
    <hyperlink ref="O851" r:id="rId127" display="\\abtvdfs2.de.bosch.com\ismdfs\ilm\abt\IMS\Platform\400_Cabin_Sensing_Radar\20_Measurements\07_CANape\Mitsubishi\5K45\MMC5.0.0_RC3_with_resetfix\CPD" xr:uid="{00000000-0004-0000-0100-00007E000000}"/>
    <hyperlink ref="O856" r:id="rId128" display="\\abtvdfs2.de.bosch.com\ismdfs\ilm\abt\IMS\Platform\400_Cabin_Sensing_Radar\20_Measurements\07_CANape\Mitsubishi\5K45\MMC5.0.0_RC3_with_resetfix\CPD" xr:uid="{00000000-0004-0000-0100-00007F000000}"/>
    <hyperlink ref="O857" r:id="rId129" display="\\abtvdfs2.de.bosch.com\ismdfs\ilm\abt\IMS\Platform\400_Cabin_Sensing_Radar\20_Measurements\07_CANape\Mitsubishi\5K45\MMC5.0.0_RC3_with_resetfix\CPD" xr:uid="{00000000-0004-0000-0100-000080000000}"/>
    <hyperlink ref="O858" r:id="rId130" display="\\abtvdfs2.de.bosch.com\ismdfs\ilm\abt\IMS\Platform\400_Cabin_Sensing_Radar\20_Measurements\07_CANape\Mitsubishi\5K45\MMC5.0.0_RC3_with_resetfix\CPD" xr:uid="{00000000-0004-0000-0100-000081000000}"/>
    <hyperlink ref="O869" r:id="rId131" display="\\abtvdfs2.de.bosch.com\ismdfs\ilm\abt\IMS\Platform\400_Cabin_Sensing_Radar\20_Measurements\07_CANape\Mitsubishi\5K45\MMC5.0.0_RC3_with_resetfix\CPD" xr:uid="{00000000-0004-0000-0100-000082000000}"/>
    <hyperlink ref="O870" r:id="rId132" display="\\abtvdfs2.de.bosch.com\ismdfs\ilm\abt\IMS\Platform\400_Cabin_Sensing_Radar\20_Measurements\07_CANape\Mitsubishi\5K45\MMC5.0.0_RC3_with_resetfix\CPD" xr:uid="{00000000-0004-0000-0100-000083000000}"/>
    <hyperlink ref="O871" r:id="rId133" display="\\abtvdfs2.de.bosch.com\ismdfs\ilm\abt\IMS\Platform\400_Cabin_Sensing_Radar\20_Measurements\07_CANape\Mitsubishi\5K45\MMC5.0.0_RC3_with_resetfix\CPD" xr:uid="{00000000-0004-0000-0100-000084000000}"/>
    <hyperlink ref="O872" r:id="rId134" display="\\abtvdfs2.de.bosch.com\ismdfs\ilm\abt\IMS\Platform\400_Cabin_Sensing_Radar\20_Measurements\07_CANape\Mitsubishi\5K45\MMC5.0.0_RC3_with_resetfix\CPD" xr:uid="{00000000-0004-0000-0100-000085000000}"/>
    <hyperlink ref="O873" r:id="rId135" display="\\abtvdfs2.de.bosch.com\ismdfs\ilm\abt\IMS\Platform\400_Cabin_Sensing_Radar\20_Measurements\07_CANape\Mitsubishi\5K45\MMC5.0.0_RC3_with_resetfix\CPD" xr:uid="{00000000-0004-0000-0100-000086000000}"/>
    <hyperlink ref="O874" r:id="rId136" display="\\abtvdfs2.de.bosch.com\ismdfs\ilm\abt\IMS\Platform\400_Cabin_Sensing_Radar\20_Measurements\07_CANape\Mitsubishi\5K45\MMC5.0.0_RC3_with_resetfix\CPD" xr:uid="{00000000-0004-0000-0100-000087000000}"/>
    <hyperlink ref="O878" r:id="rId137" display="\\abtvdfs2.de.bosch.com\ismdfs\ilm\abt\IMS\Platform\400_Cabin_Sensing_Radar\20_Measurements\07_CANape\Mitsubishi\5K45\MMC5.0.0_RC3_with_resetfix\CPD" xr:uid="{00000000-0004-0000-0100-000088000000}"/>
    <hyperlink ref="O879" r:id="rId138" display="\\abtvdfs2.de.bosch.com\ismdfs\ilm\abt\IMS\Platform\400_Cabin_Sensing_Radar\20_Measurements\07_CANape\Mitsubishi\5K45\MMC5.0.0_RC3_with_resetfix\CPD" xr:uid="{00000000-0004-0000-0100-000089000000}"/>
    <hyperlink ref="O880" r:id="rId139" display="\\abtvdfs2.de.bosch.com\ismdfs\ilm\abt\IMS\Platform\400_Cabin_Sensing_Radar\20_Measurements\07_CANape\Mitsubishi\5K45\MMC5.0.0_RC3_with_resetfix\CPD" xr:uid="{00000000-0004-0000-0100-00008A000000}"/>
    <hyperlink ref="O913" r:id="rId140" display="\\abtvdfs2.de.bosch.com\ismdfs\ilm\abt\IMS\Platform\400_Cabin_Sensing_Radar\20_Measurements\07_CANape\Mitsubishi\5K45\MMC5.0.0_RC3_with_resetfix\CPD" xr:uid="{00000000-0004-0000-0100-00008B000000}"/>
    <hyperlink ref="O914" r:id="rId141" display="\\abtvdfs2.de.bosch.com\ismdfs\ilm\abt\IMS\Platform\400_Cabin_Sensing_Radar\20_Measurements\07_CANape\Mitsubishi\5K45\MMC5.0.0_RC3_with_resetfix\CPD" xr:uid="{00000000-0004-0000-0100-00008C000000}"/>
    <hyperlink ref="O915" r:id="rId142" display="\\abtvdfs2.de.bosch.com\ismdfs\ilm\abt\IMS\Platform\400_Cabin_Sensing_Radar\20_Measurements\07_CANape\Mitsubishi\5K45\MMC5.0.0_RC3_with_resetfix\CPD" xr:uid="{00000000-0004-0000-0100-00008D000000}"/>
    <hyperlink ref="O929" r:id="rId143" display="\\abtvdfs2.de.bosch.com\ismdfs\ilm\abt\IMS\Platform\400_Cabin_Sensing_Radar\20_Measurements\07_CANape\Mitsubishi\5K45\MMC5.0.1\5K457EG-11\Real_Child_Measurements" xr:uid="{00000000-0004-0000-0100-00008E000000}"/>
    <hyperlink ref="O930" r:id="rId144" display="\\abtvdfs2.de.bosch.com\ismdfs\ilm\abt\IMS\Platform\400_Cabin_Sensing_Radar\20_Measurements\07_CANape\Mitsubishi\5K45\MMC5.0.1\5K457EG-11\Real_Child_Measurements" xr:uid="{00000000-0004-0000-0100-00008F000000}"/>
    <hyperlink ref="O931" r:id="rId145" display="\\abtvdfs2.de.bosch.com\ismdfs\ilm\abt\IMS\Platform\400_Cabin_Sensing_Radar\20_Measurements\07_CANape\Mitsubishi\5K45\MMC5.0.1\5K457EG-11\Real_Child_Measurements" xr:uid="{00000000-0004-0000-0100-000090000000}"/>
    <hyperlink ref="O932" r:id="rId146" display="\\abtvdfs2.de.bosch.com\ismdfs\ilm\abt\IMS\Platform\400_Cabin_Sensing_Radar\20_Measurements\07_CANape\Mitsubishi\5K45\MMC5.0.1\5K457EG-11\Real_Child_Measurements" xr:uid="{00000000-0004-0000-0100-000091000000}"/>
    <hyperlink ref="O933" r:id="rId147" display="\\abtvdfs2.de.bosch.com\ismdfs\ilm\abt\IMS\Platform\400_Cabin_Sensing_Radar\20_Measurements\07_CANape\Mitsubishi\5K45\MMC5.0.1\5K457EG-11\Real_Child_Measurements" xr:uid="{00000000-0004-0000-0100-000092000000}"/>
    <hyperlink ref="O934" r:id="rId148" display="\\abtvdfs2.de.bosch.com\ismdfs\ilm\abt\IMS\Platform\400_Cabin_Sensing_Radar\20_Measurements\07_CANape\Mitsubishi\5K45\MMC5.0.1\5K457EG-11\Real_Child_Measurements" xr:uid="{00000000-0004-0000-0100-000093000000}"/>
    <hyperlink ref="O944" r:id="rId149" display="\\abtvdfs2.de.bosch.com\ismdfs\ilm\abt\IMS\Platform\400_Cabin_Sensing_Radar\20_Measurements\07_CANape\Mitsubishi\5K45\MMC5.0.1\5K457EG-11\Real_Child_Measurements" xr:uid="{00000000-0004-0000-0100-000094000000}"/>
    <hyperlink ref="O945" r:id="rId150" display="\\abtvdfs2.de.bosch.com\ismdfs\ilm\abt\IMS\Platform\400_Cabin_Sensing_Radar\20_Measurements\07_CANape\Mitsubishi\5K45\MMC5.0.1\5K457EG-11\Real_Child_Measurements" xr:uid="{00000000-0004-0000-0100-000095000000}"/>
    <hyperlink ref="O946" r:id="rId151" display="\\abtvdfs2.de.bosch.com\ismdfs\ilm\abt\IMS\Platform\400_Cabin_Sensing_Radar\20_Measurements\07_CANape\Mitsubishi\5K45\MMC5.0.1\5K457EG-11\Real_Child_Measurements" xr:uid="{00000000-0004-0000-0100-000096000000}"/>
    <hyperlink ref="O947" r:id="rId152" display="\\abtvdfs2.de.bosch.com\ismdfs\ilm\abt\IMS\Platform\400_Cabin_Sensing_Radar\20_Measurements\07_CANape\Mitsubishi\5K45\MMC5.0.1\5K457EG-11\Real_Child_Measurements" xr:uid="{00000000-0004-0000-0100-000097000000}"/>
    <hyperlink ref="O948" r:id="rId153" display="\\abtvdfs2.de.bosch.com\ismdfs\ilm\abt\IMS\Platform\400_Cabin_Sensing_Radar\20_Measurements\07_CANape\Mitsubishi\5K45\MMC5.0.1\5K457EG-11\Real_Child_Measurements" xr:uid="{00000000-0004-0000-0100-000098000000}"/>
    <hyperlink ref="O949" r:id="rId154" display="\\abtvdfs2.de.bosch.com\ismdfs\ilm\abt\IMS\Platform\400_Cabin_Sensing_Radar\20_Measurements\07_CANape\Mitsubishi\5K45\MMC5.0.1\5K457EG-11\Real_Child_Measurements" xr:uid="{00000000-0004-0000-0100-000099000000}"/>
    <hyperlink ref="O950" r:id="rId155" display="\\abtvdfs2.de.bosch.com\ismdfs\ilm\abt\IMS\Platform\400_Cabin_Sensing_Radar\20_Measurements\07_CANape\Mitsubishi\5K45\MMC5.0.1\5K457EG-11\Real_Child_Measurements" xr:uid="{00000000-0004-0000-0100-00009A000000}"/>
    <hyperlink ref="O951" r:id="rId156" display="\\abtvdfs2.de.bosch.com\ismdfs\ilm\abt\IMS\Platform\400_Cabin_Sensing_Radar\20_Measurements\07_CANape\Mitsubishi\5K45\MMC5.0.1\5K457EG-11\Real_Child_Measurements" xr:uid="{00000000-0004-0000-0100-00009B000000}"/>
    <hyperlink ref="O952" r:id="rId157" display="\\abtvdfs2.de.bosch.com\ismdfs\ilm\abt\IMS\Platform\400_Cabin_Sensing_Radar\20_Measurements\07_CANape\Mitsubishi\5K45\MMC5.0.1\5K457EG-11\Real_Child_Measurements" xr:uid="{00000000-0004-0000-0100-00009C000000}"/>
    <hyperlink ref="O953" r:id="rId158" display="\\abtvdfs2.de.bosch.com\ismdfs\ilm\abt\IMS\Platform\400_Cabin_Sensing_Radar\20_Measurements\07_CANape\Mitsubishi\5K45\MMC5.0.1\5K457EG-11\Real_Child_Measurements" xr:uid="{00000000-0004-0000-0100-00009D000000}"/>
    <hyperlink ref="O959" r:id="rId159" display="\\abtvdfs2.de.bosch.com\ismdfs\ilm\abt\IMS\Platform\400_Cabin_Sensing_Radar\20_Measurements\07_CANape\Mitsubishi\5K45\MMC5.0.1\5K457EG-11\Real_Child_Measurements" xr:uid="{00000000-0004-0000-0100-00009E000000}"/>
    <hyperlink ref="O960" r:id="rId160" display="\\abtvdfs2.de.bosch.com\ismdfs\ilm\abt\IMS\Platform\400_Cabin_Sensing_Radar\20_Measurements\07_CANape\Mitsubishi\5K45\MMC5.0.1\5K457EG-11\Real_Child_Measurements" xr:uid="{00000000-0004-0000-0100-00009F000000}"/>
    <hyperlink ref="O961" r:id="rId161" display="\\abtvdfs2.de.bosch.com\ismdfs\ilm\abt\IMS\Platform\400_Cabin_Sensing_Radar\20_Measurements\07_CANape\Mitsubishi\5K45\MMC5.0.1\5K457EG-11\Real_Child_Measurements" xr:uid="{00000000-0004-0000-0100-0000A0000000}"/>
    <hyperlink ref="O962" r:id="rId162" display="\\abtvdfs2.de.bosch.com\ismdfs\ilm\abt\IMS\Platform\400_Cabin_Sensing_Radar\20_Measurements\07_CANape\Mitsubishi\5K45\MMC5.0.1\5K457EG-11\Real_Child_Measurements" xr:uid="{00000000-0004-0000-0100-0000A1000000}"/>
    <hyperlink ref="O963" r:id="rId163" display="\\abtvdfs2.de.bosch.com\ismdfs\ilm\abt\IMS\Platform\400_Cabin_Sensing_Radar\20_Measurements\07_CANape\Mitsubishi\5K45\MMC5.0.1\5K457EG-11\Real_Child_Measurements" xr:uid="{00000000-0004-0000-0100-0000A2000000}"/>
    <hyperlink ref="O967" r:id="rId164" display="\\abtvdfs2.de.bosch.com\ismdfs\ilm\abt\IMS\Platform\400_Cabin_Sensing_Radar\20_Measurements\07_CANape\Mitsubishi\5K45\MMC5.0.0_RC3\Real_Child_Tests" xr:uid="{00000000-0004-0000-0100-0000A3000000}"/>
    <hyperlink ref="O968" r:id="rId165" display="\\abtvdfs2.de.bosch.com\ismdfs\ilm\abt\IMS\Platform\400_Cabin_Sensing_Radar\20_Measurements\07_CANape\Mitsubishi\5K45\MMC5.0.0_RC3\Real_Child_Tests" xr:uid="{00000000-0004-0000-0100-0000A4000000}"/>
    <hyperlink ref="O969" r:id="rId166" display="\\abtvdfs2.de.bosch.com\ismdfs\ilm\abt\IMS\Platform\400_Cabin_Sensing_Radar\20_Measurements\07_CANape\Mitsubishi\5K45\MMC5.0.0_RC3\Real_Child_Tests" xr:uid="{00000000-0004-0000-0100-0000A5000000}"/>
    <hyperlink ref="O970" r:id="rId167" display="\\abtvdfs2.de.bosch.com\ismdfs\ilm\abt\IMS\Platform\400_Cabin_Sensing_Radar\20_Measurements\07_CANape\Mitsubishi\5K45\MMC5.0.0_RC3\Real_Child_Tests" xr:uid="{00000000-0004-0000-0100-0000A6000000}"/>
    <hyperlink ref="O971" r:id="rId168" display="\\abtvdfs2.de.bosch.com\ismdfs\ilm\abt\IMS\Platform\400_Cabin_Sensing_Radar\20_Measurements\07_CANape\Mitsubishi\5K45\MMC5.0.0_RC3\Real_Child_Tests" xr:uid="{00000000-0004-0000-0100-0000A7000000}"/>
    <hyperlink ref="O973" r:id="rId169" display="\\abtvdfs2.de.bosch.com\ismdfs\ilm\abt\IMS\Platform\400_Cabin_Sensing_Radar\20_Measurements\07_CANape\Mitsubishi\5K45\MMC5.0.1\5K457EG-11\Real_Child_Measurements" xr:uid="{00000000-0004-0000-0100-0000A8000000}"/>
    <hyperlink ref="O982" r:id="rId170" display="\\abtvdfs2.de.bosch.com\ismdfs\ilm\abt\IMS\Platform\400_Cabin_Sensing_Radar\20_Measurements\07_CANape\Mitsubishi\5K45\MMC5.0.1\5K457EG-11\Real_Child_Measurements" xr:uid="{00000000-0004-0000-0100-0000A9000000}"/>
    <hyperlink ref="O983" r:id="rId171" display="\\abtvdfs2.de.bosch.com\ismdfs\ilm\abt\IMS\Platform\400_Cabin_Sensing_Radar\20_Measurements\07_CANape\Mitsubishi\5K45\MMC5.0.1\5K457EG-11\Real_Child_Measurements" xr:uid="{00000000-0004-0000-0100-0000AA000000}"/>
    <hyperlink ref="O984" r:id="rId172" display="\\abtvdfs2.de.bosch.com\ismdfs\ilm\abt\IMS\Platform\400_Cabin_Sensing_Radar\20_Measurements\07_CANape\Mitsubishi\5K45\MMC5.0.1\5K457EG-11\Real_Child_Measurements" xr:uid="{00000000-0004-0000-0100-0000AB000000}"/>
    <hyperlink ref="O985" r:id="rId173" display="\\abtvdfs2.de.bosch.com\ismdfs\ilm\abt\IMS\Platform\400_Cabin_Sensing_Radar\20_Measurements\07_CANape\Mitsubishi\5K45\MMC5.0.1\5K457EG-11\Real_Child_Measurements" xr:uid="{00000000-0004-0000-0100-0000AC000000}"/>
    <hyperlink ref="O986" r:id="rId174" display="\\abtvdfs2.de.bosch.com\ismdfs\ilm\abt\IMS\Platform\400_Cabin_Sensing_Radar\20_Measurements\07_CANape\Mitsubishi\5K45\MMC5.0.1\5K457EG-11\Real_Child_Measurements" xr:uid="{00000000-0004-0000-0100-0000AD000000}"/>
    <hyperlink ref="O991" r:id="rId175" display="\\abtvdfs2.de.bosch.com\ismdfs\ilm\abt\IMS\Platform\400_Cabin_Sensing_Radar\20_Measurements\07_CANape\Mitsubishi\5K45\MMC5.0.1\5K457EG-11\Real_Child_Measurements" xr:uid="{00000000-0004-0000-0100-0000AE000000}"/>
    <hyperlink ref="O992" r:id="rId176" display="\\abtvdfs2.de.bosch.com\ismdfs\ilm\abt\IMS\Platform\400_Cabin_Sensing_Radar\20_Measurements\07_CANape\Mitsubishi\5K45\MMC5.0.1\5K457EG-11\Real_Child_Measurements" xr:uid="{00000000-0004-0000-0100-0000AF000000}"/>
    <hyperlink ref="O993" r:id="rId177" display="\\abtvdfs2.de.bosch.com\ismdfs\ilm\abt\IMS\Platform\400_Cabin_Sensing_Radar\20_Measurements\07_CANape\Mitsubishi\5K45\MMC5.0.1\5K457EG-11\Real_Child_Measurements" xr:uid="{00000000-0004-0000-0100-0000B0000000}"/>
    <hyperlink ref="O994" r:id="rId178" display="\\abtvdfs2.de.bosch.com\ismdfs\ilm\abt\IMS\Platform\400_Cabin_Sensing_Radar\20_Measurements\07_CANape\Mitsubishi\5K45\MMC5.0.1\5K457EG-11\Real_Child_Measurements" xr:uid="{00000000-0004-0000-0100-0000B1000000}"/>
    <hyperlink ref="O995" r:id="rId179" display="\\abtvdfs2.de.bosch.com\ismdfs\ilm\abt\IMS\Platform\400_Cabin_Sensing_Radar\20_Measurements\07_CANape\Mitsubishi\5K45\MMC5.0.1\5K457EG-11\Real_Child_Measurements" xr:uid="{00000000-0004-0000-0100-0000B2000000}"/>
    <hyperlink ref="O1014" r:id="rId180" display="\\abtvdfs2.de.bosch.com\ismdfs\ilm\abt\IMS\Platform\400_Cabin_Sensing_Radar\20_Measurements\07_CANape\Mitsubishi\5K45\MMC5.0.2\5K457EG11\RealChild" xr:uid="{00000000-0004-0000-0100-0000B3000000}"/>
    <hyperlink ref="O1041" r:id="rId181" display="\\abt-soc501-dfs.de.bosch.com\XC_IMS_Platform\400_Cabin_Sensing_Radar\20_Measurements\07_CANape\Mitsubishi\5K45\MMC5.0.0_RC3_with_resetfix\CPD" xr:uid="{00000000-0004-0000-0100-0000B4000000}"/>
    <hyperlink ref="K1106" r:id="rId182" display="\\abtvdfs2.de.bosch.com\ismdfs\ilm\abt\IMS\Platform\400_Cabin_Sensing_Radar\20_Measurements\07_CANape\Mitsubishi\5K45\5.3.0_RC6.2\5K457EG11\FP_Test_Cases_Renamed\CSR_XCP_Signals_Recorder_2026-02-03_15-17-41_AF50_2L_NCAP1_2.MF4.xz" xr:uid="{00000000-0004-0000-0100-0000B5000000}"/>
    <hyperlink ref="K1153" r:id="rId183" display="\\abtvdfs2.de.bosch.com\ismdfs\ilm\abt\IMS\Platform\400_Cabin_Sensing_Radar\20_Measurements\07_CANape\Mitsubishi\5K45\5.3.0_RC6.2\5K457EG11\NB_Awake_with_Blanket\CSR_XCP_Signals_Recorder_2026-01-31_13-33-25_TC200_Reset.MF4.xz" xr:uid="{00000000-0004-0000-0100-0000B6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U1223"/>
  <sheetViews>
    <sheetView zoomScale="115" zoomScaleNormal="115" workbookViewId="0">
      <pane xSplit="1" ySplit="1" topLeftCell="D310" activePane="bottomRight" state="frozen"/>
      <selection pane="topRight" activeCell="B1" sqref="B1"/>
      <selection pane="bottomLeft" activeCell="A2" sqref="A2"/>
      <selection pane="bottomRight" activeCell="L318" sqref="L318"/>
    </sheetView>
  </sheetViews>
  <sheetFormatPr defaultColWidth="9.140625" defaultRowHeight="15"/>
  <cols>
    <col min="1" max="1" width="8.85546875" style="59" customWidth="1"/>
    <col min="2" max="2" width="15.7109375" style="133" customWidth="1"/>
    <col min="3" max="3" width="8.85546875" style="133" customWidth="1"/>
    <col min="4" max="4" width="6.28515625" style="97" customWidth="1"/>
    <col min="5" max="5" width="9.42578125" style="97" bestFit="1" customWidth="1"/>
    <col min="6" max="6" width="11.85546875" style="133" customWidth="1"/>
    <col min="7" max="7" width="9.28515625" style="133" customWidth="1"/>
    <col min="8" max="8" width="10.42578125" style="133" customWidth="1"/>
    <col min="9" max="9" width="9.7109375" style="133" customWidth="1"/>
    <col min="10" max="10" width="10.5703125" style="133" customWidth="1"/>
    <col min="11" max="11" width="18.85546875" style="133" customWidth="1"/>
    <col min="12" max="12" width="110.42578125" style="133" customWidth="1"/>
    <col min="13" max="13" width="83.5703125" style="133" customWidth="1"/>
    <col min="14" max="14" width="98.42578125" style="133" customWidth="1"/>
    <col min="15" max="15" width="10.5703125" style="133" customWidth="1"/>
    <col min="16" max="17" width="10.7109375" style="133" customWidth="1"/>
    <col min="18" max="18" width="13.42578125" style="133" customWidth="1"/>
    <col min="19" max="19" width="10.7109375" style="133" customWidth="1"/>
    <col min="20" max="20" width="13" style="133" customWidth="1"/>
    <col min="21" max="21" width="14.7109375" style="133" customWidth="1"/>
  </cols>
  <sheetData>
    <row r="1" spans="1:21" s="64" customFormat="1" ht="45" customHeight="1">
      <c r="A1" s="64" t="s">
        <v>0</v>
      </c>
      <c r="B1" s="64" t="s">
        <v>1</v>
      </c>
      <c r="C1" s="64" t="s">
        <v>2</v>
      </c>
      <c r="D1" s="96" t="s">
        <v>4</v>
      </c>
      <c r="E1" s="96" t="s">
        <v>5</v>
      </c>
      <c r="F1" s="64" t="s">
        <v>6</v>
      </c>
      <c r="G1" s="64" t="s">
        <v>7</v>
      </c>
      <c r="H1" s="64" t="s">
        <v>8</v>
      </c>
      <c r="I1" s="64" t="s">
        <v>9</v>
      </c>
      <c r="J1" s="64" t="s">
        <v>10</v>
      </c>
      <c r="K1" s="64" t="s">
        <v>3080</v>
      </c>
      <c r="L1" s="64" t="s">
        <v>3080</v>
      </c>
      <c r="M1" s="64" t="s">
        <v>14</v>
      </c>
      <c r="N1" s="64" t="s">
        <v>15</v>
      </c>
      <c r="O1" s="64" t="s">
        <v>10</v>
      </c>
      <c r="P1" s="64" t="s">
        <v>18</v>
      </c>
      <c r="Q1" s="64" t="s">
        <v>19</v>
      </c>
      <c r="R1" s="64" t="s">
        <v>20</v>
      </c>
      <c r="S1" s="64" t="s">
        <v>21</v>
      </c>
      <c r="T1" s="64" t="s">
        <v>22</v>
      </c>
      <c r="U1" s="64" t="s">
        <v>23</v>
      </c>
    </row>
    <row r="2" spans="1:21" s="130" customFormat="1" hidden="1">
      <c r="A2" s="78">
        <v>2</v>
      </c>
      <c r="B2" s="130" t="s">
        <v>24</v>
      </c>
      <c r="C2" s="130" t="s">
        <v>25</v>
      </c>
      <c r="D2" s="97" t="e">
        <f>_xlfn.XLOOKUP(A2,[1]CPD_SOP_new!$A:$A,[1]CPD_SOP_new!#REF!,"not found",0 )</f>
        <v>#REF!</v>
      </c>
      <c r="E2" s="97" t="s">
        <v>26</v>
      </c>
      <c r="F2" s="130" t="s">
        <v>27</v>
      </c>
      <c r="G2" s="130" t="s">
        <v>28</v>
      </c>
      <c r="H2" s="130" t="s">
        <v>28</v>
      </c>
      <c r="I2" s="130" t="s">
        <v>27</v>
      </c>
      <c r="J2" s="137" t="s">
        <v>29</v>
      </c>
      <c r="K2" s="85" t="str">
        <f t="shared" ref="K2:K65" si="0">N2&amp;"/"&amp;M2&amp;","&amp;IF(J2="ncap3","child",J2)&amp;",RadarFC_Master,"&amp;IF(J2="ncap3","child",J2)&amp;IF(B2="ncap1,2"," ("&amp;B2&amp;")","")&amp;IF(B2="ncap3"," ("&amp;B2&amp;")","")&amp;IF(B2="multiple children"," (ncap1,2)","")&amp;IF(B2="NB awake"," (ncap1,2)","")&amp;",CPD,"&amp;IF(F2="Y","realchild","dummy")</f>
        <v>/mnt/measurements/07_CANape/Mitsubishi/5K45/MMC4.1.2/Validation/child/Sleep//TC_2.MF4.xz,child,RadarFC_Master,child,CPD,dummy</v>
      </c>
      <c r="L2" s="85" t="s">
        <v>3081</v>
      </c>
      <c r="M2" s="130" t="s">
        <v>32</v>
      </c>
      <c r="N2" s="130" t="s">
        <v>33</v>
      </c>
    </row>
    <row r="3" spans="1:21" s="130" customFormat="1" hidden="1">
      <c r="A3" s="78">
        <v>2</v>
      </c>
      <c r="B3" s="130" t="s">
        <v>24</v>
      </c>
      <c r="C3" s="130" t="s">
        <v>25</v>
      </c>
      <c r="D3" s="97" t="e">
        <f>_xlfn.XLOOKUP(A3,[1]CPD_SOP_new!$A:$A,[1]CPD_SOP_new!#REF!,"not found",0 )</f>
        <v>#REF!</v>
      </c>
      <c r="E3" s="97" t="s">
        <v>26</v>
      </c>
      <c r="F3" s="130" t="s">
        <v>27</v>
      </c>
      <c r="G3" s="130" t="s">
        <v>28</v>
      </c>
      <c r="H3" s="130" t="s">
        <v>28</v>
      </c>
      <c r="I3" s="130" t="s">
        <v>27</v>
      </c>
      <c r="J3" s="137" t="s">
        <v>29</v>
      </c>
      <c r="K3" s="85" t="str">
        <f t="shared" si="0"/>
        <v>/mnt/measurements/07_CANape/Mitsubishi/5K45/MMC4.1.2/Validation/2025_11_29/child/part1/Sleep/TC_2_Try1.MF4.xz,child,RadarFC_Master,child,CPD,dummy</v>
      </c>
      <c r="L3" s="85" t="s">
        <v>3082</v>
      </c>
      <c r="M3" s="130" t="s">
        <v>34</v>
      </c>
      <c r="N3" s="131" t="s">
        <v>35</v>
      </c>
    </row>
    <row r="4" spans="1:21" s="130" customFormat="1" hidden="1">
      <c r="A4" s="78">
        <v>2</v>
      </c>
      <c r="B4" s="130" t="s">
        <v>24</v>
      </c>
      <c r="C4" s="130" t="s">
        <v>25</v>
      </c>
      <c r="D4" s="97" t="e">
        <f>_xlfn.XLOOKUP(A4,[1]CPD_SOP_new!$A:$A,[1]CPD_SOP_new!#REF!,"not found",0 )</f>
        <v>#REF!</v>
      </c>
      <c r="E4" s="97" t="s">
        <v>26</v>
      </c>
      <c r="F4" s="130" t="s">
        <v>27</v>
      </c>
      <c r="G4" s="130" t="s">
        <v>28</v>
      </c>
      <c r="H4" s="130" t="s">
        <v>28</v>
      </c>
      <c r="I4" s="130" t="s">
        <v>27</v>
      </c>
      <c r="J4" s="137" t="s">
        <v>29</v>
      </c>
      <c r="K4" s="85" t="str">
        <f t="shared" si="0"/>
        <v>/mnt/measurements/07_CANape/Mitsubishi/5K45/MMC4.1.2/Validation/2025_11_29/child/part1/Sleep/TC_2_Try2.MF4.xz,child,RadarFC_Master,child,CPD,dummy</v>
      </c>
      <c r="L4" s="85" t="s">
        <v>3083</v>
      </c>
      <c r="M4" s="130" t="s">
        <v>36</v>
      </c>
      <c r="N4" s="131" t="s">
        <v>35</v>
      </c>
    </row>
    <row r="5" spans="1:21" s="130" customFormat="1" hidden="1">
      <c r="A5" s="78">
        <v>2</v>
      </c>
      <c r="B5" s="130" t="s">
        <v>24</v>
      </c>
      <c r="C5" s="130" t="s">
        <v>25</v>
      </c>
      <c r="D5" s="97" t="e">
        <f>_xlfn.XLOOKUP(A5,[1]CPD_SOP_new!$A:$A,[1]CPD_SOP_new!#REF!,"not found",0 )</f>
        <v>#REF!</v>
      </c>
      <c r="E5" s="97" t="s">
        <v>26</v>
      </c>
      <c r="F5" s="130" t="s">
        <v>27</v>
      </c>
      <c r="G5" s="130" t="s">
        <v>28</v>
      </c>
      <c r="H5" s="130" t="s">
        <v>28</v>
      </c>
      <c r="I5" s="130" t="s">
        <v>27</v>
      </c>
      <c r="J5" s="137" t="s">
        <v>29</v>
      </c>
      <c r="K5" s="85" t="str">
        <f t="shared" si="0"/>
        <v>/mnt/measurements/07_CANape/Mitsubishi/5K45/MMC4.1.2/Validation/2025_11_29/child/part1/Sleep/TC_2_Try3.MF4.xz,child,RadarFC_Master,child,CPD,dummy</v>
      </c>
      <c r="L5" s="85" t="s">
        <v>3084</v>
      </c>
      <c r="M5" s="130" t="s">
        <v>37</v>
      </c>
      <c r="N5" s="131" t="s">
        <v>35</v>
      </c>
    </row>
    <row r="6" spans="1:21" s="59" customFormat="1" hidden="1">
      <c r="A6" s="59" t="s">
        <v>1589</v>
      </c>
      <c r="B6" t="s">
        <v>111</v>
      </c>
      <c r="D6" s="97" t="e">
        <f>_xlfn.XLOOKUP(A6,[1]CPD_SOP_new!$A:$A,[1]CPD_SOP_new!#REF!,"not found",0 )</f>
        <v>#REF!</v>
      </c>
      <c r="E6" s="97" t="str">
        <f>_xlfn.XLOOKUP(A6,[1]CPD_SOP_new!$A:$A,[1]CPD_SOP_new!$K:$K,"not found",0 )</f>
        <v>not found</v>
      </c>
      <c r="F6" t="s">
        <v>27</v>
      </c>
      <c r="G6" t="s">
        <v>27</v>
      </c>
      <c r="H6" t="s">
        <v>28</v>
      </c>
      <c r="I6" s="81" t="s">
        <v>28</v>
      </c>
      <c r="J6" s="85" t="s">
        <v>113</v>
      </c>
      <c r="K6" s="85" t="str">
        <f t="shared" si="0"/>
        <v>/mnt/measurements/07_CANape/Mitsubishi/5K45/5.3.0_RC6.2/5K457EG11/FP_Test_Cases_Renamed/CSR_XCP_Signals_Recorder_2026-02-03_15-08-50_AF95_2L_NCAP1_2.MF4.xz,adult,RadarFC_Master,adult,CPD,dummy</v>
      </c>
      <c r="L6" s="85" t="s">
        <v>3085</v>
      </c>
      <c r="M6" t="s">
        <v>1625</v>
      </c>
      <c r="N6" t="s">
        <v>767</v>
      </c>
    </row>
    <row r="7" spans="1:21" hidden="1">
      <c r="A7" s="59" t="s">
        <v>1589</v>
      </c>
      <c r="B7" t="s">
        <v>111</v>
      </c>
      <c r="D7" s="97" t="e">
        <f>_xlfn.XLOOKUP(A7,[1]CPD_SOP_new!$A:$A,[1]CPD_SOP_new!#REF!,"not found",0 )</f>
        <v>#REF!</v>
      </c>
      <c r="E7" s="97" t="str">
        <f>_xlfn.XLOOKUP(A7,[1]CPD_SOP_new!$A:$A,[1]CPD_SOP_new!$K:$K,"not found",0 )</f>
        <v>not found</v>
      </c>
      <c r="F7" t="s">
        <v>27</v>
      </c>
      <c r="G7" t="s">
        <v>27</v>
      </c>
      <c r="H7" t="s">
        <v>28</v>
      </c>
      <c r="I7" s="81" t="s">
        <v>28</v>
      </c>
      <c r="J7" s="85" t="s">
        <v>113</v>
      </c>
      <c r="K7" s="85" t="str">
        <f t="shared" si="0"/>
        <v>/mnt/measurements/07_CANape/Mitsubishi/5K45/5.3.0_RC6.2/5K457EG11/FP_Test_Cases_Renamed/CSR_XCP_Signals_Recorder_2026-02-03_15-09-35_AF95_2L_NCAP1_2.MF4.xz,adult,RadarFC_Master,adult,CPD,dummy</v>
      </c>
      <c r="L7" s="85" t="s">
        <v>3086</v>
      </c>
      <c r="M7" t="s">
        <v>1626</v>
      </c>
      <c r="N7" t="s">
        <v>767</v>
      </c>
    </row>
    <row r="8" spans="1:21" hidden="1">
      <c r="A8" s="59" t="s">
        <v>1589</v>
      </c>
      <c r="B8" t="s">
        <v>111</v>
      </c>
      <c r="D8" s="97" t="e">
        <f>_xlfn.XLOOKUP(A8,[1]CPD_SOP_new!$A:$A,[1]CPD_SOP_new!#REF!,"not found",0 )</f>
        <v>#REF!</v>
      </c>
      <c r="E8" s="97" t="str">
        <f>_xlfn.XLOOKUP(A8,[1]CPD_SOP_new!$A:$A,[1]CPD_SOP_new!$K:$K,"not found",0 )</f>
        <v>not found</v>
      </c>
      <c r="F8" t="s">
        <v>27</v>
      </c>
      <c r="G8" t="s">
        <v>27</v>
      </c>
      <c r="H8" t="s">
        <v>28</v>
      </c>
      <c r="I8" s="81" t="s">
        <v>28</v>
      </c>
      <c r="J8" s="85" t="s">
        <v>113</v>
      </c>
      <c r="K8" s="85" t="str">
        <f t="shared" si="0"/>
        <v>/mnt/measurements/07_CANape/Mitsubishi/5K45/5.3.0_RC6.2/5K457EG11/FP_Test_Cases_Renamed/CSR_XCP_Signals_Recorder_2026-02-03_15-11-10_AF95_2L_NCAP1_2.MF4.xz,adult,RadarFC_Master,adult,CPD,dummy</v>
      </c>
      <c r="L8" s="85" t="s">
        <v>3087</v>
      </c>
      <c r="M8" t="s">
        <v>1627</v>
      </c>
      <c r="N8" t="s">
        <v>767</v>
      </c>
    </row>
    <row r="9" spans="1:21" hidden="1">
      <c r="A9" s="59" t="s">
        <v>1589</v>
      </c>
      <c r="B9" t="s">
        <v>111</v>
      </c>
      <c r="D9" s="97" t="e">
        <f>_xlfn.XLOOKUP(A9,[1]CPD_SOP_new!$A:$A,[1]CPD_SOP_new!#REF!,"not found",0 )</f>
        <v>#REF!</v>
      </c>
      <c r="E9" s="97" t="str">
        <f>_xlfn.XLOOKUP(A9,[1]CPD_SOP_new!$A:$A,[1]CPD_SOP_new!$K:$K,"not found",0 )</f>
        <v>not found</v>
      </c>
      <c r="F9" t="s">
        <v>27</v>
      </c>
      <c r="G9" t="s">
        <v>27</v>
      </c>
      <c r="H9" t="s">
        <v>28</v>
      </c>
      <c r="I9" s="81" t="s">
        <v>28</v>
      </c>
      <c r="J9" s="85" t="s">
        <v>113</v>
      </c>
      <c r="K9" s="85" t="str">
        <f t="shared" si="0"/>
        <v>/mnt/measurements/07_CANape/Mitsubishi/5K45/5.3.0_RC6.2/5K457EG11/FP_Test_Cases_Renamed/CSR_XCP_Signals_Recorder_2026-02-03_15-12-37_AF95_2L_NCAP3.MF4.xz,adult,RadarFC_Master,adult,CPD,dummy</v>
      </c>
      <c r="L9" s="85" t="s">
        <v>3088</v>
      </c>
      <c r="M9" t="s">
        <v>1628</v>
      </c>
      <c r="N9" t="s">
        <v>767</v>
      </c>
    </row>
    <row r="10" spans="1:21" hidden="1">
      <c r="A10" s="59" t="s">
        <v>1589</v>
      </c>
      <c r="B10" t="s">
        <v>111</v>
      </c>
      <c r="D10" s="97" t="e">
        <f>_xlfn.XLOOKUP(A10,[1]CPD_SOP_new!$A:$A,[1]CPD_SOP_new!#REF!,"not found",0 )</f>
        <v>#REF!</v>
      </c>
      <c r="E10" s="97" t="str">
        <f>_xlfn.XLOOKUP(A10,[1]CPD_SOP_new!$A:$A,[1]CPD_SOP_new!$K:$K,"not found",0 )</f>
        <v>not found</v>
      </c>
      <c r="F10" t="s">
        <v>27</v>
      </c>
      <c r="G10" t="s">
        <v>27</v>
      </c>
      <c r="H10" t="s">
        <v>28</v>
      </c>
      <c r="I10" s="81" t="s">
        <v>28</v>
      </c>
      <c r="J10" s="85" t="s">
        <v>113</v>
      </c>
      <c r="K10" s="85" t="str">
        <f t="shared" si="0"/>
        <v>/mnt/measurements/07_CANape/Mitsubishi/5K45/5.3.0_RC6.2/5K457EG11/FP_Test_Cases_Renamed/CSR_XCP_Signals_Recorder_2026-02-03_15-15-00_AF50_2L_NCAP1_2.MF4.xz,adult,RadarFC_Master,adult,CPD,dummy</v>
      </c>
      <c r="L10" s="85" t="s">
        <v>3089</v>
      </c>
      <c r="M10" t="s">
        <v>1629</v>
      </c>
      <c r="N10" t="s">
        <v>767</v>
      </c>
    </row>
    <row r="11" spans="1:21" hidden="1">
      <c r="A11" s="59" t="s">
        <v>1589</v>
      </c>
      <c r="B11" t="s">
        <v>111</v>
      </c>
      <c r="D11" s="97" t="e">
        <f>_xlfn.XLOOKUP(A11,[1]CPD_SOP_new!$A:$A,[1]CPD_SOP_new!#REF!,"not found",0 )</f>
        <v>#REF!</v>
      </c>
      <c r="E11" s="97" t="str">
        <f>_xlfn.XLOOKUP(A11,[1]CPD_SOP_new!$A:$A,[1]CPD_SOP_new!$K:$K,"not found",0 )</f>
        <v>not found</v>
      </c>
      <c r="F11" t="s">
        <v>27</v>
      </c>
      <c r="G11" t="s">
        <v>27</v>
      </c>
      <c r="H11" t="s">
        <v>28</v>
      </c>
      <c r="I11" s="81" t="s">
        <v>28</v>
      </c>
      <c r="J11" s="85" t="s">
        <v>113</v>
      </c>
      <c r="K11" s="85" t="str">
        <f t="shared" si="0"/>
        <v>/mnt/measurements/07_CANape/Mitsubishi/5K45/5.3.0_RC6.2/5K457EG11/FP_Test_Cases_Renamed/CSR_XCP_Signals_Recorder_2026-02-03_15-16-44_AF50_2L_NCAP1_2.MF4.xz,adult,RadarFC_Master,adult,CPD,dummy</v>
      </c>
      <c r="L11" s="85" t="s">
        <v>3090</v>
      </c>
      <c r="M11" s="60" t="s">
        <v>1630</v>
      </c>
      <c r="N11" t="s">
        <v>767</v>
      </c>
    </row>
    <row r="12" spans="1:21">
      <c r="A12" s="77">
        <v>2</v>
      </c>
      <c r="B12" s="59" t="s">
        <v>38</v>
      </c>
      <c r="C12" s="59" t="s">
        <v>25</v>
      </c>
      <c r="D12" s="97" t="e">
        <f>_xlfn.XLOOKUP(A12,[1]CPD_SOP_new!$A:$A,[1]CPD_SOP_new!#REF!,"not found",0 )</f>
        <v>#REF!</v>
      </c>
      <c r="E12" s="97" t="s">
        <v>26</v>
      </c>
      <c r="F12" s="59" t="s">
        <v>27</v>
      </c>
      <c r="G12" s="59" t="s">
        <v>28</v>
      </c>
      <c r="H12" s="59" t="s">
        <v>28</v>
      </c>
      <c r="I12" s="59" t="s">
        <v>28</v>
      </c>
      <c r="J12" t="s">
        <v>29</v>
      </c>
      <c r="K12" s="85" t="str">
        <f t="shared" si="0"/>
        <v>/mnt/measurements/07_CANape/Mitsubishi/5K45/5.2.0/5K457EG11/SmokeTest/CPD/CSR_XCP_Signals_Recorder_2026-01-12_13-41-04_TC2.MF4.xz,child,RadarFC_Master,child (ncap1,2),CPD,dummy</v>
      </c>
      <c r="L12" s="85" t="s">
        <v>3091</v>
      </c>
      <c r="M12" s="109" t="s">
        <v>40</v>
      </c>
      <c r="N12" s="65" t="s">
        <v>41</v>
      </c>
      <c r="O12" s="59"/>
      <c r="P12" s="59"/>
      <c r="Q12" s="59"/>
      <c r="R12" s="59"/>
      <c r="S12" s="59"/>
      <c r="T12" s="59"/>
      <c r="U12" s="59"/>
    </row>
    <row r="13" spans="1:21">
      <c r="A13" s="77">
        <v>2</v>
      </c>
      <c r="B13" t="s">
        <v>38</v>
      </c>
      <c r="C13" t="s">
        <v>43</v>
      </c>
      <c r="D13" s="97" t="e">
        <f>_xlfn.XLOOKUP(A13,[1]CPD_SOP_new!$A:$A,[1]CPD_SOP_new!#REF!,"not found",0 )</f>
        <v>#REF!</v>
      </c>
      <c r="E13" s="97" t="s">
        <v>26</v>
      </c>
      <c r="F13" t="s">
        <v>27</v>
      </c>
      <c r="G13" t="s">
        <v>28</v>
      </c>
      <c r="H13" t="s">
        <v>28</v>
      </c>
      <c r="I13" s="59" t="s">
        <v>28</v>
      </c>
      <c r="J13" t="s">
        <v>29</v>
      </c>
      <c r="K13" s="85" t="str">
        <f t="shared" si="0"/>
        <v>/mnt/measurements/07_CANape/Mitsubishi/5K45/MMC5.0.2/5K457EG11/CPD/CSR_XCP_Signals_Recorder_2026-01-20_19-04-17_CPD_TC2_Try3.MF4.xz,child,RadarFC_Master,child (ncap1,2),CPD,dummy</v>
      </c>
      <c r="L13" s="85" t="s">
        <v>3092</v>
      </c>
      <c r="M13" t="s">
        <v>44</v>
      </c>
      <c r="N13" t="s">
        <v>45</v>
      </c>
    </row>
    <row r="14" spans="1:21">
      <c r="A14" s="77">
        <v>2</v>
      </c>
      <c r="B14" t="s">
        <v>38</v>
      </c>
      <c r="C14" t="s">
        <v>43</v>
      </c>
      <c r="D14" s="97" t="e">
        <f>_xlfn.XLOOKUP(A14,[1]CPD_SOP_new!$A:$A,[1]CPD_SOP_new!#REF!,"not found",0 )</f>
        <v>#REF!</v>
      </c>
      <c r="E14" s="97" t="s">
        <v>26</v>
      </c>
      <c r="F14" t="s">
        <v>27</v>
      </c>
      <c r="G14" t="s">
        <v>28</v>
      </c>
      <c r="H14" t="s">
        <v>28</v>
      </c>
      <c r="I14" s="59" t="s">
        <v>28</v>
      </c>
      <c r="J14" t="s">
        <v>29</v>
      </c>
      <c r="K14" s="85" t="str">
        <f t="shared" si="0"/>
        <v>/mnt/measurements/07_CANape/Mitsubishi/5K45/MMC5.0.2/5K457EG11/CPD/CSR_XCP_Signals_Recorder_2026-01-20_18-59-47_CPD_TC2_Try1.MF4.xz,child,RadarFC_Master,child (ncap1,2),CPD,dummy</v>
      </c>
      <c r="L14" s="85" t="s">
        <v>3093</v>
      </c>
      <c r="M14" t="s">
        <v>46</v>
      </c>
      <c r="N14" t="s">
        <v>45</v>
      </c>
    </row>
    <row r="15" spans="1:21">
      <c r="A15" s="77">
        <v>2</v>
      </c>
      <c r="B15" t="s">
        <v>38</v>
      </c>
      <c r="C15" t="s">
        <v>43</v>
      </c>
      <c r="D15" s="97" t="e">
        <f>_xlfn.XLOOKUP(A15,[1]CPD_SOP_new!$A:$A,[1]CPD_SOP_new!#REF!,"not found",0 )</f>
        <v>#REF!</v>
      </c>
      <c r="E15" s="97" t="s">
        <v>26</v>
      </c>
      <c r="F15" t="s">
        <v>27</v>
      </c>
      <c r="G15" t="s">
        <v>28</v>
      </c>
      <c r="H15" t="s">
        <v>28</v>
      </c>
      <c r="I15" s="59" t="s">
        <v>28</v>
      </c>
      <c r="J15" t="s">
        <v>29</v>
      </c>
      <c r="K15" s="85" t="str">
        <f t="shared" si="0"/>
        <v>/mnt/measurements/07_CANape/Mitsubishi/5K45/MMC5.0.2/5K457EG11/CPD/CSR_XCP_Signals_Recorder_2026-01-20_19-02-11_CPD_TC2_Try2.MF4.xz,child,RadarFC_Master,child (ncap1,2),CPD,dummy</v>
      </c>
      <c r="L15" s="85" t="s">
        <v>3094</v>
      </c>
      <c r="M15" t="s">
        <v>47</v>
      </c>
      <c r="N15" t="s">
        <v>45</v>
      </c>
    </row>
    <row r="16" spans="1:21" s="130" customFormat="1" hidden="1">
      <c r="A16" s="78">
        <v>5</v>
      </c>
      <c r="B16" s="130" t="s">
        <v>38</v>
      </c>
      <c r="C16" s="130" t="s">
        <v>25</v>
      </c>
      <c r="D16" s="98" t="e">
        <f>_xlfn.XLOOKUP(A16,[1]CPD_SOP_new!$A:$A,[1]CPD_SOP_new!#REF!,"not found",0 )</f>
        <v>#REF!</v>
      </c>
      <c r="E16" s="98" t="str">
        <f>_xlfn.XLOOKUP(A16,[1]CPD_SOP_new!$A:$A,[1]CPD_SOP_new!$K:$K,"not found",0 )</f>
        <v>2L</v>
      </c>
      <c r="F16" s="130" t="s">
        <v>27</v>
      </c>
      <c r="G16" s="130" t="s">
        <v>28</v>
      </c>
      <c r="H16" s="130" t="s">
        <v>28</v>
      </c>
      <c r="I16" s="130" t="s">
        <v>27</v>
      </c>
      <c r="J16" s="130" t="s">
        <v>29</v>
      </c>
      <c r="K16" s="130" t="str">
        <f t="shared" si="0"/>
        <v>/mnt/measurements/07_CANape/Mitsubishi/5K45/MMC4.1.2/Validation/child/Sleep//TC_5.MF4.xz,child,RadarFC_Master,child (ncap1,2),CPD,dummy</v>
      </c>
      <c r="L16" s="130" t="s">
        <v>3095</v>
      </c>
      <c r="M16" s="130" t="s">
        <v>720</v>
      </c>
      <c r="N16" s="130" t="s">
        <v>33</v>
      </c>
    </row>
    <row r="17" spans="1:14">
      <c r="A17" s="59">
        <v>2</v>
      </c>
      <c r="B17" t="s">
        <v>38</v>
      </c>
      <c r="C17" t="s">
        <v>43</v>
      </c>
      <c r="D17" s="97" t="e">
        <f>_xlfn.XLOOKUP(A17,[1]CPD_SOP_new!$A:$A,[1]CPD_SOP_new!#REF!,"not found",0 )</f>
        <v>#REF!</v>
      </c>
      <c r="E17" s="97" t="s">
        <v>26</v>
      </c>
      <c r="F17" t="s">
        <v>27</v>
      </c>
      <c r="G17" t="s">
        <v>28</v>
      </c>
      <c r="H17" t="s">
        <v>28</v>
      </c>
      <c r="I17" t="s">
        <v>28</v>
      </c>
      <c r="J17" t="s">
        <v>29</v>
      </c>
      <c r="K17" s="85" t="str">
        <f t="shared" si="0"/>
        <v>/mnt/measurements/07_CANape/Mitsubishi/5K45/5.3.0_RC6.2/5K457EG11/FP_Test_Cases_Renamed/CSR_XCP_Signals_Recorder_2026-02-02_11-36-22_TC2.MF4.xz,child,RadarFC_Master,child (ncap1,2),CPD,dummy</v>
      </c>
      <c r="L17" s="85" t="s">
        <v>3096</v>
      </c>
      <c r="M17" t="s">
        <v>1129</v>
      </c>
      <c r="N17" t="s">
        <v>767</v>
      </c>
    </row>
    <row r="18" spans="1:14">
      <c r="A18" s="77">
        <v>3</v>
      </c>
      <c r="B18" t="s">
        <v>38</v>
      </c>
      <c r="C18" t="s">
        <v>25</v>
      </c>
      <c r="D18" s="97" t="e">
        <f>_xlfn.XLOOKUP(A18,[1]CPD_SOP_new!$A:$A,[1]CPD_SOP_new!#REF!,"not found",0 )</f>
        <v>#REF!</v>
      </c>
      <c r="E18" s="97" t="str">
        <f>_xlfn.XLOOKUP(A18,[1]CPD_SOP_new!$A:$A,[1]CPD_SOP_new!$K:$K,"not found",0 )</f>
        <v>2R</v>
      </c>
      <c r="F18" t="s">
        <v>27</v>
      </c>
      <c r="G18" t="s">
        <v>28</v>
      </c>
      <c r="H18" t="s">
        <v>28</v>
      </c>
      <c r="I18" s="59" t="s">
        <v>28</v>
      </c>
      <c r="J18" t="s">
        <v>29</v>
      </c>
      <c r="K18" s="85" t="str">
        <f t="shared" si="0"/>
        <v>/mnt/measurements/07_CANape/Mitsubishi/5K45/MMC4.1.2/Validation/child/Sleep//TC_3.MF4.xz,child,RadarFC_Master,child (ncap1,2),CPD,dummy</v>
      </c>
      <c r="L18" s="85" t="s">
        <v>3097</v>
      </c>
      <c r="M18" t="s">
        <v>55</v>
      </c>
      <c r="N18" t="s">
        <v>33</v>
      </c>
    </row>
    <row r="19" spans="1:14">
      <c r="A19" s="77">
        <v>3</v>
      </c>
      <c r="B19" t="s">
        <v>38</v>
      </c>
      <c r="C19" t="s">
        <v>25</v>
      </c>
      <c r="D19" s="97" t="e">
        <f>_xlfn.XLOOKUP(A19,[1]CPD_SOP_new!$A:$A,[1]CPD_SOP_new!#REF!,"not found",0 )</f>
        <v>#REF!</v>
      </c>
      <c r="E19" s="97" t="str">
        <f>_xlfn.XLOOKUP(A19,[1]CPD_SOP_new!$A:$A,[1]CPD_SOP_new!$K:$K,"not found",0 )</f>
        <v>2R</v>
      </c>
      <c r="F19" t="s">
        <v>27</v>
      </c>
      <c r="G19" t="s">
        <v>28</v>
      </c>
      <c r="H19" t="s">
        <v>28</v>
      </c>
      <c r="I19" s="59" t="s">
        <v>28</v>
      </c>
      <c r="J19" t="s">
        <v>29</v>
      </c>
      <c r="K19" s="85" t="str">
        <f t="shared" si="0"/>
        <v>/mnt/measurements/07_CANape/Mitsubishi/5K45/MMC4.1.2/Validation/2025_11_29/child/part1/Sleep/TC_3_Try1.MF4.xz,child,RadarFC_Master,child (ncap1,2),CPD,dummy</v>
      </c>
      <c r="L19" s="85" t="s">
        <v>3098</v>
      </c>
      <c r="M19" t="s">
        <v>57</v>
      </c>
      <c r="N19" s="129" t="s">
        <v>35</v>
      </c>
    </row>
    <row r="20" spans="1:14">
      <c r="A20" s="77">
        <v>3</v>
      </c>
      <c r="B20" t="s">
        <v>38</v>
      </c>
      <c r="C20" t="s">
        <v>25</v>
      </c>
      <c r="D20" s="97" t="e">
        <f>_xlfn.XLOOKUP(A20,[1]CPD_SOP_new!$A:$A,[1]CPD_SOP_new!#REF!,"not found",0 )</f>
        <v>#REF!</v>
      </c>
      <c r="E20" s="97" t="str">
        <f>_xlfn.XLOOKUP(A20,[1]CPD_SOP_new!$A:$A,[1]CPD_SOP_new!$K:$K,"not found",0 )</f>
        <v>2R</v>
      </c>
      <c r="F20" t="s">
        <v>27</v>
      </c>
      <c r="G20" t="s">
        <v>28</v>
      </c>
      <c r="H20" t="s">
        <v>28</v>
      </c>
      <c r="I20" s="59" t="s">
        <v>28</v>
      </c>
      <c r="J20" t="s">
        <v>29</v>
      </c>
      <c r="K20" s="85" t="str">
        <f t="shared" si="0"/>
        <v>/mnt/measurements/07_CANape/Mitsubishi/5K45/MMC4.1.2/Validation/2025_11_29/child/part1/Sleep/TC_3_Try2.MF4.xz,child,RadarFC_Master,child (ncap1,2),CPD,dummy</v>
      </c>
      <c r="L20" s="85" t="s">
        <v>3099</v>
      </c>
      <c r="M20" t="s">
        <v>58</v>
      </c>
      <c r="N20" s="129" t="s">
        <v>35</v>
      </c>
    </row>
    <row r="21" spans="1:14">
      <c r="A21" s="77">
        <v>3</v>
      </c>
      <c r="B21" t="s">
        <v>38</v>
      </c>
      <c r="C21" t="s">
        <v>25</v>
      </c>
      <c r="D21" s="97" t="e">
        <f>_xlfn.XLOOKUP(A21,[1]CPD_SOP_new!$A:$A,[1]CPD_SOP_new!#REF!,"not found",0 )</f>
        <v>#REF!</v>
      </c>
      <c r="E21" s="97" t="str">
        <f>_xlfn.XLOOKUP(A21,[1]CPD_SOP_new!$A:$A,[1]CPD_SOP_new!$K:$K,"not found",0 )</f>
        <v>2R</v>
      </c>
      <c r="F21" t="s">
        <v>27</v>
      </c>
      <c r="G21" t="s">
        <v>28</v>
      </c>
      <c r="H21" t="s">
        <v>28</v>
      </c>
      <c r="I21" s="59" t="s">
        <v>28</v>
      </c>
      <c r="J21" t="s">
        <v>29</v>
      </c>
      <c r="K21" s="85" t="str">
        <f t="shared" si="0"/>
        <v>/mnt/measurements/07_CANape/Mitsubishi/5K45/MMC4.1.2/Validation/2025_11_29/child/part1/Sleep/TC_3_Try3.MF4.xz,child,RadarFC_Master,child (ncap1,2),CPD,dummy</v>
      </c>
      <c r="L21" s="85" t="s">
        <v>3100</v>
      </c>
      <c r="M21" s="60" t="s">
        <v>59</v>
      </c>
      <c r="N21" s="129" t="s">
        <v>35</v>
      </c>
    </row>
    <row r="22" spans="1:14">
      <c r="A22" s="77">
        <v>3</v>
      </c>
      <c r="B22" t="s">
        <v>38</v>
      </c>
      <c r="C22" t="s">
        <v>25</v>
      </c>
      <c r="D22" s="97" t="e">
        <f>_xlfn.XLOOKUP(A22,[1]CPD_SOP_new!$A:$A,[1]CPD_SOP_new!#REF!,"not found",0 )</f>
        <v>#REF!</v>
      </c>
      <c r="E22" s="97" t="str">
        <f>_xlfn.XLOOKUP(A22,[1]CPD_SOP_new!$A:$A,[1]CPD_SOP_new!$K:$K,"not found",0 )</f>
        <v>2R</v>
      </c>
      <c r="F22" t="s">
        <v>27</v>
      </c>
      <c r="G22" t="s">
        <v>28</v>
      </c>
      <c r="H22" t="s">
        <v>28</v>
      </c>
      <c r="I22" s="59" t="s">
        <v>28</v>
      </c>
      <c r="J22" t="s">
        <v>29</v>
      </c>
      <c r="K22" s="85" t="str">
        <f t="shared" si="0"/>
        <v>/mnt/measurements/07_CANape/Mitsubishi/5K45/5.2.0/5K457EG11/SmokeTest/CPD/CSR_XCP_Signals_Recorder_2026-01-12_13-44-04_TC3.MF4.xz,child,RadarFC_Master,child (ncap1,2),CPD,dummy</v>
      </c>
      <c r="L22" s="85" t="s">
        <v>3101</v>
      </c>
      <c r="M22" s="11" t="s">
        <v>60</v>
      </c>
      <c r="N22" s="129" t="s">
        <v>41</v>
      </c>
    </row>
    <row r="23" spans="1:14">
      <c r="A23" s="77">
        <v>3</v>
      </c>
      <c r="B23" t="s">
        <v>38</v>
      </c>
      <c r="C23" t="s">
        <v>25</v>
      </c>
      <c r="D23" s="97" t="e">
        <f>_xlfn.XLOOKUP(A23,[1]CPD_SOP_new!$A:$A,[1]CPD_SOP_new!#REF!,"not found",0 )</f>
        <v>#REF!</v>
      </c>
      <c r="E23" s="97" t="str">
        <f>_xlfn.XLOOKUP(A23,[1]CPD_SOP_new!$A:$A,[1]CPD_SOP_new!$K:$K,"not found",0 )</f>
        <v>2R</v>
      </c>
      <c r="F23" t="s">
        <v>27</v>
      </c>
      <c r="G23" t="s">
        <v>28</v>
      </c>
      <c r="H23" t="s">
        <v>28</v>
      </c>
      <c r="I23" s="59" t="s">
        <v>28</v>
      </c>
      <c r="J23" t="s">
        <v>29</v>
      </c>
      <c r="K23" s="85" t="str">
        <f t="shared" si="0"/>
        <v>/mnt/measurements/07_CANape/Mitsubishi/5K45/5.2.0/5K457EG11/SmokeTest/CPD/SmokeTest_CPD_TC3.MF4.xz,child,RadarFC_Master,child (ncap1,2),CPD,dummy</v>
      </c>
      <c r="L23" s="85" t="s">
        <v>3102</v>
      </c>
      <c r="M23" s="132" t="s">
        <v>63</v>
      </c>
      <c r="N23" s="129" t="s">
        <v>41</v>
      </c>
    </row>
    <row r="24" spans="1:14">
      <c r="A24" s="77">
        <v>5</v>
      </c>
      <c r="B24" t="s">
        <v>38</v>
      </c>
      <c r="C24" t="s">
        <v>25</v>
      </c>
      <c r="D24" s="97" t="e">
        <f>_xlfn.XLOOKUP(A24,[1]CPD_SOP_new!$A:$A,[1]CPD_SOP_new!#REF!,"not found",0 )</f>
        <v>#REF!</v>
      </c>
      <c r="E24" s="97" t="str">
        <f>_xlfn.XLOOKUP(A24,[1]CPD_SOP_new!$A:$A,[1]CPD_SOP_new!$K:$K,"not found",0 )</f>
        <v>2L</v>
      </c>
      <c r="F24" t="s">
        <v>27</v>
      </c>
      <c r="G24" t="s">
        <v>28</v>
      </c>
      <c r="H24" t="s">
        <v>28</v>
      </c>
      <c r="I24" s="59" t="s">
        <v>28</v>
      </c>
      <c r="J24" t="s">
        <v>29</v>
      </c>
      <c r="K24" s="85" t="str">
        <f t="shared" si="0"/>
        <v>/mnt/measurements/07_CANape/Mitsubishi/5K45/MMC4.1.2/Validation/2025_11_29/child/part1/Sleep/TC_5_Try1.MF4.xz,child,RadarFC_Master,child (ncap1,2),CPD,dummy</v>
      </c>
      <c r="L24" s="85" t="s">
        <v>3103</v>
      </c>
      <c r="M24" t="s">
        <v>70</v>
      </c>
      <c r="N24" s="129" t="s">
        <v>35</v>
      </c>
    </row>
    <row r="25" spans="1:14">
      <c r="A25" s="77">
        <v>5</v>
      </c>
      <c r="B25" t="s">
        <v>38</v>
      </c>
      <c r="C25" t="s">
        <v>25</v>
      </c>
      <c r="D25" s="97" t="e">
        <f>_xlfn.XLOOKUP(A25,[1]CPD_SOP_new!$A:$A,[1]CPD_SOP_new!#REF!,"not found",0 )</f>
        <v>#REF!</v>
      </c>
      <c r="E25" s="97" t="str">
        <f>_xlfn.XLOOKUP(A25,[1]CPD_SOP_new!$A:$A,[1]CPD_SOP_new!$K:$K,"not found",0 )</f>
        <v>2L</v>
      </c>
      <c r="F25" t="s">
        <v>27</v>
      </c>
      <c r="G25" t="s">
        <v>28</v>
      </c>
      <c r="H25" t="s">
        <v>28</v>
      </c>
      <c r="I25" s="59" t="s">
        <v>28</v>
      </c>
      <c r="J25" t="s">
        <v>29</v>
      </c>
      <c r="K25" s="85" t="str">
        <f t="shared" si="0"/>
        <v>/mnt/measurements/07_CANape/Mitsubishi/5K45/MMC4.1.2/Validation/2025_11_29/child/part1/Sleep/TC_5_Try2.MF4.xz,child,RadarFC_Master,child (ncap1,2),CPD,dummy</v>
      </c>
      <c r="L25" s="85" t="s">
        <v>3104</v>
      </c>
      <c r="M25" t="s">
        <v>72</v>
      </c>
      <c r="N25" s="129" t="s">
        <v>35</v>
      </c>
    </row>
    <row r="26" spans="1:14">
      <c r="A26" s="77">
        <v>5</v>
      </c>
      <c r="B26" t="s">
        <v>38</v>
      </c>
      <c r="C26" t="s">
        <v>25</v>
      </c>
      <c r="D26" s="97" t="e">
        <f>_xlfn.XLOOKUP(A26,[1]CPD_SOP_new!$A:$A,[1]CPD_SOP_new!#REF!,"not found",0 )</f>
        <v>#REF!</v>
      </c>
      <c r="E26" s="97" t="str">
        <f>_xlfn.XLOOKUP(A26,[1]CPD_SOP_new!$A:$A,[1]CPD_SOP_new!$K:$K,"not found",0 )</f>
        <v>2L</v>
      </c>
      <c r="F26" t="s">
        <v>27</v>
      </c>
      <c r="G26" t="s">
        <v>28</v>
      </c>
      <c r="H26" t="s">
        <v>28</v>
      </c>
      <c r="I26" s="59" t="s">
        <v>28</v>
      </c>
      <c r="J26" t="s">
        <v>29</v>
      </c>
      <c r="K26" s="85" t="str">
        <f t="shared" si="0"/>
        <v>/mnt/measurements/07_CANape/Mitsubishi/5K45/MMC4.1.2/Validation/2025_11_29/child/part1/Sleep/TC_5_Try3.MF4.xz,child,RadarFC_Master,child (ncap1,2),CPD,dummy</v>
      </c>
      <c r="L26" s="85" t="s">
        <v>3105</v>
      </c>
      <c r="M26" t="s">
        <v>73</v>
      </c>
      <c r="N26" s="129" t="s">
        <v>35</v>
      </c>
    </row>
    <row r="27" spans="1:14">
      <c r="A27" s="77">
        <v>7</v>
      </c>
      <c r="B27" t="s">
        <v>38</v>
      </c>
      <c r="C27" t="s">
        <v>25</v>
      </c>
      <c r="D27" s="97" t="e">
        <f>_xlfn.XLOOKUP(A27,[1]CPD_SOP_new!$A:$A,[1]CPD_SOP_new!#REF!,"not found",0 )</f>
        <v>#REF!</v>
      </c>
      <c r="E27" s="97" t="str">
        <f>_xlfn.XLOOKUP(A27,[1]CPD_SOP_new!$A:$A,[1]CPD_SOP_new!$K:$K,"not found",0 )</f>
        <v>3R</v>
      </c>
      <c r="F27" t="s">
        <v>27</v>
      </c>
      <c r="G27" t="s">
        <v>28</v>
      </c>
      <c r="H27" t="s">
        <v>28</v>
      </c>
      <c r="I27" s="59" t="s">
        <v>28</v>
      </c>
      <c r="J27" t="s">
        <v>29</v>
      </c>
      <c r="K27" s="85" t="str">
        <f t="shared" si="0"/>
        <v>/mnt/measurements/07_CANape/Mitsubishi/5K45/MMC4.1.2/Validation/child/Sleep//TC_7.MF4.xz,child,RadarFC_Master,child (ncap1,2),CPD,dummy</v>
      </c>
      <c r="L27" s="85" t="s">
        <v>3106</v>
      </c>
      <c r="M27" t="s">
        <v>75</v>
      </c>
      <c r="N27" t="s">
        <v>33</v>
      </c>
    </row>
    <row r="28" spans="1:14">
      <c r="A28" s="77">
        <v>7</v>
      </c>
      <c r="B28" t="s">
        <v>38</v>
      </c>
      <c r="C28" t="s">
        <v>25</v>
      </c>
      <c r="D28" s="97" t="e">
        <f>_xlfn.XLOOKUP(A28,[1]CPD_SOP_new!$A:$A,[1]CPD_SOP_new!#REF!,"not found",0 )</f>
        <v>#REF!</v>
      </c>
      <c r="E28" s="97" t="str">
        <f>_xlfn.XLOOKUP(A28,[1]CPD_SOP_new!$A:$A,[1]CPD_SOP_new!$K:$K,"not found",0 )</f>
        <v>3R</v>
      </c>
      <c r="F28" t="s">
        <v>27</v>
      </c>
      <c r="G28" t="s">
        <v>28</v>
      </c>
      <c r="H28" t="s">
        <v>28</v>
      </c>
      <c r="I28" s="59" t="s">
        <v>28</v>
      </c>
      <c r="J28" t="s">
        <v>29</v>
      </c>
      <c r="K28" s="85" t="str">
        <f t="shared" si="0"/>
        <v>/mnt/measurements/07_CANape/Mitsubishi/5K45/MMC4.1.2/Validation/2025_11_29/child/part1/Sleep/TC_7_Try1.MF4.xz,child,RadarFC_Master,child (ncap1,2),CPD,dummy</v>
      </c>
      <c r="L28" s="85" t="s">
        <v>3107</v>
      </c>
      <c r="M28" t="s">
        <v>77</v>
      </c>
      <c r="N28" s="129" t="s">
        <v>35</v>
      </c>
    </row>
    <row r="29" spans="1:14">
      <c r="A29" s="77">
        <v>7</v>
      </c>
      <c r="B29" t="s">
        <v>38</v>
      </c>
      <c r="C29" t="s">
        <v>25</v>
      </c>
      <c r="D29" s="97" t="e">
        <f>_xlfn.XLOOKUP(A29,[1]CPD_SOP_new!$A:$A,[1]CPD_SOP_new!#REF!,"not found",0 )</f>
        <v>#REF!</v>
      </c>
      <c r="E29" s="97" t="str">
        <f>_xlfn.XLOOKUP(A29,[1]CPD_SOP_new!$A:$A,[1]CPD_SOP_new!$K:$K,"not found",0 )</f>
        <v>3R</v>
      </c>
      <c r="F29" t="s">
        <v>27</v>
      </c>
      <c r="G29" t="s">
        <v>28</v>
      </c>
      <c r="H29" t="s">
        <v>28</v>
      </c>
      <c r="I29" s="59" t="s">
        <v>28</v>
      </c>
      <c r="J29" t="s">
        <v>29</v>
      </c>
      <c r="K29" s="85" t="str">
        <f t="shared" si="0"/>
        <v>/mnt/measurements/07_CANape/Mitsubishi/5K45/MMC4.1.2/Validation/2025_11_29/child/part1/Sleep/TC_7_Try2.MF4.xz,child,RadarFC_Master,child (ncap1,2),CPD,dummy</v>
      </c>
      <c r="L29" s="85" t="s">
        <v>3108</v>
      </c>
      <c r="M29" t="s">
        <v>79</v>
      </c>
      <c r="N29" s="129" t="s">
        <v>35</v>
      </c>
    </row>
    <row r="30" spans="1:14">
      <c r="A30" s="77">
        <v>7</v>
      </c>
      <c r="B30" t="s">
        <v>38</v>
      </c>
      <c r="C30" t="s">
        <v>25</v>
      </c>
      <c r="D30" s="97" t="e">
        <f>_xlfn.XLOOKUP(A30,[1]CPD_SOP_new!$A:$A,[1]CPD_SOP_new!#REF!,"not found",0 )</f>
        <v>#REF!</v>
      </c>
      <c r="E30" s="97" t="str">
        <f>_xlfn.XLOOKUP(A30,[1]CPD_SOP_new!$A:$A,[1]CPD_SOP_new!$K:$K,"not found",0 )</f>
        <v>3R</v>
      </c>
      <c r="F30" t="s">
        <v>27</v>
      </c>
      <c r="G30" t="s">
        <v>28</v>
      </c>
      <c r="H30" t="s">
        <v>28</v>
      </c>
      <c r="I30" s="59" t="s">
        <v>28</v>
      </c>
      <c r="J30" t="s">
        <v>29</v>
      </c>
      <c r="K30" s="85" t="str">
        <f t="shared" si="0"/>
        <v>/mnt/measurements/07_CANape/Mitsubishi/5K45/MMC4.1.2/Validation/2025_11_29/child/part1/Sleep/TC_7_Try3.MF4.xz,child,RadarFC_Master,child (ncap1,2),CPD,dummy</v>
      </c>
      <c r="L30" s="85" t="s">
        <v>3109</v>
      </c>
      <c r="M30" t="s">
        <v>80</v>
      </c>
      <c r="N30" s="129" t="s">
        <v>35</v>
      </c>
    </row>
    <row r="31" spans="1:14">
      <c r="A31" s="77">
        <v>7</v>
      </c>
      <c r="B31" t="s">
        <v>38</v>
      </c>
      <c r="C31" t="s">
        <v>25</v>
      </c>
      <c r="D31" s="97" t="e">
        <f>_xlfn.XLOOKUP(A31,[1]CPD_SOP_new!$A:$A,[1]CPD_SOP_new!#REF!,"not found",0 )</f>
        <v>#REF!</v>
      </c>
      <c r="E31" s="97" t="str">
        <f>_xlfn.XLOOKUP(A31,[1]CPD_SOP_new!$A:$A,[1]CPD_SOP_new!$K:$K,"not found",0 )</f>
        <v>3R</v>
      </c>
      <c r="F31" t="s">
        <v>27</v>
      </c>
      <c r="G31" t="s">
        <v>28</v>
      </c>
      <c r="H31" t="s">
        <v>28</v>
      </c>
      <c r="I31" s="59" t="s">
        <v>28</v>
      </c>
      <c r="J31" t="s">
        <v>29</v>
      </c>
      <c r="K31" s="85" t="str">
        <f t="shared" si="0"/>
        <v>/mnt/measurements/07_CANape/Mitsubishi/5K45/5.2.0/5K457EG11/SmokeTest/CPD/CSR_XCP_Signals_Recorder_2026-01-12_14-03-32_TC7.MF4.xz,child,RadarFC_Master,child (ncap1,2),CPD,dummy</v>
      </c>
      <c r="L31" s="85" t="s">
        <v>3110</v>
      </c>
      <c r="M31" s="132" t="s">
        <v>81</v>
      </c>
      <c r="N31" s="129" t="s">
        <v>41</v>
      </c>
    </row>
    <row r="32" spans="1:14">
      <c r="A32" s="77">
        <v>7</v>
      </c>
      <c r="B32" t="s">
        <v>38</v>
      </c>
      <c r="C32" t="s">
        <v>25</v>
      </c>
      <c r="D32" s="97" t="e">
        <f>_xlfn.XLOOKUP(A32,[1]CPD_SOP_new!$A:$A,[1]CPD_SOP_new!#REF!,"not found",0 )</f>
        <v>#REF!</v>
      </c>
      <c r="E32" s="97" t="str">
        <f>_xlfn.XLOOKUP(A32,[1]CPD_SOP_new!$A:$A,[1]CPD_SOP_new!$K:$K,"not found",0 )</f>
        <v>3R</v>
      </c>
      <c r="F32" t="s">
        <v>27</v>
      </c>
      <c r="G32" t="s">
        <v>28</v>
      </c>
      <c r="H32" t="s">
        <v>28</v>
      </c>
      <c r="I32" s="59" t="s">
        <v>28</v>
      </c>
      <c r="J32" t="s">
        <v>29</v>
      </c>
      <c r="K32" s="85" t="str">
        <f t="shared" si="0"/>
        <v>/mnt/measurements/07_CANape/Mitsubishi/5K45/5.2.0/5K457EG11/SmokeTest/CPD/SmokeTest_CPD_TC7.MF4.xz,child,RadarFC_Master,child (ncap1,2),CPD,dummy</v>
      </c>
      <c r="L32" s="85" t="s">
        <v>3111</v>
      </c>
      <c r="M32" s="132" t="s">
        <v>83</v>
      </c>
      <c r="N32" s="129" t="s">
        <v>41</v>
      </c>
    </row>
    <row r="33" spans="1:14">
      <c r="A33" s="77">
        <v>9</v>
      </c>
      <c r="B33" t="s">
        <v>38</v>
      </c>
      <c r="C33" t="s">
        <v>48</v>
      </c>
      <c r="D33" s="97" t="e">
        <f>_xlfn.XLOOKUP(A33,[1]CPD_SOP_new!$A:$A,[1]CPD_SOP_new!#REF!,"not found",0 )</f>
        <v>#REF!</v>
      </c>
      <c r="E33" s="97" t="s">
        <v>26</v>
      </c>
      <c r="F33" t="s">
        <v>28</v>
      </c>
      <c r="G33" t="s">
        <v>28</v>
      </c>
      <c r="H33" t="s">
        <v>28</v>
      </c>
      <c r="I33" s="59" t="s">
        <v>28</v>
      </c>
      <c r="J33" t="s">
        <v>29</v>
      </c>
      <c r="K33" s="85" t="str">
        <f t="shared" si="0"/>
        <v>/mnt/measurements/07_CANape/Mitsubishi/5K45/MMC5.0.2/5K457EG11/RealChild/CPD_TC9_Try1.MF4.xz,child,RadarFC_Master,child (ncap1,2),CPD,realchild</v>
      </c>
      <c r="L33" s="85" t="s">
        <v>3112</v>
      </c>
      <c r="M33" t="s">
        <v>85</v>
      </c>
      <c r="N33" s="129" t="s">
        <v>86</v>
      </c>
    </row>
    <row r="34" spans="1:14">
      <c r="A34" s="77">
        <v>9</v>
      </c>
      <c r="B34" t="s">
        <v>38</v>
      </c>
      <c r="C34" t="s">
        <v>48</v>
      </c>
      <c r="D34" s="97" t="e">
        <f>_xlfn.XLOOKUP(A34,[1]CPD_SOP_new!$A:$A,[1]CPD_SOP_new!#REF!,"not found",0 )</f>
        <v>#REF!</v>
      </c>
      <c r="E34" s="97" t="s">
        <v>26</v>
      </c>
      <c r="F34" t="s">
        <v>28</v>
      </c>
      <c r="G34" t="s">
        <v>28</v>
      </c>
      <c r="H34" t="s">
        <v>28</v>
      </c>
      <c r="I34" s="59" t="s">
        <v>28</v>
      </c>
      <c r="J34" t="s">
        <v>29</v>
      </c>
      <c r="K34" s="85" t="str">
        <f t="shared" si="0"/>
        <v>/mnt/measurements/07_CANape/Mitsubishi/5K45/MMC5.0.2/5K457EG11/RealChild/CPD_TC9_Try2.MF4.xz,child,RadarFC_Master,child (ncap1,2),CPD,realchild</v>
      </c>
      <c r="L34" s="85" t="s">
        <v>3113</v>
      </c>
      <c r="M34" s="60" t="s">
        <v>88</v>
      </c>
      <c r="N34" s="129" t="s">
        <v>86</v>
      </c>
    </row>
    <row r="35" spans="1:14">
      <c r="A35" s="77">
        <v>9</v>
      </c>
      <c r="B35" t="s">
        <v>38</v>
      </c>
      <c r="C35" t="s">
        <v>48</v>
      </c>
      <c r="D35" s="97" t="e">
        <f>_xlfn.XLOOKUP(A35,[1]CPD_SOP_new!$A:$A,[1]CPD_SOP_new!#REF!,"not found",0 )</f>
        <v>#REF!</v>
      </c>
      <c r="E35" s="97" t="s">
        <v>26</v>
      </c>
      <c r="F35" t="s">
        <v>28</v>
      </c>
      <c r="G35" t="s">
        <v>28</v>
      </c>
      <c r="H35" t="s">
        <v>28</v>
      </c>
      <c r="I35" s="59" t="s">
        <v>28</v>
      </c>
      <c r="J35" t="s">
        <v>29</v>
      </c>
      <c r="K35" s="85" t="str">
        <f t="shared" si="0"/>
        <v>/mnt/measurements/07_CANape/Mitsubishi/5K45/MMC5.0.2/5K457EG11/RealChild/CPD_TC9_Try3.MF4.xz,child,RadarFC_Master,child (ncap1,2),CPD,realchild</v>
      </c>
      <c r="L35" s="85" t="s">
        <v>3114</v>
      </c>
      <c r="M35" t="s">
        <v>89</v>
      </c>
      <c r="N35" s="129" t="s">
        <v>86</v>
      </c>
    </row>
    <row r="36" spans="1:14">
      <c r="A36" s="77">
        <v>9</v>
      </c>
      <c r="B36" t="s">
        <v>38</v>
      </c>
      <c r="C36" t="s">
        <v>48</v>
      </c>
      <c r="D36" s="97" t="e">
        <f>_xlfn.XLOOKUP(A36,[1]CPD_SOP_new!$A:$A,[1]CPD_SOP_new!#REF!,"not found",0 )</f>
        <v>#REF!</v>
      </c>
      <c r="E36" s="97" t="s">
        <v>26</v>
      </c>
      <c r="F36" t="s">
        <v>28</v>
      </c>
      <c r="G36" t="s">
        <v>28</v>
      </c>
      <c r="H36" t="s">
        <v>28</v>
      </c>
      <c r="I36" s="59" t="s">
        <v>28</v>
      </c>
      <c r="J36" t="s">
        <v>29</v>
      </c>
      <c r="K36" s="85" t="str">
        <f t="shared" si="0"/>
        <v>/mnt/measurements/07_CANape/Mitsubishi/5K45/MMC5.0.2/5K457EG11/RealChild/CPD_TC9_Try4.MF4.xz,child,RadarFC_Master,child (ncap1,2),CPD,realchild</v>
      </c>
      <c r="L36" s="85" t="s">
        <v>3115</v>
      </c>
      <c r="M36" t="s">
        <v>90</v>
      </c>
      <c r="N36" s="129" t="s">
        <v>86</v>
      </c>
    </row>
    <row r="37" spans="1:14">
      <c r="A37" s="77">
        <v>9</v>
      </c>
      <c r="B37" t="s">
        <v>38</v>
      </c>
      <c r="C37" t="s">
        <v>48</v>
      </c>
      <c r="D37" s="97" t="e">
        <f>_xlfn.XLOOKUP(A37,[1]CPD_SOP_new!$A:$A,[1]CPD_SOP_new!#REF!,"not found",0 )</f>
        <v>#REF!</v>
      </c>
      <c r="E37" s="97" t="s">
        <v>26</v>
      </c>
      <c r="F37" t="s">
        <v>28</v>
      </c>
      <c r="G37" t="s">
        <v>28</v>
      </c>
      <c r="H37" t="s">
        <v>28</v>
      </c>
      <c r="I37" s="59" t="s">
        <v>28</v>
      </c>
      <c r="J37" t="s">
        <v>29</v>
      </c>
      <c r="K37" s="85" t="str">
        <f t="shared" si="0"/>
        <v>/mnt/measurements/07_CANape/Mitsubishi/5K45/MMC5.0.2/5K457EG11/RealChild/CPD_TC9_Try5.MF4.xz,child,RadarFC_Master,child (ncap1,2),CPD,realchild</v>
      </c>
      <c r="L37" s="85" t="s">
        <v>3116</v>
      </c>
      <c r="M37" t="s">
        <v>91</v>
      </c>
      <c r="N37" s="129" t="s">
        <v>86</v>
      </c>
    </row>
    <row r="38" spans="1:14">
      <c r="A38" s="77">
        <v>10</v>
      </c>
      <c r="B38" t="s">
        <v>38</v>
      </c>
      <c r="C38" t="s">
        <v>48</v>
      </c>
      <c r="D38" s="97" t="e">
        <f>_xlfn.XLOOKUP(A38,[1]CPD_SOP_new!$A:$A,[1]CPD_SOP_new!#REF!,"not found",0 )</f>
        <v>#REF!</v>
      </c>
      <c r="E38" s="97" t="str">
        <f>_xlfn.XLOOKUP(A38,[1]CPD_SOP_new!$A:$A,[1]CPD_SOP_new!$K:$K,"not found",0 )</f>
        <v>2R</v>
      </c>
      <c r="F38" t="s">
        <v>27</v>
      </c>
      <c r="G38" t="s">
        <v>28</v>
      </c>
      <c r="H38" t="s">
        <v>28</v>
      </c>
      <c r="I38" s="59" t="s">
        <v>28</v>
      </c>
      <c r="J38" t="s">
        <v>29</v>
      </c>
      <c r="K38" s="85" t="str">
        <f t="shared" si="0"/>
        <v>/mnt/measurements/07_CANape/Mitsubishi/5K45/MMC4.1.2/Validation/child/Awake/TC_10.MF4.xz,child,RadarFC_Master,child (ncap1,2),CPD,dummy</v>
      </c>
      <c r="L38" s="85" t="s">
        <v>3117</v>
      </c>
      <c r="M38" t="s">
        <v>92</v>
      </c>
      <c r="N38" s="129" t="s">
        <v>93</v>
      </c>
    </row>
    <row r="39" spans="1:14" s="130" customFormat="1" hidden="1">
      <c r="A39" s="78">
        <v>10</v>
      </c>
      <c r="B39" s="130" t="s">
        <v>38</v>
      </c>
      <c r="C39" s="130" t="s">
        <v>48</v>
      </c>
      <c r="D39" s="97" t="e">
        <f>_xlfn.XLOOKUP(A39,[1]CPD_SOP_new!$A:$A,[1]CPD_SOP_new!#REF!,"not found",0 )</f>
        <v>#REF!</v>
      </c>
      <c r="E39" s="97" t="str">
        <f>_xlfn.XLOOKUP(A39,[1]CPD_SOP_new!$A:$A,[1]CPD_SOP_new!$K:$K,"not found",0 )</f>
        <v>2R</v>
      </c>
      <c r="F39" s="130" t="s">
        <v>28</v>
      </c>
      <c r="G39" s="130" t="s">
        <v>28</v>
      </c>
      <c r="H39" t="s">
        <v>28</v>
      </c>
      <c r="I39" s="130" t="s">
        <v>27</v>
      </c>
      <c r="J39" s="130" t="s">
        <v>29</v>
      </c>
      <c r="K39" s="85" t="str">
        <f t="shared" si="0"/>
        <v>/mnt/measurements/07_CANape/Mitsubishi/5K45/MMC5.0.1/5K457EG-11/Real_Child_Measurements/CSR_XCP_Signals_Recorder_2025-12-15_10-12-14_TC10_2R_CPD.MF4.xz,child,RadarFC_Master,child (ncap1,2),CPD,realchild</v>
      </c>
      <c r="L39" s="85" t="s">
        <v>3118</v>
      </c>
      <c r="M39" s="61" t="s">
        <v>106</v>
      </c>
      <c r="N39" s="131" t="s">
        <v>102</v>
      </c>
    </row>
    <row r="40" spans="1:14">
      <c r="A40" s="77">
        <v>10</v>
      </c>
      <c r="B40" t="s">
        <v>38</v>
      </c>
      <c r="C40" t="s">
        <v>48</v>
      </c>
      <c r="D40" s="97" t="e">
        <f>_xlfn.XLOOKUP(A40,[1]CPD_SOP_new!$A:$A,[1]CPD_SOP_new!#REF!,"not found",0 )</f>
        <v>#REF!</v>
      </c>
      <c r="E40" s="97" t="str">
        <f>_xlfn.XLOOKUP(A40,[1]CPD_SOP_new!$A:$A,[1]CPD_SOP_new!$K:$K,"not found",0 )</f>
        <v>2R</v>
      </c>
      <c r="F40" t="s">
        <v>27</v>
      </c>
      <c r="G40" t="s">
        <v>28</v>
      </c>
      <c r="H40" t="s">
        <v>28</v>
      </c>
      <c r="I40" s="59" t="s">
        <v>28</v>
      </c>
      <c r="J40" t="s">
        <v>29</v>
      </c>
      <c r="K40" s="85" t="str">
        <f t="shared" si="0"/>
        <v>/mnt/measurements/07_CANape/Mitsubishi/5K45/MMC4.1.2/Validation/child/Awake/TC_10_Try_2.MF4.xz,child,RadarFC_Master,child (ncap1,2),CPD,dummy</v>
      </c>
      <c r="L40" s="85" t="s">
        <v>3119</v>
      </c>
      <c r="M40" s="60" t="s">
        <v>95</v>
      </c>
      <c r="N40" s="129" t="s">
        <v>93</v>
      </c>
    </row>
    <row r="41" spans="1:14">
      <c r="A41" s="77">
        <v>10</v>
      </c>
      <c r="B41" t="s">
        <v>38</v>
      </c>
      <c r="C41" t="s">
        <v>48</v>
      </c>
      <c r="D41" s="97" t="e">
        <f>_xlfn.XLOOKUP(A41,[1]CPD_SOP_new!$A:$A,[1]CPD_SOP_new!#REF!,"not found",0 )</f>
        <v>#REF!</v>
      </c>
      <c r="E41" s="97" t="str">
        <f>_xlfn.XLOOKUP(A41,[1]CPD_SOP_new!$A:$A,[1]CPD_SOP_new!$K:$K,"not found",0 )</f>
        <v>2R</v>
      </c>
      <c r="F41" t="s">
        <v>27</v>
      </c>
      <c r="G41" t="s">
        <v>28</v>
      </c>
      <c r="H41" t="s">
        <v>28</v>
      </c>
      <c r="I41" s="59" t="s">
        <v>28</v>
      </c>
      <c r="J41" t="s">
        <v>29</v>
      </c>
      <c r="K41" s="85" t="str">
        <f t="shared" si="0"/>
        <v>/mnt/measurements/07_CANape/Mitsubishi/5K45/MMC4.1.2/Validation/child/Awake/TC_10_Try_3.MF4.xz,child,RadarFC_Master,child (ncap1,2),CPD,dummy</v>
      </c>
      <c r="L41" s="85" t="s">
        <v>3120</v>
      </c>
      <c r="M41" s="60" t="s">
        <v>96</v>
      </c>
      <c r="N41" s="129" t="s">
        <v>93</v>
      </c>
    </row>
    <row r="42" spans="1:14">
      <c r="A42" s="77">
        <v>10</v>
      </c>
      <c r="B42" t="s">
        <v>38</v>
      </c>
      <c r="C42" t="s">
        <v>48</v>
      </c>
      <c r="D42" s="97" t="e">
        <f>_xlfn.XLOOKUP(A42,[1]CPD_SOP_new!$A:$A,[1]CPD_SOP_new!#REF!,"not found",0 )</f>
        <v>#REF!</v>
      </c>
      <c r="E42" s="97" t="str">
        <f>_xlfn.XLOOKUP(A42,[1]CPD_SOP_new!$A:$A,[1]CPD_SOP_new!$K:$K,"not found",0 )</f>
        <v>2R</v>
      </c>
      <c r="F42" t="s">
        <v>27</v>
      </c>
      <c r="G42" t="s">
        <v>28</v>
      </c>
      <c r="H42" t="s">
        <v>28</v>
      </c>
      <c r="I42" s="59" t="s">
        <v>28</v>
      </c>
      <c r="J42" t="s">
        <v>29</v>
      </c>
      <c r="K42" s="85" t="str">
        <f t="shared" si="0"/>
        <v>/mnt/measurements/07_CANape/Mitsubishi/5K45/MMC4.1.2/Validation/2025_11_29/child/part1/Awake/TC_10_Try1.MF4.xz,child,RadarFC_Master,child (ncap1,2),CPD,dummy</v>
      </c>
      <c r="L42" s="85" t="s">
        <v>3121</v>
      </c>
      <c r="M42" t="s">
        <v>97</v>
      </c>
      <c r="N42" s="129" t="s">
        <v>98</v>
      </c>
    </row>
    <row r="43" spans="1:14">
      <c r="A43" s="77">
        <v>10</v>
      </c>
      <c r="B43" t="s">
        <v>38</v>
      </c>
      <c r="C43" t="s">
        <v>48</v>
      </c>
      <c r="D43" s="97" t="e">
        <f>_xlfn.XLOOKUP(A43,[1]CPD_SOP_new!$A:$A,[1]CPD_SOP_new!#REF!,"not found",0 )</f>
        <v>#REF!</v>
      </c>
      <c r="E43" s="97" t="str">
        <f>_xlfn.XLOOKUP(A43,[1]CPD_SOP_new!$A:$A,[1]CPD_SOP_new!$K:$K,"not found",0 )</f>
        <v>2R</v>
      </c>
      <c r="F43" t="s">
        <v>27</v>
      </c>
      <c r="G43" t="s">
        <v>28</v>
      </c>
      <c r="H43" t="s">
        <v>28</v>
      </c>
      <c r="I43" s="59" t="s">
        <v>28</v>
      </c>
      <c r="J43" t="s">
        <v>29</v>
      </c>
      <c r="K43" s="85" t="str">
        <f t="shared" si="0"/>
        <v>/mnt/measurements/07_CANape/Mitsubishi/5K45/MMC4.1.2/Validation/2025_11_29/child/part1/Awake/TC_10_Try2.MF4.xz,child,RadarFC_Master,child (ncap1,2),CPD,dummy</v>
      </c>
      <c r="L43" s="85" t="s">
        <v>3122</v>
      </c>
      <c r="M43" t="s">
        <v>99</v>
      </c>
      <c r="N43" s="129" t="s">
        <v>98</v>
      </c>
    </row>
    <row r="44" spans="1:14" s="130" customFormat="1" hidden="1">
      <c r="A44" s="78">
        <v>11</v>
      </c>
      <c r="B44" s="130" t="s">
        <v>38</v>
      </c>
      <c r="C44" s="130" t="s">
        <v>48</v>
      </c>
      <c r="D44" s="97" t="e">
        <f>_xlfn.XLOOKUP(A44,[1]CPD_SOP_new!$A:$A,[1]CPD_SOP_new!#REF!,"not found",0 )</f>
        <v>#REF!</v>
      </c>
      <c r="E44" s="97" t="str">
        <f>_xlfn.XLOOKUP(A44,[1]CPD_SOP_new!$A:$A,[1]CPD_SOP_new!$K:$K,"not found",0 )</f>
        <v>2L</v>
      </c>
      <c r="F44" s="130" t="s">
        <v>28</v>
      </c>
      <c r="G44" s="130" t="s">
        <v>28</v>
      </c>
      <c r="H44" t="s">
        <v>28</v>
      </c>
      <c r="I44" s="130" t="s">
        <v>27</v>
      </c>
      <c r="J44" s="130" t="s">
        <v>29</v>
      </c>
      <c r="K44" s="85" t="str">
        <f t="shared" si="0"/>
        <v>/mnt/measurements/07_CANape/Mitsubishi/5K45/MMC5.0.1/5K457EG-11/Real_Child_Measurements/2025_12_16/CSR_XCP_Signals_Recorder_2025-12-16_13-53-34_TC11_1YO2L_CPD.MF4.xz,child,RadarFC_Master,child (ncap1,2),CPD,realchild</v>
      </c>
      <c r="L44" s="85" t="s">
        <v>3123</v>
      </c>
      <c r="M44" s="130" t="s">
        <v>118</v>
      </c>
      <c r="N44" s="131" t="s">
        <v>116</v>
      </c>
    </row>
    <row r="45" spans="1:14" s="130" customFormat="1" hidden="1">
      <c r="A45" s="78">
        <v>11</v>
      </c>
      <c r="B45" s="130" t="s">
        <v>38</v>
      </c>
      <c r="C45" s="130" t="s">
        <v>48</v>
      </c>
      <c r="D45" s="97" t="e">
        <f>_xlfn.XLOOKUP(A45,[1]CPD_SOP_new!$A:$A,[1]CPD_SOP_new!#REF!,"not found",0 )</f>
        <v>#REF!</v>
      </c>
      <c r="E45" s="97" t="str">
        <f>_xlfn.XLOOKUP(A45,[1]CPD_SOP_new!$A:$A,[1]CPD_SOP_new!$K:$K,"not found",0 )</f>
        <v>2L</v>
      </c>
      <c r="F45" s="130" t="s">
        <v>28</v>
      </c>
      <c r="G45" s="130" t="s">
        <v>28</v>
      </c>
      <c r="H45" t="s">
        <v>28</v>
      </c>
      <c r="I45" s="130" t="s">
        <v>27</v>
      </c>
      <c r="J45" s="130" t="s">
        <v>29</v>
      </c>
      <c r="K45" s="85" t="str">
        <f t="shared" si="0"/>
        <v>/mnt/measurements/07_CANape/Mitsubishi/5K45/MMC5.0.1/5K457EG-11/Real_Child_Measurements/2025_12_16/CSR_XCP_Signals_Recorder_2025-12-16_13-56-10_TC11_1YO2L_CPD.MF4.xz,child,RadarFC_Master,child (ncap1,2),CPD,realchild</v>
      </c>
      <c r="L45" s="85" t="s">
        <v>3124</v>
      </c>
      <c r="M45" s="130" t="s">
        <v>119</v>
      </c>
      <c r="N45" s="131" t="s">
        <v>116</v>
      </c>
    </row>
    <row r="46" spans="1:14">
      <c r="A46" s="77">
        <v>10</v>
      </c>
      <c r="B46" t="s">
        <v>38</v>
      </c>
      <c r="C46" t="s">
        <v>48</v>
      </c>
      <c r="D46" s="97" t="e">
        <f>_xlfn.XLOOKUP(A46,[1]CPD_SOP_new!$A:$A,[1]CPD_SOP_new!#REF!,"not found",0 )</f>
        <v>#REF!</v>
      </c>
      <c r="E46" s="97" t="str">
        <f>_xlfn.XLOOKUP(A46,[1]CPD_SOP_new!$A:$A,[1]CPD_SOP_new!$K:$K,"not found",0 )</f>
        <v>2R</v>
      </c>
      <c r="F46" t="s">
        <v>27</v>
      </c>
      <c r="G46" t="s">
        <v>28</v>
      </c>
      <c r="H46" t="s">
        <v>28</v>
      </c>
      <c r="I46" s="59" t="s">
        <v>28</v>
      </c>
      <c r="J46" t="s">
        <v>29</v>
      </c>
      <c r="K46" s="85" t="str">
        <f t="shared" si="0"/>
        <v>/mnt/measurements/07_CANape/Mitsubishi/5K45/MMC4.1.2/Validation/2025_11_29/child/part1/Awake/TC_10_Try3.MF4.xz,child,RadarFC_Master,child (ncap1,2),CPD,dummy</v>
      </c>
      <c r="L46" s="85" t="s">
        <v>3125</v>
      </c>
      <c r="M46" t="s">
        <v>100</v>
      </c>
      <c r="N46" s="129" t="s">
        <v>98</v>
      </c>
    </row>
    <row r="47" spans="1:14">
      <c r="A47" s="77">
        <v>10</v>
      </c>
      <c r="B47" t="s">
        <v>38</v>
      </c>
      <c r="C47" t="s">
        <v>48</v>
      </c>
      <c r="D47" s="97" t="e">
        <f>_xlfn.XLOOKUP(A47,[1]CPD_SOP_new!$A:$A,[1]CPD_SOP_new!#REF!,"not found",0 )</f>
        <v>#REF!</v>
      </c>
      <c r="E47" s="97" t="str">
        <f>_xlfn.XLOOKUP(A47,[1]CPD_SOP_new!$A:$A,[1]CPD_SOP_new!$K:$K,"not found",0 )</f>
        <v>2R</v>
      </c>
      <c r="F47" t="s">
        <v>28</v>
      </c>
      <c r="G47" t="s">
        <v>28</v>
      </c>
      <c r="H47" t="s">
        <v>28</v>
      </c>
      <c r="I47" s="59" t="s">
        <v>28</v>
      </c>
      <c r="J47" t="s">
        <v>29</v>
      </c>
      <c r="K47" s="85" t="str">
        <f t="shared" si="0"/>
        <v>/mnt/measurements/07_CANape/Mitsubishi/5K45/MMC5.0.1/5K457EG-11/Real_Child_Measurements/CSR_XCP_Signals_Recorder_2025-12-15_10-07-29_TC10_2R_CPD.MF4.xz,child,RadarFC_Master,child (ncap1,2),CPD,realchild</v>
      </c>
      <c r="L47" s="85" t="s">
        <v>3126</v>
      </c>
      <c r="M47" t="s">
        <v>101</v>
      </c>
      <c r="N47" s="129" t="s">
        <v>102</v>
      </c>
    </row>
    <row r="48" spans="1:14">
      <c r="A48" s="77">
        <v>10</v>
      </c>
      <c r="B48" t="s">
        <v>38</v>
      </c>
      <c r="C48" t="s">
        <v>48</v>
      </c>
      <c r="D48" s="97" t="e">
        <f>_xlfn.XLOOKUP(A48,[1]CPD_SOP_new!$A:$A,[1]CPD_SOP_new!#REF!,"not found",0 )</f>
        <v>#REF!</v>
      </c>
      <c r="E48" s="97" t="str">
        <f>_xlfn.XLOOKUP(A48,[1]CPD_SOP_new!$A:$A,[1]CPD_SOP_new!$K:$K,"not found",0 )</f>
        <v>2R</v>
      </c>
      <c r="F48" t="s">
        <v>28</v>
      </c>
      <c r="G48" t="s">
        <v>28</v>
      </c>
      <c r="H48" t="s">
        <v>28</v>
      </c>
      <c r="I48" s="59" t="s">
        <v>28</v>
      </c>
      <c r="J48" t="s">
        <v>29</v>
      </c>
      <c r="K48" s="85" t="str">
        <f t="shared" si="0"/>
        <v>/mnt/measurements/07_CANape/Mitsubishi/5K45/MMC5.0.1/5K457EG-11/Real_Child_Measurements/CSR_XCP_Signals_Recorder_2025-12-15_10-09-13_TC10_2R_CPD.MF4.xz,child,RadarFC_Master,child (ncap1,2),CPD,realchild</v>
      </c>
      <c r="L48" s="85" t="s">
        <v>3127</v>
      </c>
      <c r="M48" t="s">
        <v>104</v>
      </c>
      <c r="N48" s="129" t="s">
        <v>102</v>
      </c>
    </row>
    <row r="49" spans="1:14">
      <c r="A49" s="77">
        <v>10</v>
      </c>
      <c r="B49" t="s">
        <v>38</v>
      </c>
      <c r="C49" t="s">
        <v>48</v>
      </c>
      <c r="D49" s="97" t="e">
        <f>_xlfn.XLOOKUP(A49,[1]CPD_SOP_new!$A:$A,[1]CPD_SOP_new!#REF!,"not found",0 )</f>
        <v>#REF!</v>
      </c>
      <c r="E49" s="97" t="str">
        <f>_xlfn.XLOOKUP(A49,[1]CPD_SOP_new!$A:$A,[1]CPD_SOP_new!$K:$K,"not found",0 )</f>
        <v>2R</v>
      </c>
      <c r="F49" t="s">
        <v>28</v>
      </c>
      <c r="G49" t="s">
        <v>28</v>
      </c>
      <c r="H49" t="s">
        <v>28</v>
      </c>
      <c r="I49" s="59" t="s">
        <v>28</v>
      </c>
      <c r="J49" t="s">
        <v>29</v>
      </c>
      <c r="K49" s="85" t="str">
        <f t="shared" si="0"/>
        <v>/mnt/measurements/07_CANape/Mitsubishi/5K45/MMC5.0.1/5K457EG-11/Real_Child_Measurements/CSR_XCP_Signals_Recorder_2025-12-15_10-15-09_TC10_2R_CPD.MF4.xz,child,RadarFC_Master,child (ncap1,2),CPD,realchild</v>
      </c>
      <c r="L49" s="85" t="s">
        <v>3128</v>
      </c>
      <c r="M49" t="s">
        <v>107</v>
      </c>
      <c r="N49" s="129" t="s">
        <v>102</v>
      </c>
    </row>
    <row r="50" spans="1:14">
      <c r="A50" s="77">
        <v>10</v>
      </c>
      <c r="B50" t="s">
        <v>38</v>
      </c>
      <c r="C50" t="s">
        <v>48</v>
      </c>
      <c r="D50" s="97" t="e">
        <f>_xlfn.XLOOKUP(A50,[1]CPD_SOP_new!$A:$A,[1]CPD_SOP_new!#REF!,"not found",0 )</f>
        <v>#REF!</v>
      </c>
      <c r="E50" s="97" t="str">
        <f>_xlfn.XLOOKUP(A50,[1]CPD_SOP_new!$A:$A,[1]CPD_SOP_new!$K:$K,"not found",0 )</f>
        <v>2R</v>
      </c>
      <c r="F50" t="s">
        <v>28</v>
      </c>
      <c r="G50" t="s">
        <v>28</v>
      </c>
      <c r="H50" t="s">
        <v>28</v>
      </c>
      <c r="I50" s="59" t="s">
        <v>28</v>
      </c>
      <c r="J50" t="s">
        <v>29</v>
      </c>
      <c r="K50" s="85" t="str">
        <f t="shared" si="0"/>
        <v>/mnt/measurements/07_CANape/Mitsubishi/5K45/MMC5.0.1/5K457EG-11/Real_Child_Measurements/CSR_XCP_Signals_Recorder_2025-12-15_10-18-01_TC10_2R_CPD.MF4.xz,child,RadarFC_Master,child (ncap1,2),CPD,realchild</v>
      </c>
      <c r="L50" s="85" t="s">
        <v>3129</v>
      </c>
      <c r="M50" t="s">
        <v>108</v>
      </c>
      <c r="N50" s="129" t="s">
        <v>102</v>
      </c>
    </row>
    <row r="51" spans="1:14">
      <c r="A51" s="77">
        <v>10</v>
      </c>
      <c r="B51" t="s">
        <v>38</v>
      </c>
      <c r="C51" t="s">
        <v>48</v>
      </c>
      <c r="D51" s="97" t="e">
        <f>_xlfn.XLOOKUP(A51,[1]CPD_SOP_new!$A:$A,[1]CPD_SOP_new!#REF!,"not found",0 )</f>
        <v>#REF!</v>
      </c>
      <c r="E51" s="97" t="str">
        <f>_xlfn.XLOOKUP(A51,[1]CPD_SOP_new!$A:$A,[1]CPD_SOP_new!$K:$K,"not found",0 )</f>
        <v>2R</v>
      </c>
      <c r="F51" t="s">
        <v>27</v>
      </c>
      <c r="G51" t="s">
        <v>28</v>
      </c>
      <c r="H51" t="s">
        <v>28</v>
      </c>
      <c r="I51" s="59" t="s">
        <v>28</v>
      </c>
      <c r="J51" t="s">
        <v>29</v>
      </c>
      <c r="K51" s="85" t="str">
        <f t="shared" si="0"/>
        <v>/mnt/measurements/07_CANape/Mitsubishi/5K45/5.2.0/5K457EG11/SmokeTest/CPD/CSR_XCP_Signals_Recorder_2026-01-12_13-45-43_TC10.MF4.xz,child,RadarFC_Master,child (ncap1,2),CPD,dummy</v>
      </c>
      <c r="L51" s="85" t="s">
        <v>3130</v>
      </c>
      <c r="M51" s="132" t="s">
        <v>109</v>
      </c>
      <c r="N51" s="129" t="s">
        <v>41</v>
      </c>
    </row>
    <row r="52" spans="1:14">
      <c r="A52" s="59">
        <v>10</v>
      </c>
      <c r="B52" t="s">
        <v>38</v>
      </c>
      <c r="C52" t="s">
        <v>48</v>
      </c>
      <c r="D52" s="97" t="e">
        <f>_xlfn.XLOOKUP(A52,[1]CPD_SOP_new!$A:$A,[1]CPD_SOP_new!#REF!,"not found",0 )</f>
        <v>#REF!</v>
      </c>
      <c r="E52" s="97" t="str">
        <f>_xlfn.XLOOKUP(A52,[1]CPD_SOP_new!$A:$A,[1]CPD_SOP_new!$K:$K,"not found",0 )</f>
        <v>2R</v>
      </c>
      <c r="F52" t="s">
        <v>27</v>
      </c>
      <c r="G52" t="s">
        <v>28</v>
      </c>
      <c r="H52" t="s">
        <v>28</v>
      </c>
      <c r="I52" t="s">
        <v>28</v>
      </c>
      <c r="J52" t="s">
        <v>29</v>
      </c>
      <c r="K52" s="85" t="str">
        <f t="shared" si="0"/>
        <v>/mnt/measurements/07_CANape/Mitsubishi/5K45/5.3.0_RC6.2/5K457EG11/FP_Test_Cases_Renamed/CSR_XCP_Signals_Recorder_2026-02-02_11-44-54_TC10.MF4.xz,child,RadarFC_Master,child (ncap1,2),CPD,dummy</v>
      </c>
      <c r="L52" s="85" t="s">
        <v>3131</v>
      </c>
      <c r="M52" s="60" t="s">
        <v>1130</v>
      </c>
      <c r="N52" t="s">
        <v>767</v>
      </c>
    </row>
    <row r="53" spans="1:14">
      <c r="A53" s="77">
        <v>11</v>
      </c>
      <c r="B53" t="s">
        <v>38</v>
      </c>
      <c r="C53" t="s">
        <v>48</v>
      </c>
      <c r="D53" s="97" t="e">
        <f>_xlfn.XLOOKUP(A53,[1]CPD_SOP_new!$A:$A,[1]CPD_SOP_new!#REF!,"not found",0 )</f>
        <v>#REF!</v>
      </c>
      <c r="E53" s="97" t="str">
        <f>_xlfn.XLOOKUP(A53,[1]CPD_SOP_new!$A:$A,[1]CPD_SOP_new!$K:$K,"not found",0 )</f>
        <v>2L</v>
      </c>
      <c r="F53" t="s">
        <v>28</v>
      </c>
      <c r="G53" t="s">
        <v>28</v>
      </c>
      <c r="H53" t="s">
        <v>28</v>
      </c>
      <c r="I53" s="59" t="s">
        <v>28</v>
      </c>
      <c r="J53" t="s">
        <v>29</v>
      </c>
      <c r="K53" s="85" t="str">
        <f t="shared" si="0"/>
        <v>/mnt/measurements/07_CANape/Mitsubishi/5K45/MMC5.0.1/5K457EG-11/Real_Child_Measurements/2025_12_16/CSR_XCP_Signals_Recorder_2025-12-16_13-50-57_TC11_1YO2L_CPD.MF4.xz,child,RadarFC_Master,child (ncap1,2),CPD,realchild</v>
      </c>
      <c r="L53" s="85" t="s">
        <v>3132</v>
      </c>
      <c r="M53" s="60" t="s">
        <v>115</v>
      </c>
      <c r="N53" s="129" t="s">
        <v>116</v>
      </c>
    </row>
    <row r="54" spans="1:14">
      <c r="A54" s="77">
        <v>11</v>
      </c>
      <c r="B54" t="s">
        <v>38</v>
      </c>
      <c r="C54" t="s">
        <v>48</v>
      </c>
      <c r="D54" s="97" t="e">
        <f>_xlfn.XLOOKUP(A54,[1]CPD_SOP_new!$A:$A,[1]CPD_SOP_new!#REF!,"not found",0 )</f>
        <v>#REF!</v>
      </c>
      <c r="E54" s="97" t="str">
        <f>_xlfn.XLOOKUP(A54,[1]CPD_SOP_new!$A:$A,[1]CPD_SOP_new!$K:$K,"not found",0 )</f>
        <v>2L</v>
      </c>
      <c r="F54" t="s">
        <v>28</v>
      </c>
      <c r="G54" t="s">
        <v>28</v>
      </c>
      <c r="H54" t="s">
        <v>28</v>
      </c>
      <c r="I54" s="59" t="s">
        <v>28</v>
      </c>
      <c r="J54" t="s">
        <v>29</v>
      </c>
      <c r="K54" s="85" t="str">
        <f t="shared" si="0"/>
        <v>/mnt/measurements/07_CANape/Mitsubishi/5K45/MMC5.0.1/5K457EG-11/Real_Child_Measurements/2025_12_16/CSR_XCP_Signals_Recorder_2025-12-16_13-58-47_TC11_1YO2L_CPD.MF4.xz,child,RadarFC_Master,child (ncap1,2),CPD,realchild</v>
      </c>
      <c r="L54" s="85" t="s">
        <v>3133</v>
      </c>
      <c r="M54" s="60" t="s">
        <v>120</v>
      </c>
      <c r="N54" s="129" t="s">
        <v>116</v>
      </c>
    </row>
    <row r="55" spans="1:14">
      <c r="A55" s="77">
        <v>11</v>
      </c>
      <c r="B55" t="s">
        <v>38</v>
      </c>
      <c r="C55" t="s">
        <v>48</v>
      </c>
      <c r="D55" s="97" t="e">
        <f>_xlfn.XLOOKUP(A55,[1]CPD_SOP_new!$A:$A,[1]CPD_SOP_new!#REF!,"not found",0 )</f>
        <v>#REF!</v>
      </c>
      <c r="E55" s="97" t="str">
        <f>_xlfn.XLOOKUP(A55,[1]CPD_SOP_new!$A:$A,[1]CPD_SOP_new!$K:$K,"not found",0 )</f>
        <v>2L</v>
      </c>
      <c r="F55" t="s">
        <v>27</v>
      </c>
      <c r="G55" t="s">
        <v>28</v>
      </c>
      <c r="H55" t="s">
        <v>28</v>
      </c>
      <c r="I55" s="59" t="s">
        <v>28</v>
      </c>
      <c r="J55" t="s">
        <v>29</v>
      </c>
      <c r="K55" s="85" t="str">
        <f t="shared" si="0"/>
        <v>/mnt/measurements/07_CANape/Mitsubishi/5K45/5.2.0/5K457EG11/SmokeTest/CPD/CSR_XCP_Signals_Recorder_2026-01-12_13-56-22_TC11.MF4.xz,child,RadarFC_Master,child (ncap1,2),CPD,dummy</v>
      </c>
      <c r="L55" s="85" t="s">
        <v>3134</v>
      </c>
      <c r="M55" s="11" t="s">
        <v>121</v>
      </c>
      <c r="N55" s="129" t="s">
        <v>41</v>
      </c>
    </row>
    <row r="56" spans="1:14">
      <c r="A56" s="77">
        <v>11</v>
      </c>
      <c r="B56" t="s">
        <v>38</v>
      </c>
      <c r="C56" t="s">
        <v>48</v>
      </c>
      <c r="D56" s="97" t="e">
        <f>_xlfn.XLOOKUP(A56,[1]CPD_SOP_new!$A:$A,[1]CPD_SOP_new!#REF!,"not found",0 )</f>
        <v>#REF!</v>
      </c>
      <c r="E56" s="97" t="str">
        <f>_xlfn.XLOOKUP(A56,[1]CPD_SOP_new!$A:$A,[1]CPD_SOP_new!$K:$K,"not found",0 )</f>
        <v>2L</v>
      </c>
      <c r="F56" t="s">
        <v>27</v>
      </c>
      <c r="G56" t="s">
        <v>28</v>
      </c>
      <c r="H56" t="s">
        <v>28</v>
      </c>
      <c r="I56" s="59" t="s">
        <v>28</v>
      </c>
      <c r="J56" t="s">
        <v>29</v>
      </c>
      <c r="K56" s="85" t="str">
        <f t="shared" si="0"/>
        <v>/mnt/measurements/07_CANape/Mitsubishi/5K45/MMC5.0.2/5K457MG57/SmokeTest/SmokeTest_CPD_TC11.MF4.xz,child,RadarFC_Master,child (ncap1,2),CPD,dummy</v>
      </c>
      <c r="L56" s="85" t="s">
        <v>3135</v>
      </c>
      <c r="M56" s="132" t="s">
        <v>123</v>
      </c>
      <c r="N56" s="129" t="s">
        <v>64</v>
      </c>
    </row>
    <row r="57" spans="1:14">
      <c r="A57" s="77">
        <v>11</v>
      </c>
      <c r="B57" t="s">
        <v>38</v>
      </c>
      <c r="C57" t="s">
        <v>48</v>
      </c>
      <c r="D57" s="97" t="e">
        <f>_xlfn.XLOOKUP(A57,[1]CPD_SOP_new!$A:$A,[1]CPD_SOP_new!#REF!,"not found",0 )</f>
        <v>#REF!</v>
      </c>
      <c r="E57" s="97" t="str">
        <f>_xlfn.XLOOKUP(A57,[1]CPD_SOP_new!$A:$A,[1]CPD_SOP_new!$K:$K,"not found",0 )</f>
        <v>2L</v>
      </c>
      <c r="F57" t="s">
        <v>27</v>
      </c>
      <c r="G57" t="s">
        <v>28</v>
      </c>
      <c r="H57" t="s">
        <v>28</v>
      </c>
      <c r="I57" s="59" t="s">
        <v>28</v>
      </c>
      <c r="J57" t="s">
        <v>29</v>
      </c>
      <c r="K57" s="85" t="str">
        <f t="shared" si="0"/>
        <v>/mnt/measurements/07_CANape/Mitsubishi/5K45/MMC5.1.1/5K457EG11/Smoke Tests/CSR_XCP_Signals_Recorder_2025-12-22_14-54-54_TC11_CPD.MF4.xz,child,RadarFC_Master,child (ncap1,2),CPD,dummy</v>
      </c>
      <c r="L57" s="85" t="s">
        <v>3136</v>
      </c>
      <c r="M57" s="132" t="s">
        <v>52</v>
      </c>
      <c r="N57" s="129" t="s">
        <v>53</v>
      </c>
    </row>
    <row r="58" spans="1:14" s="130" customFormat="1" hidden="1">
      <c r="A58" s="78">
        <v>12</v>
      </c>
      <c r="B58" s="130" t="s">
        <v>38</v>
      </c>
      <c r="C58" s="130" t="s">
        <v>48</v>
      </c>
      <c r="D58" s="97" t="e">
        <f>_xlfn.XLOOKUP(A58,[1]CPD_SOP_new!$A:$A,[1]CPD_SOP_new!#REF!,"not found",0 )</f>
        <v>#REF!</v>
      </c>
      <c r="E58" s="97" t="str">
        <f>_xlfn.XLOOKUP(A58,[1]CPD_SOP_new!$A:$A,[1]CPD_SOP_new!$K:$K,"not found",0 )</f>
        <v>2L</v>
      </c>
      <c r="F58" s="130" t="s">
        <v>28</v>
      </c>
      <c r="G58" s="130" t="s">
        <v>28</v>
      </c>
      <c r="H58" s="130" t="s">
        <v>28</v>
      </c>
      <c r="I58" s="130" t="s">
        <v>27</v>
      </c>
      <c r="J58" s="130" t="s">
        <v>29</v>
      </c>
      <c r="K58" s="85" t="str">
        <f t="shared" si="0"/>
        <v>/mnt/measurements/07_CANape/Mitsubishi/5K45/MMC5.0.1/5K457EG-11/Real_Child_Measurements/CSR_XCP_Signals_Recorder_2025-12-15_10-32-16_TC12_2L_CPD.MF4.xz,child,RadarFC_Master,child (ncap1,2),CPD,realchild</v>
      </c>
      <c r="L58" s="85" t="s">
        <v>3137</v>
      </c>
      <c r="M58" s="130" t="s">
        <v>143</v>
      </c>
      <c r="N58" s="131" t="s">
        <v>102</v>
      </c>
    </row>
    <row r="59" spans="1:14">
      <c r="A59" s="77">
        <v>11</v>
      </c>
      <c r="B59" t="s">
        <v>38</v>
      </c>
      <c r="C59" t="s">
        <v>48</v>
      </c>
      <c r="D59" s="97" t="e">
        <f>_xlfn.XLOOKUP(A59,[1]CPD_SOP_new!$A:$A,[1]CPD_SOP_new!#REF!,"not found",0 )</f>
        <v>#REF!</v>
      </c>
      <c r="E59" s="97" t="str">
        <f>_xlfn.XLOOKUP(A59,[1]CPD_SOP_new!$A:$A,[1]CPD_SOP_new!$K:$K,"not found",0 )</f>
        <v>2L</v>
      </c>
      <c r="F59" t="s">
        <v>28</v>
      </c>
      <c r="G59" t="s">
        <v>28</v>
      </c>
      <c r="H59" t="s">
        <v>28</v>
      </c>
      <c r="I59" s="59" t="s">
        <v>28</v>
      </c>
      <c r="J59" t="s">
        <v>29</v>
      </c>
      <c r="K59" s="85" t="str">
        <f t="shared" si="0"/>
        <v>/mnt/measurements/07_CANape/Mitsubishi/5K45/MMC5.1.0/5K457MG47/SmokeTest/CPD_SmokeTest_TS11.MF4.xz,child,RadarFC_Master,child (ncap1,2),CPD,realchild</v>
      </c>
      <c r="L59" s="85" t="s">
        <v>3138</v>
      </c>
      <c r="M59" t="s">
        <v>129</v>
      </c>
      <c r="N59" s="129" t="s">
        <v>130</v>
      </c>
    </row>
    <row r="60" spans="1:14">
      <c r="A60" s="77">
        <v>12</v>
      </c>
      <c r="B60" t="s">
        <v>38</v>
      </c>
      <c r="C60" t="s">
        <v>48</v>
      </c>
      <c r="D60" s="97" t="e">
        <f>_xlfn.XLOOKUP(A60,[1]CPD_SOP_new!$A:$A,[1]CPD_SOP_new!#REF!,"not found",0 )</f>
        <v>#REF!</v>
      </c>
      <c r="E60" s="97" t="str">
        <f>_xlfn.XLOOKUP(A60,[1]CPD_SOP_new!$A:$A,[1]CPD_SOP_new!$K:$K,"not found",0 )</f>
        <v>2L</v>
      </c>
      <c r="F60" t="s">
        <v>27</v>
      </c>
      <c r="G60" t="s">
        <v>28</v>
      </c>
      <c r="H60" t="s">
        <v>28</v>
      </c>
      <c r="I60" s="59" t="s">
        <v>28</v>
      </c>
      <c r="J60" t="s">
        <v>29</v>
      </c>
      <c r="K60" s="85" t="str">
        <f t="shared" si="0"/>
        <v>/mnt/measurements/07_CANape/Mitsubishi/5K45/MMC4.1.2/Validation/child/Awake/TC_12.MF4.xz,child,RadarFC_Master,child (ncap1,2),CPD,dummy</v>
      </c>
      <c r="L60" s="85" t="s">
        <v>3139</v>
      </c>
      <c r="M60" t="s">
        <v>132</v>
      </c>
      <c r="N60" s="129" t="s">
        <v>93</v>
      </c>
    </row>
    <row r="61" spans="1:14">
      <c r="A61" s="77">
        <v>12</v>
      </c>
      <c r="B61" t="s">
        <v>38</v>
      </c>
      <c r="C61" t="s">
        <v>48</v>
      </c>
      <c r="D61" s="97" t="e">
        <f>_xlfn.XLOOKUP(A61,[1]CPD_SOP_new!$A:$A,[1]CPD_SOP_new!#REF!,"not found",0 )</f>
        <v>#REF!</v>
      </c>
      <c r="E61" s="97" t="str">
        <f>_xlfn.XLOOKUP(A61,[1]CPD_SOP_new!$A:$A,[1]CPD_SOP_new!$K:$K,"not found",0 )</f>
        <v>2L</v>
      </c>
      <c r="F61" t="s">
        <v>27</v>
      </c>
      <c r="G61" t="s">
        <v>28</v>
      </c>
      <c r="H61" t="s">
        <v>28</v>
      </c>
      <c r="I61" s="59" t="s">
        <v>28</v>
      </c>
      <c r="J61" t="s">
        <v>29</v>
      </c>
      <c r="K61" s="85" t="str">
        <f t="shared" si="0"/>
        <v>/mnt/measurements/07_CANape/Mitsubishi/5K45/MMC4.1.2/Validation/2025_11_29/child/part1/Awake/TC_12_Try1.MF4.xz,child,RadarFC_Master,child (ncap1,2),CPD,dummy</v>
      </c>
      <c r="L61" s="85" t="s">
        <v>3140</v>
      </c>
      <c r="M61" t="s">
        <v>134</v>
      </c>
      <c r="N61" s="129" t="s">
        <v>98</v>
      </c>
    </row>
    <row r="62" spans="1:14">
      <c r="A62" s="77">
        <v>12</v>
      </c>
      <c r="B62" t="s">
        <v>38</v>
      </c>
      <c r="C62" t="s">
        <v>48</v>
      </c>
      <c r="D62" s="97" t="e">
        <f>_xlfn.XLOOKUP(A62,[1]CPD_SOP_new!$A:$A,[1]CPD_SOP_new!#REF!,"not found",0 )</f>
        <v>#REF!</v>
      </c>
      <c r="E62" s="97" t="str">
        <f>_xlfn.XLOOKUP(A62,[1]CPD_SOP_new!$A:$A,[1]CPD_SOP_new!$K:$K,"not found",0 )</f>
        <v>2L</v>
      </c>
      <c r="F62" t="s">
        <v>27</v>
      </c>
      <c r="G62" t="s">
        <v>28</v>
      </c>
      <c r="H62" t="s">
        <v>28</v>
      </c>
      <c r="I62" s="59" t="s">
        <v>28</v>
      </c>
      <c r="J62" t="s">
        <v>29</v>
      </c>
      <c r="K62" s="85" t="str">
        <f t="shared" si="0"/>
        <v>/mnt/measurements/07_CANape/Mitsubishi/5K45/MMC4.1.2/Validation/2025_11_29/child/part1/Awake/TC_12_Try2.MF4.xz,child,RadarFC_Master,child (ncap1,2),CPD,dummy</v>
      </c>
      <c r="L62" s="85" t="s">
        <v>3141</v>
      </c>
      <c r="M62" t="s">
        <v>135</v>
      </c>
      <c r="N62" s="129" t="s">
        <v>98</v>
      </c>
    </row>
    <row r="63" spans="1:14">
      <c r="A63" s="77">
        <v>12</v>
      </c>
      <c r="B63" t="s">
        <v>38</v>
      </c>
      <c r="C63" t="s">
        <v>48</v>
      </c>
      <c r="D63" s="97" t="e">
        <f>_xlfn.XLOOKUP(A63,[1]CPD_SOP_new!$A:$A,[1]CPD_SOP_new!#REF!,"not found",0 )</f>
        <v>#REF!</v>
      </c>
      <c r="E63" s="97" t="str">
        <f>_xlfn.XLOOKUP(A63,[1]CPD_SOP_new!$A:$A,[1]CPD_SOP_new!$K:$K,"not found",0 )</f>
        <v>2L</v>
      </c>
      <c r="F63" t="s">
        <v>27</v>
      </c>
      <c r="G63" t="s">
        <v>28</v>
      </c>
      <c r="H63" t="s">
        <v>28</v>
      </c>
      <c r="I63" s="59" t="s">
        <v>28</v>
      </c>
      <c r="J63" t="s">
        <v>29</v>
      </c>
      <c r="K63" s="85" t="str">
        <f t="shared" si="0"/>
        <v>/mnt/measurements/07_CANape/Mitsubishi/5K45/MMC4.1.2/Validation/2025_11_29/child/part1/Awake/TC_12_Try3.MF4.xz,child,RadarFC_Master,child (ncap1,2),CPD,dummy</v>
      </c>
      <c r="L63" s="85" t="s">
        <v>3142</v>
      </c>
      <c r="M63" t="s">
        <v>784</v>
      </c>
      <c r="N63" s="129" t="s">
        <v>98</v>
      </c>
    </row>
    <row r="64" spans="1:14">
      <c r="A64" s="77">
        <v>12</v>
      </c>
      <c r="B64" t="s">
        <v>38</v>
      </c>
      <c r="C64" t="s">
        <v>48</v>
      </c>
      <c r="D64" s="97" t="e">
        <f>_xlfn.XLOOKUP(A64,[1]CPD_SOP_new!$A:$A,[1]CPD_SOP_new!#REF!,"not found",0 )</f>
        <v>#REF!</v>
      </c>
      <c r="E64" s="97" t="str">
        <f>_xlfn.XLOOKUP(A64,[1]CPD_SOP_new!$A:$A,[1]CPD_SOP_new!$K:$K,"not found",0 )</f>
        <v>2L</v>
      </c>
      <c r="F64" t="s">
        <v>28</v>
      </c>
      <c r="G64" t="s">
        <v>28</v>
      </c>
      <c r="H64" t="s">
        <v>28</v>
      </c>
      <c r="I64" s="59" t="s">
        <v>28</v>
      </c>
      <c r="J64" t="s">
        <v>29</v>
      </c>
      <c r="K64" s="85" t="str">
        <f t="shared" si="0"/>
        <v>/mnt/measurements/07_CANape/Mitsubishi/5K45/MMC5.0.1/5K457EG-11/Real_Child_Measurements/CSR_XCP_Signals_Recorder_2025-12-15_10-23-34_TC12_2L_CPD.MF4.xz,child,RadarFC_Master,child (ncap1,2),CPD,realchild</v>
      </c>
      <c r="L64" s="85" t="s">
        <v>3143</v>
      </c>
      <c r="M64" t="s">
        <v>139</v>
      </c>
      <c r="N64" s="129" t="s">
        <v>102</v>
      </c>
    </row>
    <row r="65" spans="1:14">
      <c r="A65" s="77">
        <v>12</v>
      </c>
      <c r="B65" t="s">
        <v>38</v>
      </c>
      <c r="C65" t="s">
        <v>48</v>
      </c>
      <c r="D65" s="97" t="e">
        <f>_xlfn.XLOOKUP(A65,[1]CPD_SOP_new!$A:$A,[1]CPD_SOP_new!#REF!,"not found",0 )</f>
        <v>#REF!</v>
      </c>
      <c r="E65" s="97" t="str">
        <f>_xlfn.XLOOKUP(A65,[1]CPD_SOP_new!$A:$A,[1]CPD_SOP_new!$K:$K,"not found",0 )</f>
        <v>2L</v>
      </c>
      <c r="F65" t="s">
        <v>28</v>
      </c>
      <c r="G65" t="s">
        <v>28</v>
      </c>
      <c r="H65" t="s">
        <v>28</v>
      </c>
      <c r="I65" s="59" t="s">
        <v>28</v>
      </c>
      <c r="J65" t="s">
        <v>29</v>
      </c>
      <c r="K65" s="85" t="str">
        <f t="shared" si="0"/>
        <v>/mnt/measurements/07_CANape/Mitsubishi/5K45/MMC5.0.1/5K457EG-11/Real_Child_Measurements/CSR_XCP_Signals_Recorder_2025-12-15_10-26-15_TC12_2L_CPD.MF4.xz,child,RadarFC_Master,child (ncap1,2),CPD,realchild</v>
      </c>
      <c r="L65" s="85" t="s">
        <v>3144</v>
      </c>
      <c r="M65" t="s">
        <v>141</v>
      </c>
      <c r="N65" s="129" t="s">
        <v>102</v>
      </c>
    </row>
    <row r="66" spans="1:14">
      <c r="A66" s="77">
        <v>12</v>
      </c>
      <c r="B66" t="s">
        <v>38</v>
      </c>
      <c r="C66" t="s">
        <v>48</v>
      </c>
      <c r="D66" s="97" t="e">
        <f>_xlfn.XLOOKUP(A66,[1]CPD_SOP_new!$A:$A,[1]CPD_SOP_new!#REF!,"not found",0 )</f>
        <v>#REF!</v>
      </c>
      <c r="E66" s="97" t="str">
        <f>_xlfn.XLOOKUP(A66,[1]CPD_SOP_new!$A:$A,[1]CPD_SOP_new!$K:$K,"not found",0 )</f>
        <v>2L</v>
      </c>
      <c r="F66" t="s">
        <v>28</v>
      </c>
      <c r="G66" t="s">
        <v>28</v>
      </c>
      <c r="H66" t="s">
        <v>28</v>
      </c>
      <c r="I66" s="59" t="s">
        <v>28</v>
      </c>
      <c r="J66" t="s">
        <v>29</v>
      </c>
      <c r="K66" s="85" t="str">
        <f t="shared" ref="K66:K129" si="1">N66&amp;"/"&amp;M66&amp;","&amp;IF(J66="ncap3","child",J66)&amp;",RadarFC_Master,"&amp;IF(J66="ncap3","child",J66)&amp;IF(B66="ncap1,2"," ("&amp;B66&amp;")","")&amp;IF(B66="ncap3"," ("&amp;B66&amp;")","")&amp;IF(B66="multiple children"," (ncap1,2)","")&amp;IF(B66="NB awake"," (ncap1,2)","")&amp;",CPD,"&amp;IF(F66="Y","realchild","dummy")</f>
        <v>/mnt/measurements/07_CANape/Mitsubishi/5K45/MMC5.0.1/5K457EG-11/Real_Child_Measurements/CSR_XCP_Signals_Recorder_2025-12-15_10-29-29_TC12_2L_CPD.MF4.xz,child,RadarFC_Master,child (ncap1,2),CPD,realchild</v>
      </c>
      <c r="L66" s="85" t="s">
        <v>3145</v>
      </c>
      <c r="M66" t="s">
        <v>142</v>
      </c>
      <c r="N66" s="129" t="s">
        <v>102</v>
      </c>
    </row>
    <row r="67" spans="1:14" s="130" customFormat="1" hidden="1">
      <c r="A67" s="78">
        <v>13</v>
      </c>
      <c r="B67" s="130" t="s">
        <v>38</v>
      </c>
      <c r="C67" s="130" t="s">
        <v>48</v>
      </c>
      <c r="D67" s="97" t="e">
        <f>_xlfn.XLOOKUP(A67,[1]CPD_SOP_new!$A:$A,[1]CPD_SOP_new!#REF!,"not found",0 )</f>
        <v>#REF!</v>
      </c>
      <c r="E67" s="97" t="str">
        <f>_xlfn.XLOOKUP(A67,[1]CPD_SOP_new!$A:$A,[1]CPD_SOP_new!$K:$K,"not found",0 )</f>
        <v>2C</v>
      </c>
      <c r="F67" s="130" t="s">
        <v>28</v>
      </c>
      <c r="G67" s="130" t="s">
        <v>28</v>
      </c>
      <c r="H67" s="130" t="s">
        <v>28</v>
      </c>
      <c r="I67" s="130" t="s">
        <v>27</v>
      </c>
      <c r="J67" s="130" t="s">
        <v>29</v>
      </c>
      <c r="K67" s="85" t="str">
        <f t="shared" si="1"/>
        <v>/mnt/measurements/07_CANape/Mitsubishi/5K45/MMC5.0.1/5K457EG-11/Real_Child_Measurements/2025_12_16/CSR_XCP_Signals_Recorder_2025-12-16_13-42-41_TC13_1YO2M_CPD.MF4.xz,child,RadarFC_Master,child (ncap1,2),CPD,realchild</v>
      </c>
      <c r="L67" s="85" t="s">
        <v>3146</v>
      </c>
      <c r="M67" s="130" t="s">
        <v>156</v>
      </c>
      <c r="N67" s="131" t="s">
        <v>116</v>
      </c>
    </row>
    <row r="68" spans="1:14">
      <c r="A68" s="77">
        <v>12</v>
      </c>
      <c r="B68" t="s">
        <v>38</v>
      </c>
      <c r="C68" t="s">
        <v>48</v>
      </c>
      <c r="D68" s="97" t="e">
        <f>_xlfn.XLOOKUP(A68,[1]CPD_SOP_new!$A:$A,[1]CPD_SOP_new!#REF!,"not found",0 )</f>
        <v>#REF!</v>
      </c>
      <c r="E68" s="97" t="str">
        <f>_xlfn.XLOOKUP(A68,[1]CPD_SOP_new!$A:$A,[1]CPD_SOP_new!$K:$K,"not found",0 )</f>
        <v>2L</v>
      </c>
      <c r="F68" t="s">
        <v>28</v>
      </c>
      <c r="G68" t="s">
        <v>28</v>
      </c>
      <c r="H68" t="s">
        <v>28</v>
      </c>
      <c r="I68" s="59" t="s">
        <v>28</v>
      </c>
      <c r="J68" t="s">
        <v>29</v>
      </c>
      <c r="K68" s="85" t="str">
        <f t="shared" si="1"/>
        <v>/mnt/measurements/07_CANape/Mitsubishi/5K45/MMC5.0.1/5K457EG-11/Real_Child_Measurements/CSR_XCP_Signals_Recorder_2025-12-15_10-34-55_TC12_2L_CPD.MF4.xz,child,RadarFC_Master,child (ncap1,2),CPD,realchild</v>
      </c>
      <c r="L68" s="85" t="s">
        <v>3147</v>
      </c>
      <c r="M68" t="s">
        <v>144</v>
      </c>
      <c r="N68" s="129" t="s">
        <v>102</v>
      </c>
    </row>
    <row r="69" spans="1:14">
      <c r="A69" s="77">
        <v>12</v>
      </c>
      <c r="B69" t="s">
        <v>38</v>
      </c>
      <c r="C69" t="s">
        <v>48</v>
      </c>
      <c r="D69" s="97" t="e">
        <f>_xlfn.XLOOKUP(A69,[1]CPD_SOP_new!$A:$A,[1]CPD_SOP_new!#REF!,"not found",0 )</f>
        <v>#REF!</v>
      </c>
      <c r="E69" s="97" t="str">
        <f>_xlfn.XLOOKUP(A69,[1]CPD_SOP_new!$A:$A,[1]CPD_SOP_new!$K:$K,"not found",0 )</f>
        <v>2L</v>
      </c>
      <c r="F69" t="s">
        <v>27</v>
      </c>
      <c r="G69" t="s">
        <v>28</v>
      </c>
      <c r="H69" t="s">
        <v>28</v>
      </c>
      <c r="I69" s="59" t="s">
        <v>28</v>
      </c>
      <c r="J69" t="s">
        <v>29</v>
      </c>
      <c r="K69" s="85" t="str">
        <f t="shared" si="1"/>
        <v>/mnt/measurements/07_CANape/Mitsubishi/5K45/5.2.0/5K457EG11/SmokeTest/CPD/CSR_XCP_Signals_Recorder_2026-01-12_13-57-44_TC12.MF4.xz,child,RadarFC_Master,child (ncap1,2),CPD,dummy</v>
      </c>
      <c r="L69" s="85" t="s">
        <v>3148</v>
      </c>
      <c r="M69" s="132" t="s">
        <v>145</v>
      </c>
      <c r="N69" s="129" t="s">
        <v>41</v>
      </c>
    </row>
    <row r="70" spans="1:14">
      <c r="A70" s="77">
        <v>12</v>
      </c>
      <c r="B70" t="s">
        <v>38</v>
      </c>
      <c r="C70" t="s">
        <v>48</v>
      </c>
      <c r="D70" s="97" t="e">
        <f>_xlfn.XLOOKUP(A70,[1]CPD_SOP_new!$A:$A,[1]CPD_SOP_new!#REF!,"not found",0 )</f>
        <v>#REF!</v>
      </c>
      <c r="E70" s="97" t="str">
        <f>_xlfn.XLOOKUP(A70,[1]CPD_SOP_new!$A:$A,[1]CPD_SOP_new!$K:$K,"not found",0 )</f>
        <v>2L</v>
      </c>
      <c r="F70" t="s">
        <v>27</v>
      </c>
      <c r="G70" t="s">
        <v>28</v>
      </c>
      <c r="H70" t="s">
        <v>28</v>
      </c>
      <c r="I70" s="59" t="s">
        <v>28</v>
      </c>
      <c r="J70" t="s">
        <v>29</v>
      </c>
      <c r="K70" s="85" t="str">
        <f t="shared" si="1"/>
        <v>/mnt/measurements/07_CANape/Mitsubishi/5K45/MMC5.0.2/5K457MG57/SmokeTest/SmokeTest_CPD_TC12.MF4.xz,child,RadarFC_Master,child (ncap1,2),CPD,dummy</v>
      </c>
      <c r="L70" s="85" t="s">
        <v>3149</v>
      </c>
      <c r="M70" s="132" t="s">
        <v>147</v>
      </c>
      <c r="N70" s="129" t="s">
        <v>64</v>
      </c>
    </row>
    <row r="71" spans="1:14">
      <c r="A71" s="77">
        <v>12</v>
      </c>
      <c r="B71" t="s">
        <v>38</v>
      </c>
      <c r="C71" t="s">
        <v>48</v>
      </c>
      <c r="D71" s="97" t="e">
        <f>_xlfn.XLOOKUP(A71,[1]CPD_SOP_new!$A:$A,[1]CPD_SOP_new!#REF!,"not found",0 )</f>
        <v>#REF!</v>
      </c>
      <c r="E71" s="97" t="str">
        <f>_xlfn.XLOOKUP(A71,[1]CPD_SOP_new!$A:$A,[1]CPD_SOP_new!$K:$K,"not found",0 )</f>
        <v>2L</v>
      </c>
      <c r="F71" t="s">
        <v>27</v>
      </c>
      <c r="G71" t="s">
        <v>28</v>
      </c>
      <c r="H71" t="s">
        <v>28</v>
      </c>
      <c r="I71" s="59" t="s">
        <v>28</v>
      </c>
      <c r="J71" t="s">
        <v>29</v>
      </c>
      <c r="K71" s="85" t="str">
        <f t="shared" si="1"/>
        <v>/mnt/measurements/07_CANape/Mitsubishi/5K45/MMC5.1.1/5K457EG11/Smoke Tests/CSR_XCP_Signals_Recorder_2025-12-22_14-57-30_TC12_CPD.MF4.xz,child,RadarFC_Master,child (ncap1,2),CPD,dummy</v>
      </c>
      <c r="L71" s="85" t="s">
        <v>3150</v>
      </c>
      <c r="M71" s="132" t="s">
        <v>148</v>
      </c>
      <c r="N71" s="129" t="s">
        <v>53</v>
      </c>
    </row>
    <row r="72" spans="1:14">
      <c r="A72" s="77">
        <v>12</v>
      </c>
      <c r="B72" t="s">
        <v>38</v>
      </c>
      <c r="C72" t="s">
        <v>48</v>
      </c>
      <c r="D72" s="97" t="e">
        <f>_xlfn.XLOOKUP(A72,[1]CPD_SOP_new!$A:$A,[1]CPD_SOP_new!#REF!,"not found",0 )</f>
        <v>#REF!</v>
      </c>
      <c r="E72" s="97" t="str">
        <f>_xlfn.XLOOKUP(A72,[1]CPD_SOP_new!$A:$A,[1]CPD_SOP_new!$K:$K,"not found",0 )</f>
        <v>2L</v>
      </c>
      <c r="F72" t="s">
        <v>27</v>
      </c>
      <c r="G72" t="s">
        <v>28</v>
      </c>
      <c r="H72" t="s">
        <v>28</v>
      </c>
      <c r="I72" s="59" t="s">
        <v>28</v>
      </c>
      <c r="J72" t="s">
        <v>29</v>
      </c>
      <c r="K72" s="85" t="str">
        <f t="shared" si="1"/>
        <v>/mnt/measurements/07_CANape/Mitsubishi/5K45/MMC5.1.1/5K457EG11/Smoke Tests/CSR_XCP_Signals_Recorder_2025-12-22_15-01-04_TC12_CPD.MF4.xz,child,RadarFC_Master,child (ncap1,2),CPD,dummy</v>
      </c>
      <c r="L72" s="85" t="s">
        <v>3151</v>
      </c>
      <c r="M72" s="132" t="s">
        <v>149</v>
      </c>
      <c r="N72" s="129" t="s">
        <v>53</v>
      </c>
    </row>
    <row r="73" spans="1:14">
      <c r="A73" s="77">
        <v>12</v>
      </c>
      <c r="B73" t="s">
        <v>38</v>
      </c>
      <c r="C73" t="s">
        <v>48</v>
      </c>
      <c r="D73" s="97" t="e">
        <f>_xlfn.XLOOKUP(A73,[1]CPD_SOP_new!$A:$A,[1]CPD_SOP_new!#REF!,"not found",0 )</f>
        <v>#REF!</v>
      </c>
      <c r="E73" s="97" t="str">
        <f>_xlfn.XLOOKUP(A73,[1]CPD_SOP_new!$A:$A,[1]CPD_SOP_new!$K:$K,"not found",0 )</f>
        <v>2L</v>
      </c>
      <c r="F73" t="s">
        <v>27</v>
      </c>
      <c r="G73" t="s">
        <v>28</v>
      </c>
      <c r="H73" t="s">
        <v>28</v>
      </c>
      <c r="I73" s="59" t="s">
        <v>28</v>
      </c>
      <c r="J73" t="s">
        <v>29</v>
      </c>
      <c r="K73" s="85" t="str">
        <f t="shared" si="1"/>
        <v>/mnt/measurements/07_CANape/Mitsubishi/5K45/MMC5.1.0/5K457MG47/SmokeTest/CPD_SmokeTest_TS12.MF4.xz,child,RadarFC_Master,child (ncap1,2),CPD,dummy</v>
      </c>
      <c r="L73" s="85" t="s">
        <v>3152</v>
      </c>
      <c r="M73" t="s">
        <v>150</v>
      </c>
      <c r="N73" s="129" t="s">
        <v>130</v>
      </c>
    </row>
    <row r="74" spans="1:14">
      <c r="A74" s="59">
        <v>12</v>
      </c>
      <c r="B74" t="s">
        <v>38</v>
      </c>
      <c r="C74" t="s">
        <v>48</v>
      </c>
      <c r="D74" s="97" t="e">
        <f>_xlfn.XLOOKUP(A74,[1]CPD_SOP_new!$A:$A,[1]CPD_SOP_new!#REF!,"not found",0 )</f>
        <v>#REF!</v>
      </c>
      <c r="E74" s="97" t="str">
        <f>_xlfn.XLOOKUP(A74,[1]CPD_SOP_new!$A:$A,[1]CPD_SOP_new!$K:$K,"not found",0 )</f>
        <v>2L</v>
      </c>
      <c r="F74" t="s">
        <v>27</v>
      </c>
      <c r="G74" t="s">
        <v>28</v>
      </c>
      <c r="H74" t="s">
        <v>28</v>
      </c>
      <c r="I74" t="s">
        <v>28</v>
      </c>
      <c r="J74" t="s">
        <v>29</v>
      </c>
      <c r="K74" s="85" t="str">
        <f t="shared" si="1"/>
        <v>/mnt/measurements/07_CANape/Mitsubishi/5K45/5.3.0_RC6.2/5K457EG11/FP_Test_Cases_Renamed/CSR_XCP_Signals_Recorder_2026-02-02_11-42-23_TC12_Added_Sunshield.MF4.xz,child,RadarFC_Master,child (ncap1,2),CPD,dummy</v>
      </c>
      <c r="L74" s="85" t="s">
        <v>3153</v>
      </c>
      <c r="M74" t="s">
        <v>1131</v>
      </c>
      <c r="N74" t="s">
        <v>767</v>
      </c>
    </row>
    <row r="75" spans="1:14">
      <c r="A75" s="77">
        <v>13</v>
      </c>
      <c r="B75" t="s">
        <v>38</v>
      </c>
      <c r="C75" t="s">
        <v>48</v>
      </c>
      <c r="D75" s="97" t="e">
        <f>_xlfn.XLOOKUP(A75,[1]CPD_SOP_new!$A:$A,[1]CPD_SOP_new!#REF!,"not found",0 )</f>
        <v>#REF!</v>
      </c>
      <c r="E75" s="97" t="str">
        <f>_xlfn.XLOOKUP(A75,[1]CPD_SOP_new!$A:$A,[1]CPD_SOP_new!$K:$K,"not found",0 )</f>
        <v>2C</v>
      </c>
      <c r="F75" t="s">
        <v>28</v>
      </c>
      <c r="G75" t="s">
        <v>28</v>
      </c>
      <c r="H75" t="s">
        <v>28</v>
      </c>
      <c r="I75" s="59" t="s">
        <v>28</v>
      </c>
      <c r="J75" t="s">
        <v>29</v>
      </c>
      <c r="K75" s="85" t="str">
        <f t="shared" si="1"/>
        <v>/mnt/measurements/07_CANape/Mitsubishi/5K45/MMC5.0.1/5K457EG-11/Real_Child_Measurements/2025_12_16/CSR_XCP_Signals_Recorder_2025-12-16_13-37-27_TC13_1YO2M_CPD.MF4.xz,child,RadarFC_Master,child (ncap1,2),CPD,realchild</v>
      </c>
      <c r="L75" s="85" t="s">
        <v>3154</v>
      </c>
      <c r="M75" t="s">
        <v>153</v>
      </c>
      <c r="N75" s="129" t="s">
        <v>116</v>
      </c>
    </row>
    <row r="76" spans="1:14">
      <c r="A76" s="77">
        <v>13</v>
      </c>
      <c r="B76" t="s">
        <v>38</v>
      </c>
      <c r="C76" t="s">
        <v>48</v>
      </c>
      <c r="D76" s="97" t="e">
        <f>_xlfn.XLOOKUP(A76,[1]CPD_SOP_new!$A:$A,[1]CPD_SOP_new!#REF!,"not found",0 )</f>
        <v>#REF!</v>
      </c>
      <c r="E76" s="97" t="str">
        <f>_xlfn.XLOOKUP(A76,[1]CPD_SOP_new!$A:$A,[1]CPD_SOP_new!$K:$K,"not found",0 )</f>
        <v>2C</v>
      </c>
      <c r="F76" t="s">
        <v>28</v>
      </c>
      <c r="G76" t="s">
        <v>28</v>
      </c>
      <c r="H76" t="s">
        <v>28</v>
      </c>
      <c r="I76" s="59" t="s">
        <v>28</v>
      </c>
      <c r="J76" t="s">
        <v>29</v>
      </c>
      <c r="K76" s="85" t="str">
        <f t="shared" si="1"/>
        <v>/mnt/measurements/07_CANape/Mitsubishi/5K45/MMC5.0.1/5K457EG-11/Real_Child_Measurements/2025_12_16/CSR_XCP_Signals_Recorder_2025-12-16_13-40-05_TC13_1YO2M_CPD.MF4.xz,child,RadarFC_Master,child (ncap1,2),CPD,realchild</v>
      </c>
      <c r="L76" s="85" t="s">
        <v>3155</v>
      </c>
      <c r="M76" t="s">
        <v>155</v>
      </c>
      <c r="N76" s="129" t="s">
        <v>116</v>
      </c>
    </row>
    <row r="77" spans="1:14">
      <c r="A77" s="77">
        <v>13</v>
      </c>
      <c r="B77" t="s">
        <v>38</v>
      </c>
      <c r="C77" t="s">
        <v>48</v>
      </c>
      <c r="D77" s="97" t="e">
        <f>_xlfn.XLOOKUP(A77,[1]CPD_SOP_new!$A:$A,[1]CPD_SOP_new!#REF!,"not found",0 )</f>
        <v>#REF!</v>
      </c>
      <c r="E77" s="97" t="str">
        <f>_xlfn.XLOOKUP(A77,[1]CPD_SOP_new!$A:$A,[1]CPD_SOP_new!$K:$K,"not found",0 )</f>
        <v>2C</v>
      </c>
      <c r="F77" t="s">
        <v>28</v>
      </c>
      <c r="G77" t="s">
        <v>28</v>
      </c>
      <c r="H77" t="s">
        <v>28</v>
      </c>
      <c r="I77" s="59" t="s">
        <v>28</v>
      </c>
      <c r="J77" t="s">
        <v>29</v>
      </c>
      <c r="K77" s="85" t="str">
        <f t="shared" si="1"/>
        <v>/mnt/measurements/07_CANape/Mitsubishi/5K45/MMC5.0.1/5K457EG-11/Real_Child_Measurements/2025_12_16/CSR_XCP_Signals_Recorder_2025-12-16_13-45-09_TC13_1YO2M_CPD.MF4.xz,child,RadarFC_Master,child (ncap1,2),CPD,realchild</v>
      </c>
      <c r="L77" s="85" t="s">
        <v>3156</v>
      </c>
      <c r="M77" t="s">
        <v>159</v>
      </c>
      <c r="N77" s="129" t="s">
        <v>116</v>
      </c>
    </row>
    <row r="78" spans="1:14">
      <c r="A78" s="77">
        <v>13</v>
      </c>
      <c r="B78" t="s">
        <v>38</v>
      </c>
      <c r="C78" t="s">
        <v>48</v>
      </c>
      <c r="D78" s="97" t="e">
        <f>_xlfn.XLOOKUP(A78,[1]CPD_SOP_new!$A:$A,[1]CPD_SOP_new!#REF!,"not found",0 )</f>
        <v>#REF!</v>
      </c>
      <c r="E78" s="97" t="str">
        <f>_xlfn.XLOOKUP(A78,[1]CPD_SOP_new!$A:$A,[1]CPD_SOP_new!$K:$K,"not found",0 )</f>
        <v>2C</v>
      </c>
      <c r="F78" t="s">
        <v>28</v>
      </c>
      <c r="G78" t="s">
        <v>28</v>
      </c>
      <c r="H78" t="s">
        <v>28</v>
      </c>
      <c r="I78" s="59" t="s">
        <v>28</v>
      </c>
      <c r="J78" t="s">
        <v>29</v>
      </c>
      <c r="K78" s="85" t="str">
        <f t="shared" si="1"/>
        <v>/mnt/measurements/07_CANape/Mitsubishi/5K45/MMC5.0.1/5K457EG-11/Real_Child_Measurements/2025_12_16/CSR_XCP_Signals_Recorder_2025-12-16_13-48-04_TC13_1YO2M_CPD.MF4.xz,child,RadarFC_Master,child (ncap1,2),CPD,realchild</v>
      </c>
      <c r="L78" s="85" t="s">
        <v>3157</v>
      </c>
      <c r="M78" t="s">
        <v>160</v>
      </c>
      <c r="N78" s="129" t="s">
        <v>116</v>
      </c>
    </row>
    <row r="79" spans="1:14">
      <c r="A79" s="77">
        <v>14</v>
      </c>
      <c r="B79" t="s">
        <v>38</v>
      </c>
      <c r="C79" t="s">
        <v>48</v>
      </c>
      <c r="D79" s="97" t="e">
        <f>_xlfn.XLOOKUP(A79,[1]CPD_SOP_new!$A:$A,[1]CPD_SOP_new!#REF!,"not found",0 )</f>
        <v>#REF!</v>
      </c>
      <c r="E79" s="97" t="str">
        <f>_xlfn.XLOOKUP(A79,[1]CPD_SOP_new!$A:$A,[1]CPD_SOP_new!$K:$K,"not found",0 )</f>
        <v>3R</v>
      </c>
      <c r="F79" t="s">
        <v>27</v>
      </c>
      <c r="G79" t="s">
        <v>28</v>
      </c>
      <c r="H79" t="s">
        <v>28</v>
      </c>
      <c r="I79" s="59" t="s">
        <v>28</v>
      </c>
      <c r="J79" t="s">
        <v>29</v>
      </c>
      <c r="K79" s="85" t="str">
        <f t="shared" si="1"/>
        <v>/mnt/measurements/07_CANape/Mitsubishi/5K45/MMC4.1.2/Validation/child/Awake/TC_14.MF4.xz,child,RadarFC_Master,child (ncap1,2),CPD,dummy</v>
      </c>
      <c r="L79" s="85" t="s">
        <v>3158</v>
      </c>
      <c r="M79" s="60" t="s">
        <v>161</v>
      </c>
      <c r="N79" s="129" t="s">
        <v>93</v>
      </c>
    </row>
    <row r="80" spans="1:14">
      <c r="A80" s="77">
        <v>14</v>
      </c>
      <c r="B80" t="s">
        <v>38</v>
      </c>
      <c r="C80" t="s">
        <v>48</v>
      </c>
      <c r="D80" s="97" t="e">
        <f>_xlfn.XLOOKUP(A80,[1]CPD_SOP_new!$A:$A,[1]CPD_SOP_new!#REF!,"not found",0 )</f>
        <v>#REF!</v>
      </c>
      <c r="E80" s="97" t="str">
        <f>_xlfn.XLOOKUP(A80,[1]CPD_SOP_new!$A:$A,[1]CPD_SOP_new!$K:$K,"not found",0 )</f>
        <v>3R</v>
      </c>
      <c r="F80" t="s">
        <v>27</v>
      </c>
      <c r="G80" t="s">
        <v>28</v>
      </c>
      <c r="H80" t="s">
        <v>28</v>
      </c>
      <c r="I80" s="59" t="s">
        <v>28</v>
      </c>
      <c r="J80" t="s">
        <v>29</v>
      </c>
      <c r="K80" s="85" t="str">
        <f t="shared" si="1"/>
        <v>/mnt/measurements/07_CANape/Mitsubishi/5K45/MMC4.1.2/Validation/2025_11_29/child/part1/Awake/TC_14_Try1.MF4.xz,child,RadarFC_Master,child (ncap1,2),CPD,dummy</v>
      </c>
      <c r="L80" s="85" t="s">
        <v>3159</v>
      </c>
      <c r="M80" s="60" t="s">
        <v>163</v>
      </c>
      <c r="N80" s="129" t="s">
        <v>98</v>
      </c>
    </row>
    <row r="81" spans="1:14">
      <c r="A81" s="77">
        <v>14</v>
      </c>
      <c r="B81" t="s">
        <v>38</v>
      </c>
      <c r="C81" t="s">
        <v>48</v>
      </c>
      <c r="D81" s="97" t="e">
        <f>_xlfn.XLOOKUP(A81,[1]CPD_SOP_new!$A:$A,[1]CPD_SOP_new!#REF!,"not found",0 )</f>
        <v>#REF!</v>
      </c>
      <c r="E81" s="97" t="str">
        <f>_xlfn.XLOOKUP(A81,[1]CPD_SOP_new!$A:$A,[1]CPD_SOP_new!$K:$K,"not found",0 )</f>
        <v>3R</v>
      </c>
      <c r="F81" t="s">
        <v>27</v>
      </c>
      <c r="G81" t="s">
        <v>28</v>
      </c>
      <c r="H81" t="s">
        <v>28</v>
      </c>
      <c r="I81" s="59" t="s">
        <v>28</v>
      </c>
      <c r="J81" t="s">
        <v>29</v>
      </c>
      <c r="K81" s="85" t="str">
        <f t="shared" si="1"/>
        <v>/mnt/measurements/07_CANape/Mitsubishi/5K45/MMC4.1.2/Validation/2025_11_29/child/part1/Awake/TC_14_Try2.MF4.xz,child,RadarFC_Master,child (ncap1,2),CPD,dummy</v>
      </c>
      <c r="L81" s="85" t="s">
        <v>3160</v>
      </c>
      <c r="M81" t="s">
        <v>164</v>
      </c>
      <c r="N81" s="129" t="s">
        <v>98</v>
      </c>
    </row>
    <row r="82" spans="1:14">
      <c r="A82" s="77">
        <v>14</v>
      </c>
      <c r="B82" t="s">
        <v>38</v>
      </c>
      <c r="C82" t="s">
        <v>48</v>
      </c>
      <c r="D82" s="97" t="e">
        <f>_xlfn.XLOOKUP(A82,[1]CPD_SOP_new!$A:$A,[1]CPD_SOP_new!#REF!,"not found",0 )</f>
        <v>#REF!</v>
      </c>
      <c r="E82" s="97" t="str">
        <f>_xlfn.XLOOKUP(A82,[1]CPD_SOP_new!$A:$A,[1]CPD_SOP_new!$K:$K,"not found",0 )</f>
        <v>3R</v>
      </c>
      <c r="F82" t="s">
        <v>27</v>
      </c>
      <c r="G82" t="s">
        <v>28</v>
      </c>
      <c r="H82" t="s">
        <v>28</v>
      </c>
      <c r="I82" s="59" t="s">
        <v>28</v>
      </c>
      <c r="J82" t="s">
        <v>29</v>
      </c>
      <c r="K82" s="85" t="str">
        <f t="shared" si="1"/>
        <v>/mnt/measurements/07_CANape/Mitsubishi/5K45/MMC4.1.2/Validation/2025_11_29/child/part1/Awake/TC_14_Try3.MF4.xz,child,RadarFC_Master,child (ncap1,2),CPD,dummy</v>
      </c>
      <c r="L82" s="85" t="s">
        <v>3161</v>
      </c>
      <c r="M82" t="s">
        <v>165</v>
      </c>
      <c r="N82" s="129" t="s">
        <v>98</v>
      </c>
    </row>
    <row r="83" spans="1:14">
      <c r="A83" s="77">
        <v>14</v>
      </c>
      <c r="B83" t="s">
        <v>38</v>
      </c>
      <c r="C83" t="s">
        <v>48</v>
      </c>
      <c r="D83" s="97" t="e">
        <f>_xlfn.XLOOKUP(A83,[1]CPD_SOP_new!$A:$A,[1]CPD_SOP_new!#REF!,"not found",0 )</f>
        <v>#REF!</v>
      </c>
      <c r="E83" s="97" t="str">
        <f>_xlfn.XLOOKUP(A83,[1]CPD_SOP_new!$A:$A,[1]CPD_SOP_new!$K:$K,"not found",0 )</f>
        <v>3R</v>
      </c>
      <c r="F83" t="s">
        <v>28</v>
      </c>
      <c r="G83" t="s">
        <v>28</v>
      </c>
      <c r="H83" t="s">
        <v>28</v>
      </c>
      <c r="I83" s="59" t="s">
        <v>28</v>
      </c>
      <c r="J83" t="s">
        <v>29</v>
      </c>
      <c r="K83" s="85" t="str">
        <f t="shared" si="1"/>
        <v>/mnt/measurements/07_CANape/Mitsubishi/5K45/MMC5.0.1/5K457EG-11/Real_Child_Measurements/2025_12_16/CSR_XCP_Signals_Recorder_2025-12-16_14-19-18_TC14_1YO3R_CPD.MF4.xz,child,RadarFC_Master,child (ncap1,2),CPD,realchild</v>
      </c>
      <c r="L83" s="85" t="s">
        <v>3162</v>
      </c>
      <c r="M83" t="s">
        <v>166</v>
      </c>
      <c r="N83" s="129" t="s">
        <v>116</v>
      </c>
    </row>
    <row r="84" spans="1:14">
      <c r="A84" s="77">
        <v>14</v>
      </c>
      <c r="B84" t="s">
        <v>38</v>
      </c>
      <c r="C84" t="s">
        <v>48</v>
      </c>
      <c r="D84" s="97" t="e">
        <f>_xlfn.XLOOKUP(A84,[1]CPD_SOP_new!$A:$A,[1]CPD_SOP_new!#REF!,"not found",0 )</f>
        <v>#REF!</v>
      </c>
      <c r="E84" s="97" t="str">
        <f>_xlfn.XLOOKUP(A84,[1]CPD_SOP_new!$A:$A,[1]CPD_SOP_new!$K:$K,"not found",0 )</f>
        <v>3R</v>
      </c>
      <c r="F84" t="s">
        <v>28</v>
      </c>
      <c r="G84" t="s">
        <v>28</v>
      </c>
      <c r="H84" t="s">
        <v>28</v>
      </c>
      <c r="I84" s="59" t="s">
        <v>28</v>
      </c>
      <c r="J84" t="s">
        <v>29</v>
      </c>
      <c r="K84" s="85" t="str">
        <f t="shared" si="1"/>
        <v>/mnt/measurements/07_CANape/Mitsubishi/5K45/MMC5.0.1/5K457EG-11/Real_Child_Measurements/2025_12_16/CSR_XCP_Signals_Recorder_2025-12-16_14-26-59_TC14_1YO3R_CPD.MF4.xz,child,RadarFC_Master,child (ncap1,2),CPD,realchild</v>
      </c>
      <c r="L84" s="85" t="s">
        <v>3163</v>
      </c>
      <c r="M84" s="60" t="s">
        <v>168</v>
      </c>
      <c r="N84" s="66" t="s">
        <v>116</v>
      </c>
    </row>
    <row r="85" spans="1:14">
      <c r="A85" s="77">
        <v>14</v>
      </c>
      <c r="B85" t="s">
        <v>38</v>
      </c>
      <c r="C85" t="s">
        <v>48</v>
      </c>
      <c r="D85" s="97" t="e">
        <f>_xlfn.XLOOKUP(A85,[1]CPD_SOP_new!$A:$A,[1]CPD_SOP_new!#REF!,"not found",0 )</f>
        <v>#REF!</v>
      </c>
      <c r="E85" s="97" t="str">
        <f>_xlfn.XLOOKUP(A85,[1]CPD_SOP_new!$A:$A,[1]CPD_SOP_new!$K:$K,"not found",0 )</f>
        <v>3R</v>
      </c>
      <c r="F85" t="s">
        <v>28</v>
      </c>
      <c r="G85" t="s">
        <v>28</v>
      </c>
      <c r="H85" t="s">
        <v>28</v>
      </c>
      <c r="I85" s="59" t="s">
        <v>28</v>
      </c>
      <c r="J85" t="s">
        <v>29</v>
      </c>
      <c r="K85" s="85" t="str">
        <f t="shared" si="1"/>
        <v>/mnt/measurements/07_CANape/Mitsubishi/5K45/MMC5.0.1/5K457EG-11/Real_Child_Measurements/2025_12_16/CSR_XCP_Signals_Recorder_2025-12-16_14-32-38_TC14_1YO3R_CPD.MF4.xz,child,RadarFC_Master,child (ncap1,2),CPD,realchild</v>
      </c>
      <c r="L85" s="85" t="s">
        <v>3164</v>
      </c>
      <c r="M85" s="60" t="s">
        <v>169</v>
      </c>
      <c r="N85" s="66" t="s">
        <v>116</v>
      </c>
    </row>
    <row r="86" spans="1:14">
      <c r="A86" s="77">
        <v>14</v>
      </c>
      <c r="B86" t="s">
        <v>38</v>
      </c>
      <c r="C86" t="s">
        <v>48</v>
      </c>
      <c r="D86" s="97" t="e">
        <f>_xlfn.XLOOKUP(A86,[1]CPD_SOP_new!$A:$A,[1]CPD_SOP_new!#REF!,"not found",0 )</f>
        <v>#REF!</v>
      </c>
      <c r="E86" s="97" t="str">
        <f>_xlfn.XLOOKUP(A86,[1]CPD_SOP_new!$A:$A,[1]CPD_SOP_new!$K:$K,"not found",0 )</f>
        <v>3R</v>
      </c>
      <c r="F86" t="s">
        <v>28</v>
      </c>
      <c r="G86" t="s">
        <v>28</v>
      </c>
      <c r="H86" t="s">
        <v>28</v>
      </c>
      <c r="I86" s="59" t="s">
        <v>28</v>
      </c>
      <c r="J86" t="s">
        <v>29</v>
      </c>
      <c r="K86" s="85" t="str">
        <f t="shared" si="1"/>
        <v>/mnt/measurements/07_CANape/Mitsubishi/5K45/MMC5.0.1/5K457EG-11/Real_Child_Measurements/2025_12_16/CSR_XCP_Signals_Recorder_2025-12-16_14-37-07_TC14_1YO3R_CPD.MF4.xz,child,RadarFC_Master,child (ncap1,2),CPD,realchild</v>
      </c>
      <c r="L86" s="85" t="s">
        <v>3165</v>
      </c>
      <c r="M86" t="s">
        <v>170</v>
      </c>
      <c r="N86" s="129" t="s">
        <v>116</v>
      </c>
    </row>
    <row r="87" spans="1:14">
      <c r="A87" s="77">
        <v>14</v>
      </c>
      <c r="B87" t="s">
        <v>38</v>
      </c>
      <c r="C87" t="s">
        <v>48</v>
      </c>
      <c r="D87" s="97" t="e">
        <f>_xlfn.XLOOKUP(A87,[1]CPD_SOP_new!$A:$A,[1]CPD_SOP_new!#REF!,"not found",0 )</f>
        <v>#REF!</v>
      </c>
      <c r="E87" s="97" t="str">
        <f>_xlfn.XLOOKUP(A87,[1]CPD_SOP_new!$A:$A,[1]CPD_SOP_new!$K:$K,"not found",0 )</f>
        <v>3R</v>
      </c>
      <c r="F87" t="s">
        <v>28</v>
      </c>
      <c r="G87" t="s">
        <v>28</v>
      </c>
      <c r="H87" t="s">
        <v>28</v>
      </c>
      <c r="I87" s="59" t="s">
        <v>28</v>
      </c>
      <c r="J87" t="s">
        <v>29</v>
      </c>
      <c r="K87" s="85" t="str">
        <f t="shared" si="1"/>
        <v>/mnt/measurements/07_CANape/Mitsubishi/5K45/MMC5.0.1/5K457EG-11/Real_Child_Measurements/2025_12_16/CSR_XCP_Signals_Recorder_2025-12-16_14-41-03_TC14_1YO3R_CPD.MF4.xz,child,RadarFC_Master,child (ncap1,2),CPD,realchild</v>
      </c>
      <c r="L87" s="85" t="s">
        <v>3166</v>
      </c>
      <c r="M87" t="s">
        <v>171</v>
      </c>
      <c r="N87" s="129" t="s">
        <v>116</v>
      </c>
    </row>
    <row r="88" spans="1:14">
      <c r="A88" s="59">
        <v>14</v>
      </c>
      <c r="B88" t="s">
        <v>38</v>
      </c>
      <c r="C88" t="s">
        <v>48</v>
      </c>
      <c r="D88" s="97" t="e">
        <f>_xlfn.XLOOKUP(A88,[1]CPD_SOP_new!$A:$A,[1]CPD_SOP_new!#REF!,"not found",0 )</f>
        <v>#REF!</v>
      </c>
      <c r="E88" s="97" t="str">
        <f>_xlfn.XLOOKUP(A88,[1]CPD_SOP_new!$A:$A,[1]CPD_SOP_new!$K:$K,"not found",0 )</f>
        <v>3R</v>
      </c>
      <c r="F88" t="s">
        <v>27</v>
      </c>
      <c r="G88" t="s">
        <v>28</v>
      </c>
      <c r="H88" t="s">
        <v>28</v>
      </c>
      <c r="I88" t="s">
        <v>28</v>
      </c>
      <c r="J88" t="s">
        <v>29</v>
      </c>
      <c r="K88" s="85" t="str">
        <f t="shared" si="1"/>
        <v>/mnt/measurements/07_CANape/Mitsubishi/5K45/5.3.0_RC6.2/5K457EG11/FP_Test_Cases_Renamed/CSR_XCP_Signals_Recorder_2026-02-02_11-50-31_TC14.MF4.xz,child,RadarFC_Master,child (ncap1,2),CPD,dummy</v>
      </c>
      <c r="L88" s="85" t="s">
        <v>3167</v>
      </c>
      <c r="M88" s="60" t="s">
        <v>1132</v>
      </c>
      <c r="N88" s="60" t="s">
        <v>767</v>
      </c>
    </row>
    <row r="89" spans="1:14">
      <c r="A89" s="77">
        <v>15</v>
      </c>
      <c r="B89" t="s">
        <v>38</v>
      </c>
      <c r="C89" t="s">
        <v>48</v>
      </c>
      <c r="D89" s="97" t="e">
        <f>_xlfn.XLOOKUP(A89,[1]CPD_SOP_new!$A:$A,[1]CPD_SOP_new!#REF!,"not found",0 )</f>
        <v>#REF!</v>
      </c>
      <c r="E89" s="97" t="str">
        <f>_xlfn.XLOOKUP(A89,[1]CPD_SOP_new!$A:$A,[1]CPD_SOP_new!$K:$K,"not found",0 )</f>
        <v>3R</v>
      </c>
      <c r="F89" t="s">
        <v>28</v>
      </c>
      <c r="G89" t="s">
        <v>28</v>
      </c>
      <c r="H89" t="s">
        <v>28</v>
      </c>
      <c r="I89" s="59" t="s">
        <v>28</v>
      </c>
      <c r="J89" t="s">
        <v>29</v>
      </c>
      <c r="K89" s="85" t="str">
        <f t="shared" si="1"/>
        <v>/mnt/measurements/07_CANape/Mitsubishi/5K45/MMC5.0.1/5K457EG-11/Real_Child_Measurements/2025_12_16/CSR_XCP_Signals_Recorder_2025-12-16_13-22-54_TC15_1YO3R_CPD.MF4.xz,child,RadarFC_Master,child (ncap1,2),CPD,realchild</v>
      </c>
      <c r="L89" s="85" t="s">
        <v>3168</v>
      </c>
      <c r="M89" s="60" t="s">
        <v>174</v>
      </c>
      <c r="N89" s="66" t="s">
        <v>116</v>
      </c>
    </row>
    <row r="90" spans="1:14">
      <c r="A90" s="77">
        <v>15</v>
      </c>
      <c r="B90" t="s">
        <v>38</v>
      </c>
      <c r="C90" t="s">
        <v>48</v>
      </c>
      <c r="D90" s="97" t="e">
        <f>_xlfn.XLOOKUP(A90,[1]CPD_SOP_new!$A:$A,[1]CPD_SOP_new!#REF!,"not found",0 )</f>
        <v>#REF!</v>
      </c>
      <c r="E90" s="97" t="str">
        <f>_xlfn.XLOOKUP(A90,[1]CPD_SOP_new!$A:$A,[1]CPD_SOP_new!$K:$K,"not found",0 )</f>
        <v>3R</v>
      </c>
      <c r="F90" t="s">
        <v>28</v>
      </c>
      <c r="G90" t="s">
        <v>28</v>
      </c>
      <c r="H90" t="s">
        <v>28</v>
      </c>
      <c r="I90" s="59" t="s">
        <v>28</v>
      </c>
      <c r="J90" t="s">
        <v>29</v>
      </c>
      <c r="K90" s="85" t="str">
        <f t="shared" si="1"/>
        <v>/mnt/measurements/07_CANape/Mitsubishi/5K45/MMC5.0.1/5K457EG-11/Real_Child_Measurements/2025_12_16/CSR_XCP_Signals_Recorder_2025-12-16_13-25-33_TC15_1YO3R_CPD.MF4.xz,child,RadarFC_Master,child (ncap1,2),CPD,realchild</v>
      </c>
      <c r="L90" s="85" t="s">
        <v>3169</v>
      </c>
      <c r="M90" s="60" t="s">
        <v>176</v>
      </c>
      <c r="N90" s="66" t="s">
        <v>116</v>
      </c>
    </row>
    <row r="91" spans="1:14" s="130" customFormat="1" hidden="1">
      <c r="A91" s="78">
        <v>16</v>
      </c>
      <c r="B91" s="130" t="s">
        <v>38</v>
      </c>
      <c r="C91" s="130" t="s">
        <v>48</v>
      </c>
      <c r="D91" s="97" t="e">
        <f>_xlfn.XLOOKUP(A91,[1]CPD_SOP_new!$A:$A,[1]CPD_SOP_new!#REF!,"not found",0 )</f>
        <v>#REF!</v>
      </c>
      <c r="E91" s="97" t="str">
        <f>_xlfn.XLOOKUP(A91,[1]CPD_SOP_new!$A:$A,[1]CPD_SOP_new!$K:$K,"not found",0 )</f>
        <v>3L</v>
      </c>
      <c r="F91" s="130" t="s">
        <v>28</v>
      </c>
      <c r="G91" s="130" t="s">
        <v>28</v>
      </c>
      <c r="H91" s="130" t="s">
        <v>28</v>
      </c>
      <c r="I91" s="130" t="s">
        <v>27</v>
      </c>
      <c r="J91" s="130" t="s">
        <v>29</v>
      </c>
      <c r="K91" s="85" t="str">
        <f t="shared" si="1"/>
        <v>/mnt/measurements/07_CANape/Mitsubishi/5K45/5.2.0/5K457EG11/Real_Childs/CPD_TC16_Try1.MF4.xz,child,RadarFC_Master,child (ncap1,2),CPD,realchild</v>
      </c>
      <c r="L91" s="85" t="s">
        <v>3170</v>
      </c>
      <c r="M91" s="61" t="s">
        <v>1486</v>
      </c>
      <c r="N91" s="67" t="s">
        <v>191</v>
      </c>
    </row>
    <row r="92" spans="1:14" hidden="1">
      <c r="A92" s="77">
        <v>16</v>
      </c>
      <c r="B92" t="s">
        <v>38</v>
      </c>
      <c r="C92" t="s">
        <v>48</v>
      </c>
      <c r="D92" s="97" t="e">
        <f>_xlfn.XLOOKUP(A92,[1]CPD_SOP_new!$A:$A,[1]CPD_SOP_new!#REF!,"not found",0 )</f>
        <v>#REF!</v>
      </c>
      <c r="E92" s="97" t="str">
        <f>_xlfn.XLOOKUP(A92,[1]CPD_SOP_new!$A:$A,[1]CPD_SOP_new!$K:$K,"not found",0 )</f>
        <v>3L</v>
      </c>
      <c r="F92" t="s">
        <v>28</v>
      </c>
      <c r="G92" t="s">
        <v>28</v>
      </c>
      <c r="H92" t="s">
        <v>28</v>
      </c>
      <c r="I92" s="59" t="s">
        <v>27</v>
      </c>
      <c r="J92" t="s">
        <v>29</v>
      </c>
      <c r="K92" s="85" t="str">
        <f t="shared" si="1"/>
        <v>/mnt/measurements/07_CANape/Mitsubishi/5K45/5.2.0/5K457EG11/Real_Childs/CPD_TC16_Try2.MF4.xz,child,RadarFC_Master,child (ncap1,2),CPD,realchild</v>
      </c>
      <c r="L92" s="85" t="s">
        <v>3171</v>
      </c>
      <c r="M92" s="60" t="s">
        <v>190</v>
      </c>
      <c r="N92" s="66" t="s">
        <v>191</v>
      </c>
    </row>
    <row r="93" spans="1:14">
      <c r="A93" s="77">
        <v>15</v>
      </c>
      <c r="B93" t="s">
        <v>38</v>
      </c>
      <c r="C93" t="s">
        <v>48</v>
      </c>
      <c r="D93" s="97" t="e">
        <f>_xlfn.XLOOKUP(A93,[1]CPD_SOP_new!$A:$A,[1]CPD_SOP_new!#REF!,"not found",0 )</f>
        <v>#REF!</v>
      </c>
      <c r="E93" s="97" t="str">
        <f>_xlfn.XLOOKUP(A93,[1]CPD_SOP_new!$A:$A,[1]CPD_SOP_new!$K:$K,"not found",0 )</f>
        <v>3R</v>
      </c>
      <c r="F93" t="s">
        <v>28</v>
      </c>
      <c r="G93" t="s">
        <v>28</v>
      </c>
      <c r="H93" t="s">
        <v>28</v>
      </c>
      <c r="I93" s="59" t="s">
        <v>28</v>
      </c>
      <c r="J93" t="s">
        <v>29</v>
      </c>
      <c r="K93" s="85" t="str">
        <f t="shared" si="1"/>
        <v>/mnt/measurements/07_CANape/Mitsubishi/5K45/MMC5.0.1/5K457EG-11/Real_Child_Measurements/2025_12_16/CSR_XCP_Signals_Recorder_2025-12-16_13-28-12_TC15_1YO3R_CPD.MF4.xz,child,RadarFC_Master,child (ncap1,2),CPD,realchild</v>
      </c>
      <c r="L93" s="85" t="s">
        <v>3172</v>
      </c>
      <c r="M93" s="60" t="s">
        <v>177</v>
      </c>
      <c r="N93" s="66" t="s">
        <v>116</v>
      </c>
    </row>
    <row r="94" spans="1:14" s="130" customFormat="1" hidden="1">
      <c r="A94" s="78">
        <v>16</v>
      </c>
      <c r="B94" s="130" t="s">
        <v>38</v>
      </c>
      <c r="C94" s="130" t="s">
        <v>48</v>
      </c>
      <c r="D94" s="97" t="e">
        <f>_xlfn.XLOOKUP(A94,[1]CPD_SOP_new!$A:$A,[1]CPD_SOP_new!#REF!,"not found",0 )</f>
        <v>#REF!</v>
      </c>
      <c r="E94" s="97" t="str">
        <f>_xlfn.XLOOKUP(A94,[1]CPD_SOP_new!$A:$A,[1]CPD_SOP_new!$K:$K,"not found",0 )</f>
        <v>3L</v>
      </c>
      <c r="F94" s="130" t="s">
        <v>28</v>
      </c>
      <c r="G94" s="130" t="s">
        <v>28</v>
      </c>
      <c r="H94" s="130" t="s">
        <v>28</v>
      </c>
      <c r="I94" s="130" t="s">
        <v>27</v>
      </c>
      <c r="J94" s="130" t="s">
        <v>29</v>
      </c>
      <c r="K94" s="85" t="str">
        <f t="shared" si="1"/>
        <v>/mnt/measurements/07_CANape/Mitsubishi/5K45/5.2.0/5K457EG11/Real_Childs/CPD_TC16_Try4.MF4.xz,child,RadarFC_Master,child (ncap1,2),CPD,realchild</v>
      </c>
      <c r="L94" s="85" t="s">
        <v>3173</v>
      </c>
      <c r="M94" s="61" t="s">
        <v>1497</v>
      </c>
      <c r="N94" s="67" t="s">
        <v>191</v>
      </c>
    </row>
    <row r="95" spans="1:14">
      <c r="A95" s="77">
        <v>15</v>
      </c>
      <c r="B95" t="s">
        <v>38</v>
      </c>
      <c r="C95" t="s">
        <v>48</v>
      </c>
      <c r="D95" s="97" t="e">
        <f>_xlfn.XLOOKUP(A95,[1]CPD_SOP_new!$A:$A,[1]CPD_SOP_new!#REF!,"not found",0 )</f>
        <v>#REF!</v>
      </c>
      <c r="E95" s="97" t="str">
        <f>_xlfn.XLOOKUP(A95,[1]CPD_SOP_new!$A:$A,[1]CPD_SOP_new!$K:$K,"not found",0 )</f>
        <v>3R</v>
      </c>
      <c r="F95" t="s">
        <v>28</v>
      </c>
      <c r="G95" t="s">
        <v>28</v>
      </c>
      <c r="H95" t="s">
        <v>28</v>
      </c>
      <c r="I95" s="59" t="s">
        <v>28</v>
      </c>
      <c r="J95" t="s">
        <v>29</v>
      </c>
      <c r="K95" s="85" t="str">
        <f t="shared" si="1"/>
        <v>/mnt/measurements/07_CANape/Mitsubishi/5K45/MMC5.0.1/5K457EG-11/Real_Child_Measurements/2025_12_16/CSR_XCP_Signals_Recorder_2025-12-16_13-30-53_TC15_1YO3R_CPD.MF4.xz,child,RadarFC_Master,child (ncap1,2),CPD,realchild</v>
      </c>
      <c r="L95" s="85" t="s">
        <v>3174</v>
      </c>
      <c r="M95" s="60" t="s">
        <v>178</v>
      </c>
      <c r="N95" s="66" t="s">
        <v>116</v>
      </c>
    </row>
    <row r="96" spans="1:14">
      <c r="A96" s="77">
        <v>15</v>
      </c>
      <c r="B96" t="s">
        <v>38</v>
      </c>
      <c r="C96" t="s">
        <v>48</v>
      </c>
      <c r="D96" s="97" t="e">
        <f>_xlfn.XLOOKUP(A96,[1]CPD_SOP_new!$A:$A,[1]CPD_SOP_new!#REF!,"not found",0 )</f>
        <v>#REF!</v>
      </c>
      <c r="E96" s="97" t="str">
        <f>_xlfn.XLOOKUP(A96,[1]CPD_SOP_new!$A:$A,[1]CPD_SOP_new!$K:$K,"not found",0 )</f>
        <v>3R</v>
      </c>
      <c r="F96" t="s">
        <v>28</v>
      </c>
      <c r="G96" t="s">
        <v>28</v>
      </c>
      <c r="H96" t="s">
        <v>28</v>
      </c>
      <c r="I96" s="59" t="s">
        <v>28</v>
      </c>
      <c r="J96" t="s">
        <v>29</v>
      </c>
      <c r="K96" s="85" t="str">
        <f t="shared" si="1"/>
        <v>/mnt/measurements/07_CANape/Mitsubishi/5K45/MMC5.0.1/5K457EG-11/Real_Child_Measurements/2025_12_16/CSR_XCP_Signals_Recorder_2025-12-16_13-33-33_TC15_1YO3R_CPD.MF4.xz,child,RadarFC_Master,child (ncap1,2),CPD,realchild</v>
      </c>
      <c r="L96" s="85" t="s">
        <v>3175</v>
      </c>
      <c r="M96" s="60" t="s">
        <v>179</v>
      </c>
      <c r="N96" s="66" t="s">
        <v>116</v>
      </c>
    </row>
    <row r="97" spans="1:14">
      <c r="A97" s="77">
        <v>16</v>
      </c>
      <c r="B97" t="s">
        <v>38</v>
      </c>
      <c r="C97" t="s">
        <v>48</v>
      </c>
      <c r="D97" s="97" t="e">
        <f>_xlfn.XLOOKUP(A97,[1]CPD_SOP_new!$A:$A,[1]CPD_SOP_new!#REF!,"not found",0 )</f>
        <v>#REF!</v>
      </c>
      <c r="E97" s="97" t="str">
        <f>_xlfn.XLOOKUP(A97,[1]CPD_SOP_new!$A:$A,[1]CPD_SOP_new!$K:$K,"not found",0 )</f>
        <v>3L</v>
      </c>
      <c r="F97" t="s">
        <v>27</v>
      </c>
      <c r="G97" t="s">
        <v>28</v>
      </c>
      <c r="H97" t="s">
        <v>28</v>
      </c>
      <c r="I97" s="59" t="s">
        <v>28</v>
      </c>
      <c r="J97" t="s">
        <v>29</v>
      </c>
      <c r="K97" s="85" t="str">
        <f t="shared" si="1"/>
        <v>/mnt/measurements/07_CANape/Mitsubishi/5K45/MMC4.1.2/Validation/2025_11_29/child/part1/Awake/TC_16_Try2.MF4.xz,child,RadarFC_Master,child (ncap1,2),CPD,dummy</v>
      </c>
      <c r="L97" s="85" t="s">
        <v>3176</v>
      </c>
      <c r="M97" s="11" t="s">
        <v>181</v>
      </c>
      <c r="N97" s="66" t="s">
        <v>98</v>
      </c>
    </row>
    <row r="98" spans="1:14">
      <c r="A98" s="77">
        <v>16</v>
      </c>
      <c r="B98" t="s">
        <v>38</v>
      </c>
      <c r="C98" t="s">
        <v>48</v>
      </c>
      <c r="D98" s="97" t="e">
        <f>_xlfn.XLOOKUP(A98,[1]CPD_SOP_new!$A:$A,[1]CPD_SOP_new!#REF!,"not found",0 )</f>
        <v>#REF!</v>
      </c>
      <c r="E98" s="97" t="str">
        <f>_xlfn.XLOOKUP(A98,[1]CPD_SOP_new!$A:$A,[1]CPD_SOP_new!$K:$K,"not found",0 )</f>
        <v>3L</v>
      </c>
      <c r="F98" t="s">
        <v>27</v>
      </c>
      <c r="G98" t="s">
        <v>28</v>
      </c>
      <c r="H98" t="s">
        <v>28</v>
      </c>
      <c r="I98" s="59" t="s">
        <v>28</v>
      </c>
      <c r="J98" t="s">
        <v>29</v>
      </c>
      <c r="K98" s="85" t="str">
        <f t="shared" si="1"/>
        <v>/mnt/measurements/07_CANape/Mitsubishi/5K45/MMC4.1.2/Validation/2025_11_29/child/part1/Awake/TC_16_Try3.MF4.xz,child,RadarFC_Master,child (ncap1,2),CPD,dummy</v>
      </c>
      <c r="L98" s="85" t="s">
        <v>3177</v>
      </c>
      <c r="M98" s="11" t="s">
        <v>183</v>
      </c>
      <c r="N98" s="66" t="s">
        <v>98</v>
      </c>
    </row>
    <row r="99" spans="1:14">
      <c r="A99" s="77">
        <v>16</v>
      </c>
      <c r="B99" t="s">
        <v>38</v>
      </c>
      <c r="C99" t="s">
        <v>48</v>
      </c>
      <c r="D99" s="97" t="e">
        <f>_xlfn.XLOOKUP(A99,[1]CPD_SOP_new!$A:$A,[1]CPD_SOP_new!#REF!,"not found",0 )</f>
        <v>#REF!</v>
      </c>
      <c r="E99" s="97" t="str">
        <f>_xlfn.XLOOKUP(A99,[1]CPD_SOP_new!$A:$A,[1]CPD_SOP_new!$K:$K,"not found",0 )</f>
        <v>3L</v>
      </c>
      <c r="F99" t="s">
        <v>27</v>
      </c>
      <c r="G99" t="s">
        <v>28</v>
      </c>
      <c r="H99" t="s">
        <v>28</v>
      </c>
      <c r="I99" s="59" t="s">
        <v>28</v>
      </c>
      <c r="J99" t="s">
        <v>29</v>
      </c>
      <c r="K99" s="85" t="str">
        <f t="shared" si="1"/>
        <v>/mnt/measurements/07_CANape/Mitsubishi/5K45/MMC4.1.2/Validation/child/Awake/TC_16.MF4.xz,child,RadarFC_Master,child (ncap1,2),CPD,dummy</v>
      </c>
      <c r="L99" s="85" t="s">
        <v>3178</v>
      </c>
      <c r="M99" s="60" t="s">
        <v>184</v>
      </c>
      <c r="N99" s="66" t="s">
        <v>93</v>
      </c>
    </row>
    <row r="100" spans="1:14">
      <c r="A100" s="77">
        <v>16</v>
      </c>
      <c r="B100" t="s">
        <v>38</v>
      </c>
      <c r="C100" t="s">
        <v>48</v>
      </c>
      <c r="D100" s="97" t="e">
        <f>_xlfn.XLOOKUP(A100,[1]CPD_SOP_new!$A:$A,[1]CPD_SOP_new!#REF!,"not found",0 )</f>
        <v>#REF!</v>
      </c>
      <c r="E100" s="97" t="str">
        <f>_xlfn.XLOOKUP(A100,[1]CPD_SOP_new!$A:$A,[1]CPD_SOP_new!$K:$K,"not found",0 )</f>
        <v>3L</v>
      </c>
      <c r="F100" t="s">
        <v>27</v>
      </c>
      <c r="G100" t="s">
        <v>28</v>
      </c>
      <c r="H100" t="s">
        <v>28</v>
      </c>
      <c r="I100" s="59" t="s">
        <v>28</v>
      </c>
      <c r="J100" t="s">
        <v>29</v>
      </c>
      <c r="K100" s="85" t="str">
        <f t="shared" si="1"/>
        <v>/mnt/measurements/07_CANape/Mitsubishi/5K45/MMC4.1.2/Validation/child/Awake/TC_16_Try2.MF4.xz,child,RadarFC_Master,child (ncap1,2),CPD,dummy</v>
      </c>
      <c r="L100" s="85" t="s">
        <v>3179</v>
      </c>
      <c r="M100" s="60" t="s">
        <v>181</v>
      </c>
      <c r="N100" s="66" t="s">
        <v>93</v>
      </c>
    </row>
    <row r="101" spans="1:14">
      <c r="A101" s="77">
        <v>16</v>
      </c>
      <c r="B101" t="s">
        <v>38</v>
      </c>
      <c r="C101" t="s">
        <v>48</v>
      </c>
      <c r="D101" s="97" t="e">
        <f>_xlfn.XLOOKUP(A101,[1]CPD_SOP_new!$A:$A,[1]CPD_SOP_new!#REF!,"not found",0 )</f>
        <v>#REF!</v>
      </c>
      <c r="E101" s="97" t="str">
        <f>_xlfn.XLOOKUP(A101,[1]CPD_SOP_new!$A:$A,[1]CPD_SOP_new!$K:$K,"not found",0 )</f>
        <v>3L</v>
      </c>
      <c r="F101" t="s">
        <v>27</v>
      </c>
      <c r="G101" t="s">
        <v>28</v>
      </c>
      <c r="H101" t="s">
        <v>28</v>
      </c>
      <c r="I101" s="59" t="s">
        <v>28</v>
      </c>
      <c r="J101" t="s">
        <v>29</v>
      </c>
      <c r="K101" s="85" t="str">
        <f t="shared" si="1"/>
        <v>/mnt/measurements/07_CANape/Mitsubishi/5K45/MMC4.1.2/Validation/child/Awake/TC_16_Try3.MF4.xz,child,RadarFC_Master,child (ncap1,2),CPD,dummy</v>
      </c>
      <c r="L101" s="85" t="s">
        <v>3180</v>
      </c>
      <c r="M101" s="60" t="s">
        <v>183</v>
      </c>
      <c r="N101" s="66" t="s">
        <v>93</v>
      </c>
    </row>
    <row r="102" spans="1:14">
      <c r="A102" s="77">
        <v>16</v>
      </c>
      <c r="B102" t="s">
        <v>38</v>
      </c>
      <c r="C102" t="s">
        <v>48</v>
      </c>
      <c r="D102" s="97" t="e">
        <f>_xlfn.XLOOKUP(A102,[1]CPD_SOP_new!$A:$A,[1]CPD_SOP_new!#REF!,"not found",0 )</f>
        <v>#REF!</v>
      </c>
      <c r="E102" s="97" t="str">
        <f>_xlfn.XLOOKUP(A102,[1]CPD_SOP_new!$A:$A,[1]CPD_SOP_new!$K:$K,"not found",0 )</f>
        <v>3L</v>
      </c>
      <c r="F102" t="s">
        <v>27</v>
      </c>
      <c r="G102" t="s">
        <v>28</v>
      </c>
      <c r="H102" t="s">
        <v>28</v>
      </c>
      <c r="I102" s="59" t="s">
        <v>28</v>
      </c>
      <c r="J102" t="s">
        <v>29</v>
      </c>
      <c r="K102" s="85" t="str">
        <f t="shared" si="1"/>
        <v>/mnt/measurements/07_CANape/Mitsubishi/5K45/5.2.0/5K457EG11/SmokeTest/CPD/CSR_XCP_Signals_Recorder_2026-01-12_14-05-41_TC16.MF4.xz,child,RadarFC_Master,child (ncap1,2),CPD,dummy</v>
      </c>
      <c r="L102" s="85" t="s">
        <v>3181</v>
      </c>
      <c r="M102" s="11" t="s">
        <v>186</v>
      </c>
      <c r="N102" s="66" t="s">
        <v>41</v>
      </c>
    </row>
    <row r="103" spans="1:14">
      <c r="A103" s="77">
        <v>16</v>
      </c>
      <c r="B103" t="s">
        <v>38</v>
      </c>
      <c r="C103" t="s">
        <v>48</v>
      </c>
      <c r="D103" s="97" t="e">
        <f>_xlfn.XLOOKUP(A103,[1]CPD_SOP_new!$A:$A,[1]CPD_SOP_new!#REF!,"not found",0 )</f>
        <v>#REF!</v>
      </c>
      <c r="E103" s="97" t="str">
        <f>_xlfn.XLOOKUP(A103,[1]CPD_SOP_new!$A:$A,[1]CPD_SOP_new!$K:$K,"not found",0 )</f>
        <v>3L</v>
      </c>
      <c r="F103" t="s">
        <v>27</v>
      </c>
      <c r="G103" t="s">
        <v>28</v>
      </c>
      <c r="H103" t="s">
        <v>28</v>
      </c>
      <c r="I103" s="59" t="s">
        <v>28</v>
      </c>
      <c r="J103" t="s">
        <v>29</v>
      </c>
      <c r="K103" s="85" t="str">
        <f t="shared" si="1"/>
        <v>/mnt/measurements/07_CANape/Mitsubishi/5K45/MMC4.1.2/Validation/2025_11_29/child/part1/Awake/TC_16_Try1.MF4.xz,child,RadarFC_Master,child (ncap1,2),CPD,dummy</v>
      </c>
      <c r="L103" s="85" t="s">
        <v>3182</v>
      </c>
      <c r="M103" s="132" t="s">
        <v>188</v>
      </c>
      <c r="N103" s="129" t="s">
        <v>98</v>
      </c>
    </row>
    <row r="104" spans="1:14">
      <c r="A104" s="77">
        <v>16</v>
      </c>
      <c r="B104" t="s">
        <v>38</v>
      </c>
      <c r="C104" t="s">
        <v>48</v>
      </c>
      <c r="D104" s="97" t="e">
        <f>_xlfn.XLOOKUP(A104,[1]CPD_SOP_new!$A:$A,[1]CPD_SOP_new!#REF!,"not found",0 )</f>
        <v>#REF!</v>
      </c>
      <c r="E104" s="97" t="str">
        <f>_xlfn.XLOOKUP(A104,[1]CPD_SOP_new!$A:$A,[1]CPD_SOP_new!$K:$K,"not found",0 )</f>
        <v>3L</v>
      </c>
      <c r="F104" t="s">
        <v>28</v>
      </c>
      <c r="G104" t="s">
        <v>28</v>
      </c>
      <c r="H104" t="s">
        <v>28</v>
      </c>
      <c r="I104" s="59" t="s">
        <v>28</v>
      </c>
      <c r="J104" t="s">
        <v>29</v>
      </c>
      <c r="K104" s="85" t="str">
        <f t="shared" si="1"/>
        <v>/mnt/measurements/07_CANape/Mitsubishi/5K45/5.2.0/5K457EG11/Real_Childs/CPD_TC16_Try3.MF4.xz,child,RadarFC_Master,child (ncap1,2),CPD,realchild</v>
      </c>
      <c r="L104" s="85" t="s">
        <v>3183</v>
      </c>
      <c r="M104" t="s">
        <v>192</v>
      </c>
      <c r="N104" s="129" t="s">
        <v>191</v>
      </c>
    </row>
    <row r="105" spans="1:14">
      <c r="A105" s="77">
        <v>16</v>
      </c>
      <c r="B105" t="s">
        <v>38</v>
      </c>
      <c r="C105" t="s">
        <v>48</v>
      </c>
      <c r="D105" s="97" t="e">
        <f>_xlfn.XLOOKUP(A105,[1]CPD_SOP_new!$A:$A,[1]CPD_SOP_new!#REF!,"not found",0 )</f>
        <v>#REF!</v>
      </c>
      <c r="E105" s="97" t="str">
        <f>_xlfn.XLOOKUP(A105,[1]CPD_SOP_new!$A:$A,[1]CPD_SOP_new!$K:$K,"not found",0 )</f>
        <v>3L</v>
      </c>
      <c r="F105" t="s">
        <v>28</v>
      </c>
      <c r="G105" t="s">
        <v>28</v>
      </c>
      <c r="H105" t="s">
        <v>28</v>
      </c>
      <c r="I105" s="59" t="s">
        <v>28</v>
      </c>
      <c r="J105" t="s">
        <v>29</v>
      </c>
      <c r="K105" s="85" t="str">
        <f t="shared" si="1"/>
        <v>/mnt/measurements/07_CANape/Mitsubishi/5K45/5.2.0/5K457EG11/Real_Childs/CPD_TC16_Try5.MF4.xz,child,RadarFC_Master,child (ncap1,2),CPD,realchild</v>
      </c>
      <c r="L105" s="85" t="s">
        <v>3184</v>
      </c>
      <c r="M105" t="s">
        <v>194</v>
      </c>
      <c r="N105" s="129" t="s">
        <v>191</v>
      </c>
    </row>
    <row r="106" spans="1:14">
      <c r="A106" s="77">
        <v>17</v>
      </c>
      <c r="B106" t="s">
        <v>38</v>
      </c>
      <c r="C106" t="s">
        <v>66</v>
      </c>
      <c r="D106" s="97" t="e">
        <f>_xlfn.XLOOKUP(A106,[1]CPD_SOP_new!$A:$A,[1]CPD_SOP_new!#REF!,"not found",0 )</f>
        <v>#REF!</v>
      </c>
      <c r="E106" s="97" t="s">
        <v>26</v>
      </c>
      <c r="F106" t="s">
        <v>28</v>
      </c>
      <c r="G106" t="s">
        <v>28</v>
      </c>
      <c r="H106" t="s">
        <v>28</v>
      </c>
      <c r="I106" s="59" t="s">
        <v>28</v>
      </c>
      <c r="J106" t="s">
        <v>29</v>
      </c>
      <c r="K106" s="85" t="str">
        <f t="shared" si="1"/>
        <v>/mnt/measurements/07_CANape/Mitsubishi/5K45/MMC5.0.2/5K457EG11/RealChild/CPD_TC17_Try1.MF4.xz,child,RadarFC_Master,child (ncap1,2),CPD,realchild</v>
      </c>
      <c r="L106" s="85" t="s">
        <v>3185</v>
      </c>
      <c r="M106" s="132" t="s">
        <v>195</v>
      </c>
      <c r="N106" s="132" t="s">
        <v>86</v>
      </c>
    </row>
    <row r="107" spans="1:14">
      <c r="A107" s="77">
        <v>17</v>
      </c>
      <c r="B107" t="s">
        <v>38</v>
      </c>
      <c r="C107" t="s">
        <v>66</v>
      </c>
      <c r="D107" s="97" t="e">
        <f>_xlfn.XLOOKUP(A107,[1]CPD_SOP_new!$A:$A,[1]CPD_SOP_new!#REF!,"not found",0 )</f>
        <v>#REF!</v>
      </c>
      <c r="E107" s="97" t="s">
        <v>26</v>
      </c>
      <c r="F107" t="s">
        <v>28</v>
      </c>
      <c r="G107" t="s">
        <v>28</v>
      </c>
      <c r="H107" t="s">
        <v>28</v>
      </c>
      <c r="I107" s="59" t="s">
        <v>28</v>
      </c>
      <c r="J107" t="s">
        <v>29</v>
      </c>
      <c r="K107" s="85" t="str">
        <f t="shared" si="1"/>
        <v>/mnt/measurements/07_CANape/Mitsubishi/5K45/MMC5.0.2/5K457EG11/RealChild/CPD_TC17_Try2.MF4.xz,child,RadarFC_Master,child (ncap1,2),CPD,realchild</v>
      </c>
      <c r="L107" s="85" t="s">
        <v>3186</v>
      </c>
      <c r="M107" s="132" t="s">
        <v>197</v>
      </c>
      <c r="N107" s="132" t="s">
        <v>86</v>
      </c>
    </row>
    <row r="108" spans="1:14">
      <c r="A108" s="77">
        <v>17</v>
      </c>
      <c r="B108" t="s">
        <v>38</v>
      </c>
      <c r="C108" t="s">
        <v>66</v>
      </c>
      <c r="D108" s="97" t="e">
        <f>_xlfn.XLOOKUP(A108,[1]CPD_SOP_new!$A:$A,[1]CPD_SOP_new!#REF!,"not found",0 )</f>
        <v>#REF!</v>
      </c>
      <c r="E108" s="97" t="s">
        <v>26</v>
      </c>
      <c r="F108" t="s">
        <v>28</v>
      </c>
      <c r="G108" t="s">
        <v>28</v>
      </c>
      <c r="H108" t="s">
        <v>28</v>
      </c>
      <c r="I108" s="59" t="s">
        <v>28</v>
      </c>
      <c r="J108" t="s">
        <v>29</v>
      </c>
      <c r="K108" s="85" t="str">
        <f t="shared" si="1"/>
        <v>/mnt/measurements/07_CANape/Mitsubishi/5K45/MMC5.0.2/5K457EG11/RealChild/CPD_TC17_Try3.MF4.xz,child,RadarFC_Master,child (ncap1,2),CPD,realchild</v>
      </c>
      <c r="L108" s="85" t="s">
        <v>3187</v>
      </c>
      <c r="M108" s="132" t="s">
        <v>198</v>
      </c>
      <c r="N108" s="132" t="s">
        <v>86</v>
      </c>
    </row>
    <row r="109" spans="1:14">
      <c r="A109" s="77">
        <v>17</v>
      </c>
      <c r="B109" t="s">
        <v>38</v>
      </c>
      <c r="C109" t="s">
        <v>66</v>
      </c>
      <c r="D109" s="97" t="e">
        <f>_xlfn.XLOOKUP(A109,[1]CPD_SOP_new!$A:$A,[1]CPD_SOP_new!#REF!,"not found",0 )</f>
        <v>#REF!</v>
      </c>
      <c r="E109" s="97" t="s">
        <v>26</v>
      </c>
      <c r="F109" t="s">
        <v>28</v>
      </c>
      <c r="G109" t="s">
        <v>28</v>
      </c>
      <c r="H109" t="s">
        <v>28</v>
      </c>
      <c r="I109" s="59" t="s">
        <v>28</v>
      </c>
      <c r="J109" t="s">
        <v>29</v>
      </c>
      <c r="K109" s="85" t="str">
        <f t="shared" si="1"/>
        <v>/mnt/measurements/07_CANape/Mitsubishi/5K45/MMC5.0.2/5K457EG11/RealChild/CPD_TC17_Try4.MF4.xz,child,RadarFC_Master,child (ncap1,2),CPD,realchild</v>
      </c>
      <c r="L109" s="85" t="s">
        <v>3188</v>
      </c>
      <c r="M109" s="132" t="s">
        <v>199</v>
      </c>
      <c r="N109" s="132" t="s">
        <v>86</v>
      </c>
    </row>
    <row r="110" spans="1:14">
      <c r="A110" s="77">
        <v>17</v>
      </c>
      <c r="B110" t="s">
        <v>38</v>
      </c>
      <c r="C110" t="s">
        <v>66</v>
      </c>
      <c r="D110" s="97" t="e">
        <f>_xlfn.XLOOKUP(A110,[1]CPD_SOP_new!$A:$A,[1]CPD_SOP_new!#REF!,"not found",0 )</f>
        <v>#REF!</v>
      </c>
      <c r="E110" s="97" t="s">
        <v>26</v>
      </c>
      <c r="F110" t="s">
        <v>28</v>
      </c>
      <c r="G110" t="s">
        <v>28</v>
      </c>
      <c r="H110" t="s">
        <v>28</v>
      </c>
      <c r="I110" s="59" t="s">
        <v>28</v>
      </c>
      <c r="J110" t="s">
        <v>29</v>
      </c>
      <c r="K110" s="85" t="str">
        <f t="shared" si="1"/>
        <v>/mnt/measurements/07_CANape/Mitsubishi/5K45/MMC5.0.2/5K457EG11/RealChild/CPD_TC17_Try5.MF4.xz,child,RadarFC_Master,child (ncap1,2),CPD,realchild</v>
      </c>
      <c r="L110" s="85" t="s">
        <v>3189</v>
      </c>
      <c r="M110" s="132" t="s">
        <v>200</v>
      </c>
      <c r="N110" s="132" t="s">
        <v>86</v>
      </c>
    </row>
    <row r="111" spans="1:14">
      <c r="A111" s="77">
        <v>17</v>
      </c>
      <c r="B111" t="s">
        <v>38</v>
      </c>
      <c r="C111" t="s">
        <v>66</v>
      </c>
      <c r="D111" s="97" t="e">
        <f>_xlfn.XLOOKUP(A111,[1]CPD_SOP_new!$A:$A,[1]CPD_SOP_new!#REF!,"not found",0 )</f>
        <v>#REF!</v>
      </c>
      <c r="E111" s="97" t="s">
        <v>26</v>
      </c>
      <c r="F111" t="s">
        <v>28</v>
      </c>
      <c r="G111" t="s">
        <v>28</v>
      </c>
      <c r="H111" t="s">
        <v>28</v>
      </c>
      <c r="I111" s="59" t="s">
        <v>28</v>
      </c>
      <c r="J111" t="s">
        <v>29</v>
      </c>
      <c r="K111" s="85" t="str">
        <f t="shared" si="1"/>
        <v>/mnt/measurements/07_CANape/Mitsubishi/5K45/MMC5.1.0/5K457EG11/CSR_XCP_Signals_Recorder_2025-12-18_15-59-42_TC17_CPD.MF4.xz,child,RadarFC_Master,child (ncap1,2),CPD,realchild</v>
      </c>
      <c r="L111" s="85" t="s">
        <v>3190</v>
      </c>
      <c r="M111" s="132" t="s">
        <v>201</v>
      </c>
      <c r="N111" s="132" t="s">
        <v>202</v>
      </c>
    </row>
    <row r="112" spans="1:14">
      <c r="A112" s="77">
        <v>17</v>
      </c>
      <c r="B112" t="s">
        <v>38</v>
      </c>
      <c r="C112" t="s">
        <v>66</v>
      </c>
      <c r="D112" s="97" t="e">
        <f>_xlfn.XLOOKUP(A112,[1]CPD_SOP_new!$A:$A,[1]CPD_SOP_new!#REF!,"not found",0 )</f>
        <v>#REF!</v>
      </c>
      <c r="E112" s="97" t="s">
        <v>26</v>
      </c>
      <c r="F112" t="s">
        <v>28</v>
      </c>
      <c r="G112" t="s">
        <v>28</v>
      </c>
      <c r="H112" t="s">
        <v>28</v>
      </c>
      <c r="I112" s="59" t="s">
        <v>28</v>
      </c>
      <c r="J112" t="s">
        <v>29</v>
      </c>
      <c r="K112" s="85" t="str">
        <f t="shared" si="1"/>
        <v>/mnt/measurements/07_CANape/Mitsubishi/5K45/MMC5.1.0/5K457EG11/CSR_XCP_Signals_Recorder_2025-12-18_16-02-16_TC17_CPD.MF4.xz,child,RadarFC_Master,child (ncap1,2),CPD,realchild</v>
      </c>
      <c r="L112" s="85" t="s">
        <v>3191</v>
      </c>
      <c r="M112" s="132" t="s">
        <v>203</v>
      </c>
      <c r="N112" s="132" t="s">
        <v>202</v>
      </c>
    </row>
    <row r="113" spans="1:21" hidden="1">
      <c r="A113" s="78">
        <v>17</v>
      </c>
      <c r="B113" s="137" t="s">
        <v>105</v>
      </c>
      <c r="C113" t="s">
        <v>66</v>
      </c>
      <c r="D113" s="97" t="e">
        <f>_xlfn.XLOOKUP(A113,[1]CPD_SOP_new!$A:$A,[1]CPD_SOP_new!#REF!,"not found",0 )</f>
        <v>#REF!</v>
      </c>
      <c r="E113" s="97" t="s">
        <v>26</v>
      </c>
      <c r="F113" t="s">
        <v>28</v>
      </c>
      <c r="G113" t="s">
        <v>28</v>
      </c>
      <c r="H113" t="s">
        <v>28</v>
      </c>
      <c r="I113" s="137" t="s">
        <v>27</v>
      </c>
      <c r="J113" s="137" t="s">
        <v>105</v>
      </c>
      <c r="K113" s="85" t="str">
        <f t="shared" si="1"/>
        <v>/mnt/measurements/07_CANape/Mitsubishi/5K45/5.3.0_RC6/Customer_Testing/Real_Child_Measurements/CSR_XCP_Signals_Recorder_2026-01-29_16-06-49_TC17.MF4.xz,error,RadarFC_Master,error,CPD,realchild</v>
      </c>
      <c r="L113" s="85" t="s">
        <v>3192</v>
      </c>
      <c r="M113" s="137" t="s">
        <v>215</v>
      </c>
      <c r="N113" s="137" t="s">
        <v>213</v>
      </c>
      <c r="O113" s="137" t="s">
        <v>105</v>
      </c>
      <c r="P113" s="137" t="s">
        <v>105</v>
      </c>
      <c r="Q113" s="137" t="s">
        <v>105</v>
      </c>
      <c r="R113" s="137"/>
      <c r="S113" s="137"/>
      <c r="T113" s="137" t="s">
        <v>105</v>
      </c>
      <c r="U113" s="137" t="s">
        <v>105</v>
      </c>
    </row>
    <row r="114" spans="1:21">
      <c r="A114" s="77">
        <v>17</v>
      </c>
      <c r="B114" t="s">
        <v>38</v>
      </c>
      <c r="C114" t="s">
        <v>66</v>
      </c>
      <c r="D114" s="97" t="e">
        <f>_xlfn.XLOOKUP(A114,[1]CPD_SOP_new!$A:$A,[1]CPD_SOP_new!#REF!,"not found",0 )</f>
        <v>#REF!</v>
      </c>
      <c r="E114" s="97" t="s">
        <v>26</v>
      </c>
      <c r="F114" t="s">
        <v>28</v>
      </c>
      <c r="G114" t="s">
        <v>28</v>
      </c>
      <c r="H114" t="s">
        <v>28</v>
      </c>
      <c r="I114" s="59" t="s">
        <v>28</v>
      </c>
      <c r="J114" t="s">
        <v>29</v>
      </c>
      <c r="K114" s="85" t="str">
        <f t="shared" si="1"/>
        <v>/mnt/measurements/07_CANape/Mitsubishi/5K45/MMC5.1.0/5K457EG11/CSR_XCP_Signals_Recorder_2025-12-18_16-04-43_TC17_CPD.MF4.xz,child,RadarFC_Master,child (ncap1,2),CPD,realchild</v>
      </c>
      <c r="L114" s="85" t="s">
        <v>3193</v>
      </c>
      <c r="M114" s="132" t="s">
        <v>204</v>
      </c>
      <c r="N114" s="132" t="s">
        <v>202</v>
      </c>
    </row>
    <row r="115" spans="1:21">
      <c r="A115" s="77">
        <v>17</v>
      </c>
      <c r="B115" t="s">
        <v>38</v>
      </c>
      <c r="C115" t="s">
        <v>66</v>
      </c>
      <c r="D115" s="97" t="e">
        <f>_xlfn.XLOOKUP(A115,[1]CPD_SOP_new!$A:$A,[1]CPD_SOP_new!#REF!,"not found",0 )</f>
        <v>#REF!</v>
      </c>
      <c r="E115" s="97" t="s">
        <v>26</v>
      </c>
      <c r="F115" t="s">
        <v>28</v>
      </c>
      <c r="G115" t="s">
        <v>28</v>
      </c>
      <c r="H115" t="s">
        <v>28</v>
      </c>
      <c r="I115" s="59" t="s">
        <v>28</v>
      </c>
      <c r="J115" t="s">
        <v>29</v>
      </c>
      <c r="K115" s="85" t="str">
        <f t="shared" si="1"/>
        <v>/mnt/measurements/07_CANape/Mitsubishi/5K45/MMC5.1.0/5K457EG11/CSR_XCP_Signals_Recorder_2025-12-18_16-06-30_TC17_CPD.MF4.xz,child,RadarFC_Master,child (ncap1,2),CPD,realchild</v>
      </c>
      <c r="L115" s="85" t="s">
        <v>3194</v>
      </c>
      <c r="M115" s="132" t="s">
        <v>205</v>
      </c>
      <c r="N115" s="132" t="s">
        <v>202</v>
      </c>
    </row>
    <row r="116" spans="1:21">
      <c r="A116" s="77">
        <v>17</v>
      </c>
      <c r="B116" t="s">
        <v>38</v>
      </c>
      <c r="C116" t="s">
        <v>66</v>
      </c>
      <c r="D116" s="97" t="e">
        <f>_xlfn.XLOOKUP(A116,[1]CPD_SOP_new!$A:$A,[1]CPD_SOP_new!#REF!,"not found",0 )</f>
        <v>#REF!</v>
      </c>
      <c r="E116" s="97" t="s">
        <v>26</v>
      </c>
      <c r="F116" t="s">
        <v>28</v>
      </c>
      <c r="G116" t="s">
        <v>28</v>
      </c>
      <c r="H116" t="s">
        <v>28</v>
      </c>
      <c r="I116" s="59" t="s">
        <v>28</v>
      </c>
      <c r="J116" t="s">
        <v>29</v>
      </c>
      <c r="K116" s="85" t="str">
        <f t="shared" si="1"/>
        <v>/mnt/measurements/07_CANape/Mitsubishi/5K45/MMC5.1.0/5K457EG11/CSR_XCP_Signals_Recorder_2025-12-18_16-08-07_TC17_CPD.MF4.xz,child,RadarFC_Master,child (ncap1,2),CPD,realchild</v>
      </c>
      <c r="L116" s="85" t="s">
        <v>3195</v>
      </c>
      <c r="M116" s="11" t="s">
        <v>206</v>
      </c>
      <c r="N116" s="132" t="s">
        <v>202</v>
      </c>
    </row>
    <row r="117" spans="1:21">
      <c r="A117" s="77">
        <v>17</v>
      </c>
      <c r="B117" t="s">
        <v>38</v>
      </c>
      <c r="C117" t="s">
        <v>66</v>
      </c>
      <c r="D117" s="97" t="e">
        <f>_xlfn.XLOOKUP(A117,[1]CPD_SOP_new!$A:$A,[1]CPD_SOP_new!#REF!,"not found",0 )</f>
        <v>#REF!</v>
      </c>
      <c r="E117" s="97" t="s">
        <v>26</v>
      </c>
      <c r="F117" t="s">
        <v>28</v>
      </c>
      <c r="G117" t="s">
        <v>28</v>
      </c>
      <c r="H117" t="s">
        <v>28</v>
      </c>
      <c r="I117" s="59" t="s">
        <v>28</v>
      </c>
      <c r="J117" t="s">
        <v>29</v>
      </c>
      <c r="K117" s="85" t="str">
        <f t="shared" si="1"/>
        <v>/mnt/measurements/07_CANape/Mitsubishi/5K45/MMC5.1.0/5K457EG11/CSR_XCP_Signals_Recorder_2025-12-23_11-49-41_TC17_CPD.MF4.xz,child,RadarFC_Master,child (ncap1,2),CPD,realchild</v>
      </c>
      <c r="L117" s="85" t="s">
        <v>3196</v>
      </c>
      <c r="M117" s="11" t="s">
        <v>207</v>
      </c>
      <c r="N117" s="132" t="s">
        <v>202</v>
      </c>
    </row>
    <row r="118" spans="1:21">
      <c r="A118" s="77">
        <v>17</v>
      </c>
      <c r="B118" t="s">
        <v>38</v>
      </c>
      <c r="C118" t="s">
        <v>66</v>
      </c>
      <c r="D118" s="97" t="e">
        <f>_xlfn.XLOOKUP(A118,[1]CPD_SOP_new!$A:$A,[1]CPD_SOP_new!#REF!,"not found",0 )</f>
        <v>#REF!</v>
      </c>
      <c r="E118" s="97" t="s">
        <v>26</v>
      </c>
      <c r="F118" t="s">
        <v>28</v>
      </c>
      <c r="G118" t="s">
        <v>28</v>
      </c>
      <c r="H118" t="s">
        <v>28</v>
      </c>
      <c r="I118" s="59" t="s">
        <v>28</v>
      </c>
      <c r="J118" t="s">
        <v>29</v>
      </c>
      <c r="K118" s="85" t="str">
        <f t="shared" si="1"/>
        <v>/mnt/measurements/07_CANape/Mitsubishi/5K45/MMC5.1.0/5K457EG11/CSR_XCP_Signals_Recorder_2025-12-23_11-51-13_TC17_CPD.MF4.xz,child,RadarFC_Master,child (ncap1,2),CPD,realchild</v>
      </c>
      <c r="L118" s="85" t="s">
        <v>3197</v>
      </c>
      <c r="M118" s="132" t="s">
        <v>208</v>
      </c>
      <c r="N118" s="132" t="s">
        <v>202</v>
      </c>
    </row>
    <row r="119" spans="1:21">
      <c r="A119" s="77">
        <v>17</v>
      </c>
      <c r="B119" t="s">
        <v>38</v>
      </c>
      <c r="C119" t="s">
        <v>66</v>
      </c>
      <c r="D119" s="97" t="e">
        <f>_xlfn.XLOOKUP(A119,[1]CPD_SOP_new!$A:$A,[1]CPD_SOP_new!#REF!,"not found",0 )</f>
        <v>#REF!</v>
      </c>
      <c r="E119" s="97" t="s">
        <v>26</v>
      </c>
      <c r="F119" t="s">
        <v>28</v>
      </c>
      <c r="G119" t="s">
        <v>28</v>
      </c>
      <c r="H119" t="s">
        <v>28</v>
      </c>
      <c r="I119" s="59" t="s">
        <v>28</v>
      </c>
      <c r="J119" t="s">
        <v>29</v>
      </c>
      <c r="K119" s="85" t="str">
        <f t="shared" si="1"/>
        <v>/mnt/measurements/07_CANape/Mitsubishi/5K45/MMC5.1.0/5K457EG11/CSR_XCP_Signals_Recorder_2025-12-23_11-52-43_TC17_CPD.MF4.xz,child,RadarFC_Master,child (ncap1,2),CPD,realchild</v>
      </c>
      <c r="L119" s="85" t="s">
        <v>3198</v>
      </c>
      <c r="M119" s="132" t="s">
        <v>209</v>
      </c>
      <c r="N119" s="132" t="s">
        <v>202</v>
      </c>
    </row>
    <row r="120" spans="1:21">
      <c r="A120" s="77">
        <v>17</v>
      </c>
      <c r="B120" t="s">
        <v>38</v>
      </c>
      <c r="C120" t="s">
        <v>66</v>
      </c>
      <c r="D120" s="97" t="e">
        <f>_xlfn.XLOOKUP(A120,[1]CPD_SOP_new!$A:$A,[1]CPD_SOP_new!#REF!,"not found",0 )</f>
        <v>#REF!</v>
      </c>
      <c r="E120" s="97" t="s">
        <v>26</v>
      </c>
      <c r="F120" t="s">
        <v>28</v>
      </c>
      <c r="G120" t="s">
        <v>28</v>
      </c>
      <c r="H120" t="s">
        <v>28</v>
      </c>
      <c r="I120" s="59" t="s">
        <v>28</v>
      </c>
      <c r="J120" t="s">
        <v>29</v>
      </c>
      <c r="K120" s="85" t="str">
        <f t="shared" si="1"/>
        <v>/mnt/measurements/07_CANape/Mitsubishi/5K45/MMC5.1.0/5K457EG11/CSR_XCP_Signals_Recorder_2025-12-23_11-54-15_TC17_CPD.MF4.xz,child,RadarFC_Master,child (ncap1,2),CPD,realchild</v>
      </c>
      <c r="L120" s="85" t="s">
        <v>3199</v>
      </c>
      <c r="M120" s="132" t="s">
        <v>210</v>
      </c>
      <c r="N120" s="132" t="s">
        <v>202</v>
      </c>
    </row>
    <row r="121" spans="1:21">
      <c r="A121" s="77">
        <v>17</v>
      </c>
      <c r="B121" t="s">
        <v>38</v>
      </c>
      <c r="C121" t="s">
        <v>66</v>
      </c>
      <c r="D121" s="97" t="e">
        <f>_xlfn.XLOOKUP(A121,[1]CPD_SOP_new!$A:$A,[1]CPD_SOP_new!#REF!,"not found",0 )</f>
        <v>#REF!</v>
      </c>
      <c r="E121" s="97" t="s">
        <v>26</v>
      </c>
      <c r="F121" t="s">
        <v>28</v>
      </c>
      <c r="G121" t="s">
        <v>28</v>
      </c>
      <c r="H121" t="s">
        <v>28</v>
      </c>
      <c r="I121" s="59" t="s">
        <v>28</v>
      </c>
      <c r="J121" t="s">
        <v>29</v>
      </c>
      <c r="K121" s="85" t="str">
        <f t="shared" si="1"/>
        <v>/mnt/measurements/07_CANape/Mitsubishi/5K45/MMC5.1.0/5K457EG11/CSR_XCP_Signals_Recorder_2025-12-23_11-56-52_TC17_CPD.MF4.xz,child,RadarFC_Master,child (ncap1,2),CPD,realchild</v>
      </c>
      <c r="L121" s="85" t="s">
        <v>3200</v>
      </c>
      <c r="M121" s="132" t="s">
        <v>211</v>
      </c>
      <c r="N121" s="132" t="s">
        <v>202</v>
      </c>
    </row>
    <row r="122" spans="1:21">
      <c r="A122" s="77">
        <v>17</v>
      </c>
      <c r="B122" t="s">
        <v>38</v>
      </c>
      <c r="C122" t="s">
        <v>66</v>
      </c>
      <c r="D122" s="97" t="e">
        <f>_xlfn.XLOOKUP(A122,[1]CPD_SOP_new!$A:$A,[1]CPD_SOP_new!#REF!,"not found",0 )</f>
        <v>#REF!</v>
      </c>
      <c r="E122" s="97" t="s">
        <v>26</v>
      </c>
      <c r="F122" t="s">
        <v>28</v>
      </c>
      <c r="G122" t="s">
        <v>28</v>
      </c>
      <c r="H122" t="s">
        <v>28</v>
      </c>
      <c r="I122" t="s">
        <v>28</v>
      </c>
      <c r="J122" t="s">
        <v>29</v>
      </c>
      <c r="K122" s="85" t="str">
        <f t="shared" si="1"/>
        <v>/mnt/measurements/07_CANape/Mitsubishi/5K45/5.3.0_RC6/Customer_Testing/Real_Child_Measurements/CSR_XCP_Signals_Recorder_2026-01-29_16-04-22_TC17.MF4.xz,child,RadarFC_Master,child (ncap1,2),CPD,realchild</v>
      </c>
      <c r="L122" s="85" t="s">
        <v>3201</v>
      </c>
      <c r="M122" t="s">
        <v>212</v>
      </c>
      <c r="N122" t="s">
        <v>213</v>
      </c>
      <c r="O122" t="s">
        <v>29</v>
      </c>
      <c r="P122" t="s">
        <v>29</v>
      </c>
      <c r="Q122">
        <v>1</v>
      </c>
      <c r="T122">
        <v>0</v>
      </c>
      <c r="U122">
        <v>0</v>
      </c>
    </row>
    <row r="123" spans="1:21">
      <c r="A123" s="77">
        <v>17</v>
      </c>
      <c r="B123" t="s">
        <v>38</v>
      </c>
      <c r="C123" t="s">
        <v>66</v>
      </c>
      <c r="D123" s="97" t="e">
        <f>_xlfn.XLOOKUP(A123,[1]CPD_SOP_new!$A:$A,[1]CPD_SOP_new!#REF!,"not found",0 )</f>
        <v>#REF!</v>
      </c>
      <c r="E123" s="97" t="s">
        <v>26</v>
      </c>
      <c r="F123" t="s">
        <v>28</v>
      </c>
      <c r="G123" t="s">
        <v>28</v>
      </c>
      <c r="H123" t="s">
        <v>28</v>
      </c>
      <c r="I123" t="s">
        <v>28</v>
      </c>
      <c r="J123" t="s">
        <v>29</v>
      </c>
      <c r="K123" s="85" t="str">
        <f t="shared" si="1"/>
        <v>/mnt/measurements/07_CANape/Mitsubishi/5K45/5.3.0_RC6/Customer_Testing/Real_Child_Measurements/CSR_XCP_Signals_Recorder_2026-01-29_16-05-49_TC17.MF4.xz,child,RadarFC_Master,child (ncap1,2),CPD,realchild</v>
      </c>
      <c r="L123" s="85" t="s">
        <v>3202</v>
      </c>
      <c r="M123" t="s">
        <v>1025</v>
      </c>
      <c r="N123" t="s">
        <v>213</v>
      </c>
      <c r="O123" t="s">
        <v>29</v>
      </c>
      <c r="P123" t="s">
        <v>29</v>
      </c>
      <c r="Q123">
        <v>1</v>
      </c>
      <c r="T123">
        <v>0</v>
      </c>
      <c r="U123">
        <v>0</v>
      </c>
    </row>
    <row r="124" spans="1:21" s="130" customFormat="1" hidden="1">
      <c r="A124" s="78">
        <v>20</v>
      </c>
      <c r="B124" s="130" t="s">
        <v>38</v>
      </c>
      <c r="C124" s="130" t="s">
        <v>66</v>
      </c>
      <c r="D124" s="97" t="e">
        <f>_xlfn.XLOOKUP(A124,[1]CPD_SOP_new!$A:$A,[1]CPD_SOP_new!#REF!,"not found",0 )</f>
        <v>#REF!</v>
      </c>
      <c r="E124" s="97" t="str">
        <f>_xlfn.XLOOKUP(A124,[1]CPD_SOP_new!$A:$A,[1]CPD_SOP_new!$K:$K,"not found",0 )</f>
        <v>2C</v>
      </c>
      <c r="F124" s="130" t="s">
        <v>28</v>
      </c>
      <c r="G124" s="130" t="s">
        <v>28</v>
      </c>
      <c r="H124" s="130" t="s">
        <v>28</v>
      </c>
      <c r="I124" s="130" t="s">
        <v>27</v>
      </c>
      <c r="J124" s="130" t="s">
        <v>29</v>
      </c>
      <c r="K124" s="85" t="str">
        <f t="shared" si="1"/>
        <v>/mnt/measurements/07_CANape/Mitsubishi/5K45/MMC5.0.0_RC3/Real_Child_Tests/CSR_XCP_Signals_Recorder_2025-12-11_11-28-54_TC20_3YO_2M_CPD.MF4.xz,child,RadarFC_Master,child (ncap1,2),CPD,realchild</v>
      </c>
      <c r="L124" s="85" t="s">
        <v>3203</v>
      </c>
      <c r="M124" s="130" t="s">
        <v>231</v>
      </c>
      <c r="N124" s="131" t="s">
        <v>217</v>
      </c>
    </row>
    <row r="125" spans="1:21">
      <c r="A125" s="77">
        <v>18</v>
      </c>
      <c r="B125" t="s">
        <v>38</v>
      </c>
      <c r="C125" t="s">
        <v>66</v>
      </c>
      <c r="D125" s="97" t="e">
        <f>_xlfn.XLOOKUP(A125,[1]CPD_SOP_new!$A:$A,[1]CPD_SOP_new!#REF!,"not found",0 )</f>
        <v>#REF!</v>
      </c>
      <c r="E125" s="97" t="str">
        <f>_xlfn.XLOOKUP(A125,[1]CPD_SOP_new!$A:$A,[1]CPD_SOP_new!$K:$K,"not found",0 )</f>
        <v>2R</v>
      </c>
      <c r="F125" t="s">
        <v>28</v>
      </c>
      <c r="G125" t="s">
        <v>28</v>
      </c>
      <c r="H125" t="s">
        <v>28</v>
      </c>
      <c r="I125" t="s">
        <v>28</v>
      </c>
      <c r="J125" t="s">
        <v>29</v>
      </c>
      <c r="K125" s="85" t="str">
        <f t="shared" si="1"/>
        <v>/mnt/measurements/07_CANape/Mitsubishi/5K45/MMC5.0.0_RC3/Real_Child_Tests/CSR_XCP_Signals_Recorder_2025-12-11_11-11-53_TC18_3YO_2R_CPD.MF4.xz,child,RadarFC_Master,child (ncap1,2),CPD,realchild</v>
      </c>
      <c r="L125" s="85" t="s">
        <v>3204</v>
      </c>
      <c r="M125" t="s">
        <v>216</v>
      </c>
      <c r="N125" s="129" t="s">
        <v>217</v>
      </c>
    </row>
    <row r="126" spans="1:21">
      <c r="A126" s="77">
        <v>18</v>
      </c>
      <c r="B126" t="s">
        <v>38</v>
      </c>
      <c r="C126" t="s">
        <v>66</v>
      </c>
      <c r="D126" s="97" t="e">
        <f>_xlfn.XLOOKUP(A126,[1]CPD_SOP_new!$A:$A,[1]CPD_SOP_new!#REF!,"not found",0 )</f>
        <v>#REF!</v>
      </c>
      <c r="E126" s="97" t="str">
        <f>_xlfn.XLOOKUP(A126,[1]CPD_SOP_new!$A:$A,[1]CPD_SOP_new!$K:$K,"not found",0 )</f>
        <v>2R</v>
      </c>
      <c r="F126" t="s">
        <v>28</v>
      </c>
      <c r="G126" t="s">
        <v>28</v>
      </c>
      <c r="H126" t="s">
        <v>28</v>
      </c>
      <c r="I126" t="s">
        <v>28</v>
      </c>
      <c r="J126" t="s">
        <v>29</v>
      </c>
      <c r="K126" s="85" t="str">
        <f t="shared" si="1"/>
        <v>/mnt/measurements/07_CANape/Mitsubishi/5K45/MMC5.0.0_RC3/Real_Child_Tests/CSR_XCP_Signals_Recorder_2025-12-11_11-13-35_TC18_3YO_2R_CPD.MF4.xz,child,RadarFC_Master,child (ncap1,2),CPD,realchild</v>
      </c>
      <c r="L126" s="85" t="s">
        <v>3205</v>
      </c>
      <c r="M126" t="s">
        <v>219</v>
      </c>
      <c r="N126" s="129" t="s">
        <v>217</v>
      </c>
    </row>
    <row r="127" spans="1:21" s="130" customFormat="1" hidden="1">
      <c r="A127" s="78">
        <v>20</v>
      </c>
      <c r="B127" s="130" t="s">
        <v>38</v>
      </c>
      <c r="C127" s="130" t="s">
        <v>66</v>
      </c>
      <c r="D127" s="97" t="e">
        <f>_xlfn.XLOOKUP(A127,[1]CPD_SOP_new!$A:$A,[1]CPD_SOP_new!#REF!,"not found",0 )</f>
        <v>#REF!</v>
      </c>
      <c r="E127" s="97" t="str">
        <f>_xlfn.XLOOKUP(A127,[1]CPD_SOP_new!$A:$A,[1]CPD_SOP_new!$K:$K,"not found",0 )</f>
        <v>2C</v>
      </c>
      <c r="F127" s="130" t="s">
        <v>27</v>
      </c>
      <c r="G127" s="130" t="s">
        <v>28</v>
      </c>
      <c r="H127" s="130" t="s">
        <v>28</v>
      </c>
      <c r="I127" s="130" t="s">
        <v>27</v>
      </c>
      <c r="J127" s="137" t="s">
        <v>68</v>
      </c>
      <c r="K127" s="85" t="str">
        <f t="shared" si="1"/>
        <v>/mnt/measurements/07_CANape/Mitsubishi/5K45/MMC5.0.2/5K457MG57/SmokeTest/SmokeTest_CPD_TC20.MF4.xz,remove, real child mea available,RadarFC_Master,remove, real child mea available (ncap1,2),CPD,dummy</v>
      </c>
      <c r="L127" s="85" t="s">
        <v>3206</v>
      </c>
      <c r="M127" s="136" t="s">
        <v>69</v>
      </c>
      <c r="N127" s="131" t="s">
        <v>64</v>
      </c>
    </row>
    <row r="128" spans="1:21" s="130" customFormat="1" hidden="1">
      <c r="A128" s="78">
        <v>20</v>
      </c>
      <c r="B128" s="130" t="s">
        <v>38</v>
      </c>
      <c r="C128" s="130" t="s">
        <v>66</v>
      </c>
      <c r="D128" s="97" t="e">
        <f>_xlfn.XLOOKUP(A128,[1]CPD_SOP_new!$A:$A,[1]CPD_SOP_new!#REF!,"not found",0 )</f>
        <v>#REF!</v>
      </c>
      <c r="E128" s="97" t="str">
        <f>_xlfn.XLOOKUP(A128,[1]CPD_SOP_new!$A:$A,[1]CPD_SOP_new!$K:$K,"not found",0 )</f>
        <v>2C</v>
      </c>
      <c r="F128" s="130" t="s">
        <v>27</v>
      </c>
      <c r="G128" s="130" t="s">
        <v>28</v>
      </c>
      <c r="H128" s="130" t="s">
        <v>28</v>
      </c>
      <c r="I128" s="130" t="s">
        <v>27</v>
      </c>
      <c r="J128" s="137" t="s">
        <v>68</v>
      </c>
      <c r="K128" s="85" t="str">
        <f t="shared" si="1"/>
        <v>/mnt/measurements/07_CANape/Mitsubishi/5K45/5.2.0/5K457EG11/SmokeTest/CPD/CSR_XCP_Signals_Recorder_2026-01-12_15-25-03_TC20.MF4.xz,remove, real child mea available,RadarFC_Master,remove, real child mea available (ncap1,2),CPD,dummy</v>
      </c>
      <c r="L128" s="85" t="s">
        <v>3207</v>
      </c>
      <c r="M128" s="136" t="s">
        <v>241</v>
      </c>
      <c r="N128" s="131" t="s">
        <v>41</v>
      </c>
    </row>
    <row r="129" spans="1:14" s="130" customFormat="1" hidden="1">
      <c r="A129" s="78">
        <v>20</v>
      </c>
      <c r="B129" s="130" t="s">
        <v>38</v>
      </c>
      <c r="C129" s="130" t="s">
        <v>66</v>
      </c>
      <c r="D129" s="97" t="e">
        <f>_xlfn.XLOOKUP(A129,[1]CPD_SOP_new!$A:$A,[1]CPD_SOP_new!#REF!,"not found",0 )</f>
        <v>#REF!</v>
      </c>
      <c r="E129" s="97" t="str">
        <f>_xlfn.XLOOKUP(A129,[1]CPD_SOP_new!$A:$A,[1]CPD_SOP_new!$K:$K,"not found",0 )</f>
        <v>2C</v>
      </c>
      <c r="F129" s="130" t="s">
        <v>27</v>
      </c>
      <c r="G129" s="130" t="s">
        <v>28</v>
      </c>
      <c r="H129" s="130" t="s">
        <v>28</v>
      </c>
      <c r="I129" s="130" t="s">
        <v>27</v>
      </c>
      <c r="J129" s="137" t="s">
        <v>68</v>
      </c>
      <c r="K129" s="85" t="str">
        <f t="shared" si="1"/>
        <v>/mnt/measurements/07_CANape/Mitsubishi/5K45/MMC5.1.0/5K457MG47/SmokeTest/CPD_SmokeTest_TS20.MF4.xz,remove, real child mea available,RadarFC_Master,remove, real child mea available (ncap1,2),CPD,dummy</v>
      </c>
      <c r="L129" s="85" t="s">
        <v>3208</v>
      </c>
      <c r="M129" s="130" t="s">
        <v>242</v>
      </c>
      <c r="N129" s="130" t="s">
        <v>130</v>
      </c>
    </row>
    <row r="130" spans="1:14">
      <c r="A130" s="77">
        <v>18</v>
      </c>
      <c r="B130" t="s">
        <v>38</v>
      </c>
      <c r="C130" t="s">
        <v>66</v>
      </c>
      <c r="D130" s="97" t="e">
        <f>_xlfn.XLOOKUP(A130,[1]CPD_SOP_new!$A:$A,[1]CPD_SOP_new!#REF!,"not found",0 )</f>
        <v>#REF!</v>
      </c>
      <c r="E130" s="97" t="str">
        <f>_xlfn.XLOOKUP(A130,[1]CPD_SOP_new!$A:$A,[1]CPD_SOP_new!$K:$K,"not found",0 )</f>
        <v>2R</v>
      </c>
      <c r="F130" t="s">
        <v>28</v>
      </c>
      <c r="G130" t="s">
        <v>28</v>
      </c>
      <c r="H130" t="s">
        <v>28</v>
      </c>
      <c r="I130" t="s">
        <v>28</v>
      </c>
      <c r="J130" t="s">
        <v>29</v>
      </c>
      <c r="K130" s="85" t="str">
        <f t="shared" ref="K130:K193" si="2">N130&amp;"/"&amp;M130&amp;","&amp;IF(J130="ncap3","child",J130)&amp;",RadarFC_Master,"&amp;IF(J130="ncap3","child",J130)&amp;IF(B130="ncap1,2"," ("&amp;B130&amp;")","")&amp;IF(B130="ncap3"," ("&amp;B130&amp;")","")&amp;IF(B130="multiple children"," (ncap1,2)","")&amp;IF(B130="NB awake"," (ncap1,2)","")&amp;",CPD,"&amp;IF(F130="Y","realchild","dummy")</f>
        <v>/mnt/measurements/07_CANape/Mitsubishi/5K45/MMC5.0.0_RC3/Real_Child_Tests/CSR_XCP_Signals_Recorder_2025-12-11_11-16-51_TC18_3YO_2R_CPD.MF4.xz,child,RadarFC_Master,child (ncap1,2),CPD,realchild</v>
      </c>
      <c r="L130" s="85" t="s">
        <v>3209</v>
      </c>
      <c r="M130" t="s">
        <v>220</v>
      </c>
      <c r="N130" s="129" t="s">
        <v>217</v>
      </c>
    </row>
    <row r="131" spans="1:14">
      <c r="A131" s="77">
        <v>18</v>
      </c>
      <c r="B131" t="s">
        <v>38</v>
      </c>
      <c r="C131" t="s">
        <v>66</v>
      </c>
      <c r="D131" s="97" t="e">
        <f>_xlfn.XLOOKUP(A131,[1]CPD_SOP_new!$A:$A,[1]CPD_SOP_new!#REF!,"not found",0 )</f>
        <v>#REF!</v>
      </c>
      <c r="E131" s="97" t="str">
        <f>_xlfn.XLOOKUP(A131,[1]CPD_SOP_new!$A:$A,[1]CPD_SOP_new!$K:$K,"not found",0 )</f>
        <v>2R</v>
      </c>
      <c r="F131" t="s">
        <v>28</v>
      </c>
      <c r="G131" t="s">
        <v>28</v>
      </c>
      <c r="H131" t="s">
        <v>28</v>
      </c>
      <c r="I131" t="s">
        <v>28</v>
      </c>
      <c r="J131" t="s">
        <v>29</v>
      </c>
      <c r="K131" s="85" t="str">
        <f t="shared" si="2"/>
        <v>/mnt/measurements/07_CANape/Mitsubishi/5K45/MMC5.0.0_RC3/Real_Child_Tests/CSR_XCP_Signals_Recorder_2025-12-11_11-18-13_TC18_3YO_2R_CPD.MF4.xz,child,RadarFC_Master,child (ncap1,2),CPD,realchild</v>
      </c>
      <c r="L131" s="85" t="s">
        <v>3210</v>
      </c>
      <c r="M131" t="s">
        <v>221</v>
      </c>
      <c r="N131" s="129" t="s">
        <v>217</v>
      </c>
    </row>
    <row r="132" spans="1:14">
      <c r="A132" s="77">
        <v>18</v>
      </c>
      <c r="B132" t="s">
        <v>38</v>
      </c>
      <c r="C132" t="s">
        <v>66</v>
      </c>
      <c r="D132" s="97" t="e">
        <f>_xlfn.XLOOKUP(A132,[1]CPD_SOP_new!$A:$A,[1]CPD_SOP_new!#REF!,"not found",0 )</f>
        <v>#REF!</v>
      </c>
      <c r="E132" s="97" t="str">
        <f>_xlfn.XLOOKUP(A132,[1]CPD_SOP_new!$A:$A,[1]CPD_SOP_new!$K:$K,"not found",0 )</f>
        <v>2R</v>
      </c>
      <c r="F132" t="s">
        <v>28</v>
      </c>
      <c r="G132" t="s">
        <v>28</v>
      </c>
      <c r="H132" t="s">
        <v>28</v>
      </c>
      <c r="I132" t="s">
        <v>28</v>
      </c>
      <c r="J132" t="s">
        <v>29</v>
      </c>
      <c r="K132" s="85" t="str">
        <f t="shared" si="2"/>
        <v>/mnt/measurements/07_CANape/Mitsubishi/5K45/MMC5.0.0_RC3/Real_Child_Tests/CSR_XCP_Signals_Recorder_2025-12-11_11-19-38_TC18_3YO_2R_CPD.MF4.xz,child,RadarFC_Master,child (ncap1,2),CPD,realchild</v>
      </c>
      <c r="L132" s="85" t="s">
        <v>3211</v>
      </c>
      <c r="M132" t="s">
        <v>222</v>
      </c>
      <c r="N132" s="129" t="s">
        <v>217</v>
      </c>
    </row>
    <row r="133" spans="1:14">
      <c r="A133" s="77">
        <v>19</v>
      </c>
      <c r="B133" t="s">
        <v>38</v>
      </c>
      <c r="C133" t="s">
        <v>66</v>
      </c>
      <c r="D133" s="97" t="e">
        <f>_xlfn.XLOOKUP(A133,[1]CPD_SOP_new!$A:$A,[1]CPD_SOP_new!#REF!,"not found",0 )</f>
        <v>#REF!</v>
      </c>
      <c r="E133" s="97" t="str">
        <f>_xlfn.XLOOKUP(A133,[1]CPD_SOP_new!$A:$A,[1]CPD_SOP_new!$K:$K,"not found",0 )</f>
        <v>2L</v>
      </c>
      <c r="F133" t="s">
        <v>27</v>
      </c>
      <c r="G133" t="s">
        <v>28</v>
      </c>
      <c r="H133" t="s">
        <v>28</v>
      </c>
      <c r="I133" t="s">
        <v>28</v>
      </c>
      <c r="J133" t="s">
        <v>29</v>
      </c>
      <c r="K133" s="85" t="str">
        <f t="shared" si="2"/>
        <v>/mnt/measurements/07_CANape/Mitsubishi/5K45/MMC4.1.2/Validation/2025_11_29/child/part1/Awake/TC_19_Try3.MF4.xz/TC_19_Try1.MF4.xz,child,RadarFC_Master,child (ncap1,2),CPD,dummy</v>
      </c>
      <c r="L133" s="85" t="s">
        <v>3212</v>
      </c>
      <c r="M133" t="s">
        <v>223</v>
      </c>
      <c r="N133" s="129" t="s">
        <v>2236</v>
      </c>
    </row>
    <row r="134" spans="1:14">
      <c r="A134" s="77">
        <v>19</v>
      </c>
      <c r="B134" t="s">
        <v>38</v>
      </c>
      <c r="C134" t="s">
        <v>66</v>
      </c>
      <c r="D134" s="97" t="e">
        <f>_xlfn.XLOOKUP(A134,[1]CPD_SOP_new!$A:$A,[1]CPD_SOP_new!#REF!,"not found",0 )</f>
        <v>#REF!</v>
      </c>
      <c r="E134" s="97" t="str">
        <f>_xlfn.XLOOKUP(A134,[1]CPD_SOP_new!$A:$A,[1]CPD_SOP_new!$K:$K,"not found",0 )</f>
        <v>2L</v>
      </c>
      <c r="F134" t="s">
        <v>27</v>
      </c>
      <c r="G134" t="s">
        <v>28</v>
      </c>
      <c r="H134" t="s">
        <v>28</v>
      </c>
      <c r="I134" t="s">
        <v>28</v>
      </c>
      <c r="J134" t="s">
        <v>29</v>
      </c>
      <c r="K134" s="85" t="str">
        <f t="shared" si="2"/>
        <v>/mnt/measurements/07_CANape/Mitsubishi/5K45/MMC4.1.2/Validation/2025_11_29/child/part1/Awake/TC_19_Try3.MF4.xz/TC_19_Try2.MF4.xz,child,RadarFC_Master,child (ncap1,2),CPD,dummy</v>
      </c>
      <c r="L134" s="85" t="s">
        <v>3213</v>
      </c>
      <c r="M134" s="60" t="s">
        <v>226</v>
      </c>
      <c r="N134" s="129" t="s">
        <v>2236</v>
      </c>
    </row>
    <row r="135" spans="1:14">
      <c r="A135" s="77">
        <v>19</v>
      </c>
      <c r="B135" t="s">
        <v>38</v>
      </c>
      <c r="C135" t="s">
        <v>66</v>
      </c>
      <c r="D135" s="97" t="e">
        <f>_xlfn.XLOOKUP(A135,[1]CPD_SOP_new!$A:$A,[1]CPD_SOP_new!#REF!,"not found",0 )</f>
        <v>#REF!</v>
      </c>
      <c r="E135" s="97" t="str">
        <f>_xlfn.XLOOKUP(A135,[1]CPD_SOP_new!$A:$A,[1]CPD_SOP_new!$K:$K,"not found",0 )</f>
        <v>2L</v>
      </c>
      <c r="F135" t="s">
        <v>27</v>
      </c>
      <c r="G135" t="s">
        <v>28</v>
      </c>
      <c r="H135" t="s">
        <v>28</v>
      </c>
      <c r="I135" t="s">
        <v>28</v>
      </c>
      <c r="J135" t="s">
        <v>29</v>
      </c>
      <c r="K135" s="85" t="str">
        <f t="shared" si="2"/>
        <v>/mnt/measurements/07_CANape/Mitsubishi/5K45/MMC4.1.2/Validation/2025_11_29/child/part1/Awake/TC_19_Try3.MF4.xz/TC_19_Try3.MF4.xz,child,RadarFC_Master,child (ncap1,2),CPD,dummy</v>
      </c>
      <c r="L135" s="85" t="s">
        <v>3214</v>
      </c>
      <c r="M135" s="60" t="s">
        <v>227</v>
      </c>
      <c r="N135" s="129" t="s">
        <v>2236</v>
      </c>
    </row>
    <row r="136" spans="1:14">
      <c r="A136" s="77">
        <v>20</v>
      </c>
      <c r="B136" t="s">
        <v>38</v>
      </c>
      <c r="C136" t="s">
        <v>66</v>
      </c>
      <c r="D136" s="97" t="e">
        <f>_xlfn.XLOOKUP(A136,[1]CPD_SOP_new!$A:$A,[1]CPD_SOP_new!#REF!,"not found",0 )</f>
        <v>#REF!</v>
      </c>
      <c r="E136" s="97" t="str">
        <f>_xlfn.XLOOKUP(A136,[1]CPD_SOP_new!$A:$A,[1]CPD_SOP_new!$K:$K,"not found",0 )</f>
        <v>2C</v>
      </c>
      <c r="F136" t="s">
        <v>28</v>
      </c>
      <c r="G136" t="s">
        <v>28</v>
      </c>
      <c r="H136" t="s">
        <v>28</v>
      </c>
      <c r="I136" t="s">
        <v>28</v>
      </c>
      <c r="J136" t="s">
        <v>29</v>
      </c>
      <c r="K136" s="85" t="str">
        <f t="shared" si="2"/>
        <v>/mnt/measurements/07_CANape/Mitsubishi/5K45/MMC5.0.0_RC3/Real_Child_Tests/CSR_XCP_Signals_Recorder_2025-12-11_11-27-04_TC20_3YO_2M_CPD.MF4.xz,child,RadarFC_Master,child (ncap1,2),CPD,realchild</v>
      </c>
      <c r="L136" s="85" t="s">
        <v>3215</v>
      </c>
      <c r="M136" s="60" t="s">
        <v>228</v>
      </c>
      <c r="N136" s="129" t="s">
        <v>217</v>
      </c>
    </row>
    <row r="137" spans="1:14">
      <c r="A137" s="77">
        <v>20</v>
      </c>
      <c r="B137" t="s">
        <v>38</v>
      </c>
      <c r="C137" t="s">
        <v>66</v>
      </c>
      <c r="D137" s="97" t="e">
        <f>_xlfn.XLOOKUP(A137,[1]CPD_SOP_new!$A:$A,[1]CPD_SOP_new!#REF!,"not found",0 )</f>
        <v>#REF!</v>
      </c>
      <c r="E137" s="97" t="str">
        <f>_xlfn.XLOOKUP(A137,[1]CPD_SOP_new!$A:$A,[1]CPD_SOP_new!$K:$K,"not found",0 )</f>
        <v>2C</v>
      </c>
      <c r="F137" t="s">
        <v>28</v>
      </c>
      <c r="G137" t="s">
        <v>28</v>
      </c>
      <c r="H137" t="s">
        <v>28</v>
      </c>
      <c r="I137" t="s">
        <v>28</v>
      </c>
      <c r="J137" t="s">
        <v>29</v>
      </c>
      <c r="K137" s="85" t="str">
        <f t="shared" si="2"/>
        <v>/mnt/measurements/07_CANape/Mitsubishi/5K45/MMC5.0.0_RC3/Real_Child_Tests/CSR_XCP_Signals_Recorder_2025-12-11_11-28-02_TC20_3YO_2M_CPD.MF4.xz,child,RadarFC_Master,child (ncap1,2),CPD,realchild</v>
      </c>
      <c r="L137" s="85" t="s">
        <v>3216</v>
      </c>
      <c r="M137" t="s">
        <v>230</v>
      </c>
      <c r="N137" s="129" t="s">
        <v>217</v>
      </c>
    </row>
    <row r="138" spans="1:14">
      <c r="A138" s="77">
        <v>20</v>
      </c>
      <c r="B138" t="s">
        <v>38</v>
      </c>
      <c r="C138" t="s">
        <v>66</v>
      </c>
      <c r="D138" s="97" t="e">
        <f>_xlfn.XLOOKUP(A138,[1]CPD_SOP_new!$A:$A,[1]CPD_SOP_new!#REF!,"not found",0 )</f>
        <v>#REF!</v>
      </c>
      <c r="E138" s="97" t="str">
        <f>_xlfn.XLOOKUP(A138,[1]CPD_SOP_new!$A:$A,[1]CPD_SOP_new!$K:$K,"not found",0 )</f>
        <v>2C</v>
      </c>
      <c r="F138" t="s">
        <v>28</v>
      </c>
      <c r="G138" t="s">
        <v>28</v>
      </c>
      <c r="H138" t="s">
        <v>28</v>
      </c>
      <c r="I138" t="s">
        <v>28</v>
      </c>
      <c r="J138" t="s">
        <v>29</v>
      </c>
      <c r="K138" s="85" t="str">
        <f t="shared" si="2"/>
        <v>/mnt/measurements/07_CANape/Mitsubishi/5K45/MMC5.0.0_RC3/Real_Child_Tests/CSR_XCP_Signals_Recorder_2025-12-11_11-29-44_TC20_3YO_2M_CPD.MF4.xz,child,RadarFC_Master,child (ncap1,2),CPD,realchild</v>
      </c>
      <c r="L138" s="85" t="s">
        <v>3217</v>
      </c>
      <c r="M138" t="s">
        <v>232</v>
      </c>
      <c r="N138" s="129" t="s">
        <v>217</v>
      </c>
    </row>
    <row r="139" spans="1:14">
      <c r="A139" s="77">
        <v>20</v>
      </c>
      <c r="B139" t="s">
        <v>38</v>
      </c>
      <c r="C139" t="s">
        <v>66</v>
      </c>
      <c r="D139" s="97" t="e">
        <f>_xlfn.XLOOKUP(A139,[1]CPD_SOP_new!$A:$A,[1]CPD_SOP_new!#REF!,"not found",0 )</f>
        <v>#REF!</v>
      </c>
      <c r="E139" s="97" t="str">
        <f>_xlfn.XLOOKUP(A139,[1]CPD_SOP_new!$A:$A,[1]CPD_SOP_new!$K:$K,"not found",0 )</f>
        <v>2C</v>
      </c>
      <c r="F139" t="s">
        <v>28</v>
      </c>
      <c r="G139" t="s">
        <v>28</v>
      </c>
      <c r="H139" t="s">
        <v>28</v>
      </c>
      <c r="I139" t="s">
        <v>28</v>
      </c>
      <c r="J139" t="s">
        <v>29</v>
      </c>
      <c r="K139" s="85" t="str">
        <f t="shared" si="2"/>
        <v>/mnt/measurements/07_CANape/Mitsubishi/5K45/MMC5.0.0_RC3/Real_Child_Tests/CSR_XCP_Signals_Recorder_2025-12-11_11-30-35_TC20_3YO_2M_CPD.MF4.xz,child,RadarFC_Master,child (ncap1,2),CPD,realchild</v>
      </c>
      <c r="L139" s="85" t="s">
        <v>3218</v>
      </c>
      <c r="M139" t="s">
        <v>233</v>
      </c>
      <c r="N139" s="129" t="s">
        <v>217</v>
      </c>
    </row>
    <row r="140" spans="1:14">
      <c r="A140" s="77">
        <v>21</v>
      </c>
      <c r="B140" t="s">
        <v>38</v>
      </c>
      <c r="C140" t="s">
        <v>66</v>
      </c>
      <c r="D140" s="97" t="e">
        <f>_xlfn.XLOOKUP(A140,[1]CPD_SOP_new!$A:$A,[1]CPD_SOP_new!#REF!,"not found",0 )</f>
        <v>#REF!</v>
      </c>
      <c r="E140" s="97" t="str">
        <f>_xlfn.XLOOKUP(A140,[1]CPD_SOP_new!$A:$A,[1]CPD_SOP_new!$K:$K,"not found",0 )</f>
        <v>3R</v>
      </c>
      <c r="F140" t="s">
        <v>27</v>
      </c>
      <c r="G140" t="s">
        <v>28</v>
      </c>
      <c r="H140" t="s">
        <v>28</v>
      </c>
      <c r="I140" t="s">
        <v>28</v>
      </c>
      <c r="J140" t="s">
        <v>29</v>
      </c>
      <c r="K140" s="85" t="str">
        <f t="shared" si="2"/>
        <v>/mnt/measurements/07_CANape/Mitsubishi/5K45/MMC4.1.2/Validation/2025_11_29/child/part2/Awake//TC_21_Try1.MF4.xz,child,RadarFC_Master,child (ncap1,2),CPD,dummy</v>
      </c>
      <c r="L140" s="85" t="s">
        <v>3219</v>
      </c>
      <c r="M140" s="60" t="s">
        <v>243</v>
      </c>
      <c r="N140" s="129" t="s">
        <v>244</v>
      </c>
    </row>
    <row r="141" spans="1:14">
      <c r="A141" s="77">
        <v>21</v>
      </c>
      <c r="B141" t="s">
        <v>38</v>
      </c>
      <c r="C141" t="s">
        <v>66</v>
      </c>
      <c r="D141" s="97" t="e">
        <f>_xlfn.XLOOKUP(A141,[1]CPD_SOP_new!$A:$A,[1]CPD_SOP_new!#REF!,"not found",0 )</f>
        <v>#REF!</v>
      </c>
      <c r="E141" s="97" t="str">
        <f>_xlfn.XLOOKUP(A141,[1]CPD_SOP_new!$A:$A,[1]CPD_SOP_new!$K:$K,"not found",0 )</f>
        <v>3R</v>
      </c>
      <c r="F141" t="s">
        <v>27</v>
      </c>
      <c r="G141" t="s">
        <v>28</v>
      </c>
      <c r="H141" t="s">
        <v>28</v>
      </c>
      <c r="I141" t="s">
        <v>28</v>
      </c>
      <c r="J141" t="s">
        <v>29</v>
      </c>
      <c r="K141" s="85" t="str">
        <f t="shared" si="2"/>
        <v>/mnt/measurements/07_CANape/Mitsubishi/5K45/MMC4.1.2/Validation/2025_11_29/child/part2/Awake//TC_21_Try2.MF4.xz,child,RadarFC_Master,child (ncap1,2),CPD,dummy</v>
      </c>
      <c r="L141" s="85" t="s">
        <v>3220</v>
      </c>
      <c r="M141" s="60" t="s">
        <v>246</v>
      </c>
      <c r="N141" s="129" t="s">
        <v>244</v>
      </c>
    </row>
    <row r="142" spans="1:14">
      <c r="A142" s="77">
        <v>21</v>
      </c>
      <c r="B142" t="s">
        <v>38</v>
      </c>
      <c r="C142" t="s">
        <v>66</v>
      </c>
      <c r="D142" s="97" t="e">
        <f>_xlfn.XLOOKUP(A142,[1]CPD_SOP_new!$A:$A,[1]CPD_SOP_new!#REF!,"not found",0 )</f>
        <v>#REF!</v>
      </c>
      <c r="E142" s="97" t="str">
        <f>_xlfn.XLOOKUP(A142,[1]CPD_SOP_new!$A:$A,[1]CPD_SOP_new!$K:$K,"not found",0 )</f>
        <v>3R</v>
      </c>
      <c r="F142" t="s">
        <v>27</v>
      </c>
      <c r="G142" t="s">
        <v>28</v>
      </c>
      <c r="H142" t="s">
        <v>28</v>
      </c>
      <c r="I142" t="s">
        <v>28</v>
      </c>
      <c r="J142" t="s">
        <v>29</v>
      </c>
      <c r="K142" s="85" t="str">
        <f t="shared" si="2"/>
        <v>/mnt/measurements/07_CANape/Mitsubishi/5K45/MMC4.1.2/Validation/2025_11_29/child/part2/Awake//TC_21_Try3.MF4.xz,child,RadarFC_Master,child (ncap1,2),CPD,dummy</v>
      </c>
      <c r="L142" s="85" t="s">
        <v>3221</v>
      </c>
      <c r="M142" s="60" t="s">
        <v>247</v>
      </c>
      <c r="N142" s="129" t="s">
        <v>244</v>
      </c>
    </row>
    <row r="143" spans="1:14">
      <c r="A143" s="77">
        <v>22</v>
      </c>
      <c r="B143" t="s">
        <v>38</v>
      </c>
      <c r="C143" t="s">
        <v>66</v>
      </c>
      <c r="D143" s="97" t="e">
        <f>_xlfn.XLOOKUP(A143,[1]CPD_SOP_new!$A:$A,[1]CPD_SOP_new!#REF!,"not found",0 )</f>
        <v>#REF!</v>
      </c>
      <c r="E143" s="97" t="str">
        <f>_xlfn.XLOOKUP(A143,[1]CPD_SOP_new!$A:$A,[1]CPD_SOP_new!$K:$K,"not found",0 )</f>
        <v>3L</v>
      </c>
      <c r="F143" t="s">
        <v>28</v>
      </c>
      <c r="G143" t="s">
        <v>28</v>
      </c>
      <c r="H143" t="s">
        <v>28</v>
      </c>
      <c r="I143" t="s">
        <v>28</v>
      </c>
      <c r="J143" t="s">
        <v>29</v>
      </c>
      <c r="K143" s="85" t="str">
        <f t="shared" si="2"/>
        <v>/mnt/measurements/07_CANape/Mitsubishi/5K45/MMC5.0.0_RC3/Real_Child_Tests/CSR_XCP_Signals_Recorder_2025-12-11_11-38-48_TC22_3YO_3L_CPD.MF4.xz,child,RadarFC_Master,child (ncap1,2),CPD,realchild</v>
      </c>
      <c r="L143" s="85" t="s">
        <v>3222</v>
      </c>
      <c r="M143" s="60" t="s">
        <v>248</v>
      </c>
      <c r="N143" s="129" t="s">
        <v>217</v>
      </c>
    </row>
    <row r="144" spans="1:14" s="130" customFormat="1" hidden="1">
      <c r="A144" s="78">
        <v>23</v>
      </c>
      <c r="B144" s="130" t="s">
        <v>38</v>
      </c>
      <c r="C144" s="130" t="s">
        <v>253</v>
      </c>
      <c r="D144" s="97" t="e">
        <f>_xlfn.XLOOKUP(A144,[1]CPD_SOP_new!$A:$A,[1]CPD_SOP_new!#REF!,"not found",0 )</f>
        <v>#REF!</v>
      </c>
      <c r="E144" s="97" t="s">
        <v>26</v>
      </c>
      <c r="F144" s="130" t="s">
        <v>28</v>
      </c>
      <c r="G144" s="130" t="s">
        <v>28</v>
      </c>
      <c r="H144" s="130" t="s">
        <v>28</v>
      </c>
      <c r="I144" s="130" t="s">
        <v>27</v>
      </c>
      <c r="J144" s="137" t="s">
        <v>262</v>
      </c>
      <c r="K144" s="85" t="str">
        <f t="shared" si="2"/>
        <v>/mnt/measurements/07_CANape/Mitsubishi/5K45/MMC5.0.0_RC3/Real_Child_Tests/CSR_XCP_Signals_Recorder_2025-12-10_10-26-20_TC23_6YOPS_CPD.MF4.xz,file error,RadarFC_Master,file error (ncap1,2),CPD,realchild</v>
      </c>
      <c r="L144" s="85" t="s">
        <v>3223</v>
      </c>
      <c r="M144" s="61" t="s">
        <v>263</v>
      </c>
      <c r="N144" s="131" t="s">
        <v>217</v>
      </c>
    </row>
    <row r="145" spans="1:14" s="130" customFormat="1" hidden="1">
      <c r="A145" s="78">
        <v>23</v>
      </c>
      <c r="B145" s="130" t="s">
        <v>38</v>
      </c>
      <c r="C145" s="130" t="s">
        <v>253</v>
      </c>
      <c r="D145" s="97" t="e">
        <f>_xlfn.XLOOKUP(A145,[1]CPD_SOP_new!$A:$A,[1]CPD_SOP_new!#REF!,"not found",0 )</f>
        <v>#REF!</v>
      </c>
      <c r="E145" s="97" t="s">
        <v>26</v>
      </c>
      <c r="F145" s="130" t="s">
        <v>27</v>
      </c>
      <c r="G145" s="130" t="s">
        <v>28</v>
      </c>
      <c r="H145" s="130" t="s">
        <v>28</v>
      </c>
      <c r="I145" s="130" t="s">
        <v>27</v>
      </c>
      <c r="J145" s="137" t="s">
        <v>68</v>
      </c>
      <c r="K145" s="85" t="str">
        <f t="shared" si="2"/>
        <v>/mnt/measurements/07_CANape/Mitsubishi/5K45/MMC5.1.0/5K457EG11/CSR_XCP_Signals_Recorder_2025-12-19_10-49-48_TC23_CPD.MF4.xz,remove, real child mea available,RadarFC_Master,remove, real child mea available (ncap1,2),CPD,dummy</v>
      </c>
      <c r="L145" s="85" t="s">
        <v>3224</v>
      </c>
      <c r="M145" s="62" t="s">
        <v>264</v>
      </c>
      <c r="N145" s="131" t="s">
        <v>202</v>
      </c>
    </row>
    <row r="146" spans="1:14" s="130" customFormat="1" hidden="1">
      <c r="A146" s="78">
        <v>23</v>
      </c>
      <c r="B146" s="130" t="s">
        <v>38</v>
      </c>
      <c r="C146" s="130" t="s">
        <v>253</v>
      </c>
      <c r="D146" s="97" t="e">
        <f>_xlfn.XLOOKUP(A146,[1]CPD_SOP_new!$A:$A,[1]CPD_SOP_new!#REF!,"not found",0 )</f>
        <v>#REF!</v>
      </c>
      <c r="E146" s="97" t="s">
        <v>26</v>
      </c>
      <c r="F146" s="130" t="s">
        <v>27</v>
      </c>
      <c r="G146" s="130" t="s">
        <v>28</v>
      </c>
      <c r="H146" s="130" t="s">
        <v>28</v>
      </c>
      <c r="I146" s="130" t="s">
        <v>27</v>
      </c>
      <c r="J146" s="137" t="s">
        <v>68</v>
      </c>
      <c r="K146" s="85" t="str">
        <f t="shared" si="2"/>
        <v>/mnt/measurements/07_CANape/Mitsubishi/5K45/MMC5.1.0/5K457EG11/CSR_XCP_Signals_Recorder_2025-12-19_10-50-56_TC23_CPD.MF4.xz,remove, real child mea available,RadarFC_Master,remove, real child mea available (ncap1,2),CPD,dummy</v>
      </c>
      <c r="L146" s="85" t="s">
        <v>3225</v>
      </c>
      <c r="M146" s="62" t="s">
        <v>265</v>
      </c>
      <c r="N146" s="131" t="s">
        <v>202</v>
      </c>
    </row>
    <row r="147" spans="1:14" s="130" customFormat="1" hidden="1">
      <c r="A147" s="78">
        <v>23</v>
      </c>
      <c r="B147" s="130" t="s">
        <v>38</v>
      </c>
      <c r="C147" s="130" t="s">
        <v>253</v>
      </c>
      <c r="D147" s="97" t="e">
        <f>_xlfn.XLOOKUP(A147,[1]CPD_SOP_new!$A:$A,[1]CPD_SOP_new!#REF!,"not found",0 )</f>
        <v>#REF!</v>
      </c>
      <c r="E147" s="97" t="s">
        <v>26</v>
      </c>
      <c r="F147" s="130" t="s">
        <v>27</v>
      </c>
      <c r="G147" s="130" t="s">
        <v>28</v>
      </c>
      <c r="H147" s="130" t="s">
        <v>28</v>
      </c>
      <c r="I147" s="130" t="s">
        <v>27</v>
      </c>
      <c r="J147" s="137" t="s">
        <v>68</v>
      </c>
      <c r="K147" s="85" t="str">
        <f t="shared" si="2"/>
        <v>/mnt/measurements/07_CANape/Mitsubishi/5K45/MMC5.1.0/5K457EG11/CSR_XCP_Signals_Recorder_2025-12-19_10-52-04_TC23_CPD.MF4.xz,remove, real child mea available,RadarFC_Master,remove, real child mea available (ncap1,2),CPD,dummy</v>
      </c>
      <c r="L147" s="85" t="s">
        <v>3226</v>
      </c>
      <c r="M147" s="136" t="s">
        <v>266</v>
      </c>
      <c r="N147" s="131" t="s">
        <v>202</v>
      </c>
    </row>
    <row r="148" spans="1:14">
      <c r="A148" s="77">
        <v>22</v>
      </c>
      <c r="B148" t="s">
        <v>38</v>
      </c>
      <c r="C148" t="s">
        <v>66</v>
      </c>
      <c r="D148" s="97" t="e">
        <f>_xlfn.XLOOKUP(A148,[1]CPD_SOP_new!$A:$A,[1]CPD_SOP_new!#REF!,"not found",0 )</f>
        <v>#REF!</v>
      </c>
      <c r="E148" s="97" t="str">
        <f>_xlfn.XLOOKUP(A148,[1]CPD_SOP_new!$A:$A,[1]CPD_SOP_new!$K:$K,"not found",0 )</f>
        <v>3L</v>
      </c>
      <c r="F148" t="s">
        <v>28</v>
      </c>
      <c r="G148" t="s">
        <v>28</v>
      </c>
      <c r="H148" t="s">
        <v>28</v>
      </c>
      <c r="I148" t="s">
        <v>28</v>
      </c>
      <c r="J148" t="s">
        <v>29</v>
      </c>
      <c r="K148" s="85" t="str">
        <f t="shared" si="2"/>
        <v>/mnt/measurements/07_CANape/Mitsubishi/5K45/MMC5.0.0_RC3/Real_Child_Tests/CSR_XCP_Signals_Recorder_2025-12-11_11-39-36_TC22_3YO_3L_CPD.MF4.xz,child,RadarFC_Master,child (ncap1,2),CPD,realchild</v>
      </c>
      <c r="L148" s="85" t="s">
        <v>3227</v>
      </c>
      <c r="M148" t="s">
        <v>250</v>
      </c>
      <c r="N148" s="129" t="s">
        <v>217</v>
      </c>
    </row>
    <row r="149" spans="1:14">
      <c r="A149" s="77">
        <v>22</v>
      </c>
      <c r="B149" t="s">
        <v>38</v>
      </c>
      <c r="C149" t="s">
        <v>66</v>
      </c>
      <c r="D149" s="97" t="e">
        <f>_xlfn.XLOOKUP(A149,[1]CPD_SOP_new!$A:$A,[1]CPD_SOP_new!#REF!,"not found",0 )</f>
        <v>#REF!</v>
      </c>
      <c r="E149" s="97" t="str">
        <f>_xlfn.XLOOKUP(A149,[1]CPD_SOP_new!$A:$A,[1]CPD_SOP_new!$K:$K,"not found",0 )</f>
        <v>3L</v>
      </c>
      <c r="F149" t="s">
        <v>28</v>
      </c>
      <c r="G149" t="s">
        <v>28</v>
      </c>
      <c r="H149" t="s">
        <v>28</v>
      </c>
      <c r="I149" t="s">
        <v>28</v>
      </c>
      <c r="J149" t="s">
        <v>29</v>
      </c>
      <c r="K149" s="85" t="str">
        <f t="shared" si="2"/>
        <v>/mnt/measurements/07_CANape/Mitsubishi/5K45/MMC5.0.0_RC3/Real_Child_Tests/CSR_XCP_Signals_Recorder_2025-12-11_11-40-24_TC22_3YO_3L_CPD.MF4.xz,child,RadarFC_Master,child (ncap1,2),CPD,realchild</v>
      </c>
      <c r="L149" s="85" t="s">
        <v>3228</v>
      </c>
      <c r="M149" t="s">
        <v>251</v>
      </c>
      <c r="N149" s="129" t="s">
        <v>217</v>
      </c>
    </row>
    <row r="150" spans="1:14">
      <c r="A150" s="77">
        <v>22</v>
      </c>
      <c r="B150" t="s">
        <v>38</v>
      </c>
      <c r="C150" t="s">
        <v>66</v>
      </c>
      <c r="D150" s="97" t="e">
        <f>_xlfn.XLOOKUP(A150,[1]CPD_SOP_new!$A:$A,[1]CPD_SOP_new!#REF!,"not found",0 )</f>
        <v>#REF!</v>
      </c>
      <c r="E150" s="97" t="str">
        <f>_xlfn.XLOOKUP(A150,[1]CPD_SOP_new!$A:$A,[1]CPD_SOP_new!$K:$K,"not found",0 )</f>
        <v>3L</v>
      </c>
      <c r="F150" t="s">
        <v>28</v>
      </c>
      <c r="G150" t="s">
        <v>28</v>
      </c>
      <c r="H150" t="s">
        <v>28</v>
      </c>
      <c r="I150" t="s">
        <v>28</v>
      </c>
      <c r="J150" t="s">
        <v>29</v>
      </c>
      <c r="K150" s="85" t="str">
        <f t="shared" si="2"/>
        <v>/mnt/measurements/07_CANape/Mitsubishi/5K45/MMC5.0.0_RC3/Real_Child_Tests/CSR_XCP_Signals_Recorder_2025-12-11_11-41-12_TC22_3YO_3L_CPD.MF4.xz,child,RadarFC_Master,child (ncap1,2),CPD,realchild</v>
      </c>
      <c r="L150" s="85" t="s">
        <v>3229</v>
      </c>
      <c r="M150" t="s">
        <v>252</v>
      </c>
      <c r="N150" s="129" t="s">
        <v>217</v>
      </c>
    </row>
    <row r="151" spans="1:14">
      <c r="A151" s="77">
        <v>22</v>
      </c>
      <c r="B151" t="s">
        <v>38</v>
      </c>
      <c r="C151" t="s">
        <v>253</v>
      </c>
      <c r="D151" s="97" t="e">
        <f>_xlfn.XLOOKUP(A151,[1]CPD_SOP_new!$A:$A,[1]CPD_SOP_new!#REF!,"not found",0 )</f>
        <v>#REF!</v>
      </c>
      <c r="E151" s="97" t="str">
        <f>_xlfn.XLOOKUP(A151,[1]CPD_SOP_new!$A:$A,[1]CPD_SOP_new!$K:$K,"not found",0 )</f>
        <v>3L</v>
      </c>
      <c r="F151" t="s">
        <v>28</v>
      </c>
      <c r="G151" t="s">
        <v>28</v>
      </c>
      <c r="H151" t="s">
        <v>28</v>
      </c>
      <c r="I151" t="s">
        <v>28</v>
      </c>
      <c r="J151" t="s">
        <v>29</v>
      </c>
      <c r="K151" s="85" t="str">
        <f t="shared" si="2"/>
        <v>/mnt/measurements/07_CANape/Mitsubishi/5K45/MMC5.0.0_RC3/Real_Child_Tests/CSR_XCP_Signals_Recorder_2025-12-11_11-42-00_TC22_3YO_3L_CPD.MF4.xz,child,RadarFC_Master,child (ncap1,2),CPD,realchild</v>
      </c>
      <c r="L151" s="85" t="s">
        <v>3230</v>
      </c>
      <c r="M151" t="s">
        <v>254</v>
      </c>
      <c r="N151" s="129" t="s">
        <v>217</v>
      </c>
    </row>
    <row r="152" spans="1:14">
      <c r="A152" s="77">
        <v>23</v>
      </c>
      <c r="B152" t="s">
        <v>38</v>
      </c>
      <c r="C152" t="s">
        <v>253</v>
      </c>
      <c r="D152" s="97" t="e">
        <f>_xlfn.XLOOKUP(A152,[1]CPD_SOP_new!$A:$A,[1]CPD_SOP_new!#REF!,"not found",0 )</f>
        <v>#REF!</v>
      </c>
      <c r="E152" s="97" t="s">
        <v>26</v>
      </c>
      <c r="F152" t="s">
        <v>28</v>
      </c>
      <c r="G152" t="s">
        <v>28</v>
      </c>
      <c r="H152" t="s">
        <v>28</v>
      </c>
      <c r="I152" t="s">
        <v>28</v>
      </c>
      <c r="J152" t="s">
        <v>29</v>
      </c>
      <c r="K152" s="85" t="str">
        <f t="shared" si="2"/>
        <v>/mnt/measurements/07_CANape/Mitsubishi/5K45/MMC5.0.0_RC3/Real_Child_Tests/CSR_XCP_Signals_Recorder_2025-12-10_10-07-16_TC23_6YOPS_CPD.MF4.xz,child,RadarFC_Master,child (ncap1,2),CPD,realchild</v>
      </c>
      <c r="L152" s="85" t="s">
        <v>3231</v>
      </c>
      <c r="M152" s="60" t="s">
        <v>255</v>
      </c>
      <c r="N152" s="129" t="s">
        <v>217</v>
      </c>
    </row>
    <row r="153" spans="1:14">
      <c r="A153" s="77">
        <v>23</v>
      </c>
      <c r="B153" t="s">
        <v>38</v>
      </c>
      <c r="C153" t="s">
        <v>253</v>
      </c>
      <c r="D153" s="97" t="e">
        <f>_xlfn.XLOOKUP(A153,[1]CPD_SOP_new!$A:$A,[1]CPD_SOP_new!#REF!,"not found",0 )</f>
        <v>#REF!</v>
      </c>
      <c r="E153" s="97" t="s">
        <v>26</v>
      </c>
      <c r="F153" t="s">
        <v>28</v>
      </c>
      <c r="G153" t="s">
        <v>28</v>
      </c>
      <c r="H153" t="s">
        <v>28</v>
      </c>
      <c r="I153" t="s">
        <v>28</v>
      </c>
      <c r="J153" t="s">
        <v>29</v>
      </c>
      <c r="K153" s="85" t="str">
        <f t="shared" si="2"/>
        <v>/mnt/measurements/07_CANape/Mitsubishi/5K45/MMC5.0.0_RC3/Real_Child_Tests/CSR_XCP_Signals_Recorder_2025-12-10_10-08-48_TC23_6YOPS_CPD.MF4.xz,child,RadarFC_Master,child (ncap1,2),CPD,realchild</v>
      </c>
      <c r="L153" s="85" t="s">
        <v>3232</v>
      </c>
      <c r="M153" s="60" t="s">
        <v>257</v>
      </c>
      <c r="N153" s="129" t="s">
        <v>217</v>
      </c>
    </row>
    <row r="154" spans="1:14" s="130" customFormat="1" hidden="1">
      <c r="A154" s="78">
        <v>24</v>
      </c>
      <c r="B154" s="130" t="s">
        <v>38</v>
      </c>
      <c r="C154" s="130" t="s">
        <v>253</v>
      </c>
      <c r="D154" s="97" t="e">
        <f>_xlfn.XLOOKUP(A154,[1]CPD_SOP_new!$A:$A,[1]CPD_SOP_new!#REF!,"not found",0 )</f>
        <v>#REF!</v>
      </c>
      <c r="E154" s="97" t="str">
        <f>_xlfn.XLOOKUP(A154,[1]CPD_SOP_new!$A:$A,[1]CPD_SOP_new!$K:$K,"not found",0 )</f>
        <v>2R</v>
      </c>
      <c r="F154" s="130" t="s">
        <v>27</v>
      </c>
      <c r="G154" s="130" t="s">
        <v>28</v>
      </c>
      <c r="H154" s="130" t="s">
        <v>28</v>
      </c>
      <c r="I154" s="130" t="s">
        <v>27</v>
      </c>
      <c r="J154" s="137" t="s">
        <v>68</v>
      </c>
      <c r="K154" s="85" t="str">
        <f t="shared" si="2"/>
        <v>/mnt/measurements/07_CANape/Mitsubishi/5K45/MMC4.1.2/Validation/2025_11_29/child/part2/Sleep//TC_24_Try1.MF4.xz,remove, real child mea available,RadarFC_Master,remove, real child mea available (ncap1,2),CPD,dummy</v>
      </c>
      <c r="L154" s="85" t="s">
        <v>3233</v>
      </c>
      <c r="M154" s="61" t="s">
        <v>280</v>
      </c>
      <c r="N154" s="131" t="s">
        <v>281</v>
      </c>
    </row>
    <row r="155" spans="1:14" s="130" customFormat="1" hidden="1">
      <c r="A155" s="78">
        <v>24</v>
      </c>
      <c r="B155" s="130" t="s">
        <v>38</v>
      </c>
      <c r="C155" s="130" t="s">
        <v>253</v>
      </c>
      <c r="D155" s="97" t="e">
        <f>_xlfn.XLOOKUP(A155,[1]CPD_SOP_new!$A:$A,[1]CPD_SOP_new!#REF!,"not found",0 )</f>
        <v>#REF!</v>
      </c>
      <c r="E155" s="97" t="str">
        <f>_xlfn.XLOOKUP(A155,[1]CPD_SOP_new!$A:$A,[1]CPD_SOP_new!$K:$K,"not found",0 )</f>
        <v>2R</v>
      </c>
      <c r="F155" s="130" t="s">
        <v>27</v>
      </c>
      <c r="G155" s="130" t="s">
        <v>28</v>
      </c>
      <c r="H155" s="130" t="s">
        <v>28</v>
      </c>
      <c r="I155" s="130" t="s">
        <v>27</v>
      </c>
      <c r="J155" s="137" t="s">
        <v>68</v>
      </c>
      <c r="K155" s="85" t="str">
        <f t="shared" si="2"/>
        <v>/mnt/measurements/07_CANape/Mitsubishi/5K45/MMC4.1.2/Validation/2025_11_29/child/part2/Sleep//TC_24_Try2.MF4.xz,remove, real child mea available,RadarFC_Master,remove, real child mea available (ncap1,2),CPD,dummy</v>
      </c>
      <c r="L155" s="85" t="s">
        <v>3234</v>
      </c>
      <c r="M155" s="130" t="s">
        <v>282</v>
      </c>
      <c r="N155" s="131" t="s">
        <v>281</v>
      </c>
    </row>
    <row r="156" spans="1:14" s="130" customFormat="1" hidden="1">
      <c r="A156" s="78">
        <v>24</v>
      </c>
      <c r="B156" s="130" t="s">
        <v>38</v>
      </c>
      <c r="C156" s="130" t="s">
        <v>253</v>
      </c>
      <c r="D156" s="97" t="e">
        <f>_xlfn.XLOOKUP(A156,[1]CPD_SOP_new!$A:$A,[1]CPD_SOP_new!#REF!,"not found",0 )</f>
        <v>#REF!</v>
      </c>
      <c r="E156" s="97" t="str">
        <f>_xlfn.XLOOKUP(A156,[1]CPD_SOP_new!$A:$A,[1]CPD_SOP_new!$K:$K,"not found",0 )</f>
        <v>2R</v>
      </c>
      <c r="F156" s="130" t="s">
        <v>27</v>
      </c>
      <c r="G156" s="130" t="s">
        <v>28</v>
      </c>
      <c r="H156" s="130" t="s">
        <v>28</v>
      </c>
      <c r="I156" s="130" t="s">
        <v>27</v>
      </c>
      <c r="J156" s="137" t="s">
        <v>68</v>
      </c>
      <c r="K156" s="85" t="str">
        <f t="shared" si="2"/>
        <v>/mnt/measurements/07_CANape/Mitsubishi/5K45/MMC4.1.2/Validation/2025_11_29/child/part2/Sleep//TC_24_Try3.MF4.xz,remove, real child mea available,RadarFC_Master,remove, real child mea available (ncap1,2),CPD,dummy</v>
      </c>
      <c r="L156" s="85" t="s">
        <v>3235</v>
      </c>
      <c r="M156" s="130" t="s">
        <v>283</v>
      </c>
      <c r="N156" s="131" t="s">
        <v>281</v>
      </c>
    </row>
    <row r="157" spans="1:14" s="130" customFormat="1" hidden="1">
      <c r="A157" s="78">
        <v>24</v>
      </c>
      <c r="B157" s="130" t="s">
        <v>38</v>
      </c>
      <c r="C157" s="130" t="s">
        <v>253</v>
      </c>
      <c r="D157" s="97" t="e">
        <f>_xlfn.XLOOKUP(A157,[1]CPD_SOP_new!$A:$A,[1]CPD_SOP_new!#REF!,"not found",0 )</f>
        <v>#REF!</v>
      </c>
      <c r="E157" s="97" t="str">
        <f>_xlfn.XLOOKUP(A157,[1]CPD_SOP_new!$A:$A,[1]CPD_SOP_new!$K:$K,"not found",0 )</f>
        <v>2R</v>
      </c>
      <c r="F157" s="130" t="s">
        <v>27</v>
      </c>
      <c r="G157" s="130" t="s">
        <v>28</v>
      </c>
      <c r="H157" s="130" t="s">
        <v>28</v>
      </c>
      <c r="I157" s="130" t="s">
        <v>27</v>
      </c>
      <c r="J157" s="137" t="s">
        <v>68</v>
      </c>
      <c r="K157" s="85" t="str">
        <f t="shared" si="2"/>
        <v>/mnt/measurements/07_CANape/Mitsubishi/5K45/5.2.0/5K457EG11/SmokeTest/CPD/CSR_XCP_Signals_Recorder_2026-01-12_14-43-04_TC24.MF4.xz,remove, real child mea available,RadarFC_Master,remove, real child mea available (ncap1,2),CPD,dummy</v>
      </c>
      <c r="L157" s="85" t="s">
        <v>3236</v>
      </c>
      <c r="M157" s="136" t="s">
        <v>284</v>
      </c>
      <c r="N157" s="131" t="s">
        <v>41</v>
      </c>
    </row>
    <row r="158" spans="1:14">
      <c r="A158" s="77">
        <v>23</v>
      </c>
      <c r="B158" t="s">
        <v>38</v>
      </c>
      <c r="C158" t="s">
        <v>253</v>
      </c>
      <c r="D158" s="97" t="e">
        <f>_xlfn.XLOOKUP(A158,[1]CPD_SOP_new!$A:$A,[1]CPD_SOP_new!#REF!,"not found",0 )</f>
        <v>#REF!</v>
      </c>
      <c r="E158" s="97" t="s">
        <v>26</v>
      </c>
      <c r="F158" t="s">
        <v>28</v>
      </c>
      <c r="G158" t="s">
        <v>28</v>
      </c>
      <c r="H158" t="s">
        <v>28</v>
      </c>
      <c r="I158" t="s">
        <v>28</v>
      </c>
      <c r="J158" t="s">
        <v>29</v>
      </c>
      <c r="K158" s="85" t="str">
        <f t="shared" si="2"/>
        <v>/mnt/measurements/07_CANape/Mitsubishi/5K45/MMC5.0.0_RC3/Real_Child_Tests/CSR_XCP_Signals_Recorder_2025-12-10_10-11-52_TC23_6YOPS_CPD.MF4.xz,child,RadarFC_Master,child (ncap1,2),CPD,realchild</v>
      </c>
      <c r="L158" s="85" t="s">
        <v>3237</v>
      </c>
      <c r="M158" t="s">
        <v>258</v>
      </c>
      <c r="N158" s="129" t="s">
        <v>217</v>
      </c>
    </row>
    <row r="159" spans="1:14">
      <c r="A159" s="77">
        <v>23</v>
      </c>
      <c r="B159" t="s">
        <v>38</v>
      </c>
      <c r="C159" t="s">
        <v>253</v>
      </c>
      <c r="D159" s="97" t="e">
        <f>_xlfn.XLOOKUP(A159,[1]CPD_SOP_new!$A:$A,[1]CPD_SOP_new!#REF!,"not found",0 )</f>
        <v>#REF!</v>
      </c>
      <c r="E159" s="97" t="s">
        <v>26</v>
      </c>
      <c r="F159" t="s">
        <v>28</v>
      </c>
      <c r="G159" t="s">
        <v>28</v>
      </c>
      <c r="H159" t="s">
        <v>28</v>
      </c>
      <c r="I159" t="s">
        <v>28</v>
      </c>
      <c r="J159" t="s">
        <v>29</v>
      </c>
      <c r="K159" s="85" t="str">
        <f t="shared" si="2"/>
        <v>/mnt/measurements/07_CANape/Mitsubishi/5K45/MMC5.0.0_RC3/Real_Child_Tests/CSR_XCP_Signals_Recorder_2025-12-10_10-15-38_TC23_6YOPS_CPD.MF4.xz,child,RadarFC_Master,child (ncap1,2),CPD,realchild</v>
      </c>
      <c r="L159" s="85" t="s">
        <v>3238</v>
      </c>
      <c r="M159" t="s">
        <v>259</v>
      </c>
      <c r="N159" s="129" t="s">
        <v>217</v>
      </c>
    </row>
    <row r="160" spans="1:14">
      <c r="A160" s="77">
        <v>23</v>
      </c>
      <c r="B160" t="s">
        <v>38</v>
      </c>
      <c r="C160" t="s">
        <v>253</v>
      </c>
      <c r="D160" s="97" t="e">
        <f>_xlfn.XLOOKUP(A160,[1]CPD_SOP_new!$A:$A,[1]CPD_SOP_new!#REF!,"not found",0 )</f>
        <v>#REF!</v>
      </c>
      <c r="E160" s="97" t="s">
        <v>26</v>
      </c>
      <c r="F160" t="s">
        <v>28</v>
      </c>
      <c r="G160" t="s">
        <v>28</v>
      </c>
      <c r="H160" t="s">
        <v>28</v>
      </c>
      <c r="I160" t="s">
        <v>28</v>
      </c>
      <c r="J160" t="s">
        <v>29</v>
      </c>
      <c r="K160" s="85" t="str">
        <f t="shared" si="2"/>
        <v>/mnt/measurements/07_CANape/Mitsubishi/5K45/MMC5.0.0_RC3/Real_Child_Tests/CSR_XCP_Signals_Recorder_2025-12-10_10-19-04_TC23_6YOPS_CPD.MF4.xz,child,RadarFC_Master,child (ncap1,2),CPD,realchild</v>
      </c>
      <c r="L160" s="85" t="s">
        <v>3239</v>
      </c>
      <c r="M160" t="s">
        <v>260</v>
      </c>
      <c r="N160" s="129" t="s">
        <v>217</v>
      </c>
    </row>
    <row r="161" spans="1:21">
      <c r="A161" s="77">
        <v>23</v>
      </c>
      <c r="B161" t="s">
        <v>38</v>
      </c>
      <c r="C161" t="s">
        <v>253</v>
      </c>
      <c r="D161" s="97" t="e">
        <f>_xlfn.XLOOKUP(A161,[1]CPD_SOP_new!$A:$A,[1]CPD_SOP_new!#REF!,"not found",0 )</f>
        <v>#REF!</v>
      </c>
      <c r="E161" s="97" t="s">
        <v>26</v>
      </c>
      <c r="F161" t="s">
        <v>28</v>
      </c>
      <c r="G161" t="s">
        <v>28</v>
      </c>
      <c r="H161" t="s">
        <v>28</v>
      </c>
      <c r="I161" t="s">
        <v>28</v>
      </c>
      <c r="J161" t="s">
        <v>29</v>
      </c>
      <c r="K161" s="85" t="str">
        <f t="shared" si="2"/>
        <v>/mnt/measurements/07_CANape/Mitsubishi/5K45/MMC5.0.0_RC3/Real_Child_Tests/CSR_XCP_Signals_Recorder_2025-12-10_10-22-02_TC23_6YOPS_CPD.MF4.xz,child,RadarFC_Master,child (ncap1,2),CPD,realchild</v>
      </c>
      <c r="L161" s="85" t="s">
        <v>3240</v>
      </c>
      <c r="M161" t="s">
        <v>261</v>
      </c>
      <c r="N161" s="129" t="s">
        <v>217</v>
      </c>
    </row>
    <row r="162" spans="1:21">
      <c r="A162" s="77">
        <v>23</v>
      </c>
      <c r="B162" t="s">
        <v>38</v>
      </c>
      <c r="C162" t="s">
        <v>253</v>
      </c>
      <c r="D162" s="97" t="e">
        <f>_xlfn.XLOOKUP(A162,[1]CPD_SOP_new!$A:$A,[1]CPD_SOP_new!#REF!,"not found",0 )</f>
        <v>#REF!</v>
      </c>
      <c r="E162" s="97" t="s">
        <v>26</v>
      </c>
      <c r="F162" t="s">
        <v>28</v>
      </c>
      <c r="G162" t="s">
        <v>28</v>
      </c>
      <c r="H162" t="s">
        <v>28</v>
      </c>
      <c r="I162" t="s">
        <v>28</v>
      </c>
      <c r="J162" t="s">
        <v>29</v>
      </c>
      <c r="K162" s="85" t="str">
        <f t="shared" si="2"/>
        <v>/mnt/measurements/07_CANape/Mitsubishi/5K45/5.3.0_RC6/Customer_Testing/Real_Child_Measurements/CSR_XCP_Signals_Recorder_2026-01-30_16-30-52_TC23.MF4.xz,child,RadarFC_Master,child (ncap1,2),CPD,realchild</v>
      </c>
      <c r="L162" s="85" t="s">
        <v>3241</v>
      </c>
      <c r="M162" t="s">
        <v>267</v>
      </c>
      <c r="N162" t="s">
        <v>213</v>
      </c>
      <c r="O162" t="s">
        <v>29</v>
      </c>
      <c r="P162" t="s">
        <v>29</v>
      </c>
      <c r="Q162">
        <v>1</v>
      </c>
      <c r="T162">
        <v>0</v>
      </c>
      <c r="U162">
        <v>0</v>
      </c>
    </row>
    <row r="163" spans="1:21" s="130" customFormat="1" hidden="1">
      <c r="A163" s="78">
        <v>24</v>
      </c>
      <c r="B163" s="130" t="s">
        <v>38</v>
      </c>
      <c r="C163" s="130" t="s">
        <v>253</v>
      </c>
      <c r="D163" s="97" t="e">
        <f>_xlfn.XLOOKUP(A163,[1]CPD_SOP_new!$A:$A,[1]CPD_SOP_new!#REF!,"not found",0 )</f>
        <v>#REF!</v>
      </c>
      <c r="E163" s="97" t="str">
        <f>_xlfn.XLOOKUP(A163,[1]CPD_SOP_new!$A:$A,[1]CPD_SOP_new!$K:$K,"not found",0 )</f>
        <v>2R</v>
      </c>
      <c r="F163" s="130" t="s">
        <v>27</v>
      </c>
      <c r="G163" s="130" t="s">
        <v>28</v>
      </c>
      <c r="H163" s="130" t="s">
        <v>28</v>
      </c>
      <c r="I163" s="130" t="s">
        <v>27</v>
      </c>
      <c r="J163" s="137" t="s">
        <v>68</v>
      </c>
      <c r="K163" s="85" t="str">
        <f t="shared" si="2"/>
        <v>/mnt/measurements/07_CANape/Mitsubishi/5K45/MMC5.0.2/5K457MG57/SmokeTest/SmokeTest_CPD_TC24.MF4.xz,remove, real child mea available,RadarFC_Master,remove, real child mea available (ncap1,2),CPD,dummy</v>
      </c>
      <c r="L163" s="85" t="s">
        <v>3242</v>
      </c>
      <c r="M163" s="62" t="s">
        <v>291</v>
      </c>
      <c r="N163" s="131" t="s">
        <v>64</v>
      </c>
    </row>
    <row r="164" spans="1:21">
      <c r="A164" s="77">
        <v>23</v>
      </c>
      <c r="B164" t="s">
        <v>38</v>
      </c>
      <c r="C164" t="s">
        <v>253</v>
      </c>
      <c r="D164" s="97" t="e">
        <f>_xlfn.XLOOKUP(A164,[1]CPD_SOP_new!$A:$A,[1]CPD_SOP_new!#REF!,"not found",0 )</f>
        <v>#REF!</v>
      </c>
      <c r="E164" s="97" t="s">
        <v>26</v>
      </c>
      <c r="F164" t="s">
        <v>28</v>
      </c>
      <c r="G164" t="s">
        <v>28</v>
      </c>
      <c r="H164" t="s">
        <v>28</v>
      </c>
      <c r="I164" t="s">
        <v>28</v>
      </c>
      <c r="J164" t="s">
        <v>29</v>
      </c>
      <c r="K164" s="85" t="str">
        <f t="shared" si="2"/>
        <v>/mnt/measurements/07_CANape/Mitsubishi/5K45/5.3.0_RC6/Customer_Testing/Real_Child_Measurements/CSR_XCP_Signals_Recorder_2026-01-30_16-31-33_TC23.MF4.xz,child,RadarFC_Master,child (ncap1,2),CPD,realchild</v>
      </c>
      <c r="L164" s="85" t="s">
        <v>3243</v>
      </c>
      <c r="M164" s="60" t="s">
        <v>269</v>
      </c>
      <c r="N164" t="s">
        <v>213</v>
      </c>
      <c r="O164" t="s">
        <v>29</v>
      </c>
      <c r="P164" t="s">
        <v>29</v>
      </c>
      <c r="Q164">
        <v>1</v>
      </c>
      <c r="T164">
        <v>0</v>
      </c>
      <c r="U164">
        <v>0</v>
      </c>
    </row>
    <row r="165" spans="1:21">
      <c r="A165" s="77">
        <v>23</v>
      </c>
      <c r="B165" t="s">
        <v>38</v>
      </c>
      <c r="C165" t="s">
        <v>253</v>
      </c>
      <c r="D165" s="97" t="e">
        <f>_xlfn.XLOOKUP(A165,[1]CPD_SOP_new!$A:$A,[1]CPD_SOP_new!#REF!,"not found",0 )</f>
        <v>#REF!</v>
      </c>
      <c r="E165" s="97" t="s">
        <v>26</v>
      </c>
      <c r="F165" t="s">
        <v>28</v>
      </c>
      <c r="G165" t="s">
        <v>28</v>
      </c>
      <c r="H165" t="s">
        <v>28</v>
      </c>
      <c r="I165" t="s">
        <v>28</v>
      </c>
      <c r="J165" t="s">
        <v>29</v>
      </c>
      <c r="K165" s="85" t="str">
        <f t="shared" si="2"/>
        <v>/mnt/measurements/07_CANape/Mitsubishi/5K45/5.3.0_RC6/Customer_Testing/Real_Child_Measurements/6YO/CSR_XCP_Signals_Recorder_2026-01-30_14-03-06_TC23.MF4.xz,child,RadarFC_Master,child (ncap1,2),CPD,realchild</v>
      </c>
      <c r="L165" s="85" t="s">
        <v>3244</v>
      </c>
      <c r="M165" s="60" t="s">
        <v>270</v>
      </c>
      <c r="N165" t="s">
        <v>271</v>
      </c>
      <c r="O165" t="s">
        <v>29</v>
      </c>
      <c r="P165" t="s">
        <v>29</v>
      </c>
      <c r="Q165">
        <v>1</v>
      </c>
      <c r="T165">
        <v>0</v>
      </c>
      <c r="U165">
        <v>0</v>
      </c>
    </row>
    <row r="166" spans="1:21">
      <c r="A166" s="77">
        <v>23</v>
      </c>
      <c r="B166" t="s">
        <v>38</v>
      </c>
      <c r="C166" t="s">
        <v>253</v>
      </c>
      <c r="D166" s="97" t="e">
        <f>_xlfn.XLOOKUP(A166,[1]CPD_SOP_new!$A:$A,[1]CPD_SOP_new!#REF!,"not found",0 )</f>
        <v>#REF!</v>
      </c>
      <c r="E166" s="97" t="s">
        <v>26</v>
      </c>
      <c r="F166" t="s">
        <v>28</v>
      </c>
      <c r="G166" t="s">
        <v>28</v>
      </c>
      <c r="H166" t="s">
        <v>28</v>
      </c>
      <c r="I166" t="s">
        <v>28</v>
      </c>
      <c r="J166" t="s">
        <v>29</v>
      </c>
      <c r="K166" s="85" t="str">
        <f t="shared" si="2"/>
        <v>/mnt/measurements/07_CANape/Mitsubishi/5K45/5.3.0_RC6/Customer_Testing/Real_Child_Measurements/6YO/CSR_XCP_Signals_Recorder_2026-01-30_14-03-57_TC23.MF4.xz,child,RadarFC_Master,child (ncap1,2),CPD,realchild</v>
      </c>
      <c r="L166" s="85" t="s">
        <v>3245</v>
      </c>
      <c r="M166" t="s">
        <v>273</v>
      </c>
      <c r="N166" t="s">
        <v>271</v>
      </c>
      <c r="O166" t="s">
        <v>29</v>
      </c>
      <c r="P166" t="s">
        <v>29</v>
      </c>
      <c r="Q166">
        <v>1</v>
      </c>
      <c r="T166">
        <v>0</v>
      </c>
      <c r="U166">
        <v>0</v>
      </c>
    </row>
    <row r="167" spans="1:21">
      <c r="A167" s="77">
        <v>23</v>
      </c>
      <c r="B167" t="s">
        <v>38</v>
      </c>
      <c r="C167" t="s">
        <v>253</v>
      </c>
      <c r="D167" s="97" t="e">
        <f>_xlfn.XLOOKUP(A167,[1]CPD_SOP_new!$A:$A,[1]CPD_SOP_new!#REF!,"not found",0 )</f>
        <v>#REF!</v>
      </c>
      <c r="E167" s="97" t="s">
        <v>26</v>
      </c>
      <c r="F167" t="s">
        <v>28</v>
      </c>
      <c r="G167" t="s">
        <v>28</v>
      </c>
      <c r="H167" t="s">
        <v>28</v>
      </c>
      <c r="I167" t="s">
        <v>28</v>
      </c>
      <c r="J167" t="s">
        <v>29</v>
      </c>
      <c r="K167" s="85" t="str">
        <f t="shared" si="2"/>
        <v>/mnt/measurements/07_CANape/Mitsubishi/5K45/5.3.0_RC6/Customer_Testing/Real_Child_Measurements/6YO/CSR_XCP_Signals_Recorder_2026-01-30_14-04-44_TC23.MF4.xz,child,RadarFC_Master,child (ncap1,2),CPD,realchild</v>
      </c>
      <c r="L167" s="85" t="s">
        <v>3246</v>
      </c>
      <c r="M167" t="s">
        <v>274</v>
      </c>
      <c r="N167" t="s">
        <v>271</v>
      </c>
      <c r="O167" t="s">
        <v>29</v>
      </c>
      <c r="P167" t="s">
        <v>29</v>
      </c>
      <c r="Q167">
        <v>1</v>
      </c>
      <c r="T167">
        <v>0</v>
      </c>
      <c r="U167">
        <v>0</v>
      </c>
    </row>
    <row r="168" spans="1:21">
      <c r="A168" s="77">
        <v>23</v>
      </c>
      <c r="B168" t="s">
        <v>38</v>
      </c>
      <c r="C168" t="s">
        <v>253</v>
      </c>
      <c r="D168" s="97" t="e">
        <f>_xlfn.XLOOKUP(A168,[1]CPD_SOP_new!$A:$A,[1]CPD_SOP_new!#REF!,"not found",0 )</f>
        <v>#REF!</v>
      </c>
      <c r="E168" s="97" t="s">
        <v>26</v>
      </c>
      <c r="F168" t="s">
        <v>28</v>
      </c>
      <c r="G168" t="s">
        <v>28</v>
      </c>
      <c r="H168" t="s">
        <v>28</v>
      </c>
      <c r="I168" t="s">
        <v>28</v>
      </c>
      <c r="J168" t="s">
        <v>29</v>
      </c>
      <c r="K168" s="85" t="str">
        <f t="shared" si="2"/>
        <v>/mnt/measurements/07_CANape/Mitsubishi/5K45/5.3.0_RC6/Customer_Testing/Real_Child_Measurements/6YO/CSR_XCP_Signals_Recorder_2026-01-30_14-05-25_TC23.MF4.xz,child,RadarFC_Master,child (ncap1,2),CPD,realchild</v>
      </c>
      <c r="L168" s="85" t="s">
        <v>3247</v>
      </c>
      <c r="M168" t="s">
        <v>275</v>
      </c>
      <c r="N168" t="s">
        <v>271</v>
      </c>
      <c r="O168" t="s">
        <v>29</v>
      </c>
      <c r="P168" t="s">
        <v>29</v>
      </c>
      <c r="Q168">
        <v>1</v>
      </c>
      <c r="T168">
        <v>0</v>
      </c>
      <c r="U168">
        <v>0</v>
      </c>
    </row>
    <row r="169" spans="1:21">
      <c r="A169" s="59">
        <v>23</v>
      </c>
      <c r="B169" t="s">
        <v>38</v>
      </c>
      <c r="C169" t="s">
        <v>253</v>
      </c>
      <c r="D169" s="97" t="e">
        <f>_xlfn.XLOOKUP(A169,[1]CPD_SOP_new!$A:$A,[1]CPD_SOP_new!#REF!,"not found",0 )</f>
        <v>#REF!</v>
      </c>
      <c r="E169" s="97" t="s">
        <v>26</v>
      </c>
      <c r="F169" t="s">
        <v>28</v>
      </c>
      <c r="G169" t="s">
        <v>28</v>
      </c>
      <c r="H169" t="s">
        <v>28</v>
      </c>
      <c r="I169" t="s">
        <v>28</v>
      </c>
      <c r="J169" s="85" t="s">
        <v>29</v>
      </c>
      <c r="K169" s="85" t="str">
        <f t="shared" si="2"/>
        <v>/mnt/measurements/07_CANape/Mitsubishi/5K45/5.3.0_RC7/5K457EG11/RealChild/CSR_XCP_Signals_Recorder_2026-02-04_17-07-40_CPD_TC23_with_reset.MF4.xz,child,RadarFC_Master,child (ncap1,2),CPD,realchild</v>
      </c>
      <c r="L169" s="85" t="s">
        <v>3248</v>
      </c>
      <c r="M169" s="59" t="s">
        <v>276</v>
      </c>
      <c r="N169" t="s">
        <v>277</v>
      </c>
    </row>
    <row r="170" spans="1:21">
      <c r="A170" s="59">
        <v>23</v>
      </c>
      <c r="B170" t="s">
        <v>38</v>
      </c>
      <c r="C170" t="s">
        <v>253</v>
      </c>
      <c r="D170" s="97" t="e">
        <f>_xlfn.XLOOKUP(A170,[1]CPD_SOP_new!$A:$A,[1]CPD_SOP_new!#REF!,"not found",0 )</f>
        <v>#REF!</v>
      </c>
      <c r="E170" s="97" t="s">
        <v>26</v>
      </c>
      <c r="F170" t="s">
        <v>28</v>
      </c>
      <c r="G170" t="s">
        <v>28</v>
      </c>
      <c r="H170" t="s">
        <v>28</v>
      </c>
      <c r="I170" t="s">
        <v>28</v>
      </c>
      <c r="J170" s="85" t="s">
        <v>29</v>
      </c>
      <c r="K170" s="85" t="str">
        <f t="shared" si="2"/>
        <v>/mnt/measurements/07_CANape/Mitsubishi/5K45/5.3.0_RC7/5K457EG11/RealChild/CSR_XCP_Signals_Recorder_2026-02-04_17-08-51_CPD_TC23_with_reset.MF4.xz,child,RadarFC_Master,child (ncap1,2),CPD,realchild</v>
      </c>
      <c r="L170" s="85" t="s">
        <v>3249</v>
      </c>
      <c r="M170" s="59" t="s">
        <v>278</v>
      </c>
      <c r="N170" t="s">
        <v>277</v>
      </c>
    </row>
    <row r="171" spans="1:21">
      <c r="A171" s="59">
        <v>23</v>
      </c>
      <c r="B171" t="s">
        <v>38</v>
      </c>
      <c r="C171" t="s">
        <v>253</v>
      </c>
      <c r="D171" s="97" t="e">
        <f>_xlfn.XLOOKUP(A171,[1]CPD_SOP_new!$A:$A,[1]CPD_SOP_new!#REF!,"not found",0 )</f>
        <v>#REF!</v>
      </c>
      <c r="E171" s="97" t="s">
        <v>26</v>
      </c>
      <c r="F171" t="s">
        <v>28</v>
      </c>
      <c r="G171" t="s">
        <v>28</v>
      </c>
      <c r="H171" t="s">
        <v>28</v>
      </c>
      <c r="I171" t="s">
        <v>28</v>
      </c>
      <c r="J171" s="85" t="s">
        <v>29</v>
      </c>
      <c r="K171" s="85" t="str">
        <f t="shared" si="2"/>
        <v>/mnt/measurements/07_CANape/Mitsubishi/5K45/5.3.0_RC7/5K457EG11/RealChild/CSR_XCP_Signals_Recorder_2026-02-04_17-10-10_CPD_TC23_with_reset.MF4.xz,child,RadarFC_Master,child (ncap1,2),CPD,realchild</v>
      </c>
      <c r="L171" s="85" t="s">
        <v>3250</v>
      </c>
      <c r="M171" s="59" t="s">
        <v>279</v>
      </c>
      <c r="N171" t="s">
        <v>277</v>
      </c>
    </row>
    <row r="172" spans="1:21" s="130" customFormat="1" hidden="1">
      <c r="A172" s="78">
        <v>25</v>
      </c>
      <c r="B172" s="130" t="s">
        <v>38</v>
      </c>
      <c r="C172" s="130" t="s">
        <v>253</v>
      </c>
      <c r="D172" s="97" t="e">
        <f>_xlfn.XLOOKUP(A172,[1]CPD_SOP_new!$A:$A,[1]CPD_SOP_new!#REF!,"not found",0 )</f>
        <v>#REF!</v>
      </c>
      <c r="E172" s="97" t="str">
        <f>_xlfn.XLOOKUP(A172,[1]CPD_SOP_new!$A:$A,[1]CPD_SOP_new!$K:$K,"not found",0 )</f>
        <v>2L</v>
      </c>
      <c r="F172" s="130" t="s">
        <v>27</v>
      </c>
      <c r="G172" s="130" t="s">
        <v>28</v>
      </c>
      <c r="H172" s="130" t="s">
        <v>28</v>
      </c>
      <c r="I172" s="130" t="s">
        <v>27</v>
      </c>
      <c r="J172" s="137" t="s">
        <v>68</v>
      </c>
      <c r="K172" s="85" t="str">
        <f t="shared" si="2"/>
        <v>/mnt/measurements/07_CANape/Mitsubishi/5K45/MMC5.1.0/5K457EG11/CSR_XCP_Signals_Recorder_2025-12-19_10-39-58_TC25_CPD.MF4.xz,remove, real child mea available,RadarFC_Master,remove, real child mea available (ncap1,2),CPD,dummy</v>
      </c>
      <c r="L172" s="85" t="s">
        <v>3251</v>
      </c>
      <c r="M172" s="136" t="s">
        <v>301</v>
      </c>
      <c r="N172" s="131" t="s">
        <v>202</v>
      </c>
    </row>
    <row r="173" spans="1:21" s="130" customFormat="1" hidden="1">
      <c r="A173" s="78">
        <v>25</v>
      </c>
      <c r="B173" s="130" t="s">
        <v>38</v>
      </c>
      <c r="C173" s="130" t="s">
        <v>253</v>
      </c>
      <c r="D173" s="97" t="e">
        <f>_xlfn.XLOOKUP(A173,[1]CPD_SOP_new!$A:$A,[1]CPD_SOP_new!#REF!,"not found",0 )</f>
        <v>#REF!</v>
      </c>
      <c r="E173" s="97" t="str">
        <f>_xlfn.XLOOKUP(A173,[1]CPD_SOP_new!$A:$A,[1]CPD_SOP_new!$K:$K,"not found",0 )</f>
        <v>2L</v>
      </c>
      <c r="F173" s="130" t="s">
        <v>27</v>
      </c>
      <c r="G173" s="130" t="s">
        <v>28</v>
      </c>
      <c r="H173" s="130" t="s">
        <v>28</v>
      </c>
      <c r="I173" s="130" t="s">
        <v>27</v>
      </c>
      <c r="J173" s="137" t="s">
        <v>68</v>
      </c>
      <c r="K173" s="85" t="str">
        <f t="shared" si="2"/>
        <v>/mnt/measurements/07_CANape/Mitsubishi/5K45/MMC5.1.0/5K457EG11/CSR_XCP_Signals_Recorder_2025-12-19_10-41-06_TC25_CPD.MF4.xz,remove, real child mea available,RadarFC_Master,remove, real child mea available (ncap1,2),CPD,dummy</v>
      </c>
      <c r="L173" s="85" t="s">
        <v>3252</v>
      </c>
      <c r="M173" s="136" t="s">
        <v>302</v>
      </c>
      <c r="N173" s="131" t="s">
        <v>202</v>
      </c>
    </row>
    <row r="174" spans="1:21" s="130" customFormat="1" hidden="1">
      <c r="A174" s="78">
        <v>25</v>
      </c>
      <c r="B174" s="130" t="s">
        <v>38</v>
      </c>
      <c r="C174" s="130" t="s">
        <v>253</v>
      </c>
      <c r="D174" s="97" t="e">
        <f>_xlfn.XLOOKUP(A174,[1]CPD_SOP_new!$A:$A,[1]CPD_SOP_new!#REF!,"not found",0 )</f>
        <v>#REF!</v>
      </c>
      <c r="E174" s="97" t="str">
        <f>_xlfn.XLOOKUP(A174,[1]CPD_SOP_new!$A:$A,[1]CPD_SOP_new!$K:$K,"not found",0 )</f>
        <v>2L</v>
      </c>
      <c r="F174" s="130" t="s">
        <v>27</v>
      </c>
      <c r="G174" s="130" t="s">
        <v>28</v>
      </c>
      <c r="H174" s="130" t="s">
        <v>28</v>
      </c>
      <c r="I174" s="130" t="s">
        <v>27</v>
      </c>
      <c r="J174" s="137" t="s">
        <v>68</v>
      </c>
      <c r="K174" s="85" t="str">
        <f t="shared" si="2"/>
        <v>/mnt/measurements/07_CANape/Mitsubishi/5K45/MMC5.1.0/5K457EG11/CSR_XCP_Signals_Recorder_2025-12-19_10-42-12_TC25_CPD.MF4.xz,remove, real child mea available,RadarFC_Master,remove, real child mea available (ncap1,2),CPD,dummy</v>
      </c>
      <c r="L174" s="85" t="s">
        <v>3253</v>
      </c>
      <c r="M174" s="136" t="s">
        <v>303</v>
      </c>
      <c r="N174" s="131" t="s">
        <v>202</v>
      </c>
    </row>
    <row r="175" spans="1:21">
      <c r="A175" s="77">
        <v>24</v>
      </c>
      <c r="B175" t="s">
        <v>38</v>
      </c>
      <c r="C175" t="s">
        <v>253</v>
      </c>
      <c r="D175" s="97" t="e">
        <f>_xlfn.XLOOKUP(A175,[1]CPD_SOP_new!$A:$A,[1]CPD_SOP_new!#REF!,"not found",0 )</f>
        <v>#REF!</v>
      </c>
      <c r="E175" s="97" t="str">
        <f>_xlfn.XLOOKUP(A175,[1]CPD_SOP_new!$A:$A,[1]CPD_SOP_new!$K:$K,"not found",0 )</f>
        <v>2R</v>
      </c>
      <c r="F175" t="s">
        <v>28</v>
      </c>
      <c r="G175" t="s">
        <v>28</v>
      </c>
      <c r="H175" t="s">
        <v>28</v>
      </c>
      <c r="I175" t="s">
        <v>28</v>
      </c>
      <c r="J175" t="s">
        <v>29</v>
      </c>
      <c r="K175" s="85" t="str">
        <f t="shared" si="2"/>
        <v>/mnt/measurements/07_CANape/Mitsubishi/5K45/MMC5.0.2/5K457EG11/RealChild/CPD_TC24_Try1.MF4.xz,child,RadarFC_Master,child (ncap1,2),CPD,realchild</v>
      </c>
      <c r="L175" s="85" t="s">
        <v>3254</v>
      </c>
      <c r="M175" s="132" t="s">
        <v>285</v>
      </c>
      <c r="N175" s="129" t="s">
        <v>86</v>
      </c>
    </row>
    <row r="176" spans="1:21">
      <c r="A176" s="77">
        <v>24</v>
      </c>
      <c r="B176" t="s">
        <v>38</v>
      </c>
      <c r="C176" t="s">
        <v>253</v>
      </c>
      <c r="D176" s="97" t="e">
        <f>_xlfn.XLOOKUP(A176,[1]CPD_SOP_new!$A:$A,[1]CPD_SOP_new!#REF!,"not found",0 )</f>
        <v>#REF!</v>
      </c>
      <c r="E176" s="97" t="str">
        <f>_xlfn.XLOOKUP(A176,[1]CPD_SOP_new!$A:$A,[1]CPD_SOP_new!$K:$K,"not found",0 )</f>
        <v>2R</v>
      </c>
      <c r="F176" t="s">
        <v>28</v>
      </c>
      <c r="G176" t="s">
        <v>28</v>
      </c>
      <c r="H176" t="s">
        <v>28</v>
      </c>
      <c r="I176" t="s">
        <v>28</v>
      </c>
      <c r="J176" t="s">
        <v>29</v>
      </c>
      <c r="K176" s="85" t="str">
        <f t="shared" si="2"/>
        <v>/mnt/measurements/07_CANape/Mitsubishi/5K45/MMC5.0.2/5K457EG11/RealChild/CPD_TC24_Try2.MF4.xz,child,RadarFC_Master,child (ncap1,2),CPD,realchild</v>
      </c>
      <c r="L176" s="85" t="s">
        <v>3255</v>
      </c>
      <c r="M176" s="132" t="s">
        <v>287</v>
      </c>
      <c r="N176" s="129" t="s">
        <v>86</v>
      </c>
    </row>
    <row r="177" spans="1:21">
      <c r="A177" s="77">
        <v>24</v>
      </c>
      <c r="B177" t="s">
        <v>38</v>
      </c>
      <c r="C177" t="s">
        <v>253</v>
      </c>
      <c r="D177" s="97" t="e">
        <f>_xlfn.XLOOKUP(A177,[1]CPD_SOP_new!$A:$A,[1]CPD_SOP_new!#REF!,"not found",0 )</f>
        <v>#REF!</v>
      </c>
      <c r="E177" s="97" t="str">
        <f>_xlfn.XLOOKUP(A177,[1]CPD_SOP_new!$A:$A,[1]CPD_SOP_new!$K:$K,"not found",0 )</f>
        <v>2R</v>
      </c>
      <c r="F177" t="s">
        <v>28</v>
      </c>
      <c r="G177" t="s">
        <v>28</v>
      </c>
      <c r="H177" t="s">
        <v>28</v>
      </c>
      <c r="I177" t="s">
        <v>28</v>
      </c>
      <c r="J177" t="s">
        <v>29</v>
      </c>
      <c r="K177" s="85" t="str">
        <f t="shared" si="2"/>
        <v>/mnt/measurements/07_CANape/Mitsubishi/5K45/MMC5.0.2/5K457EG11/RealChild/CPD_TC24_Try3.MF4.xz,child,RadarFC_Master,child (ncap1,2),CPD,realchild</v>
      </c>
      <c r="L177" s="85" t="s">
        <v>3256</v>
      </c>
      <c r="M177" s="11" t="s">
        <v>288</v>
      </c>
      <c r="N177" s="129" t="s">
        <v>86</v>
      </c>
    </row>
    <row r="178" spans="1:21">
      <c r="A178" s="77">
        <v>24</v>
      </c>
      <c r="B178" t="s">
        <v>38</v>
      </c>
      <c r="C178" t="s">
        <v>253</v>
      </c>
      <c r="D178" s="97" t="e">
        <f>_xlfn.XLOOKUP(A178,[1]CPD_SOP_new!$A:$A,[1]CPD_SOP_new!#REF!,"not found",0 )</f>
        <v>#REF!</v>
      </c>
      <c r="E178" s="97" t="str">
        <f>_xlfn.XLOOKUP(A178,[1]CPD_SOP_new!$A:$A,[1]CPD_SOP_new!$K:$K,"not found",0 )</f>
        <v>2R</v>
      </c>
      <c r="F178" t="s">
        <v>28</v>
      </c>
      <c r="G178" t="s">
        <v>28</v>
      </c>
      <c r="H178" t="s">
        <v>28</v>
      </c>
      <c r="I178" t="s">
        <v>28</v>
      </c>
      <c r="J178" t="s">
        <v>29</v>
      </c>
      <c r="K178" s="85" t="str">
        <f t="shared" si="2"/>
        <v>/mnt/measurements/07_CANape/Mitsubishi/5K45/MMC5.0.2/5K457EG11/RealChild/CPD_TC24_Try4.MF4.xz,child,RadarFC_Master,child (ncap1,2),CPD,realchild</v>
      </c>
      <c r="L178" s="85" t="s">
        <v>3257</v>
      </c>
      <c r="M178" s="11" t="s">
        <v>289</v>
      </c>
      <c r="N178" s="129" t="s">
        <v>86</v>
      </c>
    </row>
    <row r="179" spans="1:21" hidden="1">
      <c r="A179" s="78">
        <v>25</v>
      </c>
      <c r="B179" t="s">
        <v>38</v>
      </c>
      <c r="C179" s="137" t="s">
        <v>253</v>
      </c>
      <c r="D179" s="97" t="e">
        <f>_xlfn.XLOOKUP(A179,[1]CPD_SOP_new!$A:$A,[1]CPD_SOP_new!#REF!,"not found",0 )</f>
        <v>#REF!</v>
      </c>
      <c r="E179" s="97" t="str">
        <f>_xlfn.XLOOKUP(A179,[1]CPD_SOP_new!$A:$A,[1]CPD_SOP_new!$K:$K,"not found",0 )</f>
        <v>2L</v>
      </c>
      <c r="F179" t="s">
        <v>28</v>
      </c>
      <c r="G179" t="s">
        <v>28</v>
      </c>
      <c r="H179" t="s">
        <v>28</v>
      </c>
      <c r="I179" s="137" t="s">
        <v>27</v>
      </c>
      <c r="J179" s="137" t="s">
        <v>105</v>
      </c>
      <c r="K179" s="85" t="str">
        <f t="shared" si="2"/>
        <v>/mnt/measurements/07_CANape/Mitsubishi/5K45/5.3.0_RC6/Customer_Testing/Real_Child_Measurements/6YO/CSR_XCP_Signals_Recorder_2026-01-30_14-09-40_TC25.MF4.xz,error,RadarFC_Master,error (ncap1,2),CPD,realchild</v>
      </c>
      <c r="L179" s="85" t="s">
        <v>3258</v>
      </c>
      <c r="M179" s="137" t="s">
        <v>1023</v>
      </c>
      <c r="N179" s="137" t="s">
        <v>271</v>
      </c>
      <c r="O179" s="137" t="s">
        <v>105</v>
      </c>
      <c r="P179" s="137" t="s">
        <v>105</v>
      </c>
      <c r="Q179" s="137" t="s">
        <v>105</v>
      </c>
      <c r="R179" s="137"/>
      <c r="S179" s="137"/>
      <c r="T179" s="137" t="s">
        <v>105</v>
      </c>
      <c r="U179" s="137" t="s">
        <v>105</v>
      </c>
    </row>
    <row r="180" spans="1:21">
      <c r="A180" s="77">
        <v>24</v>
      </c>
      <c r="B180" t="s">
        <v>38</v>
      </c>
      <c r="C180" t="s">
        <v>253</v>
      </c>
      <c r="D180" s="97" t="e">
        <f>_xlfn.XLOOKUP(A180,[1]CPD_SOP_new!$A:$A,[1]CPD_SOP_new!#REF!,"not found",0 )</f>
        <v>#REF!</v>
      </c>
      <c r="E180" s="97" t="str">
        <f>_xlfn.XLOOKUP(A180,[1]CPD_SOP_new!$A:$A,[1]CPD_SOP_new!$K:$K,"not found",0 )</f>
        <v>2R</v>
      </c>
      <c r="F180" t="s">
        <v>28</v>
      </c>
      <c r="G180" t="s">
        <v>28</v>
      </c>
      <c r="H180" t="s">
        <v>28</v>
      </c>
      <c r="I180" t="s">
        <v>28</v>
      </c>
      <c r="J180" t="s">
        <v>29</v>
      </c>
      <c r="K180" s="85" t="str">
        <f t="shared" si="2"/>
        <v>/mnt/measurements/07_CANape/Mitsubishi/5K45/MMC5.0.2/5K457EG11/RealChild/CPD_TC24_Try5.MF4.xz,child,RadarFC_Master,child (ncap1,2),CPD,realchild</v>
      </c>
      <c r="L180" s="85" t="s">
        <v>3259</v>
      </c>
      <c r="M180" s="132" t="s">
        <v>290</v>
      </c>
      <c r="N180" s="129" t="s">
        <v>86</v>
      </c>
    </row>
    <row r="181" spans="1:21" s="130" customFormat="1" hidden="1">
      <c r="A181" s="78">
        <v>26</v>
      </c>
      <c r="B181" s="130" t="s">
        <v>38</v>
      </c>
      <c r="C181" s="130" t="s">
        <v>253</v>
      </c>
      <c r="D181" s="97" t="e">
        <f>_xlfn.XLOOKUP(A181,[1]CPD_SOP_new!$A:$A,[1]CPD_SOP_new!#REF!,"not found",0 )</f>
        <v>#REF!</v>
      </c>
      <c r="E181" s="97" t="str">
        <f>_xlfn.XLOOKUP(A181,[1]CPD_SOP_new!$A:$A,[1]CPD_SOP_new!$K:$K,"not found",0 )</f>
        <v>2C</v>
      </c>
      <c r="F181" s="130" t="s">
        <v>27</v>
      </c>
      <c r="G181" s="130" t="s">
        <v>28</v>
      </c>
      <c r="H181" s="130" t="s">
        <v>28</v>
      </c>
      <c r="I181" s="130" t="s">
        <v>27</v>
      </c>
      <c r="J181" s="137" t="s">
        <v>68</v>
      </c>
      <c r="K181" s="85" t="str">
        <f t="shared" si="2"/>
        <v>/mnt/measurements/07_CANape/Mitsubishi/5K45/MMC4.1.2/Validation/2025_11_29/child/part2/Sleep//TC_26_Try1.MF4.xz,remove, real child mea available,RadarFC_Master,remove, real child mea available (ncap1,2),CPD,dummy</v>
      </c>
      <c r="L181" s="85" t="s">
        <v>3260</v>
      </c>
      <c r="M181" s="130" t="s">
        <v>314</v>
      </c>
      <c r="N181" s="131" t="s">
        <v>281</v>
      </c>
    </row>
    <row r="182" spans="1:21" s="130" customFormat="1" hidden="1">
      <c r="A182" s="78">
        <v>26</v>
      </c>
      <c r="B182" s="130" t="s">
        <v>38</v>
      </c>
      <c r="C182" s="130" t="s">
        <v>253</v>
      </c>
      <c r="D182" s="97" t="e">
        <f>_xlfn.XLOOKUP(A182,[1]CPD_SOP_new!$A:$A,[1]CPD_SOP_new!#REF!,"not found",0 )</f>
        <v>#REF!</v>
      </c>
      <c r="E182" s="97" t="str">
        <f>_xlfn.XLOOKUP(A182,[1]CPD_SOP_new!$A:$A,[1]CPD_SOP_new!$K:$K,"not found",0 )</f>
        <v>2C</v>
      </c>
      <c r="F182" s="130" t="s">
        <v>27</v>
      </c>
      <c r="G182" s="130" t="s">
        <v>28</v>
      </c>
      <c r="H182" s="130" t="s">
        <v>28</v>
      </c>
      <c r="I182" s="130" t="s">
        <v>27</v>
      </c>
      <c r="J182" s="137" t="s">
        <v>68</v>
      </c>
      <c r="K182" s="85" t="str">
        <f t="shared" si="2"/>
        <v>/mnt/measurements/07_CANape/Mitsubishi/5K45/MMC4.1.2/Validation/2025_11_29/child/part2/Sleep//TC_26_Try2.MF4.xz,remove, real child mea available,RadarFC_Master,remove, real child mea available (ncap1,2),CPD,dummy</v>
      </c>
      <c r="L182" s="85" t="s">
        <v>3261</v>
      </c>
      <c r="M182" s="61" t="s">
        <v>315</v>
      </c>
      <c r="N182" s="131" t="s">
        <v>281</v>
      </c>
    </row>
    <row r="183" spans="1:21" s="130" customFormat="1" hidden="1">
      <c r="A183" s="78">
        <v>26</v>
      </c>
      <c r="B183" s="130" t="s">
        <v>38</v>
      </c>
      <c r="C183" s="130" t="s">
        <v>253</v>
      </c>
      <c r="D183" s="97" t="e">
        <f>_xlfn.XLOOKUP(A183,[1]CPD_SOP_new!$A:$A,[1]CPD_SOP_new!#REF!,"not found",0 )</f>
        <v>#REF!</v>
      </c>
      <c r="E183" s="97" t="str">
        <f>_xlfn.XLOOKUP(A183,[1]CPD_SOP_new!$A:$A,[1]CPD_SOP_new!$K:$K,"not found",0 )</f>
        <v>2C</v>
      </c>
      <c r="F183" s="130" t="s">
        <v>27</v>
      </c>
      <c r="G183" s="130" t="s">
        <v>28</v>
      </c>
      <c r="H183" s="130" t="s">
        <v>28</v>
      </c>
      <c r="I183" s="130" t="s">
        <v>27</v>
      </c>
      <c r="J183" s="137" t="s">
        <v>68</v>
      </c>
      <c r="K183" s="85" t="str">
        <f t="shared" si="2"/>
        <v>/mnt/measurements/07_CANape/Mitsubishi/5K45/MMC4.1.2/Validation/2025_11_29/child/part2/Sleep//TC_26_Try3.MF4.xz,remove, real child mea available,RadarFC_Master,remove, real child mea available (ncap1,2),CPD,dummy</v>
      </c>
      <c r="L183" s="85" t="s">
        <v>3262</v>
      </c>
      <c r="M183" s="61" t="s">
        <v>316</v>
      </c>
      <c r="N183" s="131" t="s">
        <v>281</v>
      </c>
    </row>
    <row r="184" spans="1:21" s="130" customFormat="1" hidden="1">
      <c r="A184" s="78">
        <v>26</v>
      </c>
      <c r="B184" s="130" t="s">
        <v>38</v>
      </c>
      <c r="C184" s="130" t="s">
        <v>253</v>
      </c>
      <c r="D184" s="97" t="e">
        <f>_xlfn.XLOOKUP(A184,[1]CPD_SOP_new!$A:$A,[1]CPD_SOP_new!#REF!,"not found",0 )</f>
        <v>#REF!</v>
      </c>
      <c r="E184" s="97" t="str">
        <f>_xlfn.XLOOKUP(A184,[1]CPD_SOP_new!$A:$A,[1]CPD_SOP_new!$K:$K,"not found",0 )</f>
        <v>2C</v>
      </c>
      <c r="F184" s="130" t="s">
        <v>28</v>
      </c>
      <c r="G184" s="130" t="s">
        <v>28</v>
      </c>
      <c r="H184" s="130" t="s">
        <v>28</v>
      </c>
      <c r="I184" s="130" t="s">
        <v>27</v>
      </c>
      <c r="J184" s="130" t="s">
        <v>1029</v>
      </c>
      <c r="K184" s="85" t="str">
        <f t="shared" si="2"/>
        <v>/mnt/measurements/07_CANape/Mitsubishi/5K45/5.3.0_RC6/Customer_Testing/Real_Child_Measurements/CSR_XCP_Signals_Recorder_2026-01-30_16-08-33_TC26.MF4.xz,Doors are not locked,RadarFC_Master,Doors are not locked (ncap1,2),CPD,realchild</v>
      </c>
      <c r="L184" s="85" t="s">
        <v>3263</v>
      </c>
      <c r="M184" s="61" t="s">
        <v>1030</v>
      </c>
      <c r="N184" s="130" t="s">
        <v>213</v>
      </c>
      <c r="O184" s="130" t="s">
        <v>29</v>
      </c>
      <c r="P184" s="130" t="s">
        <v>29</v>
      </c>
      <c r="Q184" s="130">
        <v>1</v>
      </c>
      <c r="T184" s="130">
        <v>0</v>
      </c>
      <c r="U184" s="130">
        <v>0</v>
      </c>
    </row>
    <row r="185" spans="1:21">
      <c r="A185" s="77">
        <v>24</v>
      </c>
      <c r="B185" t="s">
        <v>38</v>
      </c>
      <c r="C185" t="s">
        <v>253</v>
      </c>
      <c r="D185" s="97" t="e">
        <f>_xlfn.XLOOKUP(A185,[1]CPD_SOP_new!$A:$A,[1]CPD_SOP_new!#REF!,"not found",0 )</f>
        <v>#REF!</v>
      </c>
      <c r="E185" s="97" t="str">
        <f>_xlfn.XLOOKUP(A185,[1]CPD_SOP_new!$A:$A,[1]CPD_SOP_new!$K:$K,"not found",0 )</f>
        <v>2R</v>
      </c>
      <c r="F185" t="s">
        <v>28</v>
      </c>
      <c r="G185" t="s">
        <v>28</v>
      </c>
      <c r="H185" t="s">
        <v>28</v>
      </c>
      <c r="I185" t="s">
        <v>28</v>
      </c>
      <c r="J185" t="s">
        <v>29</v>
      </c>
      <c r="K185" s="85" t="str">
        <f t="shared" si="2"/>
        <v>/mnt/measurements/07_CANape/Mitsubishi/5K45/5.3.0_RC6/Customer_Testing/Real_Child_Measurements/CSR_XCP_Signals_Recorder_2026-01-30_16-01-23_TC24.MF4.xz,child,RadarFC_Master,child (ncap1,2),CPD,realchild</v>
      </c>
      <c r="L185" s="85" t="s">
        <v>3264</v>
      </c>
      <c r="M185" s="60" t="s">
        <v>292</v>
      </c>
      <c r="N185" t="s">
        <v>213</v>
      </c>
      <c r="O185" t="s">
        <v>29</v>
      </c>
      <c r="P185" t="s">
        <v>29</v>
      </c>
      <c r="Q185">
        <v>1</v>
      </c>
      <c r="T185">
        <v>0</v>
      </c>
      <c r="U185">
        <v>0</v>
      </c>
    </row>
    <row r="186" spans="1:21">
      <c r="A186" s="77">
        <v>24</v>
      </c>
      <c r="B186" t="s">
        <v>38</v>
      </c>
      <c r="C186" t="s">
        <v>253</v>
      </c>
      <c r="D186" s="97" t="e">
        <f>_xlfn.XLOOKUP(A186,[1]CPD_SOP_new!$A:$A,[1]CPD_SOP_new!#REF!,"not found",0 )</f>
        <v>#REF!</v>
      </c>
      <c r="E186" s="97" t="str">
        <f>_xlfn.XLOOKUP(A186,[1]CPD_SOP_new!$A:$A,[1]CPD_SOP_new!$K:$K,"not found",0 )</f>
        <v>2R</v>
      </c>
      <c r="F186" t="s">
        <v>28</v>
      </c>
      <c r="G186" t="s">
        <v>28</v>
      </c>
      <c r="H186" t="s">
        <v>28</v>
      </c>
      <c r="I186" t="s">
        <v>28</v>
      </c>
      <c r="J186" t="s">
        <v>29</v>
      </c>
      <c r="K186" s="85" t="str">
        <f t="shared" si="2"/>
        <v>/mnt/measurements/07_CANape/Mitsubishi/5K45/5.3.0_RC6/Customer_Testing/Real_Child_Measurements/CSR_XCP_Signals_Recorder_2026-01-30_16-02-33_TC24.MF4.xz,child,RadarFC_Master,child (ncap1,2),CPD,realchild</v>
      </c>
      <c r="L186" s="85" t="s">
        <v>3265</v>
      </c>
      <c r="M186" s="60" t="s">
        <v>293</v>
      </c>
      <c r="N186" t="s">
        <v>213</v>
      </c>
      <c r="O186" t="s">
        <v>29</v>
      </c>
      <c r="P186" t="s">
        <v>29</v>
      </c>
      <c r="Q186">
        <v>1</v>
      </c>
      <c r="T186">
        <v>0</v>
      </c>
      <c r="U186">
        <v>0</v>
      </c>
    </row>
    <row r="187" spans="1:21">
      <c r="A187" s="77">
        <v>24</v>
      </c>
      <c r="B187" t="s">
        <v>38</v>
      </c>
      <c r="C187" t="s">
        <v>253</v>
      </c>
      <c r="D187" s="97" t="e">
        <f>_xlfn.XLOOKUP(A187,[1]CPD_SOP_new!$A:$A,[1]CPD_SOP_new!#REF!,"not found",0 )</f>
        <v>#REF!</v>
      </c>
      <c r="E187" s="97" t="str">
        <f>_xlfn.XLOOKUP(A187,[1]CPD_SOP_new!$A:$A,[1]CPD_SOP_new!$K:$K,"not found",0 )</f>
        <v>2R</v>
      </c>
      <c r="F187" t="s">
        <v>28</v>
      </c>
      <c r="G187" t="s">
        <v>28</v>
      </c>
      <c r="H187" t="s">
        <v>28</v>
      </c>
      <c r="I187" t="s">
        <v>28</v>
      </c>
      <c r="J187" t="s">
        <v>29</v>
      </c>
      <c r="K187" s="85" t="str">
        <f t="shared" si="2"/>
        <v>/mnt/measurements/07_CANape/Mitsubishi/5K45/5.3.0_RC6/Customer_Testing/Real_Child_Measurements/CSR_XCP_Signals_Recorder_2026-01-30_16-03-40_TC24.MF4.xz,child,RadarFC_Master,child (ncap1,2),CPD,realchild</v>
      </c>
      <c r="L187" s="85" t="s">
        <v>3266</v>
      </c>
      <c r="M187" s="60" t="s">
        <v>294</v>
      </c>
      <c r="N187" t="s">
        <v>213</v>
      </c>
      <c r="O187" t="s">
        <v>29</v>
      </c>
      <c r="P187" t="s">
        <v>29</v>
      </c>
      <c r="Q187">
        <v>1</v>
      </c>
      <c r="T187">
        <v>0</v>
      </c>
      <c r="U187">
        <v>0</v>
      </c>
    </row>
    <row r="188" spans="1:21">
      <c r="A188" s="77">
        <v>25</v>
      </c>
      <c r="B188" t="s">
        <v>38</v>
      </c>
      <c r="C188" t="s">
        <v>253</v>
      </c>
      <c r="D188" s="97" t="e">
        <f>_xlfn.XLOOKUP(A188,[1]CPD_SOP_new!$A:$A,[1]CPD_SOP_new!#REF!,"not found",0 )</f>
        <v>#REF!</v>
      </c>
      <c r="E188" s="97" t="str">
        <f>_xlfn.XLOOKUP(A188,[1]CPD_SOP_new!$A:$A,[1]CPD_SOP_new!$K:$K,"not found",0 )</f>
        <v>2L</v>
      </c>
      <c r="F188" t="s">
        <v>28</v>
      </c>
      <c r="G188" t="s">
        <v>28</v>
      </c>
      <c r="H188" t="s">
        <v>28</v>
      </c>
      <c r="I188" t="s">
        <v>28</v>
      </c>
      <c r="J188" t="s">
        <v>29</v>
      </c>
      <c r="K188" s="85" t="str">
        <f t="shared" si="2"/>
        <v>/mnt/measurements/07_CANape/Mitsubishi/5K45/MMC5.0.0_RC3/Real_Child_Tests/CSR_XCP_Signals_Recorder_2025-12-10_10-28-27_TC25_6YO2RL_CPD.MF4.xz,child,RadarFC_Master,child (ncap1,2),CPD,realchild</v>
      </c>
      <c r="L188" s="85" t="s">
        <v>3267</v>
      </c>
      <c r="M188" s="60" t="s">
        <v>295</v>
      </c>
      <c r="N188" s="129" t="s">
        <v>217</v>
      </c>
    </row>
    <row r="189" spans="1:21">
      <c r="A189" s="77">
        <v>25</v>
      </c>
      <c r="B189" t="s">
        <v>38</v>
      </c>
      <c r="C189" t="s">
        <v>253</v>
      </c>
      <c r="D189" s="97" t="e">
        <f>_xlfn.XLOOKUP(A189,[1]CPD_SOP_new!$A:$A,[1]CPD_SOP_new!#REF!,"not found",0 )</f>
        <v>#REF!</v>
      </c>
      <c r="E189" s="97" t="str">
        <f>_xlfn.XLOOKUP(A189,[1]CPD_SOP_new!$A:$A,[1]CPD_SOP_new!$K:$K,"not found",0 )</f>
        <v>2L</v>
      </c>
      <c r="F189" t="s">
        <v>28</v>
      </c>
      <c r="G189" t="s">
        <v>28</v>
      </c>
      <c r="H189" t="s">
        <v>28</v>
      </c>
      <c r="I189" t="s">
        <v>28</v>
      </c>
      <c r="J189" t="s">
        <v>29</v>
      </c>
      <c r="K189" s="85" t="str">
        <f t="shared" si="2"/>
        <v>/mnt/measurements/07_CANape/Mitsubishi/5K45/MMC5.0.0_RC3/Real_Child_Tests/CSR_XCP_Signals_Recorder_2025-12-10_10-31-22_TC25_6YO2RL_CPD.MF4.xz,child,RadarFC_Master,child (ncap1,2),CPD,realchild</v>
      </c>
      <c r="L189" s="85" t="s">
        <v>3268</v>
      </c>
      <c r="M189" s="60" t="s">
        <v>297</v>
      </c>
      <c r="N189" s="129" t="s">
        <v>217</v>
      </c>
    </row>
    <row r="190" spans="1:21">
      <c r="A190" s="77">
        <v>25</v>
      </c>
      <c r="B190" t="s">
        <v>38</v>
      </c>
      <c r="C190" t="s">
        <v>253</v>
      </c>
      <c r="D190" s="97" t="e">
        <f>_xlfn.XLOOKUP(A190,[1]CPD_SOP_new!$A:$A,[1]CPD_SOP_new!#REF!,"not found",0 )</f>
        <v>#REF!</v>
      </c>
      <c r="E190" s="97" t="str">
        <f>_xlfn.XLOOKUP(A190,[1]CPD_SOP_new!$A:$A,[1]CPD_SOP_new!$K:$K,"not found",0 )</f>
        <v>2L</v>
      </c>
      <c r="F190" t="s">
        <v>28</v>
      </c>
      <c r="G190" t="s">
        <v>28</v>
      </c>
      <c r="H190" t="s">
        <v>28</v>
      </c>
      <c r="I190" t="s">
        <v>28</v>
      </c>
      <c r="J190" t="s">
        <v>29</v>
      </c>
      <c r="K190" s="85" t="str">
        <f t="shared" si="2"/>
        <v>/mnt/measurements/07_CANape/Mitsubishi/5K45/MMC5.0.0_RC3/Real_Child_Tests/CSR_XCP_Signals_Recorder_2025-12-10_10-33-22_TC25_6YO2RL_CPD.MF4.xz,child,RadarFC_Master,child (ncap1,2),CPD,realchild</v>
      </c>
      <c r="L190" s="85" t="s">
        <v>3269</v>
      </c>
      <c r="M190" t="s">
        <v>298</v>
      </c>
      <c r="N190" s="129" t="s">
        <v>217</v>
      </c>
    </row>
    <row r="191" spans="1:21">
      <c r="A191" s="77">
        <v>25</v>
      </c>
      <c r="B191" t="s">
        <v>38</v>
      </c>
      <c r="C191" t="s">
        <v>253</v>
      </c>
      <c r="D191" s="97" t="e">
        <f>_xlfn.XLOOKUP(A191,[1]CPD_SOP_new!$A:$A,[1]CPD_SOP_new!#REF!,"not found",0 )</f>
        <v>#REF!</v>
      </c>
      <c r="E191" s="97" t="str">
        <f>_xlfn.XLOOKUP(A191,[1]CPD_SOP_new!$A:$A,[1]CPD_SOP_new!$K:$K,"not found",0 )</f>
        <v>2L</v>
      </c>
      <c r="F191" t="s">
        <v>28</v>
      </c>
      <c r="G191" t="s">
        <v>28</v>
      </c>
      <c r="H191" t="s">
        <v>28</v>
      </c>
      <c r="I191" t="s">
        <v>28</v>
      </c>
      <c r="J191" t="s">
        <v>29</v>
      </c>
      <c r="K191" s="85" t="str">
        <f t="shared" si="2"/>
        <v>/mnt/measurements/07_CANape/Mitsubishi/5K45/MMC5.0.0_RC3/Real_Child_Tests/CSR_XCP_Signals_Recorder_2025-12-10_10-35-23_TC25_6YO2RL_CPD.MF4.xz,child,RadarFC_Master,child (ncap1,2),CPD,realchild</v>
      </c>
      <c r="L191" s="85" t="s">
        <v>3270</v>
      </c>
      <c r="M191" t="s">
        <v>299</v>
      </c>
      <c r="N191" s="129" t="s">
        <v>217</v>
      </c>
    </row>
    <row r="192" spans="1:21">
      <c r="A192" s="77">
        <v>25</v>
      </c>
      <c r="B192" t="s">
        <v>38</v>
      </c>
      <c r="C192" t="s">
        <v>253</v>
      </c>
      <c r="D192" s="97" t="e">
        <f>_xlfn.XLOOKUP(A192,[1]CPD_SOP_new!$A:$A,[1]CPD_SOP_new!#REF!,"not found",0 )</f>
        <v>#REF!</v>
      </c>
      <c r="E192" s="97" t="str">
        <f>_xlfn.XLOOKUP(A192,[1]CPD_SOP_new!$A:$A,[1]CPD_SOP_new!$K:$K,"not found",0 )</f>
        <v>2L</v>
      </c>
      <c r="F192" t="s">
        <v>28</v>
      </c>
      <c r="G192" t="s">
        <v>28</v>
      </c>
      <c r="H192" t="s">
        <v>28</v>
      </c>
      <c r="I192" t="s">
        <v>28</v>
      </c>
      <c r="J192" t="s">
        <v>29</v>
      </c>
      <c r="K192" s="85" t="str">
        <f t="shared" si="2"/>
        <v>/mnt/measurements/07_CANape/Mitsubishi/5K45/MMC5.0.0_RC3/Real_Child_Tests/CSR_XCP_Signals_Recorder_2025-12-10_10-37-11_TC25_6YO2RL_CPD.MF4.xz,child,RadarFC_Master,child (ncap1,2),CPD,realchild</v>
      </c>
      <c r="L192" s="85" t="s">
        <v>3271</v>
      </c>
      <c r="M192" t="s">
        <v>300</v>
      </c>
      <c r="N192" s="129" t="s">
        <v>217</v>
      </c>
    </row>
    <row r="193" spans="1:21">
      <c r="A193" s="77">
        <v>25</v>
      </c>
      <c r="B193" t="s">
        <v>38</v>
      </c>
      <c r="C193" t="s">
        <v>253</v>
      </c>
      <c r="D193" s="97" t="e">
        <f>_xlfn.XLOOKUP(A193,[1]CPD_SOP_new!$A:$A,[1]CPD_SOP_new!#REF!,"not found",0 )</f>
        <v>#REF!</v>
      </c>
      <c r="E193" s="97" t="str">
        <f>_xlfn.XLOOKUP(A193,[1]CPD_SOP_new!$A:$A,[1]CPD_SOP_new!$K:$K,"not found",0 )</f>
        <v>2L</v>
      </c>
      <c r="F193" t="s">
        <v>28</v>
      </c>
      <c r="G193" t="s">
        <v>28</v>
      </c>
      <c r="H193" t="s">
        <v>28</v>
      </c>
      <c r="I193" t="s">
        <v>28</v>
      </c>
      <c r="J193" t="s">
        <v>29</v>
      </c>
      <c r="K193" s="85" t="str">
        <f t="shared" si="2"/>
        <v>/mnt/measurements/07_CANape/Mitsubishi/5K45/5.3.0_RC6/Customer_Testing/Real_Child_Measurements/CSR_XCP_Signals_Recorder_2026-01-30_16-26-12_TC25.MF4.xz,child,RadarFC_Master,child (ncap1,2),CPD,realchild</v>
      </c>
      <c r="L193" s="85" t="s">
        <v>3272</v>
      </c>
      <c r="M193" s="60" t="s">
        <v>304</v>
      </c>
      <c r="N193" t="s">
        <v>213</v>
      </c>
      <c r="O193" t="s">
        <v>29</v>
      </c>
      <c r="P193" t="s">
        <v>29</v>
      </c>
      <c r="Q193">
        <v>1</v>
      </c>
      <c r="T193">
        <v>0</v>
      </c>
      <c r="U193">
        <v>0</v>
      </c>
    </row>
    <row r="194" spans="1:21" s="130" customFormat="1" hidden="1">
      <c r="A194" s="78">
        <v>27</v>
      </c>
      <c r="B194" s="130" t="s">
        <v>38</v>
      </c>
      <c r="C194" s="130" t="s">
        <v>253</v>
      </c>
      <c r="D194" s="97" t="e">
        <f>_xlfn.XLOOKUP(A194,[1]CPD_SOP_new!$A:$A,[1]CPD_SOP_new!#REF!,"not found",0 )</f>
        <v>#REF!</v>
      </c>
      <c r="E194" s="97" t="str">
        <f>_xlfn.XLOOKUP(A194,[1]CPD_SOP_new!$A:$A,[1]CPD_SOP_new!$K:$K,"not found",0 )</f>
        <v>3R</v>
      </c>
      <c r="F194" s="130" t="s">
        <v>27</v>
      </c>
      <c r="G194" s="130" t="s">
        <v>28</v>
      </c>
      <c r="H194" s="130" t="s">
        <v>28</v>
      </c>
      <c r="I194" s="130" t="s">
        <v>27</v>
      </c>
      <c r="J194" s="137" t="s">
        <v>68</v>
      </c>
      <c r="K194" s="85" t="str">
        <f t="shared" ref="K194:K257" si="3">N194&amp;"/"&amp;M194&amp;","&amp;IF(J194="ncap3","child",J194)&amp;",RadarFC_Master,"&amp;IF(J194="ncap3","child",J194)&amp;IF(B194="ncap1,2"," ("&amp;B194&amp;")","")&amp;IF(B194="ncap3"," ("&amp;B194&amp;")","")&amp;IF(B194="multiple children"," (ncap1,2)","")&amp;IF(B194="NB awake"," (ncap1,2)","")&amp;",CPD,"&amp;IF(F194="Y","realchild","dummy")</f>
        <v>/mnt/measurements/07_CANape/Mitsubishi/5K45/MMC5.1.0/5K457EG11/CSR_XCP_Signals_Recorder_2025-12-19_09-54-59_TC27_CPD.MF4.xz,remove, real child mea available,RadarFC_Master,remove, real child mea available (ncap1,2),CPD,dummy</v>
      </c>
      <c r="L194" s="85" t="s">
        <v>3273</v>
      </c>
      <c r="M194" s="62" t="s">
        <v>329</v>
      </c>
      <c r="N194" s="131" t="s">
        <v>202</v>
      </c>
    </row>
    <row r="195" spans="1:21" s="130" customFormat="1" hidden="1">
      <c r="A195" s="78">
        <v>27</v>
      </c>
      <c r="B195" s="130" t="s">
        <v>38</v>
      </c>
      <c r="C195" s="130" t="s">
        <v>253</v>
      </c>
      <c r="D195" s="97" t="e">
        <f>_xlfn.XLOOKUP(A195,[1]CPD_SOP_new!$A:$A,[1]CPD_SOP_new!#REF!,"not found",0 )</f>
        <v>#REF!</v>
      </c>
      <c r="E195" s="97" t="str">
        <f>_xlfn.XLOOKUP(A195,[1]CPD_SOP_new!$A:$A,[1]CPD_SOP_new!$K:$K,"not found",0 )</f>
        <v>3R</v>
      </c>
      <c r="F195" s="130" t="s">
        <v>27</v>
      </c>
      <c r="G195" s="130" t="s">
        <v>28</v>
      </c>
      <c r="H195" s="130" t="s">
        <v>28</v>
      </c>
      <c r="I195" s="130" t="s">
        <v>27</v>
      </c>
      <c r="J195" s="137" t="s">
        <v>68</v>
      </c>
      <c r="K195" s="85" t="str">
        <f t="shared" si="3"/>
        <v>/mnt/measurements/07_CANape/Mitsubishi/5K45/MMC5.1.0/5K457EG11/CSR_XCP_Signals_Recorder_2025-12-19_09-56-34_TC27_CPD.MF4.xz,remove, real child mea available,RadarFC_Master,remove, real child mea available (ncap1,2),CPD,dummy</v>
      </c>
      <c r="L195" s="85" t="s">
        <v>3274</v>
      </c>
      <c r="M195" s="62" t="s">
        <v>330</v>
      </c>
      <c r="N195" s="131" t="s">
        <v>202</v>
      </c>
    </row>
    <row r="196" spans="1:21" s="130" customFormat="1" hidden="1">
      <c r="A196" s="78">
        <v>27</v>
      </c>
      <c r="B196" s="130" t="s">
        <v>38</v>
      </c>
      <c r="C196" s="130" t="s">
        <v>253</v>
      </c>
      <c r="D196" s="97" t="e">
        <f>_xlfn.XLOOKUP(A196,[1]CPD_SOP_new!$A:$A,[1]CPD_SOP_new!#REF!,"not found",0 )</f>
        <v>#REF!</v>
      </c>
      <c r="E196" s="97" t="str">
        <f>_xlfn.XLOOKUP(A196,[1]CPD_SOP_new!$A:$A,[1]CPD_SOP_new!$K:$K,"not found",0 )</f>
        <v>3R</v>
      </c>
      <c r="F196" s="130" t="s">
        <v>27</v>
      </c>
      <c r="G196" s="130" t="s">
        <v>28</v>
      </c>
      <c r="H196" s="130" t="s">
        <v>28</v>
      </c>
      <c r="I196" s="130" t="s">
        <v>27</v>
      </c>
      <c r="J196" s="137" t="s">
        <v>68</v>
      </c>
      <c r="K196" s="85" t="str">
        <f t="shared" si="3"/>
        <v>/mnt/measurements/07_CANape/Mitsubishi/5K45/MMC5.1.0/5K457EG11/CSR_XCP_Signals_Recorder_2025-12-19_10-04-27_TC27_CPD.MF4.xz,remove, real child mea available,RadarFC_Master,remove, real child mea available (ncap1,2),CPD,dummy</v>
      </c>
      <c r="L196" s="85" t="s">
        <v>3275</v>
      </c>
      <c r="M196" s="62" t="s">
        <v>331</v>
      </c>
      <c r="N196" s="131" t="s">
        <v>202</v>
      </c>
    </row>
    <row r="197" spans="1:21">
      <c r="A197" s="77">
        <v>25</v>
      </c>
      <c r="B197" t="s">
        <v>38</v>
      </c>
      <c r="C197" t="s">
        <v>253</v>
      </c>
      <c r="D197" s="97" t="e">
        <f>_xlfn.XLOOKUP(A197,[1]CPD_SOP_new!$A:$A,[1]CPD_SOP_new!#REF!,"not found",0 )</f>
        <v>#REF!</v>
      </c>
      <c r="E197" s="97" t="str">
        <f>_xlfn.XLOOKUP(A197,[1]CPD_SOP_new!$A:$A,[1]CPD_SOP_new!$K:$K,"not found",0 )</f>
        <v>2L</v>
      </c>
      <c r="F197" t="s">
        <v>28</v>
      </c>
      <c r="G197" t="s">
        <v>28</v>
      </c>
      <c r="H197" t="s">
        <v>28</v>
      </c>
      <c r="I197" t="s">
        <v>28</v>
      </c>
      <c r="J197" t="s">
        <v>29</v>
      </c>
      <c r="K197" s="85" t="str">
        <f t="shared" si="3"/>
        <v>/mnt/measurements/07_CANape/Mitsubishi/5K45/5.3.0_RC6/Customer_Testing/Real_Child_Measurements/CSR_XCP_Signals_Recorder_2026-01-30_16-27-01_TC25.MF4.xz,child,RadarFC_Master,child (ncap1,2),CPD,realchild</v>
      </c>
      <c r="L197" s="85" t="s">
        <v>3276</v>
      </c>
      <c r="M197" s="60" t="s">
        <v>306</v>
      </c>
      <c r="N197" t="s">
        <v>213</v>
      </c>
      <c r="O197" t="s">
        <v>29</v>
      </c>
      <c r="P197" t="s">
        <v>29</v>
      </c>
      <c r="Q197">
        <v>1</v>
      </c>
      <c r="T197">
        <v>0</v>
      </c>
      <c r="U197">
        <v>0</v>
      </c>
    </row>
    <row r="198" spans="1:21">
      <c r="A198" s="77">
        <v>25</v>
      </c>
      <c r="B198" t="s">
        <v>38</v>
      </c>
      <c r="C198" t="s">
        <v>253</v>
      </c>
      <c r="D198" s="97" t="e">
        <f>_xlfn.XLOOKUP(A198,[1]CPD_SOP_new!$A:$A,[1]CPD_SOP_new!#REF!,"not found",0 )</f>
        <v>#REF!</v>
      </c>
      <c r="E198" s="97" t="str">
        <f>_xlfn.XLOOKUP(A198,[1]CPD_SOP_new!$A:$A,[1]CPD_SOP_new!$K:$K,"not found",0 )</f>
        <v>2L</v>
      </c>
      <c r="F198" t="s">
        <v>28</v>
      </c>
      <c r="G198" t="s">
        <v>28</v>
      </c>
      <c r="H198" t="s">
        <v>28</v>
      </c>
      <c r="I198" t="s">
        <v>28</v>
      </c>
      <c r="J198" t="s">
        <v>29</v>
      </c>
      <c r="K198" s="85" t="str">
        <f t="shared" si="3"/>
        <v>/mnt/measurements/07_CANape/Mitsubishi/5K45/5.3.0_RC6/Customer_Testing/Real_Child_Measurements/CSR_XCP_Signals_Recorder_2026-01-30_16-27-48_TC25.MF4.xz,child,RadarFC_Master,child (ncap1,2),CPD,realchild</v>
      </c>
      <c r="L198" s="85" t="s">
        <v>3277</v>
      </c>
      <c r="M198" s="60" t="s">
        <v>307</v>
      </c>
      <c r="N198" t="s">
        <v>213</v>
      </c>
      <c r="O198" t="s">
        <v>29</v>
      </c>
      <c r="P198" t="s">
        <v>29</v>
      </c>
      <c r="Q198">
        <v>1</v>
      </c>
      <c r="T198">
        <v>0</v>
      </c>
      <c r="U198">
        <v>0</v>
      </c>
    </row>
    <row r="199" spans="1:21">
      <c r="A199" s="77">
        <v>25</v>
      </c>
      <c r="B199" t="s">
        <v>38</v>
      </c>
      <c r="C199" t="s">
        <v>253</v>
      </c>
      <c r="D199" s="97" t="e">
        <f>_xlfn.XLOOKUP(A199,[1]CPD_SOP_new!$A:$A,[1]CPD_SOP_new!#REF!,"not found",0 )</f>
        <v>#REF!</v>
      </c>
      <c r="E199" s="97" t="str">
        <f>_xlfn.XLOOKUP(A199,[1]CPD_SOP_new!$A:$A,[1]CPD_SOP_new!$K:$K,"not found",0 )</f>
        <v>2L</v>
      </c>
      <c r="F199" t="s">
        <v>28</v>
      </c>
      <c r="G199" t="s">
        <v>28</v>
      </c>
      <c r="H199" t="s">
        <v>28</v>
      </c>
      <c r="I199" t="s">
        <v>28</v>
      </c>
      <c r="J199" t="s">
        <v>29</v>
      </c>
      <c r="K199" s="85" t="str">
        <f t="shared" si="3"/>
        <v>/mnt/measurements/07_CANape/Mitsubishi/5K45/5.3.0_RC6/Customer_Testing/Real_Child_Measurements/6YO/CSR_XCP_Signals_Recorder_2026-01-30_14-08-58_TC25.MF4.xz,child,RadarFC_Master,child (ncap1,2),CPD,realchild</v>
      </c>
      <c r="L199" s="85" t="s">
        <v>3278</v>
      </c>
      <c r="M199" s="60" t="s">
        <v>308</v>
      </c>
      <c r="N199" t="s">
        <v>271</v>
      </c>
      <c r="O199" t="s">
        <v>29</v>
      </c>
      <c r="P199" t="s">
        <v>29</v>
      </c>
      <c r="Q199">
        <v>1</v>
      </c>
      <c r="T199">
        <v>0</v>
      </c>
      <c r="U199">
        <v>0</v>
      </c>
    </row>
    <row r="200" spans="1:21">
      <c r="A200" s="77">
        <v>25</v>
      </c>
      <c r="B200" t="s">
        <v>38</v>
      </c>
      <c r="C200" t="s">
        <v>253</v>
      </c>
      <c r="D200" s="97" t="e">
        <f>_xlfn.XLOOKUP(A200,[1]CPD_SOP_new!$A:$A,[1]CPD_SOP_new!#REF!,"not found",0 )</f>
        <v>#REF!</v>
      </c>
      <c r="E200" s="97" t="str">
        <f>_xlfn.XLOOKUP(A200,[1]CPD_SOP_new!$A:$A,[1]CPD_SOP_new!$K:$K,"not found",0 )</f>
        <v>2L</v>
      </c>
      <c r="F200" t="s">
        <v>28</v>
      </c>
      <c r="G200" t="s">
        <v>28</v>
      </c>
      <c r="H200" t="s">
        <v>28</v>
      </c>
      <c r="I200" t="s">
        <v>28</v>
      </c>
      <c r="J200" t="s">
        <v>29</v>
      </c>
      <c r="K200" s="85" t="str">
        <f t="shared" si="3"/>
        <v>/mnt/measurements/07_CANape/Mitsubishi/5K45/5.3.0_RC6/Customer_Testing/Real_Child_Measurements/6YO/CSR_XCP_Signals_Recorder_2026-01-30_14-10-22_TC25.MF4.xz,child,RadarFC_Master,child (ncap1,2),CPD,realchild</v>
      </c>
      <c r="L200" s="85" t="s">
        <v>3279</v>
      </c>
      <c r="M200" s="60" t="s">
        <v>310</v>
      </c>
      <c r="N200" t="s">
        <v>271</v>
      </c>
      <c r="O200" t="s">
        <v>29</v>
      </c>
      <c r="P200" t="s">
        <v>29</v>
      </c>
      <c r="Q200">
        <v>1</v>
      </c>
      <c r="T200">
        <v>0</v>
      </c>
      <c r="U200">
        <v>0</v>
      </c>
    </row>
    <row r="201" spans="1:21">
      <c r="A201" s="59">
        <v>25</v>
      </c>
      <c r="B201" t="s">
        <v>38</v>
      </c>
      <c r="C201" t="s">
        <v>253</v>
      </c>
      <c r="D201" s="97" t="e">
        <f>_xlfn.XLOOKUP(A201,[1]CPD_SOP_new!$A:$A,[1]CPD_SOP_new!#REF!,"not found",0 )</f>
        <v>#REF!</v>
      </c>
      <c r="E201" s="97" t="str">
        <f>_xlfn.XLOOKUP(A201,[1]CPD_SOP_new!$A:$A,[1]CPD_SOP_new!$K:$K,"not found",0 )</f>
        <v>2L</v>
      </c>
      <c r="F201" t="s">
        <v>28</v>
      </c>
      <c r="G201" t="s">
        <v>28</v>
      </c>
      <c r="H201" t="s">
        <v>28</v>
      </c>
      <c r="I201" t="s">
        <v>28</v>
      </c>
      <c r="J201" s="85" t="s">
        <v>29</v>
      </c>
      <c r="K201" s="85" t="str">
        <f t="shared" si="3"/>
        <v>/mnt/measurements/07_CANape/Mitsubishi/5K45/5.3.0_RC7/5K457EG11/RealChild/CSR_XCP_Signals_Recorder_2026-02-04_17-13-56_CPD_TC25_with_reset.MF4.xz,child,RadarFC_Master,child (ncap1,2),CPD,realchild</v>
      </c>
      <c r="L201" s="85" t="s">
        <v>3280</v>
      </c>
      <c r="M201" s="109" t="s">
        <v>311</v>
      </c>
      <c r="N201" t="s">
        <v>277</v>
      </c>
    </row>
    <row r="202" spans="1:21">
      <c r="A202" s="59">
        <v>25</v>
      </c>
      <c r="B202" t="s">
        <v>38</v>
      </c>
      <c r="C202" t="s">
        <v>253</v>
      </c>
      <c r="D202" s="97" t="e">
        <f>_xlfn.XLOOKUP(A202,[1]CPD_SOP_new!$A:$A,[1]CPD_SOP_new!#REF!,"not found",0 )</f>
        <v>#REF!</v>
      </c>
      <c r="E202" s="97" t="str">
        <f>_xlfn.XLOOKUP(A202,[1]CPD_SOP_new!$A:$A,[1]CPD_SOP_new!$K:$K,"not found",0 )</f>
        <v>2L</v>
      </c>
      <c r="F202" t="s">
        <v>28</v>
      </c>
      <c r="G202" t="s">
        <v>28</v>
      </c>
      <c r="H202" t="s">
        <v>28</v>
      </c>
      <c r="I202" t="s">
        <v>28</v>
      </c>
      <c r="J202" s="85" t="s">
        <v>29</v>
      </c>
      <c r="K202" s="85" t="str">
        <f t="shared" si="3"/>
        <v>/mnt/measurements/07_CANape/Mitsubishi/5K45/5.3.0_RC7/5K457EG11/RealChild/CSR_XCP_Signals_Recorder_2026-02-04_17-15-12_CPD_TC25_with_reset.MF4.xz,child,RadarFC_Master,child (ncap1,2),CPD,realchild</v>
      </c>
      <c r="L202" s="85" t="s">
        <v>3281</v>
      </c>
      <c r="M202" s="109" t="s">
        <v>312</v>
      </c>
      <c r="N202" t="s">
        <v>277</v>
      </c>
    </row>
    <row r="203" spans="1:21" s="130" customFormat="1" hidden="1">
      <c r="A203" s="78">
        <v>28</v>
      </c>
      <c r="B203" s="130" t="s">
        <v>38</v>
      </c>
      <c r="C203" s="130" t="s">
        <v>253</v>
      </c>
      <c r="D203" s="97" t="e">
        <f>_xlfn.XLOOKUP(A203,[1]CPD_SOP_new!$A:$A,[1]CPD_SOP_new!#REF!,"not found",0 )</f>
        <v>#REF!</v>
      </c>
      <c r="E203" s="97" t="str">
        <f>_xlfn.XLOOKUP(A203,[1]CPD_SOP_new!$A:$A,[1]CPD_SOP_new!$K:$K,"not found",0 )</f>
        <v>3L</v>
      </c>
      <c r="F203" s="130" t="s">
        <v>27</v>
      </c>
      <c r="G203" s="130" t="s">
        <v>28</v>
      </c>
      <c r="H203" s="130" t="s">
        <v>28</v>
      </c>
      <c r="I203" s="130" t="s">
        <v>27</v>
      </c>
      <c r="J203" s="137" t="s">
        <v>68</v>
      </c>
      <c r="K203" s="85" t="str">
        <f t="shared" si="3"/>
        <v>/mnt/measurements/07_CANape/Mitsubishi/5K45/MMC4.1.2/Validation/2025_11_29/child/part2/Sleep//TC_28_Try1.MF4.xz,remove, real child mea available,RadarFC_Master,remove, real child mea available (ncap1,2),CPD,dummy</v>
      </c>
      <c r="L203" s="85" t="s">
        <v>3282</v>
      </c>
      <c r="M203" s="130" t="s">
        <v>342</v>
      </c>
      <c r="N203" s="131" t="s">
        <v>281</v>
      </c>
    </row>
    <row r="204" spans="1:21" s="130" customFormat="1" hidden="1">
      <c r="A204" s="78">
        <v>28</v>
      </c>
      <c r="B204" s="130" t="s">
        <v>38</v>
      </c>
      <c r="C204" s="130" t="s">
        <v>253</v>
      </c>
      <c r="D204" s="97" t="e">
        <f>_xlfn.XLOOKUP(A204,[1]CPD_SOP_new!$A:$A,[1]CPD_SOP_new!#REF!,"not found",0 )</f>
        <v>#REF!</v>
      </c>
      <c r="E204" s="97" t="str">
        <f>_xlfn.XLOOKUP(A204,[1]CPD_SOP_new!$A:$A,[1]CPD_SOP_new!$K:$K,"not found",0 )</f>
        <v>3L</v>
      </c>
      <c r="F204" s="130" t="s">
        <v>27</v>
      </c>
      <c r="G204" s="130" t="s">
        <v>28</v>
      </c>
      <c r="H204" s="130" t="s">
        <v>28</v>
      </c>
      <c r="I204" s="130" t="s">
        <v>27</v>
      </c>
      <c r="J204" s="137" t="s">
        <v>68</v>
      </c>
      <c r="K204" s="85" t="str">
        <f t="shared" si="3"/>
        <v>/mnt/measurements/07_CANape/Mitsubishi/5K45/MMC4.1.2/Validation/2025_11_29/child/part2/Sleep//TC_28_Try1.MF4.xz,remove, real child mea available,RadarFC_Master,remove, real child mea available (ncap1,2),CPD,dummy</v>
      </c>
      <c r="L204" s="85" t="s">
        <v>3282</v>
      </c>
      <c r="M204" s="130" t="s">
        <v>342</v>
      </c>
      <c r="N204" s="131" t="s">
        <v>281</v>
      </c>
    </row>
    <row r="205" spans="1:21" s="130" customFormat="1" hidden="1">
      <c r="A205" s="78">
        <v>28</v>
      </c>
      <c r="B205" s="130" t="s">
        <v>38</v>
      </c>
      <c r="C205" s="130" t="s">
        <v>253</v>
      </c>
      <c r="D205" s="97" t="e">
        <f>_xlfn.XLOOKUP(A205,[1]CPD_SOP_new!$A:$A,[1]CPD_SOP_new!#REF!,"not found",0 )</f>
        <v>#REF!</v>
      </c>
      <c r="E205" s="97" t="str">
        <f>_xlfn.XLOOKUP(A205,[1]CPD_SOP_new!$A:$A,[1]CPD_SOP_new!$K:$K,"not found",0 )</f>
        <v>3L</v>
      </c>
      <c r="F205" s="130" t="s">
        <v>27</v>
      </c>
      <c r="G205" s="130" t="s">
        <v>28</v>
      </c>
      <c r="H205" s="130" t="s">
        <v>28</v>
      </c>
      <c r="I205" s="130" t="s">
        <v>27</v>
      </c>
      <c r="J205" s="137" t="s">
        <v>68</v>
      </c>
      <c r="K205" s="85" t="str">
        <f t="shared" si="3"/>
        <v>/mnt/measurements/07_CANape/Mitsubishi/5K45/MMC4.1.2/Validation/2025_11_29/child/part2/Sleep//TC_28_Try1.MF4.xz,remove, real child mea available,RadarFC_Master,remove, real child mea available (ncap1,2),CPD,dummy</v>
      </c>
      <c r="L205" s="85" t="s">
        <v>3282</v>
      </c>
      <c r="M205" s="130" t="s">
        <v>342</v>
      </c>
      <c r="N205" s="131" t="s">
        <v>281</v>
      </c>
    </row>
    <row r="206" spans="1:21">
      <c r="A206" s="59">
        <v>25</v>
      </c>
      <c r="B206" t="s">
        <v>38</v>
      </c>
      <c r="C206" t="s">
        <v>253</v>
      </c>
      <c r="D206" s="97" t="e">
        <f>_xlfn.XLOOKUP(A206,[1]CPD_SOP_new!$A:$A,[1]CPD_SOP_new!#REF!,"not found",0 )</f>
        <v>#REF!</v>
      </c>
      <c r="E206" s="97" t="str">
        <f>_xlfn.XLOOKUP(A206,[1]CPD_SOP_new!$A:$A,[1]CPD_SOP_new!$K:$K,"not found",0 )</f>
        <v>2L</v>
      </c>
      <c r="F206" t="s">
        <v>28</v>
      </c>
      <c r="G206" t="s">
        <v>28</v>
      </c>
      <c r="H206" t="s">
        <v>28</v>
      </c>
      <c r="I206" t="s">
        <v>28</v>
      </c>
      <c r="J206" s="85" t="s">
        <v>29</v>
      </c>
      <c r="K206" s="85" t="str">
        <f t="shared" si="3"/>
        <v>/mnt/measurements/07_CANape/Mitsubishi/5K45/5.3.0_RC7/5K457EG11/RealChild/CSR_XCP_Signals_Recorder_2026-02-04_17-16-32_CPD_TC25_with_reset.MF4.xz,child,RadarFC_Master,child (ncap1,2),CPD,realchild</v>
      </c>
      <c r="L206" s="85" t="s">
        <v>3283</v>
      </c>
      <c r="M206" s="109" t="s">
        <v>313</v>
      </c>
      <c r="N206" t="s">
        <v>277</v>
      </c>
    </row>
    <row r="207" spans="1:21">
      <c r="A207" s="77">
        <v>26</v>
      </c>
      <c r="B207" t="s">
        <v>38</v>
      </c>
      <c r="C207" t="s">
        <v>253</v>
      </c>
      <c r="D207" s="97" t="e">
        <f>_xlfn.XLOOKUP(A207,[1]CPD_SOP_new!$A:$A,[1]CPD_SOP_new!#REF!,"not found",0 )</f>
        <v>#REF!</v>
      </c>
      <c r="E207" s="97" t="str">
        <f>_xlfn.XLOOKUP(A207,[1]CPD_SOP_new!$A:$A,[1]CPD_SOP_new!$K:$K,"not found",0 )</f>
        <v>2C</v>
      </c>
      <c r="F207" t="s">
        <v>28</v>
      </c>
      <c r="G207" t="s">
        <v>28</v>
      </c>
      <c r="H207" t="s">
        <v>28</v>
      </c>
      <c r="I207" t="s">
        <v>28</v>
      </c>
      <c r="J207" t="s">
        <v>29</v>
      </c>
      <c r="K207" s="85" t="str">
        <f t="shared" si="3"/>
        <v>/mnt/measurements/07_CANape/Mitsubishi/5K45/5.3.0_RC6/Customer_Testing/Real_Child_Measurements/CSR_XCP_Signals_Recorder_2026-01-30_16-09-35_TC26.MF4.xz,child,RadarFC_Master,child (ncap1,2),CPD,realchild</v>
      </c>
      <c r="L207" s="85" t="s">
        <v>3284</v>
      </c>
      <c r="M207" s="60" t="s">
        <v>318</v>
      </c>
      <c r="N207" t="s">
        <v>213</v>
      </c>
      <c r="O207" t="s">
        <v>29</v>
      </c>
      <c r="P207" t="s">
        <v>29</v>
      </c>
      <c r="Q207">
        <v>1</v>
      </c>
      <c r="T207">
        <v>0</v>
      </c>
      <c r="U207">
        <v>0</v>
      </c>
    </row>
    <row r="208" spans="1:21">
      <c r="A208" s="77">
        <v>26</v>
      </c>
      <c r="B208" t="s">
        <v>38</v>
      </c>
      <c r="C208" t="s">
        <v>253</v>
      </c>
      <c r="D208" s="97" t="e">
        <f>_xlfn.XLOOKUP(A208,[1]CPD_SOP_new!$A:$A,[1]CPD_SOP_new!#REF!,"not found",0 )</f>
        <v>#REF!</v>
      </c>
      <c r="E208" s="97" t="str">
        <f>_xlfn.XLOOKUP(A208,[1]CPD_SOP_new!$A:$A,[1]CPD_SOP_new!$K:$K,"not found",0 )</f>
        <v>2C</v>
      </c>
      <c r="F208" t="s">
        <v>28</v>
      </c>
      <c r="G208" t="s">
        <v>28</v>
      </c>
      <c r="H208" t="s">
        <v>28</v>
      </c>
      <c r="I208" t="s">
        <v>28</v>
      </c>
      <c r="J208" t="s">
        <v>29</v>
      </c>
      <c r="K208" s="85" t="str">
        <f t="shared" si="3"/>
        <v>/mnt/measurements/07_CANape/Mitsubishi/5K45/5.3.0_RC6/Customer_Testing/Real_Child_Measurements/CSR_XCP_Signals_Recorder_2026-01-30_16-10-22_TC26.MF4.xz,child,RadarFC_Master,child (ncap1,2),CPD,realchild</v>
      </c>
      <c r="L208" s="85" t="s">
        <v>3285</v>
      </c>
      <c r="M208" s="60" t="s">
        <v>320</v>
      </c>
      <c r="N208" t="s">
        <v>213</v>
      </c>
      <c r="O208" t="s">
        <v>29</v>
      </c>
      <c r="P208" t="s">
        <v>29</v>
      </c>
      <c r="Q208">
        <v>1</v>
      </c>
      <c r="T208">
        <v>0</v>
      </c>
      <c r="U208">
        <v>0</v>
      </c>
    </row>
    <row r="209" spans="1:21">
      <c r="A209" s="77">
        <v>26</v>
      </c>
      <c r="B209" t="s">
        <v>38</v>
      </c>
      <c r="C209" t="s">
        <v>253</v>
      </c>
      <c r="D209" s="97" t="e">
        <f>_xlfn.XLOOKUP(A209,[1]CPD_SOP_new!$A:$A,[1]CPD_SOP_new!#REF!,"not found",0 )</f>
        <v>#REF!</v>
      </c>
      <c r="E209" s="97" t="str">
        <f>_xlfn.XLOOKUP(A209,[1]CPD_SOP_new!$A:$A,[1]CPD_SOP_new!$K:$K,"not found",0 )</f>
        <v>2C</v>
      </c>
      <c r="F209" t="s">
        <v>28</v>
      </c>
      <c r="G209" t="s">
        <v>28</v>
      </c>
      <c r="H209" t="s">
        <v>28</v>
      </c>
      <c r="I209" t="s">
        <v>28</v>
      </c>
      <c r="J209" t="s">
        <v>29</v>
      </c>
      <c r="K209" s="85" t="str">
        <f t="shared" si="3"/>
        <v>/mnt/measurements/07_CANape/Mitsubishi/5K45/5.3.0_RC6/Customer_Testing/Real_Child_Measurements/CSR_XCP_Signals_Recorder_2026-01-30_16-11-11_TC26.MF4.xz,child,RadarFC_Master,child (ncap1,2),CPD,realchild</v>
      </c>
      <c r="L209" s="85" t="s">
        <v>3286</v>
      </c>
      <c r="M209" s="60" t="s">
        <v>321</v>
      </c>
      <c r="N209" t="s">
        <v>213</v>
      </c>
      <c r="O209" t="s">
        <v>29</v>
      </c>
      <c r="P209" t="s">
        <v>29</v>
      </c>
      <c r="Q209">
        <v>1</v>
      </c>
      <c r="T209">
        <v>0</v>
      </c>
      <c r="U209">
        <v>0</v>
      </c>
    </row>
    <row r="210" spans="1:21">
      <c r="A210" s="77">
        <v>26</v>
      </c>
      <c r="B210" t="s">
        <v>38</v>
      </c>
      <c r="C210" t="s">
        <v>253</v>
      </c>
      <c r="D210" s="97" t="e">
        <f>_xlfn.XLOOKUP(A210,[1]CPD_SOP_new!$A:$A,[1]CPD_SOP_new!#REF!,"not found",0 )</f>
        <v>#REF!</v>
      </c>
      <c r="E210" s="97" t="str">
        <f>_xlfn.XLOOKUP(A210,[1]CPD_SOP_new!$A:$A,[1]CPD_SOP_new!$K:$K,"not found",0 )</f>
        <v>2C</v>
      </c>
      <c r="F210" t="s">
        <v>28</v>
      </c>
      <c r="G210" t="s">
        <v>28</v>
      </c>
      <c r="H210" t="s">
        <v>28</v>
      </c>
      <c r="I210" t="s">
        <v>28</v>
      </c>
      <c r="J210" t="s">
        <v>29</v>
      </c>
      <c r="K210" s="85" t="str">
        <f t="shared" si="3"/>
        <v>/mnt/measurements/07_CANape/Mitsubishi/5K45/5.3.0_RC6/Customer_Testing/Real_Child_Measurements/CSR_XCP_Signals_Recorder_2026-01-30_16-13-49_TC26.MF4.xz,child,RadarFC_Master,child (ncap1,2),CPD,realchild</v>
      </c>
      <c r="L210" s="85" t="s">
        <v>3287</v>
      </c>
      <c r="M210" s="60" t="s">
        <v>322</v>
      </c>
      <c r="N210" t="s">
        <v>213</v>
      </c>
      <c r="O210" t="s">
        <v>29</v>
      </c>
      <c r="P210" t="s">
        <v>29</v>
      </c>
      <c r="Q210">
        <v>1</v>
      </c>
      <c r="T210">
        <v>0</v>
      </c>
      <c r="U210">
        <v>0</v>
      </c>
    </row>
    <row r="211" spans="1:21">
      <c r="A211" s="77">
        <v>27</v>
      </c>
      <c r="B211" t="s">
        <v>38</v>
      </c>
      <c r="C211" t="s">
        <v>253</v>
      </c>
      <c r="D211" s="97" t="e">
        <f>_xlfn.XLOOKUP(A211,[1]CPD_SOP_new!$A:$A,[1]CPD_SOP_new!#REF!,"not found",0 )</f>
        <v>#REF!</v>
      </c>
      <c r="E211" s="97" t="str">
        <f>_xlfn.XLOOKUP(A211,[1]CPD_SOP_new!$A:$A,[1]CPD_SOP_new!$K:$K,"not found",0 )</f>
        <v>3R</v>
      </c>
      <c r="F211" t="s">
        <v>28</v>
      </c>
      <c r="G211" t="s">
        <v>28</v>
      </c>
      <c r="H211" t="s">
        <v>28</v>
      </c>
      <c r="I211" t="s">
        <v>28</v>
      </c>
      <c r="J211" t="s">
        <v>29</v>
      </c>
      <c r="K211" s="85" t="str">
        <f t="shared" si="3"/>
        <v>/mnt/measurements/07_CANape/Mitsubishi/5K45/MMC5.0.0_RC3/Real_Child_Tests/CSR_XCP_Signals_Recorder_2025-12-10_10-40-19_TC27_6YO3RR_CPD.MF4.xz,child,RadarFC_Master,child (ncap1,2),CPD,realchild</v>
      </c>
      <c r="L211" s="85" t="s">
        <v>3288</v>
      </c>
      <c r="M211" s="60" t="s">
        <v>323</v>
      </c>
      <c r="N211" s="66" t="s">
        <v>217</v>
      </c>
    </row>
    <row r="212" spans="1:21">
      <c r="A212" s="77">
        <v>27</v>
      </c>
      <c r="B212" t="s">
        <v>38</v>
      </c>
      <c r="C212" t="s">
        <v>253</v>
      </c>
      <c r="D212" s="97" t="e">
        <f>_xlfn.XLOOKUP(A212,[1]CPD_SOP_new!$A:$A,[1]CPD_SOP_new!#REF!,"not found",0 )</f>
        <v>#REF!</v>
      </c>
      <c r="E212" s="97" t="str">
        <f>_xlfn.XLOOKUP(A212,[1]CPD_SOP_new!$A:$A,[1]CPD_SOP_new!$K:$K,"not found",0 )</f>
        <v>3R</v>
      </c>
      <c r="F212" t="s">
        <v>28</v>
      </c>
      <c r="G212" t="s">
        <v>28</v>
      </c>
      <c r="H212" t="s">
        <v>28</v>
      </c>
      <c r="I212" t="s">
        <v>28</v>
      </c>
      <c r="J212" t="s">
        <v>29</v>
      </c>
      <c r="K212" s="85" t="str">
        <f t="shared" si="3"/>
        <v>/mnt/measurements/07_CANape/Mitsubishi/5K45/MMC5.0.0_RC3/Real_Child_Tests/CSR_XCP_Signals_Recorder_2025-12-10_10-42-14_TC27_6YO3RR_CPD.MF4.xz,child,RadarFC_Master,child (ncap1,2),CPD,realchild</v>
      </c>
      <c r="L212" s="85" t="s">
        <v>3289</v>
      </c>
      <c r="M212" s="60" t="s">
        <v>325</v>
      </c>
      <c r="N212" s="66" t="s">
        <v>217</v>
      </c>
    </row>
    <row r="213" spans="1:21">
      <c r="A213" s="77">
        <v>27</v>
      </c>
      <c r="B213" t="s">
        <v>38</v>
      </c>
      <c r="C213" t="s">
        <v>253</v>
      </c>
      <c r="D213" s="97" t="e">
        <f>_xlfn.XLOOKUP(A213,[1]CPD_SOP_new!$A:$A,[1]CPD_SOP_new!#REF!,"not found",0 )</f>
        <v>#REF!</v>
      </c>
      <c r="E213" s="97" t="str">
        <f>_xlfn.XLOOKUP(A213,[1]CPD_SOP_new!$A:$A,[1]CPD_SOP_new!$K:$K,"not found",0 )</f>
        <v>3R</v>
      </c>
      <c r="F213" t="s">
        <v>28</v>
      </c>
      <c r="G213" t="s">
        <v>28</v>
      </c>
      <c r="H213" t="s">
        <v>28</v>
      </c>
      <c r="I213" t="s">
        <v>28</v>
      </c>
      <c r="J213" t="s">
        <v>29</v>
      </c>
      <c r="K213" s="85" t="str">
        <f t="shared" si="3"/>
        <v>/mnt/measurements/07_CANape/Mitsubishi/5K45/MMC5.0.0_RC3/Real_Child_Tests/CSR_XCP_Signals_Recorder_2025-12-10_10-43-45_TC27_6YO3RR_CPD.MF4.xz,child,RadarFC_Master,child (ncap1,2),CPD,realchild</v>
      </c>
      <c r="L213" s="85" t="s">
        <v>3290</v>
      </c>
      <c r="M213" s="60" t="s">
        <v>326</v>
      </c>
      <c r="N213" s="66" t="s">
        <v>217</v>
      </c>
    </row>
    <row r="214" spans="1:21">
      <c r="A214" s="77">
        <v>27</v>
      </c>
      <c r="B214" t="s">
        <v>38</v>
      </c>
      <c r="C214" t="s">
        <v>253</v>
      </c>
      <c r="D214" s="97" t="e">
        <f>_xlfn.XLOOKUP(A214,[1]CPD_SOP_new!$A:$A,[1]CPD_SOP_new!#REF!,"not found",0 )</f>
        <v>#REF!</v>
      </c>
      <c r="E214" s="97" t="str">
        <f>_xlfn.XLOOKUP(A214,[1]CPD_SOP_new!$A:$A,[1]CPD_SOP_new!$K:$K,"not found",0 )</f>
        <v>3R</v>
      </c>
      <c r="F214" t="s">
        <v>28</v>
      </c>
      <c r="G214" t="s">
        <v>28</v>
      </c>
      <c r="H214" t="s">
        <v>28</v>
      </c>
      <c r="I214" t="s">
        <v>28</v>
      </c>
      <c r="J214" t="s">
        <v>29</v>
      </c>
      <c r="K214" s="85" t="str">
        <f t="shared" si="3"/>
        <v>/mnt/measurements/07_CANape/Mitsubishi/5K45/MMC5.0.0_RC3/Real_Child_Tests/CSR_XCP_Signals_Recorder_2025-12-10_10-45-23_TC27_6YO3RR_CPD.MF4.xz,child,RadarFC_Master,child (ncap1,2),CPD,realchild</v>
      </c>
      <c r="L214" s="85" t="s">
        <v>3291</v>
      </c>
      <c r="M214" t="s">
        <v>327</v>
      </c>
      <c r="N214" s="129" t="s">
        <v>217</v>
      </c>
    </row>
    <row r="215" spans="1:21">
      <c r="A215" s="77">
        <v>27</v>
      </c>
      <c r="B215" t="s">
        <v>38</v>
      </c>
      <c r="C215" t="s">
        <v>253</v>
      </c>
      <c r="D215" s="97" t="e">
        <f>_xlfn.XLOOKUP(A215,[1]CPD_SOP_new!$A:$A,[1]CPD_SOP_new!#REF!,"not found",0 )</f>
        <v>#REF!</v>
      </c>
      <c r="E215" s="97" t="str">
        <f>_xlfn.XLOOKUP(A215,[1]CPD_SOP_new!$A:$A,[1]CPD_SOP_new!$K:$K,"not found",0 )</f>
        <v>3R</v>
      </c>
      <c r="F215" t="s">
        <v>28</v>
      </c>
      <c r="G215" t="s">
        <v>28</v>
      </c>
      <c r="H215" t="s">
        <v>28</v>
      </c>
      <c r="I215" t="s">
        <v>28</v>
      </c>
      <c r="J215" t="s">
        <v>29</v>
      </c>
      <c r="K215" s="85" t="str">
        <f t="shared" si="3"/>
        <v>/mnt/measurements/07_CANape/Mitsubishi/5K45/MMC5.0.0_RC3/Real_Child_Tests/CSR_XCP_Signals_Recorder_2025-12-10_10-46-57_TC27_6YO3RR_CPD.MF4.xz,child,RadarFC_Master,child (ncap1,2),CPD,realchild</v>
      </c>
      <c r="L215" s="85" t="s">
        <v>3292</v>
      </c>
      <c r="M215" t="s">
        <v>328</v>
      </c>
      <c r="N215" s="129" t="s">
        <v>217</v>
      </c>
    </row>
    <row r="216" spans="1:21">
      <c r="A216" s="77">
        <v>27</v>
      </c>
      <c r="B216" t="s">
        <v>38</v>
      </c>
      <c r="C216" t="s">
        <v>253</v>
      </c>
      <c r="D216" s="97" t="e">
        <f>_xlfn.XLOOKUP(A216,[1]CPD_SOP_new!$A:$A,[1]CPD_SOP_new!#REF!,"not found",0 )</f>
        <v>#REF!</v>
      </c>
      <c r="E216" s="97" t="str">
        <f>_xlfn.XLOOKUP(A216,[1]CPD_SOP_new!$A:$A,[1]CPD_SOP_new!$K:$K,"not found",0 )</f>
        <v>3R</v>
      </c>
      <c r="F216" t="s">
        <v>28</v>
      </c>
      <c r="G216" t="s">
        <v>28</v>
      </c>
      <c r="H216" t="s">
        <v>28</v>
      </c>
      <c r="I216" t="s">
        <v>28</v>
      </c>
      <c r="J216" t="s">
        <v>29</v>
      </c>
      <c r="K216" s="85" t="str">
        <f t="shared" si="3"/>
        <v>/mnt/measurements/07_CANape/Mitsubishi/5K45/5.3.0_RC6/Customer_Testing/Real_Child_Measurements/CSR_XCP_Signals_Recorder_2026-01-30_16-21-49_TC27.MF4.xz,child,RadarFC_Master,child (ncap1,2),CPD,realchild</v>
      </c>
      <c r="L216" s="85" t="s">
        <v>3293</v>
      </c>
      <c r="M216" t="s">
        <v>332</v>
      </c>
      <c r="N216" t="s">
        <v>213</v>
      </c>
      <c r="O216" t="s">
        <v>29</v>
      </c>
      <c r="P216" t="s">
        <v>29</v>
      </c>
      <c r="Q216">
        <v>1</v>
      </c>
      <c r="T216">
        <v>0</v>
      </c>
      <c r="U216">
        <v>0</v>
      </c>
    </row>
    <row r="217" spans="1:21" s="59" customFormat="1">
      <c r="A217" s="77">
        <v>27</v>
      </c>
      <c r="B217" t="s">
        <v>38</v>
      </c>
      <c r="C217" t="s">
        <v>253</v>
      </c>
      <c r="D217" s="97" t="e">
        <f>_xlfn.XLOOKUP(A217,[1]CPD_SOP_new!$A:$A,[1]CPD_SOP_new!#REF!,"not found",0 )</f>
        <v>#REF!</v>
      </c>
      <c r="E217" s="97" t="str">
        <f>_xlfn.XLOOKUP(A217,[1]CPD_SOP_new!$A:$A,[1]CPD_SOP_new!$K:$K,"not found",0 )</f>
        <v>3R</v>
      </c>
      <c r="F217" t="s">
        <v>28</v>
      </c>
      <c r="G217" t="s">
        <v>28</v>
      </c>
      <c r="H217" t="s">
        <v>28</v>
      </c>
      <c r="I217" t="s">
        <v>28</v>
      </c>
      <c r="J217" t="s">
        <v>29</v>
      </c>
      <c r="K217" s="85" t="str">
        <f t="shared" si="3"/>
        <v>/mnt/measurements/07_CANape/Mitsubishi/5K45/5.3.0_RC6/Customer_Testing/Real_Child_Measurements/CSR_XCP_Signals_Recorder_2026-01-30_16-22-29_TC27.MF4.xz,child,RadarFC_Master,child (ncap1,2),CPD,realchild</v>
      </c>
      <c r="L217" s="85" t="s">
        <v>3294</v>
      </c>
      <c r="M217" t="s">
        <v>334</v>
      </c>
      <c r="N217" t="s">
        <v>213</v>
      </c>
      <c r="O217" t="s">
        <v>29</v>
      </c>
      <c r="P217" t="s">
        <v>29</v>
      </c>
      <c r="Q217">
        <v>1</v>
      </c>
      <c r="T217">
        <v>0</v>
      </c>
      <c r="U217">
        <v>0</v>
      </c>
    </row>
    <row r="218" spans="1:21">
      <c r="A218" s="77">
        <v>27</v>
      </c>
      <c r="B218" t="s">
        <v>38</v>
      </c>
      <c r="C218" t="s">
        <v>253</v>
      </c>
      <c r="D218" s="97" t="e">
        <f>_xlfn.XLOOKUP(A218,[1]CPD_SOP_new!$A:$A,[1]CPD_SOP_new!#REF!,"not found",0 )</f>
        <v>#REF!</v>
      </c>
      <c r="E218" s="97" t="str">
        <f>_xlfn.XLOOKUP(A218,[1]CPD_SOP_new!$A:$A,[1]CPD_SOP_new!$K:$K,"not found",0 )</f>
        <v>3R</v>
      </c>
      <c r="F218" t="s">
        <v>28</v>
      </c>
      <c r="G218" t="s">
        <v>28</v>
      </c>
      <c r="H218" t="s">
        <v>28</v>
      </c>
      <c r="I218" t="s">
        <v>28</v>
      </c>
      <c r="J218" t="s">
        <v>29</v>
      </c>
      <c r="K218" s="85" t="str">
        <f t="shared" si="3"/>
        <v>/mnt/measurements/07_CANape/Mitsubishi/5K45/5.3.0_RC6/Customer_Testing/Real_Child_Measurements/CSR_XCP_Signals_Recorder_2026-01-30_16-23-12_TC27.MF4.xz,child,RadarFC_Master,child (ncap1,2),CPD,realchild</v>
      </c>
      <c r="L218" s="85" t="s">
        <v>3295</v>
      </c>
      <c r="M218" t="s">
        <v>335</v>
      </c>
      <c r="N218" t="s">
        <v>213</v>
      </c>
      <c r="O218" t="s">
        <v>29</v>
      </c>
      <c r="P218" t="s">
        <v>29</v>
      </c>
      <c r="Q218">
        <v>1</v>
      </c>
      <c r="T218">
        <v>0</v>
      </c>
      <c r="U218">
        <v>0</v>
      </c>
    </row>
    <row r="219" spans="1:21">
      <c r="A219" s="77">
        <v>27</v>
      </c>
      <c r="B219" t="s">
        <v>38</v>
      </c>
      <c r="C219" t="s">
        <v>253</v>
      </c>
      <c r="D219" s="97" t="e">
        <f>_xlfn.XLOOKUP(A219,[1]CPD_SOP_new!$A:$A,[1]CPD_SOP_new!#REF!,"not found",0 )</f>
        <v>#REF!</v>
      </c>
      <c r="E219" s="97" t="str">
        <f>_xlfn.XLOOKUP(A219,[1]CPD_SOP_new!$A:$A,[1]CPD_SOP_new!$K:$K,"not found",0 )</f>
        <v>3R</v>
      </c>
      <c r="F219" t="s">
        <v>28</v>
      </c>
      <c r="G219" t="s">
        <v>28</v>
      </c>
      <c r="H219" t="s">
        <v>28</v>
      </c>
      <c r="I219" t="s">
        <v>28</v>
      </c>
      <c r="J219" t="s">
        <v>29</v>
      </c>
      <c r="K219" s="85" t="str">
        <f t="shared" si="3"/>
        <v>/mnt/measurements/07_CANape/Mitsubishi/5K45/5.3.0_RC6/Customer_Testing/Real_Child_Measurements/6YO/CSR_XCP_Signals_Recorder_2026-01-30_14-14-17_TC27.MF4.xz,child,RadarFC_Master,child (ncap1,2),CPD,realchild</v>
      </c>
      <c r="L219" s="85" t="s">
        <v>3296</v>
      </c>
      <c r="M219" t="s">
        <v>336</v>
      </c>
      <c r="N219" t="s">
        <v>271</v>
      </c>
      <c r="O219" t="s">
        <v>29</v>
      </c>
      <c r="P219" t="s">
        <v>29</v>
      </c>
      <c r="Q219">
        <v>1</v>
      </c>
      <c r="T219">
        <v>0</v>
      </c>
      <c r="U219">
        <v>0</v>
      </c>
    </row>
    <row r="220" spans="1:21">
      <c r="A220" s="77">
        <v>27</v>
      </c>
      <c r="B220" t="s">
        <v>38</v>
      </c>
      <c r="C220" t="s">
        <v>253</v>
      </c>
      <c r="D220" s="97" t="e">
        <f>_xlfn.XLOOKUP(A220,[1]CPD_SOP_new!$A:$A,[1]CPD_SOP_new!#REF!,"not found",0 )</f>
        <v>#REF!</v>
      </c>
      <c r="E220" s="97" t="str">
        <f>_xlfn.XLOOKUP(A220,[1]CPD_SOP_new!$A:$A,[1]CPD_SOP_new!$K:$K,"not found",0 )</f>
        <v>3R</v>
      </c>
      <c r="F220" t="s">
        <v>28</v>
      </c>
      <c r="G220" t="s">
        <v>28</v>
      </c>
      <c r="H220" t="s">
        <v>28</v>
      </c>
      <c r="I220" t="s">
        <v>28</v>
      </c>
      <c r="J220" t="s">
        <v>29</v>
      </c>
      <c r="K220" s="85" t="str">
        <f t="shared" si="3"/>
        <v>/mnt/measurements/07_CANape/Mitsubishi/5K45/5.3.0_RC6/Customer_Testing/Real_Child_Measurements/6YO/CSR_XCP_Signals_Recorder_2026-01-30_14-14-55_TC27.MF4.xz,child,RadarFC_Master,child (ncap1,2),CPD,realchild</v>
      </c>
      <c r="L220" s="85" t="s">
        <v>3297</v>
      </c>
      <c r="M220" t="s">
        <v>337</v>
      </c>
      <c r="N220" t="s">
        <v>271</v>
      </c>
      <c r="O220" t="s">
        <v>29</v>
      </c>
      <c r="P220" t="s">
        <v>29</v>
      </c>
      <c r="Q220">
        <v>1</v>
      </c>
      <c r="T220">
        <v>0</v>
      </c>
      <c r="U220">
        <v>0</v>
      </c>
    </row>
    <row r="221" spans="1:21">
      <c r="A221" s="77">
        <v>27</v>
      </c>
      <c r="B221" t="s">
        <v>38</v>
      </c>
      <c r="C221" t="s">
        <v>253</v>
      </c>
      <c r="D221" s="97" t="e">
        <f>_xlfn.XLOOKUP(A221,[1]CPD_SOP_new!$A:$A,[1]CPD_SOP_new!#REF!,"not found",0 )</f>
        <v>#REF!</v>
      </c>
      <c r="E221" s="97" t="str">
        <f>_xlfn.XLOOKUP(A221,[1]CPD_SOP_new!$A:$A,[1]CPD_SOP_new!$K:$K,"not found",0 )</f>
        <v>3R</v>
      </c>
      <c r="F221" t="s">
        <v>28</v>
      </c>
      <c r="G221" t="s">
        <v>28</v>
      </c>
      <c r="H221" t="s">
        <v>28</v>
      </c>
      <c r="I221" t="s">
        <v>28</v>
      </c>
      <c r="J221" t="s">
        <v>29</v>
      </c>
      <c r="K221" s="85" t="str">
        <f t="shared" si="3"/>
        <v>/mnt/measurements/07_CANape/Mitsubishi/5K45/5.3.0_RC6/Customer_Testing/Real_Child_Measurements/6YO/CSR_XCP_Signals_Recorder_2026-01-30_14-15-41_TC27.MF4.xz,child,RadarFC_Master,child (ncap1,2),CPD,realchild</v>
      </c>
      <c r="L221" s="85" t="s">
        <v>3298</v>
      </c>
      <c r="M221" t="s">
        <v>338</v>
      </c>
      <c r="N221" t="s">
        <v>271</v>
      </c>
      <c r="O221" t="s">
        <v>29</v>
      </c>
      <c r="P221" t="s">
        <v>29</v>
      </c>
      <c r="Q221">
        <v>1</v>
      </c>
      <c r="T221">
        <v>0</v>
      </c>
      <c r="U221">
        <v>0</v>
      </c>
    </row>
    <row r="222" spans="1:21">
      <c r="A222" s="59">
        <v>27</v>
      </c>
      <c r="B222" t="s">
        <v>38</v>
      </c>
      <c r="C222" t="s">
        <v>253</v>
      </c>
      <c r="D222" s="97" t="e">
        <f>_xlfn.XLOOKUP(A222,[1]CPD_SOP_new!$A:$A,[1]CPD_SOP_new!#REF!,"not found",0 )</f>
        <v>#REF!</v>
      </c>
      <c r="E222" s="97" t="str">
        <f>_xlfn.XLOOKUP(A222,[1]CPD_SOP_new!$A:$A,[1]CPD_SOP_new!$K:$K,"not found",0 )</f>
        <v>3R</v>
      </c>
      <c r="F222" t="s">
        <v>28</v>
      </c>
      <c r="G222" t="s">
        <v>28</v>
      </c>
      <c r="H222" t="s">
        <v>28</v>
      </c>
      <c r="I222" t="s">
        <v>28</v>
      </c>
      <c r="J222" s="85" t="s">
        <v>29</v>
      </c>
      <c r="K222" s="85" t="str">
        <f t="shared" si="3"/>
        <v>/mnt/measurements/07_CANape/Mitsubishi/5K45/5.3.0_RC7/5K457EG11/RealChild/CSR_XCP_Signals_Recorder_2026-02-04_17-20-23_CPD_TC27_with_reset.MF4.xz,child,RadarFC_Master,child (ncap1,2),CPD,realchild</v>
      </c>
      <c r="L222" s="85" t="s">
        <v>3299</v>
      </c>
      <c r="M222" s="59" t="s">
        <v>339</v>
      </c>
      <c r="N222" t="s">
        <v>277</v>
      </c>
    </row>
    <row r="223" spans="1:21">
      <c r="A223" s="59">
        <v>27</v>
      </c>
      <c r="B223" t="s">
        <v>38</v>
      </c>
      <c r="C223" t="s">
        <v>253</v>
      </c>
      <c r="D223" s="97" t="e">
        <f>_xlfn.XLOOKUP(A223,[1]CPD_SOP_new!$A:$A,[1]CPD_SOP_new!#REF!,"not found",0 )</f>
        <v>#REF!</v>
      </c>
      <c r="E223" s="97" t="str">
        <f>_xlfn.XLOOKUP(A223,[1]CPD_SOP_new!$A:$A,[1]CPD_SOP_new!$K:$K,"not found",0 )</f>
        <v>3R</v>
      </c>
      <c r="F223" t="s">
        <v>28</v>
      </c>
      <c r="G223" t="s">
        <v>28</v>
      </c>
      <c r="H223" t="s">
        <v>28</v>
      </c>
      <c r="I223" t="s">
        <v>28</v>
      </c>
      <c r="J223" s="85" t="s">
        <v>29</v>
      </c>
      <c r="K223" s="85" t="str">
        <f t="shared" si="3"/>
        <v>/mnt/measurements/07_CANape/Mitsubishi/5K45/5.3.0_RC7/5K457EG11/RealChild/CSR_XCP_Signals_Recorder_2026-02-04_17-21-34_CPD_TC27_with_reset.MF4.xz,child,RadarFC_Master,child (ncap1,2),CPD,realchild</v>
      </c>
      <c r="L223" s="85" t="s">
        <v>3300</v>
      </c>
      <c r="M223" s="59" t="s">
        <v>340</v>
      </c>
      <c r="N223" t="s">
        <v>277</v>
      </c>
    </row>
    <row r="224" spans="1:21">
      <c r="A224" s="59">
        <v>27</v>
      </c>
      <c r="B224" t="s">
        <v>38</v>
      </c>
      <c r="C224" t="s">
        <v>253</v>
      </c>
      <c r="D224" s="97" t="e">
        <f>_xlfn.XLOOKUP(A224,[1]CPD_SOP_new!$A:$A,[1]CPD_SOP_new!#REF!,"not found",0 )</f>
        <v>#REF!</v>
      </c>
      <c r="E224" s="97" t="str">
        <f>_xlfn.XLOOKUP(A224,[1]CPD_SOP_new!$A:$A,[1]CPD_SOP_new!$K:$K,"not found",0 )</f>
        <v>3R</v>
      </c>
      <c r="F224" t="s">
        <v>28</v>
      </c>
      <c r="G224" t="s">
        <v>28</v>
      </c>
      <c r="H224" t="s">
        <v>28</v>
      </c>
      <c r="I224" t="s">
        <v>28</v>
      </c>
      <c r="J224" s="85" t="s">
        <v>29</v>
      </c>
      <c r="K224" s="85" t="str">
        <f t="shared" si="3"/>
        <v>/mnt/measurements/07_CANape/Mitsubishi/5K45/5.3.0_RC7/5K457EG11/RealChild/CSR_XCP_Signals_Recorder_2026-02-04_17-22-54_CPD_TC27_with_reset.MF4.xz,child,RadarFC_Master,child (ncap1,2),CPD,realchild</v>
      </c>
      <c r="L224" s="85" t="s">
        <v>3301</v>
      </c>
      <c r="M224" s="59" t="s">
        <v>341</v>
      </c>
      <c r="N224" t="s">
        <v>277</v>
      </c>
    </row>
    <row r="225" spans="1:21">
      <c r="A225" s="77">
        <v>28</v>
      </c>
      <c r="B225" t="s">
        <v>38</v>
      </c>
      <c r="C225" t="s">
        <v>253</v>
      </c>
      <c r="D225" s="97" t="e">
        <f>_xlfn.XLOOKUP(A225,[1]CPD_SOP_new!$A:$A,[1]CPD_SOP_new!#REF!,"not found",0 )</f>
        <v>#REF!</v>
      </c>
      <c r="E225" s="97" t="str">
        <f>_xlfn.XLOOKUP(A225,[1]CPD_SOP_new!$A:$A,[1]CPD_SOP_new!$K:$K,"not found",0 )</f>
        <v>3L</v>
      </c>
      <c r="F225" t="s">
        <v>28</v>
      </c>
      <c r="G225" t="s">
        <v>28</v>
      </c>
      <c r="H225" t="s">
        <v>28</v>
      </c>
      <c r="I225" t="s">
        <v>28</v>
      </c>
      <c r="J225" t="s">
        <v>29</v>
      </c>
      <c r="K225" s="85" t="str">
        <f t="shared" si="3"/>
        <v>/mnt/measurements/07_CANape/Mitsubishi/5K45/5.3.0_RC6/Customer_Testing/Real_Child_Measurements/CSR_XCP_Signals_Recorder_2026-01-30_16-17-14_TC28.MF4.xz,child,RadarFC_Master,child (ncap1,2),CPD,realchild</v>
      </c>
      <c r="L225" s="85" t="s">
        <v>3302</v>
      </c>
      <c r="M225" t="s">
        <v>345</v>
      </c>
      <c r="N225" t="s">
        <v>213</v>
      </c>
      <c r="O225" t="s">
        <v>29</v>
      </c>
      <c r="P225" t="s">
        <v>29</v>
      </c>
      <c r="Q225">
        <v>1</v>
      </c>
      <c r="T225">
        <v>0</v>
      </c>
      <c r="U225">
        <v>0</v>
      </c>
    </row>
    <row r="226" spans="1:21">
      <c r="A226" s="77">
        <v>28</v>
      </c>
      <c r="B226" t="s">
        <v>38</v>
      </c>
      <c r="C226" t="s">
        <v>253</v>
      </c>
      <c r="D226" s="97" t="e">
        <f>_xlfn.XLOOKUP(A226,[1]CPD_SOP_new!$A:$A,[1]CPD_SOP_new!#REF!,"not found",0 )</f>
        <v>#REF!</v>
      </c>
      <c r="E226" s="97" t="str">
        <f>_xlfn.XLOOKUP(A226,[1]CPD_SOP_new!$A:$A,[1]CPD_SOP_new!$K:$K,"not found",0 )</f>
        <v>3L</v>
      </c>
      <c r="F226" t="s">
        <v>28</v>
      </c>
      <c r="G226" t="s">
        <v>28</v>
      </c>
      <c r="H226" t="s">
        <v>28</v>
      </c>
      <c r="I226" t="s">
        <v>28</v>
      </c>
      <c r="J226" t="s">
        <v>29</v>
      </c>
      <c r="K226" s="85" t="str">
        <f t="shared" si="3"/>
        <v>/mnt/measurements/07_CANape/Mitsubishi/5K45/5.3.0_RC6/Customer_Testing/Real_Child_Measurements/CSR_XCP_Signals_Recorder_2026-01-30_16-17-59_TC28.MF4.xz,child,RadarFC_Master,child (ncap1,2),CPD,realchild</v>
      </c>
      <c r="L226" s="85" t="s">
        <v>3303</v>
      </c>
      <c r="M226" t="s">
        <v>347</v>
      </c>
      <c r="N226" t="s">
        <v>213</v>
      </c>
      <c r="O226" t="s">
        <v>29</v>
      </c>
      <c r="P226" t="s">
        <v>29</v>
      </c>
      <c r="Q226">
        <v>1</v>
      </c>
      <c r="T226">
        <v>0</v>
      </c>
      <c r="U226">
        <v>0</v>
      </c>
    </row>
    <row r="227" spans="1:21">
      <c r="A227" s="77">
        <v>28</v>
      </c>
      <c r="B227" t="s">
        <v>38</v>
      </c>
      <c r="C227" t="s">
        <v>253</v>
      </c>
      <c r="D227" s="97" t="e">
        <f>_xlfn.XLOOKUP(A227,[1]CPD_SOP_new!$A:$A,[1]CPD_SOP_new!#REF!,"not found",0 )</f>
        <v>#REF!</v>
      </c>
      <c r="E227" s="97" t="str">
        <f>_xlfn.XLOOKUP(A227,[1]CPD_SOP_new!$A:$A,[1]CPD_SOP_new!$K:$K,"not found",0 )</f>
        <v>3L</v>
      </c>
      <c r="F227" t="s">
        <v>28</v>
      </c>
      <c r="G227" t="s">
        <v>28</v>
      </c>
      <c r="H227" t="s">
        <v>28</v>
      </c>
      <c r="I227" t="s">
        <v>28</v>
      </c>
      <c r="J227" t="s">
        <v>29</v>
      </c>
      <c r="K227" s="85" t="str">
        <f t="shared" si="3"/>
        <v>/mnt/measurements/07_CANape/Mitsubishi/5K45/5.3.0_RC6/Customer_Testing/Real_Child_Measurements/CSR_XCP_Signals_Recorder_2026-01-30_16-18-46_TC28.MF4.xz,child,RadarFC_Master,child (ncap1,2),CPD,realchild</v>
      </c>
      <c r="L227" s="85" t="s">
        <v>3304</v>
      </c>
      <c r="M227" t="s">
        <v>348</v>
      </c>
      <c r="N227" t="s">
        <v>213</v>
      </c>
      <c r="O227" t="s">
        <v>29</v>
      </c>
      <c r="P227" t="s">
        <v>29</v>
      </c>
      <c r="Q227">
        <v>1</v>
      </c>
      <c r="T227">
        <v>0</v>
      </c>
      <c r="U227">
        <v>0</v>
      </c>
    </row>
    <row r="228" spans="1:21">
      <c r="A228" s="77">
        <v>30</v>
      </c>
      <c r="B228" t="s">
        <v>38</v>
      </c>
      <c r="C228" t="s">
        <v>349</v>
      </c>
      <c r="D228" s="97" t="e">
        <f>_xlfn.XLOOKUP(A228,[1]CPD_SOP_new!$A:$A,[1]CPD_SOP_new!#REF!,"not found",0 )</f>
        <v>#REF!</v>
      </c>
      <c r="E228" s="97" t="str">
        <f>_xlfn.XLOOKUP(A228,[1]CPD_SOP_new!$A:$A,[1]CPD_SOP_new!$K:$K,"not found",0 )</f>
        <v>2R+3R</v>
      </c>
      <c r="F228" t="s">
        <v>27</v>
      </c>
      <c r="G228" t="s">
        <v>27</v>
      </c>
      <c r="H228" t="s">
        <v>27</v>
      </c>
      <c r="I228" t="s">
        <v>28</v>
      </c>
      <c r="J228" t="s">
        <v>29</v>
      </c>
      <c r="K228" s="85" t="str">
        <f t="shared" si="3"/>
        <v>/mnt/measurements/07_CANape/Mitsubishi/5K45/5.3.0_RC6/Customer_Testing/CSR_XCP_Signals_Recorder_2026-01-30_16-36-33_TC30.MF4.xz,child,RadarFC_Master,child (ncap1,2),CPD,dummy</v>
      </c>
      <c r="L228" s="85" t="s">
        <v>3305</v>
      </c>
      <c r="M228" t="s">
        <v>352</v>
      </c>
      <c r="N228" t="s">
        <v>353</v>
      </c>
      <c r="O228" t="s">
        <v>29</v>
      </c>
      <c r="P228" t="s">
        <v>29</v>
      </c>
      <c r="Q228">
        <v>2</v>
      </c>
      <c r="T228">
        <v>0</v>
      </c>
      <c r="U228">
        <v>0</v>
      </c>
    </row>
    <row r="229" spans="1:21">
      <c r="A229" s="77">
        <v>30</v>
      </c>
      <c r="B229" t="s">
        <v>38</v>
      </c>
      <c r="C229" t="s">
        <v>349</v>
      </c>
      <c r="D229" s="97" t="e">
        <f>_xlfn.XLOOKUP(A229,[1]CPD_SOP_new!$A:$A,[1]CPD_SOP_new!#REF!,"not found",0 )</f>
        <v>#REF!</v>
      </c>
      <c r="E229" s="97" t="str">
        <f>_xlfn.XLOOKUP(A229,[1]CPD_SOP_new!$A:$A,[1]CPD_SOP_new!$K:$K,"not found",0 )</f>
        <v>2R+3R</v>
      </c>
      <c r="F229" t="s">
        <v>27</v>
      </c>
      <c r="G229" t="s">
        <v>27</v>
      </c>
      <c r="H229" t="s">
        <v>27</v>
      </c>
      <c r="I229" t="s">
        <v>28</v>
      </c>
      <c r="J229" t="s">
        <v>29</v>
      </c>
      <c r="K229" s="85" t="str">
        <f t="shared" si="3"/>
        <v>/mnt/measurements/07_CANape/Mitsubishi/5K45/5.3.0_RC6/Customer_Testing/CSR_XCP_Signals_Recorder_2026-01-30_16-37-12_TC30.MF4.xz,child,RadarFC_Master,child (ncap1,2),CPD,dummy</v>
      </c>
      <c r="L229" s="85" t="s">
        <v>3306</v>
      </c>
      <c r="M229" t="s">
        <v>355</v>
      </c>
      <c r="N229" t="s">
        <v>353</v>
      </c>
      <c r="O229" t="s">
        <v>29</v>
      </c>
      <c r="P229" t="s">
        <v>29</v>
      </c>
      <c r="Q229">
        <v>2</v>
      </c>
      <c r="T229">
        <v>0</v>
      </c>
      <c r="U229">
        <v>0</v>
      </c>
    </row>
    <row r="230" spans="1:21">
      <c r="A230" s="77">
        <v>30</v>
      </c>
      <c r="B230" t="s">
        <v>38</v>
      </c>
      <c r="C230" t="s">
        <v>349</v>
      </c>
      <c r="D230" s="97" t="e">
        <f>_xlfn.XLOOKUP(A230,[1]CPD_SOP_new!$A:$A,[1]CPD_SOP_new!#REF!,"not found",0 )</f>
        <v>#REF!</v>
      </c>
      <c r="E230" s="97" t="str">
        <f>_xlfn.XLOOKUP(A230,[1]CPD_SOP_new!$A:$A,[1]CPD_SOP_new!$K:$K,"not found",0 )</f>
        <v>2R+3R</v>
      </c>
      <c r="F230" t="s">
        <v>27</v>
      </c>
      <c r="G230" t="s">
        <v>27</v>
      </c>
      <c r="H230" t="s">
        <v>27</v>
      </c>
      <c r="I230" t="s">
        <v>28</v>
      </c>
      <c r="J230" t="s">
        <v>29</v>
      </c>
      <c r="K230" s="85" t="str">
        <f t="shared" si="3"/>
        <v>/mnt/measurements/07_CANape/Mitsubishi/5K45/5.3.0_RC6/Customer_Testing/CSR_XCP_Signals_Recorder_2026-01-30_16-37-59_TC30.MF4.xz,child,RadarFC_Master,child (ncap1,2),CPD,dummy</v>
      </c>
      <c r="L230" s="85" t="s">
        <v>3307</v>
      </c>
      <c r="M230" t="s">
        <v>356</v>
      </c>
      <c r="N230" t="s">
        <v>353</v>
      </c>
      <c r="O230" t="s">
        <v>29</v>
      </c>
      <c r="P230" t="s">
        <v>29</v>
      </c>
      <c r="Q230">
        <v>2</v>
      </c>
      <c r="T230">
        <v>0</v>
      </c>
      <c r="U230">
        <v>0</v>
      </c>
    </row>
    <row r="231" spans="1:21">
      <c r="A231" s="77">
        <v>30</v>
      </c>
      <c r="B231" t="s">
        <v>38</v>
      </c>
      <c r="C231" t="s">
        <v>349</v>
      </c>
      <c r="D231" s="97" t="e">
        <f>_xlfn.XLOOKUP(A231,[1]CPD_SOP_new!$A:$A,[1]CPD_SOP_new!#REF!,"not found",0 )</f>
        <v>#REF!</v>
      </c>
      <c r="E231" s="97" t="str">
        <f>_xlfn.XLOOKUP(A231,[1]CPD_SOP_new!$A:$A,[1]CPD_SOP_new!$K:$K,"not found",0 )</f>
        <v>2R+3R</v>
      </c>
      <c r="F231" t="s">
        <v>27</v>
      </c>
      <c r="G231" t="s">
        <v>27</v>
      </c>
      <c r="H231" t="s">
        <v>27</v>
      </c>
      <c r="I231" t="s">
        <v>28</v>
      </c>
      <c r="J231" t="s">
        <v>29</v>
      </c>
      <c r="K231" s="85" t="str">
        <f t="shared" si="3"/>
        <v>/mnt/measurements/07_CANape/Mitsubishi/5K45/5.3.0_RC6/Customer_Testing/CSR_XCP_Signals_Recorder_2026-01-30_16-38-48_TC30.MF4.xz,child,RadarFC_Master,child (ncap1,2),CPD,dummy</v>
      </c>
      <c r="L231" s="85" t="s">
        <v>3308</v>
      </c>
      <c r="M231" t="s">
        <v>357</v>
      </c>
      <c r="N231" t="s">
        <v>353</v>
      </c>
      <c r="O231" t="s">
        <v>29</v>
      </c>
      <c r="P231" t="s">
        <v>29</v>
      </c>
      <c r="Q231">
        <v>2</v>
      </c>
      <c r="T231">
        <v>0</v>
      </c>
      <c r="U231">
        <v>0</v>
      </c>
    </row>
    <row r="232" spans="1:21">
      <c r="A232" s="77">
        <v>30</v>
      </c>
      <c r="B232" t="s">
        <v>38</v>
      </c>
      <c r="C232" t="s">
        <v>349</v>
      </c>
      <c r="D232" s="97" t="e">
        <f>_xlfn.XLOOKUP(A232,[1]CPD_SOP_new!$A:$A,[1]CPD_SOP_new!#REF!,"not found",0 )</f>
        <v>#REF!</v>
      </c>
      <c r="E232" s="97" t="str">
        <f>_xlfn.XLOOKUP(A232,[1]CPD_SOP_new!$A:$A,[1]CPD_SOP_new!$K:$K,"not found",0 )</f>
        <v>2R+3R</v>
      </c>
      <c r="F232" t="s">
        <v>27</v>
      </c>
      <c r="G232" t="s">
        <v>27</v>
      </c>
      <c r="H232" t="s">
        <v>27</v>
      </c>
      <c r="I232" t="s">
        <v>28</v>
      </c>
      <c r="J232" t="s">
        <v>29</v>
      </c>
      <c r="K232" s="85" t="str">
        <f t="shared" si="3"/>
        <v>/mnt/measurements/07_CANape/Mitsubishi/5K45/5.3.0_RC6/Customer_Testing/CSR_XCP_Signals_Recorder_2026-01-30_16-39-34_TC30.MF4.xz,child,RadarFC_Master,child (ncap1,2),CPD,dummy</v>
      </c>
      <c r="L232" s="85" t="s">
        <v>3309</v>
      </c>
      <c r="M232" t="s">
        <v>358</v>
      </c>
      <c r="N232" t="s">
        <v>353</v>
      </c>
      <c r="O232" t="s">
        <v>29</v>
      </c>
      <c r="P232" t="s">
        <v>29</v>
      </c>
      <c r="Q232">
        <v>2</v>
      </c>
      <c r="T232">
        <v>0</v>
      </c>
      <c r="U232">
        <v>0</v>
      </c>
    </row>
    <row r="233" spans="1:21">
      <c r="A233" s="59">
        <v>30</v>
      </c>
      <c r="B233" t="s">
        <v>359</v>
      </c>
      <c r="C233" t="s">
        <v>360</v>
      </c>
      <c r="D233" s="97" t="e">
        <f>_xlfn.XLOOKUP(A233,[1]CPD_SOP_new!$A:$A,[1]CPD_SOP_new!#REF!,"not found",0 )</f>
        <v>#REF!</v>
      </c>
      <c r="E233" s="97" t="str">
        <f>_xlfn.XLOOKUP(A233,[1]CPD_SOP_new!$A:$A,[1]CPD_SOP_new!$K:$K,"not found",0 )</f>
        <v>2R+3R</v>
      </c>
      <c r="F233" t="s">
        <v>28</v>
      </c>
      <c r="G233" t="s">
        <v>27</v>
      </c>
      <c r="H233" t="s">
        <v>27</v>
      </c>
      <c r="I233" t="s">
        <v>28</v>
      </c>
      <c r="J233" s="85" t="s">
        <v>29</v>
      </c>
      <c r="K233" s="85" t="str">
        <f t="shared" si="3"/>
        <v>/mnt/measurements/07_CANape/Mitsubishi/5K45/5.3.0_RC7/5K457EG11/RealChild/CSR_XCP_Signals_Recorder_2026-02-04_17-27-04_CPD_TC30_with_reset.MF4.xz,child,RadarFC_Master,child (ncap1,2),CPD,realchild</v>
      </c>
      <c r="L233" s="85" t="s">
        <v>3310</v>
      </c>
      <c r="M233" s="59" t="s">
        <v>361</v>
      </c>
      <c r="N233" t="s">
        <v>277</v>
      </c>
    </row>
    <row r="234" spans="1:21" s="130" customFormat="1" hidden="1">
      <c r="A234" s="78">
        <v>37</v>
      </c>
      <c r="B234" s="130" t="s">
        <v>105</v>
      </c>
      <c r="C234" s="130" t="s">
        <v>66</v>
      </c>
      <c r="D234" s="97" t="e">
        <f>_xlfn.XLOOKUP(A234,[1]CPD_SOP_new!$A:$A,[1]CPD_SOP_new!#REF!,"not found",0 )</f>
        <v>#REF!</v>
      </c>
      <c r="E234" s="97" t="s">
        <v>112</v>
      </c>
      <c r="F234" s="130" t="s">
        <v>28</v>
      </c>
      <c r="G234" s="130" t="s">
        <v>27</v>
      </c>
      <c r="H234" s="130" t="s">
        <v>27</v>
      </c>
      <c r="I234" s="130" t="s">
        <v>27</v>
      </c>
      <c r="J234" s="130" t="s">
        <v>105</v>
      </c>
      <c r="K234" s="85" t="str">
        <f t="shared" si="3"/>
        <v>/mnt/measurements/07_CANape/Mitsubishi/5K45/5.3.0_RC6/Customer_Testing/Real_Child_Measurements/3YO/CSR_XCP_Signals_Recorder_2026-01-30_10-23-52_TC37.MF4.xz,error,RadarFC_Master,error,CPD,realchild</v>
      </c>
      <c r="L234" s="85" t="s">
        <v>3311</v>
      </c>
      <c r="M234" s="130" t="s">
        <v>390</v>
      </c>
      <c r="N234" s="130" t="s">
        <v>391</v>
      </c>
      <c r="O234" s="130" t="s">
        <v>105</v>
      </c>
      <c r="P234" s="130" t="s">
        <v>105</v>
      </c>
      <c r="Q234" s="130" t="s">
        <v>105</v>
      </c>
      <c r="T234" s="130" t="s">
        <v>105</v>
      </c>
      <c r="U234" s="130" t="s">
        <v>105</v>
      </c>
    </row>
    <row r="235" spans="1:21">
      <c r="A235" s="59">
        <v>30</v>
      </c>
      <c r="B235" t="s">
        <v>359</v>
      </c>
      <c r="C235" t="s">
        <v>360</v>
      </c>
      <c r="D235" s="97" t="e">
        <f>_xlfn.XLOOKUP(A235,[1]CPD_SOP_new!$A:$A,[1]CPD_SOP_new!#REF!,"not found",0 )</f>
        <v>#REF!</v>
      </c>
      <c r="E235" s="97" t="str">
        <f>_xlfn.XLOOKUP(A235,[1]CPD_SOP_new!$A:$A,[1]CPD_SOP_new!$K:$K,"not found",0 )</f>
        <v>2R+3R</v>
      </c>
      <c r="F235" t="s">
        <v>28</v>
      </c>
      <c r="G235" t="s">
        <v>27</v>
      </c>
      <c r="H235" t="s">
        <v>27</v>
      </c>
      <c r="I235" t="s">
        <v>28</v>
      </c>
      <c r="J235" s="85" t="s">
        <v>29</v>
      </c>
      <c r="K235" s="85" t="str">
        <f t="shared" si="3"/>
        <v>/mnt/measurements/07_CANape/Mitsubishi/5K45/5.3.0_RC7/5K457EG11/RealChild/CSR_XCP_Signals_Recorder_2026-02-04_17-28-15_CPD_TC30_with_reset.MF4.xz,child,RadarFC_Master,child (ncap1,2),CPD,realchild</v>
      </c>
      <c r="L235" s="85" t="s">
        <v>3312</v>
      </c>
      <c r="M235" s="59" t="s">
        <v>362</v>
      </c>
      <c r="N235" t="s">
        <v>277</v>
      </c>
    </row>
    <row r="236" spans="1:21" s="130" customFormat="1" hidden="1">
      <c r="A236" s="78">
        <v>37</v>
      </c>
      <c r="B236" s="130" t="s">
        <v>105</v>
      </c>
      <c r="C236" s="130" t="s">
        <v>66</v>
      </c>
      <c r="D236" s="97" t="e">
        <f>_xlfn.XLOOKUP(A236,[1]CPD_SOP_new!$A:$A,[1]CPD_SOP_new!#REF!,"not found",0 )</f>
        <v>#REF!</v>
      </c>
      <c r="E236" s="97" t="s">
        <v>112</v>
      </c>
      <c r="F236" s="130" t="s">
        <v>28</v>
      </c>
      <c r="G236" s="130" t="s">
        <v>27</v>
      </c>
      <c r="H236" s="130" t="s">
        <v>27</v>
      </c>
      <c r="I236" s="130" t="s">
        <v>27</v>
      </c>
      <c r="J236" s="130" t="s">
        <v>105</v>
      </c>
      <c r="K236" s="85" t="str">
        <f t="shared" si="3"/>
        <v>/mnt/measurements/07_CANape/Mitsubishi/5K45/5.3.0_RC6/Customer_Testing/Real_Child_Measurements/3YO/CSR_XCP_Signals_Recorder_2026-01-30_10-26-43_TC37.MF4.xz,error,RadarFC_Master,error,CPD,realchild</v>
      </c>
      <c r="L236" s="85" t="s">
        <v>3313</v>
      </c>
      <c r="M236" s="130" t="s">
        <v>394</v>
      </c>
      <c r="N236" s="130" t="s">
        <v>391</v>
      </c>
      <c r="O236" s="130" t="s">
        <v>105</v>
      </c>
      <c r="P236" s="130" t="s">
        <v>105</v>
      </c>
      <c r="Q236" s="130" t="s">
        <v>105</v>
      </c>
      <c r="T236" s="130" t="s">
        <v>105</v>
      </c>
      <c r="U236" s="130" t="s">
        <v>105</v>
      </c>
    </row>
    <row r="237" spans="1:21">
      <c r="A237" s="59">
        <v>30</v>
      </c>
      <c r="B237" t="s">
        <v>359</v>
      </c>
      <c r="C237" t="s">
        <v>360</v>
      </c>
      <c r="D237" s="97" t="e">
        <f>_xlfn.XLOOKUP(A237,[1]CPD_SOP_new!$A:$A,[1]CPD_SOP_new!#REF!,"not found",0 )</f>
        <v>#REF!</v>
      </c>
      <c r="E237" s="97" t="str">
        <f>_xlfn.XLOOKUP(A237,[1]CPD_SOP_new!$A:$A,[1]CPD_SOP_new!$K:$K,"not found",0 )</f>
        <v>2R+3R</v>
      </c>
      <c r="F237" t="s">
        <v>28</v>
      </c>
      <c r="G237" t="s">
        <v>27</v>
      </c>
      <c r="H237" t="s">
        <v>27</v>
      </c>
      <c r="I237" t="s">
        <v>28</v>
      </c>
      <c r="J237" s="85" t="s">
        <v>29</v>
      </c>
      <c r="K237" s="85" t="str">
        <f t="shared" si="3"/>
        <v>/mnt/measurements/07_CANape/Mitsubishi/5K45/5.3.0_RC7/5K457EG11/RealChild/CSR_XCP_Signals_Recorder_2026-02-04_17-29-33_CPD_TC30_with_reset.MF4.xz,child,RadarFC_Master,child (ncap1,2),CPD,realchild</v>
      </c>
      <c r="L237" s="85" t="s">
        <v>3314</v>
      </c>
      <c r="M237" s="59" t="s">
        <v>363</v>
      </c>
      <c r="N237" t="s">
        <v>277</v>
      </c>
    </row>
    <row r="238" spans="1:21">
      <c r="A238" s="77">
        <v>31</v>
      </c>
      <c r="B238" t="s">
        <v>124</v>
      </c>
      <c r="C238" t="s">
        <v>66</v>
      </c>
      <c r="D238" s="97" t="e">
        <f>_xlfn.XLOOKUP(A238,[1]CPD_SOP_new!$A:$A,[1]CPD_SOP_new!#REF!,"not found",0 )</f>
        <v>#REF!</v>
      </c>
      <c r="E238" s="97" t="s">
        <v>112</v>
      </c>
      <c r="F238" t="s">
        <v>28</v>
      </c>
      <c r="G238" t="s">
        <v>28</v>
      </c>
      <c r="H238" t="s">
        <v>27</v>
      </c>
      <c r="I238" t="s">
        <v>28</v>
      </c>
      <c r="J238" t="s">
        <v>124</v>
      </c>
      <c r="K238" s="85" t="str">
        <f t="shared" si="3"/>
        <v>/mnt/measurements/07_CANape/Mitsubishi/5K45/MMC5.0.0_RC3/Real_Child_Tests/CSR_XCP_Signals_Recorder_2025-12-11_11-49-25_TC31_3YO_1L_CPD.MF4.xz,child,RadarFC_Master,child (ncap3),CPD,realchild</v>
      </c>
      <c r="L238" s="85" t="s">
        <v>3315</v>
      </c>
      <c r="M238" s="60" t="s">
        <v>364</v>
      </c>
      <c r="N238" s="132" t="s">
        <v>217</v>
      </c>
    </row>
    <row r="239" spans="1:21">
      <c r="A239" s="77">
        <v>31</v>
      </c>
      <c r="B239" t="s">
        <v>124</v>
      </c>
      <c r="C239" t="s">
        <v>66</v>
      </c>
      <c r="D239" s="97" t="e">
        <f>_xlfn.XLOOKUP(A239,[1]CPD_SOP_new!$A:$A,[1]CPD_SOP_new!#REF!,"not found",0 )</f>
        <v>#REF!</v>
      </c>
      <c r="E239" s="97" t="s">
        <v>112</v>
      </c>
      <c r="F239" t="s">
        <v>28</v>
      </c>
      <c r="G239" t="s">
        <v>28</v>
      </c>
      <c r="H239" t="s">
        <v>27</v>
      </c>
      <c r="I239" t="s">
        <v>28</v>
      </c>
      <c r="J239" t="s">
        <v>124</v>
      </c>
      <c r="K239" s="85" t="str">
        <f t="shared" si="3"/>
        <v>/mnt/measurements/07_CANape/Mitsubishi/5K45/MMC5.0.0_RC3/Real_Child_Tests/CSR_XCP_Signals_Recorder_2025-12-11_11-50-58_TC31_3YO_1L_CPD.MF4.xz,child,RadarFC_Master,child (ncap3),CPD,realchild</v>
      </c>
      <c r="L239" s="85" t="s">
        <v>3316</v>
      </c>
      <c r="M239" s="60" t="s">
        <v>366</v>
      </c>
      <c r="N239" s="132" t="s">
        <v>217</v>
      </c>
    </row>
    <row r="240" spans="1:21">
      <c r="A240" s="77">
        <v>31</v>
      </c>
      <c r="B240" t="s">
        <v>124</v>
      </c>
      <c r="C240" t="s">
        <v>66</v>
      </c>
      <c r="D240" s="97" t="e">
        <f>_xlfn.XLOOKUP(A240,[1]CPD_SOP_new!$A:$A,[1]CPD_SOP_new!#REF!,"not found",0 )</f>
        <v>#REF!</v>
      </c>
      <c r="E240" s="97" t="s">
        <v>112</v>
      </c>
      <c r="F240" t="s">
        <v>28</v>
      </c>
      <c r="G240" t="s">
        <v>28</v>
      </c>
      <c r="H240" t="s">
        <v>27</v>
      </c>
      <c r="I240" t="s">
        <v>28</v>
      </c>
      <c r="J240" t="s">
        <v>124</v>
      </c>
      <c r="K240" s="85" t="str">
        <f t="shared" si="3"/>
        <v>/mnt/measurements/07_CANape/Mitsubishi/5K45/MMC5.0.0_RC3/Real_Child_Tests/CSR_XCP_Signals_Recorder_2025-12-11_11-52-57_TC31_3YO_1L_CPD.MF4.xz,child,RadarFC_Master,child (ncap3),CPD,realchild</v>
      </c>
      <c r="L240" s="85" t="s">
        <v>3317</v>
      </c>
      <c r="M240" t="s">
        <v>367</v>
      </c>
      <c r="N240" s="132" t="s">
        <v>217</v>
      </c>
    </row>
    <row r="241" spans="1:21">
      <c r="A241" s="77">
        <v>31</v>
      </c>
      <c r="B241" s="59" t="s">
        <v>124</v>
      </c>
      <c r="C241" s="59" t="s">
        <v>66</v>
      </c>
      <c r="D241" s="97" t="e">
        <f>_xlfn.XLOOKUP(A241,[1]CPD_SOP_new!$A:$A,[1]CPD_SOP_new!#REF!,"not found",0 )</f>
        <v>#REF!</v>
      </c>
      <c r="E241" s="97" t="s">
        <v>112</v>
      </c>
      <c r="F241" s="59" t="s">
        <v>28</v>
      </c>
      <c r="G241" s="59" t="s">
        <v>28</v>
      </c>
      <c r="H241" s="59" t="s">
        <v>27</v>
      </c>
      <c r="I241" s="59" t="s">
        <v>28</v>
      </c>
      <c r="J241" s="59" t="s">
        <v>124</v>
      </c>
      <c r="K241" s="85" t="str">
        <f t="shared" si="3"/>
        <v>/mnt/measurements/07_CANape/Mitsubishi/5K45/MMC5.0.0_RC3/Real_Child_Tests/CSR_XCP_Signals_Recorder_2025-12-11_11-56-10_TC31_3YO_1L_CPD.MF4.xz,child,RadarFC_Master,child (ncap3),CPD,realchild</v>
      </c>
      <c r="L241" s="85" t="s">
        <v>3318</v>
      </c>
      <c r="M241" s="59" t="s">
        <v>368</v>
      </c>
      <c r="N241" s="91" t="s">
        <v>217</v>
      </c>
      <c r="O241" s="59"/>
      <c r="P241" s="59"/>
      <c r="Q241" s="59"/>
      <c r="R241" s="59"/>
      <c r="S241" s="59"/>
      <c r="T241" s="59"/>
      <c r="U241" s="59"/>
    </row>
    <row r="242" spans="1:21">
      <c r="A242" s="77">
        <v>31</v>
      </c>
      <c r="B242" t="s">
        <v>124</v>
      </c>
      <c r="C242" t="s">
        <v>66</v>
      </c>
      <c r="D242" s="97" t="e">
        <f>_xlfn.XLOOKUP(A242,[1]CPD_SOP_new!$A:$A,[1]CPD_SOP_new!#REF!,"not found",0 )</f>
        <v>#REF!</v>
      </c>
      <c r="E242" s="97" t="s">
        <v>112</v>
      </c>
      <c r="F242" t="s">
        <v>28</v>
      </c>
      <c r="G242" t="s">
        <v>28</v>
      </c>
      <c r="H242" t="s">
        <v>27</v>
      </c>
      <c r="I242" t="s">
        <v>28</v>
      </c>
      <c r="J242" t="s">
        <v>124</v>
      </c>
      <c r="K242" s="85" t="str">
        <f t="shared" si="3"/>
        <v>/mnt/measurements/07_CANape/Mitsubishi/5K45/MMC5.0.0_RC3/Real_Child_Tests/CSR_XCP_Signals_Recorder_2025-12-11_11-58-19_TC31_3YO_1L_CPD.MF4.xz,child,RadarFC_Master,child (ncap3),CPD,realchild</v>
      </c>
      <c r="L242" s="85" t="s">
        <v>3319</v>
      </c>
      <c r="M242" t="s">
        <v>369</v>
      </c>
      <c r="N242" s="132" t="s">
        <v>217</v>
      </c>
    </row>
    <row r="243" spans="1:21">
      <c r="A243" s="38">
        <v>32</v>
      </c>
      <c r="B243" t="s">
        <v>124</v>
      </c>
      <c r="C243" t="s">
        <v>66</v>
      </c>
      <c r="D243" s="97" t="e">
        <f>_xlfn.XLOOKUP(A243,[1]CPD_SOP_new!$A:$A,[1]CPD_SOP_new!#REF!,"not found",0 )</f>
        <v>#REF!</v>
      </c>
      <c r="E243" s="97" t="s">
        <v>112</v>
      </c>
      <c r="F243" t="s">
        <v>27</v>
      </c>
      <c r="G243" t="s">
        <v>27</v>
      </c>
      <c r="H243" t="s">
        <v>27</v>
      </c>
      <c r="I243" t="s">
        <v>28</v>
      </c>
      <c r="J243" t="s">
        <v>124</v>
      </c>
      <c r="K243" s="85" t="str">
        <f t="shared" si="3"/>
        <v>/mnt/measurements/07_CANape/Mitsubishi/5K45/MMC4.1.2/Validation/2025_12_02/ChildAwake/TC_32_Try1.MF4.xz,child,RadarFC_Master,child (ncap3),CPD,dummy</v>
      </c>
      <c r="L243" s="85" t="s">
        <v>3320</v>
      </c>
      <c r="M243" t="s">
        <v>370</v>
      </c>
      <c r="N243" t="s">
        <v>371</v>
      </c>
    </row>
    <row r="244" spans="1:21">
      <c r="A244" s="38">
        <v>32</v>
      </c>
      <c r="B244" t="s">
        <v>124</v>
      </c>
      <c r="C244" t="s">
        <v>66</v>
      </c>
      <c r="D244" s="97" t="e">
        <f>_xlfn.XLOOKUP(A244,[1]CPD_SOP_new!$A:$A,[1]CPD_SOP_new!#REF!,"not found",0 )</f>
        <v>#REF!</v>
      </c>
      <c r="E244" s="97" t="s">
        <v>112</v>
      </c>
      <c r="F244" t="s">
        <v>27</v>
      </c>
      <c r="G244" t="s">
        <v>27</v>
      </c>
      <c r="H244" t="s">
        <v>27</v>
      </c>
      <c r="I244" t="s">
        <v>28</v>
      </c>
      <c r="J244" t="s">
        <v>124</v>
      </c>
      <c r="K244" s="85" t="str">
        <f t="shared" si="3"/>
        <v>/mnt/measurements/07_CANape/Mitsubishi/5K45/MMC4.1.2/Validation/2025_12_02/ChildAwake/TC_32_Try2.MF4.xz,child,RadarFC_Master,child (ncap3),CPD,dummy</v>
      </c>
      <c r="L244" s="85" t="s">
        <v>3321</v>
      </c>
      <c r="M244" t="s">
        <v>373</v>
      </c>
      <c r="N244" t="s">
        <v>371</v>
      </c>
    </row>
    <row r="245" spans="1:21">
      <c r="A245" s="38">
        <v>32</v>
      </c>
      <c r="B245" t="s">
        <v>124</v>
      </c>
      <c r="C245" t="s">
        <v>66</v>
      </c>
      <c r="D245" s="97" t="e">
        <f>_xlfn.XLOOKUP(A245,[1]CPD_SOP_new!$A:$A,[1]CPD_SOP_new!#REF!,"not found",0 )</f>
        <v>#REF!</v>
      </c>
      <c r="E245" s="97" t="s">
        <v>112</v>
      </c>
      <c r="F245" t="s">
        <v>27</v>
      </c>
      <c r="G245" t="s">
        <v>27</v>
      </c>
      <c r="H245" t="s">
        <v>27</v>
      </c>
      <c r="I245" t="s">
        <v>28</v>
      </c>
      <c r="J245" t="s">
        <v>124</v>
      </c>
      <c r="K245" s="85" t="str">
        <f t="shared" si="3"/>
        <v>/mnt/measurements/07_CANape/Mitsubishi/5K45/MMC4.1.2/Validation/2025_12_02/ChildAwake/TC_32_Try3.MF4.xz,child,RadarFC_Master,child (ncap3),CPD,dummy</v>
      </c>
      <c r="L245" s="85" t="s">
        <v>3322</v>
      </c>
      <c r="M245" t="s">
        <v>374</v>
      </c>
      <c r="N245" t="s">
        <v>371</v>
      </c>
    </row>
    <row r="246" spans="1:21" hidden="1">
      <c r="A246" s="38">
        <v>40</v>
      </c>
      <c r="B246" t="s">
        <v>124</v>
      </c>
      <c r="C246" t="s">
        <v>66</v>
      </c>
      <c r="D246" s="97" t="e">
        <f>_xlfn.XLOOKUP(A246,[1]CPD_SOP_new!$A:$A,[1]CPD_SOP_new!#REF!,"not found",0 )</f>
        <v>#REF!</v>
      </c>
      <c r="E246" s="97" t="s">
        <v>112</v>
      </c>
      <c r="F246" t="s">
        <v>27</v>
      </c>
      <c r="G246" t="s">
        <v>27</v>
      </c>
      <c r="H246" t="s">
        <v>27</v>
      </c>
      <c r="I246" t="s">
        <v>27</v>
      </c>
      <c r="J246" t="s">
        <v>124</v>
      </c>
      <c r="K246" s="85" t="str">
        <f t="shared" si="3"/>
        <v>/mnt/measurements/07_CANape/Mitsubishi/5K45/MMC4.1.2/Validation/2025_11_28/orderedByTargetType/child/Awake"/TC_40_Try_2.MF4.xz,child,RadarFC_Master,child (ncap3),CPD,dummy</v>
      </c>
      <c r="L246" s="85" t="s">
        <v>3323</v>
      </c>
      <c r="M246" t="s">
        <v>970</v>
      </c>
      <c r="N246" t="s">
        <v>971</v>
      </c>
    </row>
    <row r="247" spans="1:21" hidden="1">
      <c r="A247" s="38">
        <v>40</v>
      </c>
      <c r="B247" t="s">
        <v>124</v>
      </c>
      <c r="C247" t="s">
        <v>66</v>
      </c>
      <c r="D247" s="97" t="e">
        <f>_xlfn.XLOOKUP(A247,[1]CPD_SOP_new!$A:$A,[1]CPD_SOP_new!#REF!,"not found",0 )</f>
        <v>#REF!</v>
      </c>
      <c r="E247" s="97" t="s">
        <v>112</v>
      </c>
      <c r="F247" t="s">
        <v>27</v>
      </c>
      <c r="G247" t="s">
        <v>27</v>
      </c>
      <c r="H247" t="s">
        <v>27</v>
      </c>
      <c r="I247" t="s">
        <v>27</v>
      </c>
      <c r="J247" t="s">
        <v>124</v>
      </c>
      <c r="K247" s="85" t="str">
        <f t="shared" si="3"/>
        <v>/mnt/measurements/07_CANape/Mitsubishi/5K45/MMC4.1.2/Validation/2025_11_28/orderedByTargetType/child/Awake"/TC_40_Try1.MF4.xz,child,RadarFC_Master,child (ncap3),CPD,dummy</v>
      </c>
      <c r="L247" s="85" t="s">
        <v>3324</v>
      </c>
      <c r="M247" t="s">
        <v>972</v>
      </c>
      <c r="N247" t="s">
        <v>971</v>
      </c>
    </row>
    <row r="248" spans="1:21" hidden="1">
      <c r="A248" s="38">
        <v>40</v>
      </c>
      <c r="B248" t="s">
        <v>124</v>
      </c>
      <c r="C248" t="s">
        <v>66</v>
      </c>
      <c r="D248" s="97" t="e">
        <f>_xlfn.XLOOKUP(A248,[1]CPD_SOP_new!$A:$A,[1]CPD_SOP_new!#REF!,"not found",0 )</f>
        <v>#REF!</v>
      </c>
      <c r="E248" s="97" t="s">
        <v>112</v>
      </c>
      <c r="F248" t="s">
        <v>27</v>
      </c>
      <c r="G248" t="s">
        <v>27</v>
      </c>
      <c r="H248" t="s">
        <v>27</v>
      </c>
      <c r="I248" t="s">
        <v>27</v>
      </c>
      <c r="J248" t="s">
        <v>124</v>
      </c>
      <c r="K248" s="85" t="str">
        <f t="shared" si="3"/>
        <v>/mnt/measurements/07_CANape/Mitsubishi/5K45/MMC4.1.2/Validation/2025_11_28/orderedByTargetType/child/Awake"/TC_40_Try3.MF4.xz,child,RadarFC_Master,child (ncap3),CPD,dummy</v>
      </c>
      <c r="L248" s="85" t="s">
        <v>3325</v>
      </c>
      <c r="M248" t="s">
        <v>973</v>
      </c>
      <c r="N248" t="s">
        <v>971</v>
      </c>
    </row>
    <row r="249" spans="1:21">
      <c r="A249" s="38">
        <v>33</v>
      </c>
      <c r="B249" t="s">
        <v>124</v>
      </c>
      <c r="C249" t="s">
        <v>66</v>
      </c>
      <c r="D249" s="97" t="e">
        <f>_xlfn.XLOOKUP(A249,[1]CPD_SOP_new!$A:$A,[1]CPD_SOP_new!#REF!,"not found",0 )</f>
        <v>#REF!</v>
      </c>
      <c r="E249" s="97" t="s">
        <v>112</v>
      </c>
      <c r="F249" t="s">
        <v>27</v>
      </c>
      <c r="G249" t="s">
        <v>27</v>
      </c>
      <c r="H249" t="s">
        <v>27</v>
      </c>
      <c r="I249" t="s">
        <v>28</v>
      </c>
      <c r="J249" t="s">
        <v>124</v>
      </c>
      <c r="K249" s="85" t="str">
        <f t="shared" si="3"/>
        <v>/mnt/measurements/07_CANape/Mitsubishi/5K45/MMC4.1.2/Validation/2025_12_02/ChildAwake/TC_33_Try1.MF4.xz,child,RadarFC_Master,child (ncap3),CPD,dummy</v>
      </c>
      <c r="L249" s="85" t="s">
        <v>3326</v>
      </c>
      <c r="M249" t="s">
        <v>375</v>
      </c>
      <c r="N249" t="s">
        <v>371</v>
      </c>
    </row>
    <row r="250" spans="1:21">
      <c r="A250" s="38">
        <v>33</v>
      </c>
      <c r="B250" t="s">
        <v>124</v>
      </c>
      <c r="C250" t="s">
        <v>66</v>
      </c>
      <c r="D250" s="97" t="e">
        <f>_xlfn.XLOOKUP(A250,[1]CPD_SOP_new!$A:$A,[1]CPD_SOP_new!#REF!,"not found",0 )</f>
        <v>#REF!</v>
      </c>
      <c r="E250" s="97" t="s">
        <v>112</v>
      </c>
      <c r="F250" t="s">
        <v>27</v>
      </c>
      <c r="G250" t="s">
        <v>27</v>
      </c>
      <c r="H250" t="s">
        <v>27</v>
      </c>
      <c r="I250" t="s">
        <v>28</v>
      </c>
      <c r="J250" t="s">
        <v>124</v>
      </c>
      <c r="K250" s="85" t="str">
        <f t="shared" si="3"/>
        <v>/mnt/measurements/07_CANape/Mitsubishi/5K45/MMC4.1.2/Validation/2025_12_02/ChildAwake/TC_33_Try2.MF4.xz,child,RadarFC_Master,child (ncap3),CPD,dummy</v>
      </c>
      <c r="L250" s="85" t="s">
        <v>3327</v>
      </c>
      <c r="M250" t="s">
        <v>377</v>
      </c>
      <c r="N250" t="s">
        <v>371</v>
      </c>
    </row>
    <row r="251" spans="1:21">
      <c r="A251" s="38">
        <v>33</v>
      </c>
      <c r="B251" t="s">
        <v>124</v>
      </c>
      <c r="C251" t="s">
        <v>66</v>
      </c>
      <c r="D251" s="97" t="e">
        <f>_xlfn.XLOOKUP(A251,[1]CPD_SOP_new!$A:$A,[1]CPD_SOP_new!#REF!,"not found",0 )</f>
        <v>#REF!</v>
      </c>
      <c r="E251" s="97" t="s">
        <v>112</v>
      </c>
      <c r="F251" t="s">
        <v>27</v>
      </c>
      <c r="G251" t="s">
        <v>27</v>
      </c>
      <c r="H251" t="s">
        <v>27</v>
      </c>
      <c r="I251" t="s">
        <v>28</v>
      </c>
      <c r="J251" t="s">
        <v>124</v>
      </c>
      <c r="K251" s="85" t="str">
        <f t="shared" si="3"/>
        <v>/mnt/measurements/07_CANape/Mitsubishi/5K45/MMC4.1.2/Validation/2025_12_02/ChildAwake/TC_33_Try3.MF4.xz,child,RadarFC_Master,child (ncap3),CPD,dummy</v>
      </c>
      <c r="L251" s="85" t="s">
        <v>3328</v>
      </c>
      <c r="M251" t="s">
        <v>378</v>
      </c>
      <c r="N251" t="s">
        <v>371</v>
      </c>
    </row>
    <row r="252" spans="1:21">
      <c r="A252" s="38">
        <v>34</v>
      </c>
      <c r="B252" t="s">
        <v>124</v>
      </c>
      <c r="C252" t="s">
        <v>66</v>
      </c>
      <c r="D252" s="97" t="e">
        <f>_xlfn.XLOOKUP(A252,[1]CPD_SOP_new!$A:$A,[1]CPD_SOP_new!#REF!,"not found",0 )</f>
        <v>#REF!</v>
      </c>
      <c r="E252" s="97" t="s">
        <v>112</v>
      </c>
      <c r="F252" t="s">
        <v>27</v>
      </c>
      <c r="G252" t="s">
        <v>27</v>
      </c>
      <c r="H252" t="s">
        <v>27</v>
      </c>
      <c r="I252" t="s">
        <v>28</v>
      </c>
      <c r="J252" t="s">
        <v>124</v>
      </c>
      <c r="K252" s="85" t="str">
        <f t="shared" si="3"/>
        <v>/mnt/measurements/07_CANape/Mitsubishi/5K45/MMC4.1.2/Validation/2025_12_02/ChildSleep/TC_34_Try1.MF4.xz,child,RadarFC_Master,child (ncap3),CPD,dummy</v>
      </c>
      <c r="L252" s="85" t="s">
        <v>3329</v>
      </c>
      <c r="M252" t="s">
        <v>379</v>
      </c>
      <c r="N252" t="s">
        <v>380</v>
      </c>
    </row>
    <row r="253" spans="1:21">
      <c r="A253" s="38">
        <v>34</v>
      </c>
      <c r="B253" t="s">
        <v>124</v>
      </c>
      <c r="C253" t="s">
        <v>66</v>
      </c>
      <c r="D253" s="97" t="e">
        <f>_xlfn.XLOOKUP(A253,[1]CPD_SOP_new!$A:$A,[1]CPD_SOP_new!#REF!,"not found",0 )</f>
        <v>#REF!</v>
      </c>
      <c r="E253" s="97" t="s">
        <v>112</v>
      </c>
      <c r="F253" t="s">
        <v>27</v>
      </c>
      <c r="G253" t="s">
        <v>27</v>
      </c>
      <c r="H253" t="s">
        <v>27</v>
      </c>
      <c r="I253" t="s">
        <v>28</v>
      </c>
      <c r="J253" t="s">
        <v>124</v>
      </c>
      <c r="K253" s="85" t="str">
        <f t="shared" si="3"/>
        <v>/mnt/measurements/07_CANape/Mitsubishi/5K45/MMC4.1.2/Validation/2025_12_02/ChildSleep/TC_34_Try2.MF4.xz,child,RadarFC_Master,child (ncap3),CPD,dummy</v>
      </c>
      <c r="L253" s="85" t="s">
        <v>3330</v>
      </c>
      <c r="M253" t="s">
        <v>382</v>
      </c>
      <c r="N253" t="s">
        <v>380</v>
      </c>
    </row>
    <row r="254" spans="1:21">
      <c r="A254" s="38">
        <v>34</v>
      </c>
      <c r="B254" t="s">
        <v>124</v>
      </c>
      <c r="C254" t="s">
        <v>66</v>
      </c>
      <c r="D254" s="97" t="e">
        <f>_xlfn.XLOOKUP(A254,[1]CPD_SOP_new!$A:$A,[1]CPD_SOP_new!#REF!,"not found",0 )</f>
        <v>#REF!</v>
      </c>
      <c r="E254" s="97" t="s">
        <v>112</v>
      </c>
      <c r="F254" t="s">
        <v>27</v>
      </c>
      <c r="G254" t="s">
        <v>27</v>
      </c>
      <c r="H254" t="s">
        <v>27</v>
      </c>
      <c r="I254" t="s">
        <v>28</v>
      </c>
      <c r="J254" t="s">
        <v>124</v>
      </c>
      <c r="K254" s="85" t="str">
        <f t="shared" si="3"/>
        <v>/mnt/measurements/07_CANape/Mitsubishi/5K45/MMC4.1.2/Validation/2025_12_02/ChildSleep/TC_34_Try3.MF4.xz,child,RadarFC_Master,child (ncap3),CPD,dummy</v>
      </c>
      <c r="L254" s="85" t="s">
        <v>3331</v>
      </c>
      <c r="M254" t="s">
        <v>383</v>
      </c>
      <c r="N254" t="s">
        <v>380</v>
      </c>
    </row>
    <row r="255" spans="1:21">
      <c r="A255" s="38">
        <v>35</v>
      </c>
      <c r="B255" t="s">
        <v>124</v>
      </c>
      <c r="C255" t="s">
        <v>66</v>
      </c>
      <c r="D255" s="97" t="e">
        <f>_xlfn.XLOOKUP(A255,[1]CPD_SOP_new!$A:$A,[1]CPD_SOP_new!#REF!,"not found",0 )</f>
        <v>#REF!</v>
      </c>
      <c r="E255" s="97" t="s">
        <v>112</v>
      </c>
      <c r="F255" t="s">
        <v>27</v>
      </c>
      <c r="G255" t="s">
        <v>27</v>
      </c>
      <c r="H255" t="s">
        <v>27</v>
      </c>
      <c r="I255" t="s">
        <v>28</v>
      </c>
      <c r="J255" t="s">
        <v>124</v>
      </c>
      <c r="K255" s="85" t="str">
        <f t="shared" si="3"/>
        <v>/mnt/measurements/07_CANape/Mitsubishi/5K45/MMC4.1.2/Validation/2025_12_02/ChildAwake/TC_35_Try1.MF4.xz,child,RadarFC_Master,child (ncap3),CPD,dummy</v>
      </c>
      <c r="L255" s="85" t="s">
        <v>3332</v>
      </c>
      <c r="M255" t="s">
        <v>384</v>
      </c>
      <c r="N255" t="s">
        <v>371</v>
      </c>
    </row>
    <row r="256" spans="1:21">
      <c r="A256" s="38">
        <v>35</v>
      </c>
      <c r="B256" t="s">
        <v>124</v>
      </c>
      <c r="C256" t="s">
        <v>66</v>
      </c>
      <c r="D256" s="97" t="e">
        <f>_xlfn.XLOOKUP(A256,[1]CPD_SOP_new!$A:$A,[1]CPD_SOP_new!#REF!,"not found",0 )</f>
        <v>#REF!</v>
      </c>
      <c r="E256" s="97" t="s">
        <v>112</v>
      </c>
      <c r="F256" t="s">
        <v>27</v>
      </c>
      <c r="G256" t="s">
        <v>27</v>
      </c>
      <c r="H256" t="s">
        <v>27</v>
      </c>
      <c r="I256" t="s">
        <v>28</v>
      </c>
      <c r="J256" t="s">
        <v>124</v>
      </c>
      <c r="K256" s="85" t="str">
        <f t="shared" si="3"/>
        <v>/mnt/measurements/07_CANape/Mitsubishi/5K45/MMC4.1.2/Validation/2025_12_02/ChildAwake/TC_35_Try2.MF4.xz,child,RadarFC_Master,child (ncap3),CPD,dummy</v>
      </c>
      <c r="L256" s="85" t="s">
        <v>3333</v>
      </c>
      <c r="M256" t="s">
        <v>385</v>
      </c>
      <c r="N256" t="s">
        <v>371</v>
      </c>
    </row>
    <row r="257" spans="1:21">
      <c r="A257" s="38">
        <v>35</v>
      </c>
      <c r="B257" t="s">
        <v>124</v>
      </c>
      <c r="C257" t="s">
        <v>66</v>
      </c>
      <c r="D257" s="97" t="e">
        <f>_xlfn.XLOOKUP(A257,[1]CPD_SOP_new!$A:$A,[1]CPD_SOP_new!#REF!,"not found",0 )</f>
        <v>#REF!</v>
      </c>
      <c r="E257" s="97" t="s">
        <v>112</v>
      </c>
      <c r="F257" t="s">
        <v>27</v>
      </c>
      <c r="G257" t="s">
        <v>27</v>
      </c>
      <c r="H257" t="s">
        <v>27</v>
      </c>
      <c r="I257" t="s">
        <v>28</v>
      </c>
      <c r="J257" t="s">
        <v>124</v>
      </c>
      <c r="K257" s="85" t="str">
        <f t="shared" si="3"/>
        <v>/mnt/measurements/07_CANape/Mitsubishi/5K45/MMC4.1.2/Validation/2025_12_02/ChildAwake/TC_35_Try3.MF4.xz,child,RadarFC_Master,child (ncap3),CPD,dummy</v>
      </c>
      <c r="L257" s="85" t="s">
        <v>3334</v>
      </c>
      <c r="M257" t="s">
        <v>386</v>
      </c>
      <c r="N257" t="s">
        <v>371</v>
      </c>
    </row>
    <row r="258" spans="1:21">
      <c r="A258" s="38">
        <v>36</v>
      </c>
      <c r="B258" t="s">
        <v>124</v>
      </c>
      <c r="C258" t="s">
        <v>66</v>
      </c>
      <c r="D258" s="97" t="e">
        <f>_xlfn.XLOOKUP(A258,[1]CPD_SOP_new!$A:$A,[1]CPD_SOP_new!#REF!,"not found",0 )</f>
        <v>#REF!</v>
      </c>
      <c r="E258" s="97" t="s">
        <v>112</v>
      </c>
      <c r="F258" t="s">
        <v>27</v>
      </c>
      <c r="G258" t="s">
        <v>27</v>
      </c>
      <c r="H258" t="s">
        <v>27</v>
      </c>
      <c r="I258" t="s">
        <v>28</v>
      </c>
      <c r="J258" t="s">
        <v>124</v>
      </c>
      <c r="K258" s="85" t="str">
        <f t="shared" ref="K258:K321" si="4">N258&amp;"/"&amp;M258&amp;","&amp;IF(J258="ncap3","child",J258)&amp;",RadarFC_Master,"&amp;IF(J258="ncap3","child",J258)&amp;IF(B258="ncap1,2"," ("&amp;B258&amp;")","")&amp;IF(B258="ncap3"," ("&amp;B258&amp;")","")&amp;IF(B258="multiple children"," (ncap1,2)","")&amp;IF(B258="NB awake"," (ncap1,2)","")&amp;",CPD,"&amp;IF(F258="Y","realchild","dummy")</f>
        <v>/mnt/measurements/07_CANape/Mitsubishi/5K45/MMC4.1.2/Validation/2025_12_02/ChildAwake/TC_36_Try1.MF4.xz,child,RadarFC_Master,child (ncap3),CPD,dummy</v>
      </c>
      <c r="L258" s="85" t="s">
        <v>3335</v>
      </c>
      <c r="M258" t="s">
        <v>387</v>
      </c>
      <c r="N258" t="s">
        <v>371</v>
      </c>
    </row>
    <row r="259" spans="1:21">
      <c r="A259" s="38">
        <v>36</v>
      </c>
      <c r="B259" t="s">
        <v>124</v>
      </c>
      <c r="C259" t="s">
        <v>66</v>
      </c>
      <c r="D259" s="97" t="e">
        <f>_xlfn.XLOOKUP(A259,[1]CPD_SOP_new!$A:$A,[1]CPD_SOP_new!#REF!,"not found",0 )</f>
        <v>#REF!</v>
      </c>
      <c r="E259" s="97" t="s">
        <v>112</v>
      </c>
      <c r="F259" t="s">
        <v>27</v>
      </c>
      <c r="G259" t="s">
        <v>27</v>
      </c>
      <c r="H259" t="s">
        <v>27</v>
      </c>
      <c r="I259" t="s">
        <v>28</v>
      </c>
      <c r="J259" t="s">
        <v>124</v>
      </c>
      <c r="K259" s="85" t="str">
        <f t="shared" si="4"/>
        <v>/mnt/measurements/07_CANape/Mitsubishi/5K45/MMC4.1.2/Validation/2025_12_02/ChildAwake/TC_36_Try2.MF4.xz,child,RadarFC_Master,child (ncap3),CPD,dummy</v>
      </c>
      <c r="L259" s="85" t="s">
        <v>3336</v>
      </c>
      <c r="M259" s="60" t="s">
        <v>388</v>
      </c>
      <c r="N259" t="s">
        <v>371</v>
      </c>
    </row>
    <row r="260" spans="1:21">
      <c r="A260" s="38">
        <v>36</v>
      </c>
      <c r="B260" t="s">
        <v>124</v>
      </c>
      <c r="C260" t="s">
        <v>66</v>
      </c>
      <c r="D260" s="97" t="e">
        <f>_xlfn.XLOOKUP(A260,[1]CPD_SOP_new!$A:$A,[1]CPD_SOP_new!#REF!,"not found",0 )</f>
        <v>#REF!</v>
      </c>
      <c r="E260" s="97" t="s">
        <v>112</v>
      </c>
      <c r="F260" t="s">
        <v>27</v>
      </c>
      <c r="G260" t="s">
        <v>27</v>
      </c>
      <c r="H260" t="s">
        <v>27</v>
      </c>
      <c r="I260" t="s">
        <v>28</v>
      </c>
      <c r="J260" t="s">
        <v>124</v>
      </c>
      <c r="K260" s="85" t="str">
        <f t="shared" si="4"/>
        <v>/mnt/measurements/07_CANape/Mitsubishi/5K45/MMC4.1.2/Validation/2025_12_02/ChildAwake/TC_36_Try3.MF4.xz,child,RadarFC_Master,child (ncap3),CPD,dummy</v>
      </c>
      <c r="L260" s="85" t="s">
        <v>3337</v>
      </c>
      <c r="M260" s="60" t="s">
        <v>389</v>
      </c>
      <c r="N260" t="s">
        <v>371</v>
      </c>
    </row>
    <row r="261" spans="1:21">
      <c r="A261" s="77">
        <v>37</v>
      </c>
      <c r="B261" t="s">
        <v>124</v>
      </c>
      <c r="C261" t="s">
        <v>66</v>
      </c>
      <c r="D261" s="97" t="e">
        <f>_xlfn.XLOOKUP(A261,[1]CPD_SOP_new!$A:$A,[1]CPD_SOP_new!#REF!,"not found",0 )</f>
        <v>#REF!</v>
      </c>
      <c r="E261" s="97" t="s">
        <v>112</v>
      </c>
      <c r="F261" t="s">
        <v>28</v>
      </c>
      <c r="G261" t="s">
        <v>27</v>
      </c>
      <c r="H261" t="s">
        <v>27</v>
      </c>
      <c r="I261" t="s">
        <v>28</v>
      </c>
      <c r="J261" t="s">
        <v>124</v>
      </c>
      <c r="K261" s="85" t="str">
        <f t="shared" si="4"/>
        <v>/mnt/measurements/07_CANape/Mitsubishi/5K45/5.3.0_RC6/Customer_Testing/Real_Child_Measurements/3YO/CSR_XCP_Signals_Recorder_2026-01-30_10-25-19_TC37.MF4.xz,child,RadarFC_Master,child (ncap3),CPD,realchild</v>
      </c>
      <c r="L261" s="85" t="s">
        <v>3338</v>
      </c>
      <c r="M261" s="60" t="s">
        <v>392</v>
      </c>
      <c r="N261" s="60" t="s">
        <v>391</v>
      </c>
      <c r="O261" t="s">
        <v>124</v>
      </c>
      <c r="P261" t="s">
        <v>29</v>
      </c>
      <c r="Q261">
        <v>1</v>
      </c>
      <c r="T261">
        <v>0</v>
      </c>
      <c r="U261">
        <v>0</v>
      </c>
    </row>
    <row r="262" spans="1:21">
      <c r="A262" s="77">
        <v>37</v>
      </c>
      <c r="B262" t="s">
        <v>124</v>
      </c>
      <c r="C262" t="s">
        <v>66</v>
      </c>
      <c r="D262" s="97" t="e">
        <f>_xlfn.XLOOKUP(A262,[1]CPD_SOP_new!$A:$A,[1]CPD_SOP_new!#REF!,"not found",0 )</f>
        <v>#REF!</v>
      </c>
      <c r="E262" s="97" t="s">
        <v>112</v>
      </c>
      <c r="F262" t="s">
        <v>28</v>
      </c>
      <c r="G262" t="s">
        <v>27</v>
      </c>
      <c r="H262" t="s">
        <v>27</v>
      </c>
      <c r="I262" t="s">
        <v>28</v>
      </c>
      <c r="J262" t="s">
        <v>124</v>
      </c>
      <c r="K262" s="85" t="str">
        <f t="shared" si="4"/>
        <v>/mnt/measurements/07_CANape/Mitsubishi/5K45/5.3.0_RC6/Customer_Testing/Real_Child_Measurements/3YO/CSR_XCP_Signals_Recorder_2026-01-30_10-28-06_TC37.MF4.xz,child,RadarFC_Master,child (ncap3),CPD,realchild</v>
      </c>
      <c r="L262" s="85" t="s">
        <v>3339</v>
      </c>
      <c r="M262" s="60" t="s">
        <v>395</v>
      </c>
      <c r="N262" s="60" t="s">
        <v>391</v>
      </c>
      <c r="O262" t="s">
        <v>124</v>
      </c>
      <c r="P262" t="s">
        <v>29</v>
      </c>
      <c r="Q262">
        <v>1</v>
      </c>
      <c r="T262">
        <v>0</v>
      </c>
      <c r="U262">
        <v>0</v>
      </c>
    </row>
    <row r="263" spans="1:21">
      <c r="A263" s="77">
        <v>37</v>
      </c>
      <c r="B263" t="s">
        <v>124</v>
      </c>
      <c r="C263" t="s">
        <v>66</v>
      </c>
      <c r="D263" s="97" t="e">
        <f>_xlfn.XLOOKUP(A263,[1]CPD_SOP_new!$A:$A,[1]CPD_SOP_new!#REF!,"not found",0 )</f>
        <v>#REF!</v>
      </c>
      <c r="E263" s="97" t="s">
        <v>112</v>
      </c>
      <c r="F263" t="s">
        <v>28</v>
      </c>
      <c r="G263" t="s">
        <v>27</v>
      </c>
      <c r="H263" t="s">
        <v>27</v>
      </c>
      <c r="I263" t="s">
        <v>28</v>
      </c>
      <c r="J263" t="s">
        <v>124</v>
      </c>
      <c r="K263" s="85" t="str">
        <f t="shared" si="4"/>
        <v>/mnt/measurements/07_CANape/Mitsubishi/5K45/5.3.0_RC6/Customer_Testing/Real_Child_Measurements/3YO/CSR_XCP_Signals_Recorder_2026-01-30_10-29-32_TC37.MF4.xz,child,RadarFC_Master,child (ncap3),CPD,realchild</v>
      </c>
      <c r="L263" s="85" t="s">
        <v>3340</v>
      </c>
      <c r="M263" s="60" t="s">
        <v>396</v>
      </c>
      <c r="N263" s="60" t="s">
        <v>391</v>
      </c>
      <c r="O263" t="s">
        <v>124</v>
      </c>
      <c r="P263" t="s">
        <v>29</v>
      </c>
      <c r="Q263">
        <v>1</v>
      </c>
      <c r="T263">
        <v>0</v>
      </c>
      <c r="U263">
        <v>0</v>
      </c>
    </row>
    <row r="264" spans="1:21">
      <c r="A264" s="77">
        <v>37</v>
      </c>
      <c r="B264" t="s">
        <v>124</v>
      </c>
      <c r="C264" t="s">
        <v>66</v>
      </c>
      <c r="D264" s="97" t="e">
        <f>_xlfn.XLOOKUP(A264,[1]CPD_SOP_new!$A:$A,[1]CPD_SOP_new!#REF!,"not found",0 )</f>
        <v>#REF!</v>
      </c>
      <c r="E264" s="97" t="s">
        <v>112</v>
      </c>
      <c r="F264" t="s">
        <v>28</v>
      </c>
      <c r="G264" t="s">
        <v>27</v>
      </c>
      <c r="H264" t="s">
        <v>27</v>
      </c>
      <c r="I264" t="s">
        <v>28</v>
      </c>
      <c r="J264" t="s">
        <v>124</v>
      </c>
      <c r="K264" s="85" t="str">
        <f t="shared" si="4"/>
        <v>/mnt/measurements/07_CANape/Mitsubishi/5K45/5.3.0_RC6/Customer_Testing/Real_Child_Measurements/3YO/CSR_XCP_Signals_Recorder_2026-01-30_10-31-17_TC37.MF4.xz,child,RadarFC_Master,child (ncap3),CPD,realchild</v>
      </c>
      <c r="L264" s="85" t="s">
        <v>3341</v>
      </c>
      <c r="M264" t="s">
        <v>397</v>
      </c>
      <c r="N264" t="s">
        <v>391</v>
      </c>
      <c r="O264" t="s">
        <v>124</v>
      </c>
      <c r="P264" t="s">
        <v>29</v>
      </c>
      <c r="Q264">
        <v>1</v>
      </c>
      <c r="T264">
        <v>0</v>
      </c>
      <c r="U264">
        <v>0</v>
      </c>
    </row>
    <row r="265" spans="1:21">
      <c r="A265" s="38">
        <v>38</v>
      </c>
      <c r="B265" t="s">
        <v>124</v>
      </c>
      <c r="C265" t="s">
        <v>66</v>
      </c>
      <c r="D265" s="97" t="e">
        <f>_xlfn.XLOOKUP(A265,[1]CPD_SOP_new!$A:$A,[1]CPD_SOP_new!#REF!,"not found",0 )</f>
        <v>#REF!</v>
      </c>
      <c r="E265" s="97" t="s">
        <v>112</v>
      </c>
      <c r="F265" t="s">
        <v>27</v>
      </c>
      <c r="G265" t="s">
        <v>27</v>
      </c>
      <c r="H265" t="s">
        <v>27</v>
      </c>
      <c r="I265" t="s">
        <v>28</v>
      </c>
      <c r="J265" t="s">
        <v>124</v>
      </c>
      <c r="K265" s="85" t="str">
        <f t="shared" si="4"/>
        <v>/mnt/measurements/07_CANape/Mitsubishi/5K45/MMC4.1.2/Validation/2025_12_02/ChildSleep/TC_38_Try1.MF4.xz,child,RadarFC_Master,child (ncap3),CPD,dummy</v>
      </c>
      <c r="L265" s="85" t="s">
        <v>3342</v>
      </c>
      <c r="M265" t="s">
        <v>398</v>
      </c>
      <c r="N265" t="s">
        <v>380</v>
      </c>
    </row>
    <row r="266" spans="1:21">
      <c r="A266" s="38">
        <v>38</v>
      </c>
      <c r="B266" t="s">
        <v>124</v>
      </c>
      <c r="C266" t="s">
        <v>66</v>
      </c>
      <c r="D266" s="97" t="e">
        <f>_xlfn.XLOOKUP(A266,[1]CPD_SOP_new!$A:$A,[1]CPD_SOP_new!#REF!,"not found",0 )</f>
        <v>#REF!</v>
      </c>
      <c r="E266" s="97" t="s">
        <v>112</v>
      </c>
      <c r="F266" t="s">
        <v>27</v>
      </c>
      <c r="G266" t="s">
        <v>27</v>
      </c>
      <c r="H266" t="s">
        <v>27</v>
      </c>
      <c r="I266" t="s">
        <v>28</v>
      </c>
      <c r="J266" t="s">
        <v>124</v>
      </c>
      <c r="K266" s="85" t="str">
        <f t="shared" si="4"/>
        <v>/mnt/measurements/07_CANape/Mitsubishi/5K45/MMC4.1.2/Validation/2025_12_02/ChildSleep/TC_38_Try2.MF4.xz,child,RadarFC_Master,child (ncap3),CPD,dummy</v>
      </c>
      <c r="L266" s="85" t="s">
        <v>3343</v>
      </c>
      <c r="M266" t="s">
        <v>399</v>
      </c>
      <c r="N266" t="s">
        <v>380</v>
      </c>
    </row>
    <row r="267" spans="1:21">
      <c r="A267" s="38">
        <v>38</v>
      </c>
      <c r="B267" t="s">
        <v>124</v>
      </c>
      <c r="C267" t="s">
        <v>66</v>
      </c>
      <c r="D267" s="97" t="e">
        <f>_xlfn.XLOOKUP(A267,[1]CPD_SOP_new!$A:$A,[1]CPD_SOP_new!#REF!,"not found",0 )</f>
        <v>#REF!</v>
      </c>
      <c r="E267" s="97" t="s">
        <v>112</v>
      </c>
      <c r="F267" t="s">
        <v>27</v>
      </c>
      <c r="G267" t="s">
        <v>27</v>
      </c>
      <c r="H267" t="s">
        <v>27</v>
      </c>
      <c r="I267" t="s">
        <v>28</v>
      </c>
      <c r="J267" t="s">
        <v>124</v>
      </c>
      <c r="K267" s="85" t="str">
        <f t="shared" si="4"/>
        <v>/mnt/measurements/07_CANape/Mitsubishi/5K45/MMC4.1.2/Validation/2025_12_02/ChildSleep/TC_38_Try3.MF4.xz,child,RadarFC_Master,child (ncap3),CPD,dummy</v>
      </c>
      <c r="L267" s="85" t="s">
        <v>3344</v>
      </c>
      <c r="M267" t="s">
        <v>400</v>
      </c>
      <c r="N267" t="s">
        <v>380</v>
      </c>
    </row>
    <row r="268" spans="1:21">
      <c r="A268" s="38">
        <v>39</v>
      </c>
      <c r="B268" t="s">
        <v>124</v>
      </c>
      <c r="C268" t="s">
        <v>253</v>
      </c>
      <c r="D268" s="97" t="e">
        <f>_xlfn.XLOOKUP(A268,[1]CPD_SOP_new!$A:$A,[1]CPD_SOP_new!#REF!,"not found",0 )</f>
        <v>#REF!</v>
      </c>
      <c r="E268" s="97" t="s">
        <v>26</v>
      </c>
      <c r="F268" t="s">
        <v>27</v>
      </c>
      <c r="G268" t="s">
        <v>27</v>
      </c>
      <c r="H268" t="s">
        <v>27</v>
      </c>
      <c r="I268" t="s">
        <v>28</v>
      </c>
      <c r="J268" t="s">
        <v>124</v>
      </c>
      <c r="K268" s="85" t="str">
        <f t="shared" si="4"/>
        <v>/mnt/measurements/07_CANape/Mitsubishi/5K45/MMC4.1.2/Validation/2025_12_02/ChildSleep/TC_39_Try1.MF4.xz,child,RadarFC_Master,child (ncap3),CPD,dummy</v>
      </c>
      <c r="L268" s="85" t="s">
        <v>3345</v>
      </c>
      <c r="M268" t="s">
        <v>401</v>
      </c>
      <c r="N268" t="s">
        <v>380</v>
      </c>
    </row>
    <row r="269" spans="1:21">
      <c r="A269" s="38">
        <v>39</v>
      </c>
      <c r="B269" t="s">
        <v>124</v>
      </c>
      <c r="C269" t="s">
        <v>253</v>
      </c>
      <c r="D269" s="97" t="e">
        <f>_xlfn.XLOOKUP(A269,[1]CPD_SOP_new!$A:$A,[1]CPD_SOP_new!#REF!,"not found",0 )</f>
        <v>#REF!</v>
      </c>
      <c r="E269" s="97" t="s">
        <v>26</v>
      </c>
      <c r="F269" t="s">
        <v>27</v>
      </c>
      <c r="G269" t="s">
        <v>27</v>
      </c>
      <c r="H269" t="s">
        <v>27</v>
      </c>
      <c r="I269" t="s">
        <v>28</v>
      </c>
      <c r="J269" t="s">
        <v>124</v>
      </c>
      <c r="K269" s="85" t="str">
        <f t="shared" si="4"/>
        <v>/mnt/measurements/07_CANape/Mitsubishi/5K45/MMC4.1.2/Validation/2025_12_02/ChildSleep/TC_39_Try2.MF4.xz,child,RadarFC_Master,child (ncap3),CPD,dummy</v>
      </c>
      <c r="L269" s="85" t="s">
        <v>3346</v>
      </c>
      <c r="M269" t="s">
        <v>403</v>
      </c>
      <c r="N269" s="60" t="s">
        <v>380</v>
      </c>
    </row>
    <row r="270" spans="1:21">
      <c r="A270" s="38">
        <v>39</v>
      </c>
      <c r="B270" t="s">
        <v>124</v>
      </c>
      <c r="C270" t="s">
        <v>253</v>
      </c>
      <c r="D270" s="97" t="e">
        <f>_xlfn.XLOOKUP(A270,[1]CPD_SOP_new!$A:$A,[1]CPD_SOP_new!#REF!,"not found",0 )</f>
        <v>#REF!</v>
      </c>
      <c r="E270" s="97" t="s">
        <v>26</v>
      </c>
      <c r="F270" t="s">
        <v>27</v>
      </c>
      <c r="G270" t="s">
        <v>27</v>
      </c>
      <c r="H270" t="s">
        <v>27</v>
      </c>
      <c r="I270" t="s">
        <v>28</v>
      </c>
      <c r="J270" t="s">
        <v>124</v>
      </c>
      <c r="K270" s="85" t="str">
        <f t="shared" si="4"/>
        <v>/mnt/measurements/07_CANape/Mitsubishi/5K45/MMC4.1.2/Validation/2025_12_02/ChildSleep/TC_39_Try3.MF4.xz,child,RadarFC_Master,child (ncap3),CPD,dummy</v>
      </c>
      <c r="L270" s="85" t="s">
        <v>3347</v>
      </c>
      <c r="M270" t="s">
        <v>404</v>
      </c>
      <c r="N270" s="60" t="s">
        <v>380</v>
      </c>
    </row>
    <row r="271" spans="1:21">
      <c r="A271" s="38">
        <v>40</v>
      </c>
      <c r="B271" t="s">
        <v>124</v>
      </c>
      <c r="C271" t="s">
        <v>66</v>
      </c>
      <c r="D271" s="97" t="e">
        <f>_xlfn.XLOOKUP(A271,[1]CPD_SOP_new!$A:$A,[1]CPD_SOP_new!#REF!,"not found",0 )</f>
        <v>#REF!</v>
      </c>
      <c r="E271" s="97" t="s">
        <v>112</v>
      </c>
      <c r="F271" t="s">
        <v>28</v>
      </c>
      <c r="G271" t="s">
        <v>27</v>
      </c>
      <c r="H271" t="s">
        <v>27</v>
      </c>
      <c r="I271" t="s">
        <v>28</v>
      </c>
      <c r="J271" t="s">
        <v>124</v>
      </c>
      <c r="K271" s="85" t="str">
        <f t="shared" si="4"/>
        <v>/mnt/measurements/07_CANape/Mitsubishi/5K45/MMC5.0.2/5K457EG11/RealChild/CPD_TC40_Try1.MF4.xz,child,RadarFC_Master,child (ncap3),CPD,realchild</v>
      </c>
      <c r="L271" s="85" t="s">
        <v>3348</v>
      </c>
      <c r="M271" t="s">
        <v>409</v>
      </c>
      <c r="N271" s="60" t="s">
        <v>86</v>
      </c>
    </row>
    <row r="272" spans="1:21">
      <c r="A272" s="38">
        <v>40</v>
      </c>
      <c r="B272" t="s">
        <v>124</v>
      </c>
      <c r="C272" t="s">
        <v>66</v>
      </c>
      <c r="D272" s="97" t="e">
        <f>_xlfn.XLOOKUP(A272,[1]CPD_SOP_new!$A:$A,[1]CPD_SOP_new!#REF!,"not found",0 )</f>
        <v>#REF!</v>
      </c>
      <c r="E272" s="97" t="s">
        <v>112</v>
      </c>
      <c r="F272" t="s">
        <v>28</v>
      </c>
      <c r="G272" t="s">
        <v>27</v>
      </c>
      <c r="H272" t="s">
        <v>27</v>
      </c>
      <c r="I272" t="s">
        <v>28</v>
      </c>
      <c r="J272" t="s">
        <v>124</v>
      </c>
      <c r="K272" s="85" t="str">
        <f t="shared" si="4"/>
        <v>/mnt/measurements/07_CANape/Mitsubishi/5K45/MMC5.0.2/5K457EG11/RealChild/CPD_TC40_Try2.MF4.xz,child,RadarFC_Master,child (ncap3),CPD,realchild</v>
      </c>
      <c r="L272" s="85" t="s">
        <v>3349</v>
      </c>
      <c r="M272" t="s">
        <v>410</v>
      </c>
      <c r="N272" s="60" t="s">
        <v>86</v>
      </c>
    </row>
    <row r="273" spans="1:14">
      <c r="A273" s="38">
        <v>40</v>
      </c>
      <c r="B273" t="s">
        <v>124</v>
      </c>
      <c r="C273" t="s">
        <v>66</v>
      </c>
      <c r="D273" s="97" t="e">
        <f>_xlfn.XLOOKUP(A273,[1]CPD_SOP_new!$A:$A,[1]CPD_SOP_new!#REF!,"not found",0 )</f>
        <v>#REF!</v>
      </c>
      <c r="E273" s="97" t="s">
        <v>112</v>
      </c>
      <c r="F273" t="s">
        <v>28</v>
      </c>
      <c r="G273" t="s">
        <v>27</v>
      </c>
      <c r="H273" t="s">
        <v>27</v>
      </c>
      <c r="I273" t="s">
        <v>28</v>
      </c>
      <c r="J273" t="s">
        <v>124</v>
      </c>
      <c r="K273" s="85" t="str">
        <f t="shared" si="4"/>
        <v>/mnt/measurements/07_CANape/Mitsubishi/5K45/MMC5.0.2/5K457EG11/RealChild/CPD_TC40_Try3.MF4.xz,child,RadarFC_Master,child (ncap3),CPD,realchild</v>
      </c>
      <c r="L273" s="85" t="s">
        <v>3350</v>
      </c>
      <c r="M273" t="s">
        <v>411</v>
      </c>
      <c r="N273" s="60" t="s">
        <v>86</v>
      </c>
    </row>
    <row r="274" spans="1:14">
      <c r="A274" s="38">
        <v>40</v>
      </c>
      <c r="B274" t="s">
        <v>124</v>
      </c>
      <c r="C274" t="s">
        <v>66</v>
      </c>
      <c r="D274" s="97" t="e">
        <f>_xlfn.XLOOKUP(A274,[1]CPD_SOP_new!$A:$A,[1]CPD_SOP_new!#REF!,"not found",0 )</f>
        <v>#REF!</v>
      </c>
      <c r="E274" s="97" t="s">
        <v>112</v>
      </c>
      <c r="F274" t="s">
        <v>28</v>
      </c>
      <c r="G274" t="s">
        <v>27</v>
      </c>
      <c r="H274" t="s">
        <v>27</v>
      </c>
      <c r="I274" t="s">
        <v>28</v>
      </c>
      <c r="J274" t="s">
        <v>124</v>
      </c>
      <c r="K274" s="85" t="str">
        <f t="shared" si="4"/>
        <v>/mnt/measurements/07_CANape/Mitsubishi/5K45/MMC5.0.2/5K457EG11/RealChild/CPD_TC40_Try4.MF4.xz,child,RadarFC_Master,child (ncap3),CPD,realchild</v>
      </c>
      <c r="L274" s="85" t="s">
        <v>3351</v>
      </c>
      <c r="M274" t="s">
        <v>412</v>
      </c>
      <c r="N274" s="60" t="s">
        <v>86</v>
      </c>
    </row>
    <row r="275" spans="1:14">
      <c r="A275" s="38">
        <v>40</v>
      </c>
      <c r="B275" t="s">
        <v>124</v>
      </c>
      <c r="C275" t="s">
        <v>66</v>
      </c>
      <c r="D275" s="97" t="e">
        <f>_xlfn.XLOOKUP(A275,[1]CPD_SOP_new!$A:$A,[1]CPD_SOP_new!#REF!,"not found",0 )</f>
        <v>#REF!</v>
      </c>
      <c r="E275" s="97" t="s">
        <v>112</v>
      </c>
      <c r="F275" t="s">
        <v>28</v>
      </c>
      <c r="G275" t="s">
        <v>27</v>
      </c>
      <c r="H275" t="s">
        <v>27</v>
      </c>
      <c r="I275" t="s">
        <v>28</v>
      </c>
      <c r="J275" t="s">
        <v>124</v>
      </c>
      <c r="K275" s="85" t="str">
        <f t="shared" si="4"/>
        <v>/mnt/measurements/07_CANape/Mitsubishi/5K45/MMC5.0.2/5K457EG11/RealChild/CPD_TC40_Try5.MF4.xz,child,RadarFC_Master,child (ncap3),CPD,realchild</v>
      </c>
      <c r="L275" s="85" t="s">
        <v>3352</v>
      </c>
      <c r="M275" t="s">
        <v>413</v>
      </c>
      <c r="N275" s="60" t="s">
        <v>86</v>
      </c>
    </row>
    <row r="276" spans="1:14" s="137" customFormat="1" hidden="1">
      <c r="A276" s="79">
        <v>46</v>
      </c>
      <c r="B276" s="137" t="s">
        <v>124</v>
      </c>
      <c r="C276" s="137" t="s">
        <v>66</v>
      </c>
      <c r="D276" s="97" t="e">
        <f>_xlfn.XLOOKUP(A276,[1]CPD_SOP_new!$A:$A,[1]CPD_SOP_new!#REF!,"not found",0 )</f>
        <v>#REF!</v>
      </c>
      <c r="E276" s="97" t="s">
        <v>112</v>
      </c>
      <c r="F276" s="137" t="s">
        <v>27</v>
      </c>
      <c r="G276" s="137" t="s">
        <v>27</v>
      </c>
      <c r="H276" s="137" t="s">
        <v>27</v>
      </c>
      <c r="I276" s="137" t="s">
        <v>27</v>
      </c>
      <c r="J276" s="90" t="s">
        <v>437</v>
      </c>
      <c r="K276" s="85" t="str">
        <f t="shared" si="4"/>
        <v>/mnt/measurements/07_CANape/Mitsubishi/5K45/MMC4.1.2/Validation/2025_12_02/ChildSleep/TC_46_Try2.MF4.xz,Door is opened early so HMI goes back from detection to monitoring; not good measurement to resim,RadarFC_Master,Door is opened early so HMI goes back from detection to monitoring; not good measurement to resim (ncap3),CPD,dummy</v>
      </c>
      <c r="L276" s="85" t="s">
        <v>3353</v>
      </c>
      <c r="M276" s="137" t="s">
        <v>438</v>
      </c>
      <c r="N276" s="55" t="s">
        <v>380</v>
      </c>
    </row>
    <row r="277" spans="1:14">
      <c r="A277" s="38">
        <v>41</v>
      </c>
      <c r="B277" t="s">
        <v>124</v>
      </c>
      <c r="C277" t="s">
        <v>66</v>
      </c>
      <c r="D277" s="97" t="e">
        <f>_xlfn.XLOOKUP(A277,[1]CPD_SOP_new!$A:$A,[1]CPD_SOP_new!#REF!,"not found",0 )</f>
        <v>#REF!</v>
      </c>
      <c r="E277" s="97" t="s">
        <v>112</v>
      </c>
      <c r="F277" t="s">
        <v>28</v>
      </c>
      <c r="G277" t="s">
        <v>27</v>
      </c>
      <c r="H277" t="s">
        <v>27</v>
      </c>
      <c r="I277" t="s">
        <v>28</v>
      </c>
      <c r="J277" t="s">
        <v>124</v>
      </c>
      <c r="K277" s="85" t="str">
        <f t="shared" si="4"/>
        <v>/mnt/measurements/07_CANape/Mitsubishi/5K45/5.2.0/5K457EG11/Real_Childs/CPD_TC41_Try1.MF4.xz,child,RadarFC_Master,child (ncap3),CPD,realchild</v>
      </c>
      <c r="L277" s="85" t="s">
        <v>3354</v>
      </c>
      <c r="M277" t="s">
        <v>414</v>
      </c>
      <c r="N277" s="60" t="s">
        <v>191</v>
      </c>
    </row>
    <row r="278" spans="1:14">
      <c r="A278" s="38">
        <v>41</v>
      </c>
      <c r="B278" t="s">
        <v>124</v>
      </c>
      <c r="C278" t="s">
        <v>66</v>
      </c>
      <c r="D278" s="97" t="e">
        <f>_xlfn.XLOOKUP(A278,[1]CPD_SOP_new!$A:$A,[1]CPD_SOP_new!#REF!,"not found",0 )</f>
        <v>#REF!</v>
      </c>
      <c r="E278" s="97" t="s">
        <v>112</v>
      </c>
      <c r="F278" t="s">
        <v>28</v>
      </c>
      <c r="G278" t="s">
        <v>27</v>
      </c>
      <c r="H278" t="s">
        <v>27</v>
      </c>
      <c r="I278" t="s">
        <v>28</v>
      </c>
      <c r="J278" t="s">
        <v>124</v>
      </c>
      <c r="K278" s="85" t="str">
        <f t="shared" si="4"/>
        <v>/mnt/measurements/07_CANape/Mitsubishi/5K45/5.2.0/5K457EG11/Real_Childs/CPD_TC41_Try2.MF4.xz,child,RadarFC_Master,child (ncap3),CPD,realchild</v>
      </c>
      <c r="L278" s="85" t="s">
        <v>3355</v>
      </c>
      <c r="M278" t="s">
        <v>415</v>
      </c>
      <c r="N278" s="60" t="s">
        <v>191</v>
      </c>
    </row>
    <row r="279" spans="1:14">
      <c r="A279" s="38">
        <v>41</v>
      </c>
      <c r="B279" t="s">
        <v>124</v>
      </c>
      <c r="C279" t="s">
        <v>66</v>
      </c>
      <c r="D279" s="97" t="e">
        <f>_xlfn.XLOOKUP(A279,[1]CPD_SOP_new!$A:$A,[1]CPD_SOP_new!#REF!,"not found",0 )</f>
        <v>#REF!</v>
      </c>
      <c r="E279" s="97" t="s">
        <v>112</v>
      </c>
      <c r="F279" t="s">
        <v>28</v>
      </c>
      <c r="G279" t="s">
        <v>27</v>
      </c>
      <c r="H279" t="s">
        <v>27</v>
      </c>
      <c r="I279" t="s">
        <v>28</v>
      </c>
      <c r="J279" t="s">
        <v>124</v>
      </c>
      <c r="K279" s="85" t="str">
        <f t="shared" si="4"/>
        <v>/mnt/measurements/07_CANape/Mitsubishi/5K45/5.2.0/5K457EG11/Real_Childs/CPD_TC41_Try3.MF4.xz,child,RadarFC_Master,child (ncap3),CPD,realchild</v>
      </c>
      <c r="L279" s="85" t="s">
        <v>3356</v>
      </c>
      <c r="M279" t="s">
        <v>416</v>
      </c>
      <c r="N279" s="60" t="s">
        <v>191</v>
      </c>
    </row>
    <row r="280" spans="1:14">
      <c r="A280" s="38">
        <v>41</v>
      </c>
      <c r="B280" t="s">
        <v>124</v>
      </c>
      <c r="C280" t="s">
        <v>66</v>
      </c>
      <c r="D280" s="97" t="e">
        <f>_xlfn.XLOOKUP(A280,[1]CPD_SOP_new!$A:$A,[1]CPD_SOP_new!#REF!,"not found",0 )</f>
        <v>#REF!</v>
      </c>
      <c r="E280" s="97" t="s">
        <v>112</v>
      </c>
      <c r="F280" t="s">
        <v>28</v>
      </c>
      <c r="G280" t="s">
        <v>27</v>
      </c>
      <c r="H280" t="s">
        <v>27</v>
      </c>
      <c r="I280" t="s">
        <v>28</v>
      </c>
      <c r="J280" t="s">
        <v>124</v>
      </c>
      <c r="K280" s="85" t="str">
        <f t="shared" si="4"/>
        <v>/mnt/measurements/07_CANape/Mitsubishi/5K45/5.2.0/5K457EG11/Real_Childs/CPD_TC41_Try4.MF4.xz,child,RadarFC_Master,child (ncap3),CPD,realchild</v>
      </c>
      <c r="L280" s="85" t="s">
        <v>3357</v>
      </c>
      <c r="M280" t="s">
        <v>417</v>
      </c>
      <c r="N280" s="60" t="s">
        <v>191</v>
      </c>
    </row>
    <row r="281" spans="1:14">
      <c r="A281" s="38">
        <v>41</v>
      </c>
      <c r="B281" t="s">
        <v>124</v>
      </c>
      <c r="C281" t="s">
        <v>66</v>
      </c>
      <c r="D281" s="97" t="e">
        <f>_xlfn.XLOOKUP(A281,[1]CPD_SOP_new!$A:$A,[1]CPD_SOP_new!#REF!,"not found",0 )</f>
        <v>#REF!</v>
      </c>
      <c r="E281" s="97" t="s">
        <v>112</v>
      </c>
      <c r="F281" t="s">
        <v>28</v>
      </c>
      <c r="G281" t="s">
        <v>27</v>
      </c>
      <c r="H281" t="s">
        <v>27</v>
      </c>
      <c r="I281" t="s">
        <v>28</v>
      </c>
      <c r="J281" t="s">
        <v>124</v>
      </c>
      <c r="K281" s="85" t="str">
        <f t="shared" si="4"/>
        <v>/mnt/measurements/07_CANape/Mitsubishi/5K45/5.2.0/5K457EG11/Real_Childs/CPD_TC41_Try5.MF4.xz,child,RadarFC_Master,child (ncap3),CPD,realchild</v>
      </c>
      <c r="L281" s="85" t="s">
        <v>3358</v>
      </c>
      <c r="M281" t="s">
        <v>418</v>
      </c>
      <c r="N281" s="60" t="s">
        <v>191</v>
      </c>
    </row>
    <row r="282" spans="1:14">
      <c r="A282" s="77">
        <v>42</v>
      </c>
      <c r="B282" t="s">
        <v>124</v>
      </c>
      <c r="C282" t="s">
        <v>66</v>
      </c>
      <c r="D282" s="97" t="e">
        <f>_xlfn.XLOOKUP(A282,[1]CPD_SOP_new!$A:$A,[1]CPD_SOP_new!#REF!,"not found",0 )</f>
        <v>#REF!</v>
      </c>
      <c r="E282" s="97" t="s">
        <v>112</v>
      </c>
      <c r="F282" t="s">
        <v>28</v>
      </c>
      <c r="G282" t="s">
        <v>28</v>
      </c>
      <c r="H282" t="s">
        <v>27</v>
      </c>
      <c r="I282" t="s">
        <v>28</v>
      </c>
      <c r="J282" t="s">
        <v>124</v>
      </c>
      <c r="K282" s="85" t="str">
        <f t="shared" si="4"/>
        <v>/mnt/measurements/07_CANape/Mitsubishi/5K45/MMC5.0.1/5K457EG-11/Real_Child_Measurements/CSR_XCP_Signals_Recorder_2025-12-15_11-06-59_TC42_3YO1R_CPD.MF4.xz,child,RadarFC_Master,child (ncap3),CPD,realchild</v>
      </c>
      <c r="L282" s="85" t="s">
        <v>3359</v>
      </c>
      <c r="M282" t="s">
        <v>419</v>
      </c>
      <c r="N282" s="11" t="s">
        <v>102</v>
      </c>
    </row>
    <row r="283" spans="1:14">
      <c r="A283" s="77">
        <v>42</v>
      </c>
      <c r="B283" t="s">
        <v>124</v>
      </c>
      <c r="C283" t="s">
        <v>66</v>
      </c>
      <c r="D283" s="97" t="e">
        <f>_xlfn.XLOOKUP(A283,[1]CPD_SOP_new!$A:$A,[1]CPD_SOP_new!#REF!,"not found",0 )</f>
        <v>#REF!</v>
      </c>
      <c r="E283" s="97" t="s">
        <v>112</v>
      </c>
      <c r="F283" t="s">
        <v>28</v>
      </c>
      <c r="G283" t="s">
        <v>28</v>
      </c>
      <c r="H283" t="s">
        <v>27</v>
      </c>
      <c r="I283" t="s">
        <v>28</v>
      </c>
      <c r="J283" t="s">
        <v>124</v>
      </c>
      <c r="K283" s="85" t="str">
        <f t="shared" si="4"/>
        <v>/mnt/measurements/07_CANape/Mitsubishi/5K45/MMC5.0.1/5K457EG-11/Real_Child_Measurements/CSR_XCP_Signals_Recorder_2025-12-15_11-08-40_TC42_3YO1R_CPD.MF4.xz,child,RadarFC_Master,child (ncap3),CPD,realchild</v>
      </c>
      <c r="L283" s="85" t="s">
        <v>3360</v>
      </c>
      <c r="M283" s="60" t="s">
        <v>421</v>
      </c>
      <c r="N283" s="11" t="s">
        <v>102</v>
      </c>
    </row>
    <row r="284" spans="1:14">
      <c r="A284" s="77">
        <v>42</v>
      </c>
      <c r="B284" t="s">
        <v>124</v>
      </c>
      <c r="C284" t="s">
        <v>66</v>
      </c>
      <c r="D284" s="97" t="e">
        <f>_xlfn.XLOOKUP(A284,[1]CPD_SOP_new!$A:$A,[1]CPD_SOP_new!#REF!,"not found",0 )</f>
        <v>#REF!</v>
      </c>
      <c r="E284" s="97" t="s">
        <v>112</v>
      </c>
      <c r="F284" t="s">
        <v>28</v>
      </c>
      <c r="G284" t="s">
        <v>28</v>
      </c>
      <c r="H284" t="s">
        <v>27</v>
      </c>
      <c r="I284" t="s">
        <v>28</v>
      </c>
      <c r="J284" t="s">
        <v>124</v>
      </c>
      <c r="K284" s="85" t="str">
        <f t="shared" si="4"/>
        <v>/mnt/measurements/07_CANape/Mitsubishi/5K45/MMC5.0.1/5K457EG-11/Real_Child_Measurements/CSR_XCP_Signals_Recorder_2025-12-15_11-10-23_TC42_3YO1R_CPD.MF4.xz,child,RadarFC_Master,child (ncap3),CPD,realchild</v>
      </c>
      <c r="L284" s="85" t="s">
        <v>3361</v>
      </c>
      <c r="M284" s="60" t="s">
        <v>422</v>
      </c>
      <c r="N284" s="11" t="s">
        <v>102</v>
      </c>
    </row>
    <row r="285" spans="1:14">
      <c r="A285" s="77">
        <v>42</v>
      </c>
      <c r="B285" t="s">
        <v>124</v>
      </c>
      <c r="C285" t="s">
        <v>66</v>
      </c>
      <c r="D285" s="97" t="e">
        <f>_xlfn.XLOOKUP(A285,[1]CPD_SOP_new!$A:$A,[1]CPD_SOP_new!#REF!,"not found",0 )</f>
        <v>#REF!</v>
      </c>
      <c r="E285" s="97" t="s">
        <v>112</v>
      </c>
      <c r="F285" t="s">
        <v>28</v>
      </c>
      <c r="G285" t="s">
        <v>28</v>
      </c>
      <c r="H285" t="s">
        <v>27</v>
      </c>
      <c r="I285" t="s">
        <v>28</v>
      </c>
      <c r="J285" t="s">
        <v>124</v>
      </c>
      <c r="K285" s="85" t="str">
        <f t="shared" si="4"/>
        <v>/mnt/measurements/07_CANape/Mitsubishi/5K45/MMC5.0.1/5K457EG-11/Real_Child_Measurements/CSR_XCP_Signals_Recorder_2025-12-15_11-12-15_TC42_3YO1R_CPD.MF4.xz,child,RadarFC_Master,child (ncap3),CPD,realchild</v>
      </c>
      <c r="L285" s="85" t="s">
        <v>3362</v>
      </c>
      <c r="M285" s="60" t="s">
        <v>423</v>
      </c>
      <c r="N285" s="11" t="s">
        <v>102</v>
      </c>
    </row>
    <row r="286" spans="1:14" s="137" customFormat="1" hidden="1">
      <c r="A286" s="79">
        <v>49</v>
      </c>
      <c r="B286" s="137" t="s">
        <v>124</v>
      </c>
      <c r="C286" s="137" t="s">
        <v>66</v>
      </c>
      <c r="D286" s="97" t="e">
        <f>_xlfn.XLOOKUP(A286,[1]CPD_SOP_new!$A:$A,[1]CPD_SOP_new!#REF!,"not found",0 )</f>
        <v>#REF!</v>
      </c>
      <c r="E286" s="97" t="str">
        <f>_xlfn.XLOOKUP(A286,[1]CPD_SOP_new!$A:$A,[1]CPD_SOP_new!$K:$K,"not found",0 )</f>
        <v>2L</v>
      </c>
      <c r="F286" s="137" t="s">
        <v>27</v>
      </c>
      <c r="G286" s="137" t="s">
        <v>27</v>
      </c>
      <c r="H286" s="137" t="s">
        <v>27</v>
      </c>
      <c r="I286" s="137" t="s">
        <v>27</v>
      </c>
      <c r="J286" s="137" t="s">
        <v>544</v>
      </c>
      <c r="K286" s="85" t="str">
        <f t="shared" si="4"/>
        <v>/mnt/measurements/07_CANape/Mitsubishi/5K45/MMC4.1.2/Validation/2025_11_28/orderedByTargetType/child/Sleep/TC_49_Try1.MF4.xz,detection is deatcivated in mea (CpdFuncActive =5),RadarFC_Master,detection is deatcivated in mea (CpdFuncActive =5) (ncap3),CPD,dummy</v>
      </c>
      <c r="L286" s="85" t="s">
        <v>3363</v>
      </c>
      <c r="M286" s="137" t="s">
        <v>852</v>
      </c>
      <c r="N286" s="129" t="s">
        <v>853</v>
      </c>
    </row>
    <row r="287" spans="1:14" s="137" customFormat="1" hidden="1">
      <c r="A287" s="79">
        <v>49</v>
      </c>
      <c r="B287" s="137" t="s">
        <v>124</v>
      </c>
      <c r="C287" s="137" t="s">
        <v>66</v>
      </c>
      <c r="D287" s="97" t="e">
        <f>_xlfn.XLOOKUP(A287,[1]CPD_SOP_new!$A:$A,[1]CPD_SOP_new!#REF!,"not found",0 )</f>
        <v>#REF!</v>
      </c>
      <c r="E287" s="97" t="str">
        <f>_xlfn.XLOOKUP(A287,[1]CPD_SOP_new!$A:$A,[1]CPD_SOP_new!$K:$K,"not found",0 )</f>
        <v>2L</v>
      </c>
      <c r="F287" s="137" t="s">
        <v>27</v>
      </c>
      <c r="G287" s="137" t="s">
        <v>27</v>
      </c>
      <c r="H287" s="137" t="s">
        <v>27</v>
      </c>
      <c r="I287" s="137" t="s">
        <v>27</v>
      </c>
      <c r="J287" s="137" t="s">
        <v>544</v>
      </c>
      <c r="K287" s="85" t="str">
        <f t="shared" si="4"/>
        <v>/mnt/measurements/07_CANape/Mitsubishi/5K45/MMC4.1.2/Validation/2025_11_28/orderedByTargetType/child/Sleep/TC_49_Try2.MF4.xz,detection is deatcivated in mea (CpdFuncActive =5),RadarFC_Master,detection is deatcivated in mea (CpdFuncActive =5) (ncap3),CPD,dummy</v>
      </c>
      <c r="L287" s="85" t="s">
        <v>3364</v>
      </c>
      <c r="M287" s="137" t="s">
        <v>854</v>
      </c>
      <c r="N287" s="129" t="s">
        <v>853</v>
      </c>
    </row>
    <row r="288" spans="1:14" s="137" customFormat="1" hidden="1">
      <c r="A288" s="79">
        <v>49</v>
      </c>
      <c r="B288" s="137" t="s">
        <v>124</v>
      </c>
      <c r="C288" s="137" t="s">
        <v>66</v>
      </c>
      <c r="D288" s="97" t="e">
        <f>_xlfn.XLOOKUP(A288,[1]CPD_SOP_new!$A:$A,[1]CPD_SOP_new!#REF!,"not found",0 )</f>
        <v>#REF!</v>
      </c>
      <c r="E288" s="97" t="str">
        <f>_xlfn.XLOOKUP(A288,[1]CPD_SOP_new!$A:$A,[1]CPD_SOP_new!$K:$K,"not found",0 )</f>
        <v>2L</v>
      </c>
      <c r="F288" s="137" t="s">
        <v>27</v>
      </c>
      <c r="G288" s="137" t="s">
        <v>27</v>
      </c>
      <c r="H288" s="137" t="s">
        <v>27</v>
      </c>
      <c r="I288" s="137" t="s">
        <v>27</v>
      </c>
      <c r="J288" s="137" t="s">
        <v>544</v>
      </c>
      <c r="K288" s="85" t="str">
        <f t="shared" si="4"/>
        <v>/mnt/measurements/07_CANape/Mitsubishi/5K45/MMC4.1.2/Validation/2025_11_28/orderedByTargetType/child/Sleep/TC_49_Try3.MF4.xz,detection is deatcivated in mea (CpdFuncActive =5),RadarFC_Master,detection is deatcivated in mea (CpdFuncActive =5) (ncap3),CPD,dummy</v>
      </c>
      <c r="L288" s="85" t="s">
        <v>3365</v>
      </c>
      <c r="M288" s="137" t="s">
        <v>855</v>
      </c>
      <c r="N288" s="129" t="s">
        <v>853</v>
      </c>
    </row>
    <row r="289" spans="1:14">
      <c r="A289" s="77">
        <v>42</v>
      </c>
      <c r="B289" t="s">
        <v>124</v>
      </c>
      <c r="C289" t="s">
        <v>66</v>
      </c>
      <c r="D289" s="97" t="e">
        <f>_xlfn.XLOOKUP(A289,[1]CPD_SOP_new!$A:$A,[1]CPD_SOP_new!#REF!,"not found",0 )</f>
        <v>#REF!</v>
      </c>
      <c r="E289" s="97" t="s">
        <v>112</v>
      </c>
      <c r="F289" t="s">
        <v>28</v>
      </c>
      <c r="G289" t="s">
        <v>28</v>
      </c>
      <c r="H289" t="s">
        <v>27</v>
      </c>
      <c r="I289" t="s">
        <v>28</v>
      </c>
      <c r="J289" t="s">
        <v>124</v>
      </c>
      <c r="K289" s="85" t="str">
        <f t="shared" si="4"/>
        <v>/mnt/measurements/07_CANape/Mitsubishi/5K45/MMC5.0.1/5K457EG-11/Real_Child_Measurements/CSR_XCP_Signals_Recorder_2025-12-15_11-13-56_TC42_3YO1R_CPD.MF4.xz,child,RadarFC_Master,child (ncap3),CPD,realchild</v>
      </c>
      <c r="L289" s="85" t="s">
        <v>3366</v>
      </c>
      <c r="M289" t="s">
        <v>424</v>
      </c>
      <c r="N289" s="11" t="s">
        <v>102</v>
      </c>
    </row>
    <row r="290" spans="1:14">
      <c r="A290" s="38">
        <v>43</v>
      </c>
      <c r="B290" t="s">
        <v>124</v>
      </c>
      <c r="C290" t="s">
        <v>66</v>
      </c>
      <c r="D290" s="97" t="e">
        <f>_xlfn.XLOOKUP(A290,[1]CPD_SOP_new!$A:$A,[1]CPD_SOP_new!#REF!,"not found",0 )</f>
        <v>#REF!</v>
      </c>
      <c r="E290" s="97" t="s">
        <v>112</v>
      </c>
      <c r="F290" t="s">
        <v>28</v>
      </c>
      <c r="G290" t="s">
        <v>27</v>
      </c>
      <c r="H290" t="s">
        <v>27</v>
      </c>
      <c r="I290" t="s">
        <v>28</v>
      </c>
      <c r="J290" t="s">
        <v>124</v>
      </c>
      <c r="K290" s="85" t="str">
        <f t="shared" si="4"/>
        <v>/mnt/measurements/07_CANape/Mitsubishi/5K45/5.2.0/5K457EG11/Real_Childs/CPD_TC43_Try1.MF4.xz,child,RadarFC_Master,child (ncap3),CPD,realchild</v>
      </c>
      <c r="L290" s="85" t="s">
        <v>3367</v>
      </c>
      <c r="M290" t="s">
        <v>425</v>
      </c>
      <c r="N290" s="60" t="s">
        <v>191</v>
      </c>
    </row>
    <row r="291" spans="1:14">
      <c r="A291" s="38">
        <v>43</v>
      </c>
      <c r="B291" t="s">
        <v>124</v>
      </c>
      <c r="C291" t="s">
        <v>66</v>
      </c>
      <c r="D291" s="97" t="e">
        <f>_xlfn.XLOOKUP(A291,[1]CPD_SOP_new!$A:$A,[1]CPD_SOP_new!#REF!,"not found",0 )</f>
        <v>#REF!</v>
      </c>
      <c r="E291" s="97" t="s">
        <v>112</v>
      </c>
      <c r="F291" t="s">
        <v>28</v>
      </c>
      <c r="G291" t="s">
        <v>27</v>
      </c>
      <c r="H291" t="s">
        <v>27</v>
      </c>
      <c r="I291" t="s">
        <v>28</v>
      </c>
      <c r="J291" t="s">
        <v>124</v>
      </c>
      <c r="K291" s="85" t="str">
        <f t="shared" si="4"/>
        <v>/mnt/measurements/07_CANape/Mitsubishi/5K45/5.2.0/5K457EG11/Real_Childs/CPD_TC43_Try2.MF4.xz,child,RadarFC_Master,child (ncap3),CPD,realchild</v>
      </c>
      <c r="L291" s="85" t="s">
        <v>3368</v>
      </c>
      <c r="M291" t="s">
        <v>426</v>
      </c>
      <c r="N291" s="60" t="s">
        <v>191</v>
      </c>
    </row>
    <row r="292" spans="1:14">
      <c r="A292" s="38">
        <v>43</v>
      </c>
      <c r="B292" t="s">
        <v>124</v>
      </c>
      <c r="C292" t="s">
        <v>66</v>
      </c>
      <c r="D292" s="97" t="e">
        <f>_xlfn.XLOOKUP(A292,[1]CPD_SOP_new!$A:$A,[1]CPD_SOP_new!#REF!,"not found",0 )</f>
        <v>#REF!</v>
      </c>
      <c r="E292" s="97" t="s">
        <v>112</v>
      </c>
      <c r="F292" t="s">
        <v>28</v>
      </c>
      <c r="G292" t="s">
        <v>27</v>
      </c>
      <c r="H292" t="s">
        <v>27</v>
      </c>
      <c r="I292" t="s">
        <v>28</v>
      </c>
      <c r="J292" t="s">
        <v>124</v>
      </c>
      <c r="K292" s="85" t="str">
        <f t="shared" si="4"/>
        <v>/mnt/measurements/07_CANape/Mitsubishi/5K45/5.2.0/5K457EG11/Real_Childs/CPD_TC43_Try3.MF4.xz,child,RadarFC_Master,child (ncap3),CPD,realchild</v>
      </c>
      <c r="L292" s="85" t="s">
        <v>3369</v>
      </c>
      <c r="M292" t="s">
        <v>427</v>
      </c>
      <c r="N292" s="60" t="s">
        <v>191</v>
      </c>
    </row>
    <row r="293" spans="1:14">
      <c r="A293" s="38">
        <v>43</v>
      </c>
      <c r="B293" t="s">
        <v>124</v>
      </c>
      <c r="C293" t="s">
        <v>66</v>
      </c>
      <c r="D293" s="97" t="e">
        <f>_xlfn.XLOOKUP(A293,[1]CPD_SOP_new!$A:$A,[1]CPD_SOP_new!#REF!,"not found",0 )</f>
        <v>#REF!</v>
      </c>
      <c r="E293" s="97" t="s">
        <v>112</v>
      </c>
      <c r="F293" t="s">
        <v>28</v>
      </c>
      <c r="G293" t="s">
        <v>27</v>
      </c>
      <c r="H293" t="s">
        <v>27</v>
      </c>
      <c r="I293" t="s">
        <v>28</v>
      </c>
      <c r="J293" t="s">
        <v>124</v>
      </c>
      <c r="K293" s="85" t="str">
        <f t="shared" si="4"/>
        <v>/mnt/measurements/07_CANape/Mitsubishi/5K45/5.2.0/5K457EG11/Real_Childs/CPD_TC43_Try4.MF4.xz,child,RadarFC_Master,child (ncap3),CPD,realchild</v>
      </c>
      <c r="L293" s="85" t="s">
        <v>3370</v>
      </c>
      <c r="M293" t="s">
        <v>428</v>
      </c>
      <c r="N293" s="60" t="s">
        <v>191</v>
      </c>
    </row>
    <row r="294" spans="1:14">
      <c r="A294" s="38">
        <v>43</v>
      </c>
      <c r="B294" t="s">
        <v>124</v>
      </c>
      <c r="C294" t="s">
        <v>66</v>
      </c>
      <c r="D294" s="97" t="e">
        <f>_xlfn.XLOOKUP(A294,[1]CPD_SOP_new!$A:$A,[1]CPD_SOP_new!#REF!,"not found",0 )</f>
        <v>#REF!</v>
      </c>
      <c r="E294" s="97" t="s">
        <v>112</v>
      </c>
      <c r="F294" t="s">
        <v>28</v>
      </c>
      <c r="G294" t="s">
        <v>27</v>
      </c>
      <c r="H294" t="s">
        <v>27</v>
      </c>
      <c r="I294" t="s">
        <v>28</v>
      </c>
      <c r="J294" t="s">
        <v>124</v>
      </c>
      <c r="K294" s="85" t="str">
        <f t="shared" si="4"/>
        <v>/mnt/measurements/07_CANape/Mitsubishi/5K45/5.2.0/5K457EG11/Real_Childs/CPD_TC43_Try5.MF4.xz,child,RadarFC_Master,child (ncap3),CPD,realchild</v>
      </c>
      <c r="L294" s="85" t="s">
        <v>3371</v>
      </c>
      <c r="M294" t="s">
        <v>429</v>
      </c>
      <c r="N294" s="60" t="s">
        <v>191</v>
      </c>
    </row>
    <row r="295" spans="1:14">
      <c r="A295" s="38">
        <v>44</v>
      </c>
      <c r="B295" t="s">
        <v>124</v>
      </c>
      <c r="C295" t="s">
        <v>66</v>
      </c>
      <c r="D295" s="97" t="e">
        <f>_xlfn.XLOOKUP(A295,[1]CPD_SOP_new!$A:$A,[1]CPD_SOP_new!#REF!,"not found",0 )</f>
        <v>#REF!</v>
      </c>
      <c r="E295" s="97" t="s">
        <v>112</v>
      </c>
      <c r="F295" t="s">
        <v>27</v>
      </c>
      <c r="G295" t="s">
        <v>27</v>
      </c>
      <c r="H295" t="s">
        <v>27</v>
      </c>
      <c r="I295" t="s">
        <v>28</v>
      </c>
      <c r="J295" t="s">
        <v>124</v>
      </c>
      <c r="K295" s="85" t="str">
        <f t="shared" si="4"/>
        <v>/mnt/measurements/07_CANape/Mitsubishi/5K45/MMC4.1.2/Validation/2025_12_02/ChildSleep/TC_44_Try1.MF4.xz,child,RadarFC_Master,child (ncap3),CPD,dummy</v>
      </c>
      <c r="L295" s="85" t="s">
        <v>3372</v>
      </c>
      <c r="M295" t="s">
        <v>430</v>
      </c>
      <c r="N295" s="11" t="s">
        <v>380</v>
      </c>
    </row>
    <row r="296" spans="1:14">
      <c r="A296" s="38">
        <v>44</v>
      </c>
      <c r="B296" t="s">
        <v>124</v>
      </c>
      <c r="C296" t="s">
        <v>66</v>
      </c>
      <c r="D296" s="97" t="e">
        <f>_xlfn.XLOOKUP(A296,[1]CPD_SOP_new!$A:$A,[1]CPD_SOP_new!#REF!,"not found",0 )</f>
        <v>#REF!</v>
      </c>
      <c r="E296" s="97" t="s">
        <v>112</v>
      </c>
      <c r="F296" t="s">
        <v>27</v>
      </c>
      <c r="G296" t="s">
        <v>27</v>
      </c>
      <c r="H296" t="s">
        <v>27</v>
      </c>
      <c r="I296" t="s">
        <v>28</v>
      </c>
      <c r="J296" t="s">
        <v>124</v>
      </c>
      <c r="K296" s="85" t="str">
        <f t="shared" si="4"/>
        <v>/mnt/measurements/07_CANape/Mitsubishi/5K45/MMC4.1.2/Validation/2025_12_02/ChildSleep/TC_44_Try2.MF4.xz,child,RadarFC_Master,child (ncap3),CPD,dummy</v>
      </c>
      <c r="L296" s="85" t="s">
        <v>3373</v>
      </c>
      <c r="M296" s="60" t="s">
        <v>431</v>
      </c>
      <c r="N296" s="132" t="s">
        <v>380</v>
      </c>
    </row>
    <row r="297" spans="1:14">
      <c r="A297" s="38">
        <v>44</v>
      </c>
      <c r="B297" t="s">
        <v>124</v>
      </c>
      <c r="C297" t="s">
        <v>66</v>
      </c>
      <c r="D297" s="97" t="e">
        <f>_xlfn.XLOOKUP(A297,[1]CPD_SOP_new!$A:$A,[1]CPD_SOP_new!#REF!,"not found",0 )</f>
        <v>#REF!</v>
      </c>
      <c r="E297" s="97" t="s">
        <v>112</v>
      </c>
      <c r="F297" t="s">
        <v>27</v>
      </c>
      <c r="G297" t="s">
        <v>27</v>
      </c>
      <c r="H297" t="s">
        <v>27</v>
      </c>
      <c r="I297" t="s">
        <v>28</v>
      </c>
      <c r="J297" t="s">
        <v>124</v>
      </c>
      <c r="K297" s="85" t="str">
        <f t="shared" si="4"/>
        <v>/mnt/measurements/07_CANape/Mitsubishi/5K45/MMC4.1.2/Validation/2025_12_02/ChildSleep/TC_44_Try3.MF4.xz,child,RadarFC_Master,child (ncap3),CPD,dummy</v>
      </c>
      <c r="L297" s="85" t="s">
        <v>3374</v>
      </c>
      <c r="M297" s="60" t="s">
        <v>432</v>
      </c>
      <c r="N297" s="132" t="s">
        <v>380</v>
      </c>
    </row>
    <row r="298" spans="1:14">
      <c r="A298" s="38">
        <v>45</v>
      </c>
      <c r="B298" t="s">
        <v>124</v>
      </c>
      <c r="C298" t="s">
        <v>66</v>
      </c>
      <c r="D298" s="97" t="e">
        <f>_xlfn.XLOOKUP(A298,[1]CPD_SOP_new!$A:$A,[1]CPD_SOP_new!#REF!,"not found",0 )</f>
        <v>#REF!</v>
      </c>
      <c r="E298" s="97" t="s">
        <v>112</v>
      </c>
      <c r="F298" t="s">
        <v>27</v>
      </c>
      <c r="G298" t="s">
        <v>27</v>
      </c>
      <c r="H298" t="s">
        <v>27</v>
      </c>
      <c r="I298" t="s">
        <v>28</v>
      </c>
      <c r="J298" t="s">
        <v>124</v>
      </c>
      <c r="K298" s="85" t="str">
        <f t="shared" si="4"/>
        <v>/mnt/measurements/07_CANape/Mitsubishi/5K45/MMC4.1.2/Validation/2025_12_02/ChildSleep/TC_45_Try1.MF4.xz,child,RadarFC_Master,child (ncap3),CPD,dummy</v>
      </c>
      <c r="L298" s="85" t="s">
        <v>3375</v>
      </c>
      <c r="M298" t="s">
        <v>433</v>
      </c>
      <c r="N298" s="132" t="s">
        <v>380</v>
      </c>
    </row>
    <row r="299" spans="1:14">
      <c r="A299" s="38">
        <v>45</v>
      </c>
      <c r="B299" t="s">
        <v>124</v>
      </c>
      <c r="C299" t="s">
        <v>66</v>
      </c>
      <c r="D299" s="97" t="e">
        <f>_xlfn.XLOOKUP(A299,[1]CPD_SOP_new!$A:$A,[1]CPD_SOP_new!#REF!,"not found",0 )</f>
        <v>#REF!</v>
      </c>
      <c r="E299" s="97" t="s">
        <v>112</v>
      </c>
      <c r="F299" t="s">
        <v>27</v>
      </c>
      <c r="G299" t="s">
        <v>27</v>
      </c>
      <c r="H299" t="s">
        <v>27</v>
      </c>
      <c r="I299" t="s">
        <v>28</v>
      </c>
      <c r="J299" t="s">
        <v>124</v>
      </c>
      <c r="K299" s="85" t="str">
        <f t="shared" si="4"/>
        <v>/mnt/measurements/07_CANape/Mitsubishi/5K45/MMC4.1.2/Validation/2025_12_02/ChildSleep/TC_45_Try2.MF4.xz,child,RadarFC_Master,child (ncap3),CPD,dummy</v>
      </c>
      <c r="L299" s="85" t="s">
        <v>3376</v>
      </c>
      <c r="M299" t="s">
        <v>434</v>
      </c>
      <c r="N299" s="132" t="s">
        <v>380</v>
      </c>
    </row>
    <row r="300" spans="1:14">
      <c r="A300" s="38">
        <v>45</v>
      </c>
      <c r="B300" t="s">
        <v>124</v>
      </c>
      <c r="C300" t="s">
        <v>66</v>
      </c>
      <c r="D300" s="97" t="e">
        <f>_xlfn.XLOOKUP(A300,[1]CPD_SOP_new!$A:$A,[1]CPD_SOP_new!#REF!,"not found",0 )</f>
        <v>#REF!</v>
      </c>
      <c r="E300" s="97" t="s">
        <v>112</v>
      </c>
      <c r="F300" t="s">
        <v>27</v>
      </c>
      <c r="G300" t="s">
        <v>27</v>
      </c>
      <c r="H300" t="s">
        <v>27</v>
      </c>
      <c r="I300" t="s">
        <v>28</v>
      </c>
      <c r="J300" t="s">
        <v>124</v>
      </c>
      <c r="K300" s="85" t="str">
        <f t="shared" si="4"/>
        <v>/mnt/measurements/07_CANape/Mitsubishi/5K45/MMC4.1.2/Validation/2025_12_02/ChildSleep/TC_45_Try3.MF4.xz,child,RadarFC_Master,child (ncap3),CPD,dummy</v>
      </c>
      <c r="L300" s="85" t="s">
        <v>3377</v>
      </c>
      <c r="M300" t="s">
        <v>435</v>
      </c>
      <c r="N300" s="132" t="s">
        <v>380</v>
      </c>
    </row>
    <row r="301" spans="1:14" s="130" customFormat="1" hidden="1">
      <c r="A301" s="78">
        <v>51</v>
      </c>
      <c r="B301" s="130" t="s">
        <v>124</v>
      </c>
      <c r="C301" s="130" t="s">
        <v>66</v>
      </c>
      <c r="D301" s="97" t="e">
        <f>_xlfn.XLOOKUP(A301,[1]CPD_SOP_new!$A:$A,[1]CPD_SOP_new!#REF!,"not found",0 )</f>
        <v>#REF!</v>
      </c>
      <c r="E301" s="97" t="str">
        <f>_xlfn.XLOOKUP(A301,[1]CPD_SOP_new!$A:$A,[1]CPD_SOP_new!$K:$K,"not found",0 )</f>
        <v>2C</v>
      </c>
      <c r="F301" s="130" t="s">
        <v>27</v>
      </c>
      <c r="G301" s="130" t="s">
        <v>28</v>
      </c>
      <c r="H301" s="130" t="s">
        <v>28</v>
      </c>
      <c r="I301" s="130" t="s">
        <v>27</v>
      </c>
      <c r="J301" s="137" t="s">
        <v>68</v>
      </c>
      <c r="K301" s="85" t="str">
        <f t="shared" si="4"/>
        <v>/mnt/measurements/07_CANape/Mitsubishi/5K45/5.2.0/5K457EG11/SmokeTest/CPD/CSR_XCP_Signals_Recorder_2026-01-12_15-14-46_TC51.MF4.xz,remove, real child mea available,RadarFC_Master,remove, real child mea available (ncap3),CPD,dummy</v>
      </c>
      <c r="L301" s="85" t="s">
        <v>3378</v>
      </c>
      <c r="M301" s="136" t="s">
        <v>466</v>
      </c>
      <c r="N301" s="131" t="s">
        <v>41</v>
      </c>
    </row>
    <row r="302" spans="1:14" s="130" customFormat="1" hidden="1">
      <c r="A302" s="78">
        <v>51</v>
      </c>
      <c r="B302" s="130" t="s">
        <v>124</v>
      </c>
      <c r="C302" s="130" t="s">
        <v>66</v>
      </c>
      <c r="D302" s="97" t="e">
        <f>_xlfn.XLOOKUP(A302,[1]CPD_SOP_new!$A:$A,[1]CPD_SOP_new!#REF!,"not found",0 )</f>
        <v>#REF!</v>
      </c>
      <c r="E302" s="97" t="str">
        <f>_xlfn.XLOOKUP(A302,[1]CPD_SOP_new!$A:$A,[1]CPD_SOP_new!$K:$K,"not found",0 )</f>
        <v>2C</v>
      </c>
      <c r="F302" s="130" t="s">
        <v>27</v>
      </c>
      <c r="G302" s="130" t="s">
        <v>28</v>
      </c>
      <c r="H302" s="130" t="s">
        <v>28</v>
      </c>
      <c r="I302" s="130" t="s">
        <v>27</v>
      </c>
      <c r="J302" s="130" t="s">
        <v>68</v>
      </c>
      <c r="K302" s="85" t="str">
        <f t="shared" si="4"/>
        <v>/mnt/measurements/07_CANape/Mitsubishi/5K45/MMC5.0.2/5K457MG57/SmokeTest/TC49_Try_2.MF4.xz,remove, real child mea available,RadarFC_Master,remove, real child mea available (ncap3),CPD,dummy</v>
      </c>
      <c r="L302" s="85" t="s">
        <v>3379</v>
      </c>
      <c r="M302" s="62" t="s">
        <v>453</v>
      </c>
      <c r="N302" s="63" t="s">
        <v>64</v>
      </c>
    </row>
    <row r="303" spans="1:14">
      <c r="A303" s="38">
        <v>46</v>
      </c>
      <c r="B303" t="s">
        <v>124</v>
      </c>
      <c r="C303" t="s">
        <v>66</v>
      </c>
      <c r="D303" s="97" t="e">
        <f>_xlfn.XLOOKUP(A303,[1]CPD_SOP_new!$A:$A,[1]CPD_SOP_new!#REF!,"not found",0 )</f>
        <v>#REF!</v>
      </c>
      <c r="E303" s="97" t="s">
        <v>112</v>
      </c>
      <c r="F303" t="s">
        <v>27</v>
      </c>
      <c r="G303" t="s">
        <v>27</v>
      </c>
      <c r="H303" t="s">
        <v>27</v>
      </c>
      <c r="I303" t="s">
        <v>28</v>
      </c>
      <c r="J303" t="s">
        <v>124</v>
      </c>
      <c r="K303" s="85" t="str">
        <f t="shared" si="4"/>
        <v>/mnt/measurements/07_CANape/Mitsubishi/5K45/MMC4.1.2/Validation/2025_12_02/ChildSleep/TC_46_Try1.MF4.xz,child,RadarFC_Master,child (ncap3),CPD,dummy</v>
      </c>
      <c r="L303" s="85" t="s">
        <v>3380</v>
      </c>
      <c r="M303" s="60" t="s">
        <v>436</v>
      </c>
      <c r="N303" s="132" t="s">
        <v>380</v>
      </c>
    </row>
    <row r="304" spans="1:14">
      <c r="A304" s="38">
        <v>46</v>
      </c>
      <c r="B304" t="s">
        <v>124</v>
      </c>
      <c r="C304" t="s">
        <v>66</v>
      </c>
      <c r="D304" s="97" t="e">
        <f>_xlfn.XLOOKUP(A304,[1]CPD_SOP_new!$A:$A,[1]CPD_SOP_new!#REF!,"not found",0 )</f>
        <v>#REF!</v>
      </c>
      <c r="E304" s="97" t="s">
        <v>112</v>
      </c>
      <c r="F304" t="s">
        <v>27</v>
      </c>
      <c r="G304" t="s">
        <v>27</v>
      </c>
      <c r="H304" t="s">
        <v>27</v>
      </c>
      <c r="I304" t="s">
        <v>28</v>
      </c>
      <c r="J304" t="s">
        <v>124</v>
      </c>
      <c r="K304" s="85" t="str">
        <f t="shared" si="4"/>
        <v>/mnt/measurements/07_CANape/Mitsubishi/5K45/MMC4.1.2/Validation/2025_12_02/ChildSleep/TC_46_Try3.MF4.xz,child,RadarFC_Master,child (ncap3),CPD,dummy</v>
      </c>
      <c r="L304" s="85" t="s">
        <v>3381</v>
      </c>
      <c r="M304" s="60" t="s">
        <v>439</v>
      </c>
      <c r="N304" s="132" t="s">
        <v>380</v>
      </c>
    </row>
    <row r="305" spans="1:14">
      <c r="A305" s="38">
        <v>47</v>
      </c>
      <c r="B305" t="s">
        <v>124</v>
      </c>
      <c r="C305" t="s">
        <v>66</v>
      </c>
      <c r="D305" s="97" t="e">
        <f>_xlfn.XLOOKUP(A305,[1]CPD_SOP_new!$A:$A,[1]CPD_SOP_new!#REF!,"not found",0 )</f>
        <v>#REF!</v>
      </c>
      <c r="E305" s="97" t="s">
        <v>112</v>
      </c>
      <c r="F305" t="s">
        <v>28</v>
      </c>
      <c r="G305" t="s">
        <v>27</v>
      </c>
      <c r="H305" t="s">
        <v>27</v>
      </c>
      <c r="I305" t="s">
        <v>28</v>
      </c>
      <c r="J305" t="s">
        <v>124</v>
      </c>
      <c r="K305" s="85" t="str">
        <f t="shared" si="4"/>
        <v>/mnr/measurements/07_CANape/Mitsubishi/5K45/MMC5.1.0/5K457EG11/CSR_XCP_Signals_Recorder_2025-12-18_16-30-23_TC47_CPD.MF4.xz,child,RadarFC_Master,child (ncap3),CPD,realchild</v>
      </c>
      <c r="L305" s="85" t="s">
        <v>3382</v>
      </c>
      <c r="M305" s="60" t="s">
        <v>440</v>
      </c>
      <c r="N305" s="132" t="s">
        <v>2364</v>
      </c>
    </row>
    <row r="306" spans="1:14">
      <c r="A306" s="38">
        <v>47</v>
      </c>
      <c r="B306" t="s">
        <v>124</v>
      </c>
      <c r="C306" t="s">
        <v>66</v>
      </c>
      <c r="D306" s="97" t="e">
        <f>_xlfn.XLOOKUP(A306,[1]CPD_SOP_new!$A:$A,[1]CPD_SOP_new!#REF!,"not found",0 )</f>
        <v>#REF!</v>
      </c>
      <c r="E306" s="97" t="s">
        <v>112</v>
      </c>
      <c r="F306" t="s">
        <v>28</v>
      </c>
      <c r="G306" t="s">
        <v>27</v>
      </c>
      <c r="H306" t="s">
        <v>27</v>
      </c>
      <c r="I306" t="s">
        <v>28</v>
      </c>
      <c r="J306" t="s">
        <v>124</v>
      </c>
      <c r="K306" s="85" t="str">
        <f t="shared" si="4"/>
        <v>/mnr/measurements/07_CANape/Mitsubishi/5K45/MMC5.1.0/5K457EG11/CSR_XCP_Signals_Recorder_2025-12-18_16-32-06_TC47_CPD.MF4.xz,child,RadarFC_Master,child (ncap3),CPD,realchild</v>
      </c>
      <c r="L306" s="85" t="s">
        <v>3383</v>
      </c>
      <c r="M306" t="s">
        <v>441</v>
      </c>
      <c r="N306" s="132" t="s">
        <v>2364</v>
      </c>
    </row>
    <row r="307" spans="1:14">
      <c r="A307" s="38">
        <v>47</v>
      </c>
      <c r="B307" t="s">
        <v>124</v>
      </c>
      <c r="C307" t="s">
        <v>66</v>
      </c>
      <c r="D307" s="97" t="e">
        <f>_xlfn.XLOOKUP(A307,[1]CPD_SOP_new!$A:$A,[1]CPD_SOP_new!#REF!,"not found",0 )</f>
        <v>#REF!</v>
      </c>
      <c r="E307" s="97" t="s">
        <v>112</v>
      </c>
      <c r="F307" t="s">
        <v>28</v>
      </c>
      <c r="G307" t="s">
        <v>27</v>
      </c>
      <c r="H307" t="s">
        <v>27</v>
      </c>
      <c r="I307" t="s">
        <v>28</v>
      </c>
      <c r="J307" t="s">
        <v>124</v>
      </c>
      <c r="K307" s="85" t="str">
        <f t="shared" si="4"/>
        <v>/mnr/measurements/07_CANape/Mitsubishi/5K45/MMC5.1.0/5K457EG11/CSR_XCP_Signals_Recorder_2025-12-18_16-34-14_TC47_CPD.MF4.xz,child,RadarFC_Master,child (ncap3),CPD,realchild</v>
      </c>
      <c r="L307" s="85" t="s">
        <v>3384</v>
      </c>
      <c r="M307" t="s">
        <v>442</v>
      </c>
      <c r="N307" s="132" t="s">
        <v>2364</v>
      </c>
    </row>
    <row r="308" spans="1:14" s="137" customFormat="1" hidden="1">
      <c r="A308" s="79">
        <v>52</v>
      </c>
      <c r="B308" s="137" t="s">
        <v>124</v>
      </c>
      <c r="C308" s="137" t="s">
        <v>66</v>
      </c>
      <c r="D308" s="97" t="e">
        <f>_xlfn.XLOOKUP(A308,[1]CPD_SOP_new!$A:$A,[1]CPD_SOP_new!#REF!,"not found",0 )</f>
        <v>#REF!</v>
      </c>
      <c r="E308" s="97" t="str">
        <f>_xlfn.XLOOKUP(A308,[1]CPD_SOP_new!$A:$A,[1]CPD_SOP_new!$K:$K,"not found",0 )</f>
        <v>2C</v>
      </c>
      <c r="F308" s="137" t="s">
        <v>27</v>
      </c>
      <c r="G308" s="137" t="s">
        <v>27</v>
      </c>
      <c r="H308" s="137" t="s">
        <v>27</v>
      </c>
      <c r="I308" s="137" t="s">
        <v>27</v>
      </c>
      <c r="J308" s="90" t="s">
        <v>437</v>
      </c>
      <c r="K308" s="85" t="str">
        <f t="shared" si="4"/>
        <v>/mnt/measurements/07_CANape/Mitsubishi/5K45/MMC4.1.2/Validation/2025_12_02/ChildAwake/TC_52_Try3.MF4.xz,Door is opened early so HMI goes back from detection to monitoring; not good measurement to resim,RadarFC_Master,Door is opened early so HMI goes back from detection to monitoring; not good measurement to resim (ncap3),CPD,dummy</v>
      </c>
      <c r="L308" s="85" t="s">
        <v>3385</v>
      </c>
      <c r="M308" s="137" t="s">
        <v>473</v>
      </c>
      <c r="N308" s="137" t="s">
        <v>371</v>
      </c>
    </row>
    <row r="309" spans="1:14">
      <c r="A309" s="38">
        <v>47</v>
      </c>
      <c r="B309" t="s">
        <v>124</v>
      </c>
      <c r="C309" t="s">
        <v>66</v>
      </c>
      <c r="D309" s="97" t="e">
        <f>_xlfn.XLOOKUP(A309,[1]CPD_SOP_new!$A:$A,[1]CPD_SOP_new!#REF!,"not found",0 )</f>
        <v>#REF!</v>
      </c>
      <c r="E309" s="97" t="s">
        <v>112</v>
      </c>
      <c r="F309" t="s">
        <v>28</v>
      </c>
      <c r="G309" t="s">
        <v>27</v>
      </c>
      <c r="H309" t="s">
        <v>27</v>
      </c>
      <c r="I309" t="s">
        <v>28</v>
      </c>
      <c r="J309" t="s">
        <v>124</v>
      </c>
      <c r="K309" s="85" t="str">
        <f t="shared" si="4"/>
        <v>/mnr/measurements/07_CANape/Mitsubishi/5K45/MMC5.1.0/5K457EG11/CSR_XCP_Signals_Recorder_2025-12-18_16-35-56_TC47_CPD.MF4.xz,child,RadarFC_Master,child (ncap3),CPD,realchild</v>
      </c>
      <c r="L309" s="85" t="s">
        <v>3386</v>
      </c>
      <c r="M309" t="s">
        <v>443</v>
      </c>
      <c r="N309" s="132" t="s">
        <v>2364</v>
      </c>
    </row>
    <row r="310" spans="1:14">
      <c r="A310" s="38">
        <v>47</v>
      </c>
      <c r="B310" t="s">
        <v>124</v>
      </c>
      <c r="C310" t="s">
        <v>66</v>
      </c>
      <c r="D310" s="97" t="e">
        <f>_xlfn.XLOOKUP(A310,[1]CPD_SOP_new!$A:$A,[1]CPD_SOP_new!#REF!,"not found",0 )</f>
        <v>#REF!</v>
      </c>
      <c r="E310" s="97" t="s">
        <v>112</v>
      </c>
      <c r="F310" t="s">
        <v>28</v>
      </c>
      <c r="G310" t="s">
        <v>27</v>
      </c>
      <c r="H310" t="s">
        <v>27</v>
      </c>
      <c r="I310" t="s">
        <v>28</v>
      </c>
      <c r="J310" t="s">
        <v>124</v>
      </c>
      <c r="K310" s="85" t="str">
        <f t="shared" si="4"/>
        <v>/mnr/measurements/07_CANape/Mitsubishi/5K45/MMC5.1.0/5K457EG11/CSR_XCP_Signals_Recorder_2025-12-18_16-38-46_TC47_CPD.MF4.xz,child,RadarFC_Master,child (ncap3),CPD,realchild</v>
      </c>
      <c r="L310" s="85" t="s">
        <v>3387</v>
      </c>
      <c r="M310" t="s">
        <v>444</v>
      </c>
      <c r="N310" s="132" t="s">
        <v>2364</v>
      </c>
    </row>
    <row r="311" spans="1:14">
      <c r="A311" s="77">
        <v>48</v>
      </c>
      <c r="B311" t="s">
        <v>124</v>
      </c>
      <c r="C311" t="s">
        <v>66</v>
      </c>
      <c r="D311" s="97" t="e">
        <f>_xlfn.XLOOKUP(A311,[1]CPD_SOP_new!$A:$A,[1]CPD_SOP_new!#REF!,"not found",0 )</f>
        <v>#REF!</v>
      </c>
      <c r="E311" s="97" t="str">
        <f>_xlfn.XLOOKUP(A311,[1]CPD_SOP_new!$A:$A,[1]CPD_SOP_new!$K:$K,"not found",0 )</f>
        <v>2R</v>
      </c>
      <c r="F311" t="s">
        <v>27</v>
      </c>
      <c r="G311" t="s">
        <v>28</v>
      </c>
      <c r="H311" t="s">
        <v>28</v>
      </c>
      <c r="I311" t="s">
        <v>28</v>
      </c>
      <c r="J311" t="s">
        <v>124</v>
      </c>
      <c r="K311" s="85" t="str">
        <f t="shared" si="4"/>
        <v>/mnt/measurements/07_CANape/Mitsubishi/5K45/MMC5.0.0_RC3_with_resetfix/CPD//TC48_Try_1.MF4.xz,child,RadarFC_Master,child (ncap3),CPD,dummy</v>
      </c>
      <c r="L311" s="85" t="s">
        <v>3388</v>
      </c>
      <c r="M311" t="s">
        <v>445</v>
      </c>
      <c r="N311" s="129" t="s">
        <v>446</v>
      </c>
    </row>
    <row r="312" spans="1:14">
      <c r="A312" s="77">
        <v>48</v>
      </c>
      <c r="B312" t="s">
        <v>124</v>
      </c>
      <c r="C312" t="s">
        <v>66</v>
      </c>
      <c r="D312" s="97" t="e">
        <f>_xlfn.XLOOKUP(A312,[1]CPD_SOP_new!$A:$A,[1]CPD_SOP_new!#REF!,"not found",0 )</f>
        <v>#REF!</v>
      </c>
      <c r="E312" s="97" t="str">
        <f>_xlfn.XLOOKUP(A312,[1]CPD_SOP_new!$A:$A,[1]CPD_SOP_new!$K:$K,"not found",0 )</f>
        <v>2R</v>
      </c>
      <c r="F312" t="s">
        <v>27</v>
      </c>
      <c r="G312" t="s">
        <v>28</v>
      </c>
      <c r="H312" t="s">
        <v>28</v>
      </c>
      <c r="I312" t="s">
        <v>28</v>
      </c>
      <c r="J312" t="s">
        <v>124</v>
      </c>
      <c r="K312" s="85" t="str">
        <f t="shared" si="4"/>
        <v>/mnt/measurements/07_CANape/Mitsubishi/5K45/MMC5.0.0_RC3_with_resetfix/CPD//TC48_Try_2.MF4.xz,child,RadarFC_Master,child (ncap3),CPD,dummy</v>
      </c>
      <c r="L312" s="85" t="s">
        <v>3389</v>
      </c>
      <c r="M312" t="s">
        <v>447</v>
      </c>
      <c r="N312" s="129" t="s">
        <v>446</v>
      </c>
    </row>
    <row r="313" spans="1:14">
      <c r="A313" s="77">
        <v>48</v>
      </c>
      <c r="B313" t="s">
        <v>124</v>
      </c>
      <c r="C313" t="s">
        <v>66</v>
      </c>
      <c r="D313" s="97" t="e">
        <f>_xlfn.XLOOKUP(A313,[1]CPD_SOP_new!$A:$A,[1]CPD_SOP_new!#REF!,"not found",0 )</f>
        <v>#REF!</v>
      </c>
      <c r="E313" s="97" t="str">
        <f>_xlfn.XLOOKUP(A313,[1]CPD_SOP_new!$A:$A,[1]CPD_SOP_new!$K:$K,"not found",0 )</f>
        <v>2R</v>
      </c>
      <c r="F313" t="s">
        <v>27</v>
      </c>
      <c r="G313" t="s">
        <v>28</v>
      </c>
      <c r="H313" t="s">
        <v>28</v>
      </c>
      <c r="I313" t="s">
        <v>28</v>
      </c>
      <c r="J313" t="s">
        <v>124</v>
      </c>
      <c r="K313" s="85" t="str">
        <f t="shared" si="4"/>
        <v>/mnt/measurements/07_CANape/Mitsubishi/5K45/MMC5.0.0_RC3_with_resetfix/CPD//TC48_Try_3.MF4.xz,child,RadarFC_Master,child (ncap3),CPD,dummy</v>
      </c>
      <c r="L313" s="85" t="s">
        <v>3390</v>
      </c>
      <c r="M313" t="s">
        <v>448</v>
      </c>
      <c r="N313" s="129" t="s">
        <v>446</v>
      </c>
    </row>
    <row r="314" spans="1:14">
      <c r="A314" s="38">
        <v>49</v>
      </c>
      <c r="B314" t="s">
        <v>124</v>
      </c>
      <c r="C314" t="s">
        <v>66</v>
      </c>
      <c r="D314" s="97" t="e">
        <f>_xlfn.XLOOKUP(A314,[1]CPD_SOP_new!$A:$A,[1]CPD_SOP_new!#REF!,"not found",0 )</f>
        <v>#REF!</v>
      </c>
      <c r="E314" s="97" t="str">
        <f>_xlfn.XLOOKUP(A314,[1]CPD_SOP_new!$A:$A,[1]CPD_SOP_new!$K:$K,"not found",0 )</f>
        <v>2L</v>
      </c>
      <c r="F314" t="s">
        <v>27</v>
      </c>
      <c r="G314" t="s">
        <v>27</v>
      </c>
      <c r="H314" t="s">
        <v>27</v>
      </c>
      <c r="I314" t="s">
        <v>28</v>
      </c>
      <c r="J314" t="s">
        <v>124</v>
      </c>
      <c r="K314" s="85" t="str">
        <f t="shared" si="4"/>
        <v>/mnt/measurements/07_CANape/Mitsubishi/5K45/MMC5.0.0_RC3_with_resetfix/CPD//TC49_Try_1.MF4.xz,child,RadarFC_Master,child (ncap3),CPD,dummy</v>
      </c>
      <c r="L314" s="85" t="s">
        <v>3391</v>
      </c>
      <c r="M314" t="s">
        <v>452</v>
      </c>
      <c r="N314" s="129" t="s">
        <v>446</v>
      </c>
    </row>
    <row r="315" spans="1:14">
      <c r="A315" s="38">
        <v>49</v>
      </c>
      <c r="B315" t="s">
        <v>124</v>
      </c>
      <c r="C315" t="s">
        <v>66</v>
      </c>
      <c r="D315" s="97" t="e">
        <f>_xlfn.XLOOKUP(A315,[1]CPD_SOP_new!$A:$A,[1]CPD_SOP_new!#REF!,"not found",0 )</f>
        <v>#REF!</v>
      </c>
      <c r="E315" s="97" t="str">
        <f>_xlfn.XLOOKUP(A315,[1]CPD_SOP_new!$A:$A,[1]CPD_SOP_new!$K:$K,"not found",0 )</f>
        <v>2L</v>
      </c>
      <c r="F315" t="s">
        <v>27</v>
      </c>
      <c r="G315" t="s">
        <v>27</v>
      </c>
      <c r="H315" t="s">
        <v>27</v>
      </c>
      <c r="I315" t="s">
        <v>28</v>
      </c>
      <c r="J315" t="s">
        <v>124</v>
      </c>
      <c r="K315" s="85" t="str">
        <f t="shared" si="4"/>
        <v>/mnt/measurements/07_CANape/Mitsubishi/5K45/MMC5.0.0_RC3_with_resetfix/CPD//TC49_Try_2.MF4.xz,child,RadarFC_Master,child (ncap3),CPD,dummy</v>
      </c>
      <c r="L315" s="85" t="s">
        <v>3392</v>
      </c>
      <c r="M315" t="s">
        <v>453</v>
      </c>
      <c r="N315" s="129" t="s">
        <v>446</v>
      </c>
    </row>
    <row r="316" spans="1:14">
      <c r="A316" s="38">
        <v>49</v>
      </c>
      <c r="B316" t="s">
        <v>124</v>
      </c>
      <c r="C316" t="s">
        <v>66</v>
      </c>
      <c r="D316" s="97" t="e">
        <f>_xlfn.XLOOKUP(A316,[1]CPD_SOP_new!$A:$A,[1]CPD_SOP_new!#REF!,"not found",0 )</f>
        <v>#REF!</v>
      </c>
      <c r="E316" s="97" t="str">
        <f>_xlfn.XLOOKUP(A316,[1]CPD_SOP_new!$A:$A,[1]CPD_SOP_new!$K:$K,"not found",0 )</f>
        <v>2L</v>
      </c>
      <c r="F316" t="s">
        <v>27</v>
      </c>
      <c r="G316" t="s">
        <v>27</v>
      </c>
      <c r="H316" t="s">
        <v>27</v>
      </c>
      <c r="I316" t="s">
        <v>28</v>
      </c>
      <c r="J316" t="s">
        <v>124</v>
      </c>
      <c r="K316" s="85" t="str">
        <f t="shared" si="4"/>
        <v>/mnt/measurements/07_CANape/Mitsubishi/5K45/MMC5.0.0_RC3_with_resetfix/CPD//TC49_Try_3.MF4.xz,child,RadarFC_Master,child (ncap3),CPD,dummy</v>
      </c>
      <c r="L316" s="85" t="s">
        <v>3393</v>
      </c>
      <c r="M316" t="s">
        <v>454</v>
      </c>
      <c r="N316" s="129" t="s">
        <v>446</v>
      </c>
    </row>
    <row r="317" spans="1:14">
      <c r="A317" s="38">
        <v>50</v>
      </c>
      <c r="B317" t="s">
        <v>124</v>
      </c>
      <c r="C317" t="s">
        <v>66</v>
      </c>
      <c r="D317" s="97" t="e">
        <f>_xlfn.XLOOKUP(A317,[1]CPD_SOP_new!$A:$A,[1]CPD_SOP_new!#REF!,"not found",0 )</f>
        <v>#REF!</v>
      </c>
      <c r="E317" s="97" t="str">
        <f>_xlfn.XLOOKUP(A317,[1]CPD_SOP_new!$A:$A,[1]CPD_SOP_new!$K:$K,"not found",0 )</f>
        <v>2C</v>
      </c>
      <c r="F317" t="s">
        <v>27</v>
      </c>
      <c r="G317" t="s">
        <v>27</v>
      </c>
      <c r="H317" t="s">
        <v>27</v>
      </c>
      <c r="I317" t="s">
        <v>28</v>
      </c>
      <c r="J317" t="s">
        <v>124</v>
      </c>
      <c r="K317" s="85" t="str">
        <f t="shared" si="4"/>
        <v>/mnt/measurements/07_CANape/Mitsubishi/5K45/MMC4.1.2/Validation/2025_12_02/ChildSleep/MMC4.1.2/Validation/2025_12_02/ChildSleep/ncap3/TC_50_Try1.MF4.xz,child,RadarFC_Master,child (ncap3),CPD,dummy</v>
      </c>
      <c r="L317" s="85" t="s">
        <v>3394</v>
      </c>
      <c r="M317" t="s">
        <v>2375</v>
      </c>
      <c r="N317" s="132" t="s">
        <v>380</v>
      </c>
    </row>
    <row r="318" spans="1:14">
      <c r="A318" s="38">
        <v>50</v>
      </c>
      <c r="B318" t="s">
        <v>124</v>
      </c>
      <c r="C318" t="s">
        <v>66</v>
      </c>
      <c r="D318" s="97" t="e">
        <f>_xlfn.XLOOKUP(A318,[1]CPD_SOP_new!$A:$A,[1]CPD_SOP_new!#REF!,"not found",0 )</f>
        <v>#REF!</v>
      </c>
      <c r="E318" s="97" t="str">
        <f>_xlfn.XLOOKUP(A318,[1]CPD_SOP_new!$A:$A,[1]CPD_SOP_new!$K:$K,"not found",0 )</f>
        <v>2C</v>
      </c>
      <c r="F318" t="s">
        <v>27</v>
      </c>
      <c r="G318" t="s">
        <v>27</v>
      </c>
      <c r="H318" t="s">
        <v>27</v>
      </c>
      <c r="I318" t="s">
        <v>28</v>
      </c>
      <c r="J318" t="s">
        <v>124</v>
      </c>
      <c r="K318" s="85" t="str">
        <f t="shared" si="4"/>
        <v>/mnt/measurements/07_CANape/Mitsubishi/5K45/MMC4.1.2/Validation/2025_12_02/ChildSleep/MMC4.1.2/Validation/2025_12_02/ChildSleep/ncap3/TC_50_Try2.MF4.xz,child,RadarFC_Master,child (ncap3),CPD,dummy</v>
      </c>
      <c r="L318" s="85" t="s">
        <v>3395</v>
      </c>
      <c r="M318" t="s">
        <v>2377</v>
      </c>
      <c r="N318" s="132" t="s">
        <v>380</v>
      </c>
    </row>
    <row r="319" spans="1:14">
      <c r="A319" s="38">
        <v>50</v>
      </c>
      <c r="B319" t="s">
        <v>124</v>
      </c>
      <c r="C319" t="s">
        <v>66</v>
      </c>
      <c r="D319" s="97" t="e">
        <f>_xlfn.XLOOKUP(A319,[1]CPD_SOP_new!$A:$A,[1]CPD_SOP_new!#REF!,"not found",0 )</f>
        <v>#REF!</v>
      </c>
      <c r="E319" s="97" t="str">
        <f>_xlfn.XLOOKUP(A319,[1]CPD_SOP_new!$A:$A,[1]CPD_SOP_new!$K:$K,"not found",0 )</f>
        <v>2C</v>
      </c>
      <c r="F319" t="s">
        <v>27</v>
      </c>
      <c r="G319" t="s">
        <v>27</v>
      </c>
      <c r="H319" t="s">
        <v>27</v>
      </c>
      <c r="I319" t="s">
        <v>28</v>
      </c>
      <c r="J319" t="s">
        <v>124</v>
      </c>
      <c r="K319" s="85" t="str">
        <f t="shared" si="4"/>
        <v>/mnt/measurements/07_CANape/Mitsubishi/5K45/MMC4.1.2/Validation/2025_12_02/ChildSleep/MMC4.1.2/Validation/2025_12_02/ChildSleep/ncap3/TC_50_Try3.MF4.xz,child,RadarFC_Master,child (ncap3),CPD,dummy</v>
      </c>
      <c r="L319" s="85" t="s">
        <v>3396</v>
      </c>
      <c r="M319" t="s">
        <v>2379</v>
      </c>
      <c r="N319" s="132" t="s">
        <v>380</v>
      </c>
    </row>
    <row r="320" spans="1:14">
      <c r="A320" s="38">
        <v>50</v>
      </c>
      <c r="B320" t="s">
        <v>124</v>
      </c>
      <c r="C320" t="s">
        <v>66</v>
      </c>
      <c r="D320" s="97" t="e">
        <f>_xlfn.XLOOKUP(A320,[1]CPD_SOP_new!$A:$A,[1]CPD_SOP_new!#REF!,"not found",0 )</f>
        <v>#REF!</v>
      </c>
      <c r="E320" s="97" t="str">
        <f>_xlfn.XLOOKUP(A320,[1]CPD_SOP_new!$A:$A,[1]CPD_SOP_new!$K:$K,"not found",0 )</f>
        <v>2C</v>
      </c>
      <c r="F320" t="s">
        <v>27</v>
      </c>
      <c r="G320" t="s">
        <v>27</v>
      </c>
      <c r="H320" t="s">
        <v>27</v>
      </c>
      <c r="I320" t="s">
        <v>28</v>
      </c>
      <c r="J320" t="s">
        <v>124</v>
      </c>
      <c r="K320" s="85" t="str">
        <f t="shared" si="4"/>
        <v>/mnt/measurements/07_CANape/Mitsubishi/5K45/MMC4.1.2/Validation/2025_12_02/ChildSleep/MMC5.0.2/5K457MG57/SmokeTest/ncap3/SmokeTest_CPD_TC50.MF4.xz,child,RadarFC_Master,child (ncap3),CPD,dummy</v>
      </c>
      <c r="L320" s="85" t="s">
        <v>3397</v>
      </c>
      <c r="M320" t="s">
        <v>2381</v>
      </c>
      <c r="N320" s="132" t="s">
        <v>380</v>
      </c>
    </row>
    <row r="321" spans="1:21">
      <c r="A321" s="77">
        <v>51</v>
      </c>
      <c r="B321" t="s">
        <v>124</v>
      </c>
      <c r="C321" t="s">
        <v>66</v>
      </c>
      <c r="D321" s="97" t="e">
        <f>_xlfn.XLOOKUP(A321,[1]CPD_SOP_new!$A:$A,[1]CPD_SOP_new!#REF!,"not found",0 )</f>
        <v>#REF!</v>
      </c>
      <c r="E321" s="97" t="str">
        <f>_xlfn.XLOOKUP(A321,[1]CPD_SOP_new!$A:$A,[1]CPD_SOP_new!$K:$K,"not found",0 )</f>
        <v>2C</v>
      </c>
      <c r="F321" t="s">
        <v>28</v>
      </c>
      <c r="G321" t="s">
        <v>28</v>
      </c>
      <c r="H321" t="s">
        <v>28</v>
      </c>
      <c r="I321" t="s">
        <v>28</v>
      </c>
      <c r="J321" t="s">
        <v>124</v>
      </c>
      <c r="K321" s="85" t="str">
        <f t="shared" si="4"/>
        <v>/mnt/measurements/07_CANape/Mitsubishi/5K45/MMC5.0.1/5K457EG-11/Real_Child_Measurements/CSR_XCP_Signals_Recorder_2025-12-15_11-32-44_TC51_3YO2C_CPD.MF4.xz,child,RadarFC_Master,child (ncap3),CPD,realchild</v>
      </c>
      <c r="L321" s="85" t="s">
        <v>3398</v>
      </c>
      <c r="M321" t="s">
        <v>460</v>
      </c>
      <c r="N321" s="1" t="s">
        <v>102</v>
      </c>
    </row>
    <row r="322" spans="1:21" s="130" customFormat="1" hidden="1">
      <c r="A322" s="78">
        <v>56</v>
      </c>
      <c r="B322" s="130" t="s">
        <v>124</v>
      </c>
      <c r="C322" s="130" t="s">
        <v>66</v>
      </c>
      <c r="D322" s="97" t="e">
        <f>_xlfn.XLOOKUP(A322,[1]CPD_SOP_new!$A:$A,[1]CPD_SOP_new!#REF!,"not found",0 )</f>
        <v>#REF!</v>
      </c>
      <c r="E322" s="97" t="str">
        <f>_xlfn.XLOOKUP(A322,[1]CPD_SOP_new!$A:$A,[1]CPD_SOP_new!$K:$K,"not found",0 )</f>
        <v>F1D</v>
      </c>
      <c r="F322" s="130" t="s">
        <v>27</v>
      </c>
      <c r="G322" s="130" t="s">
        <v>28</v>
      </c>
      <c r="H322" s="130" t="s">
        <v>28</v>
      </c>
      <c r="I322" s="130" t="s">
        <v>27</v>
      </c>
      <c r="J322" s="137" t="s">
        <v>68</v>
      </c>
      <c r="K322" s="85" t="str">
        <f t="shared" ref="K322:K385" si="5">N322&amp;"/"&amp;M322&amp;","&amp;IF(J322="ncap3","child",J322)&amp;",RadarFC_Master,"&amp;IF(J322="ncap3","child",J322)&amp;IF(B322="ncap1,2"," ("&amp;B322&amp;")","")&amp;IF(B322="ncap3"," ("&amp;B322&amp;")","")&amp;IF(B322="multiple children"," (ncap1,2)","")&amp;IF(B322="NB awake"," (ncap1,2)","")&amp;",CPD,"&amp;IF(F322="Y","realchild","dummy")</f>
        <v>/mnt/measurements/07_CANape/Mitsubishi/5K45/MMC5.0.0_RC3_with_resetfix/CPD//TC56_Try_1.MF4.xz,remove, real child mea available,RadarFC_Master,remove, real child mea available (ncap3),CPD,dummy</v>
      </c>
      <c r="L322" s="85" t="s">
        <v>3399</v>
      </c>
      <c r="M322" s="130" t="s">
        <v>490</v>
      </c>
      <c r="N322" s="131" t="s">
        <v>446</v>
      </c>
    </row>
    <row r="323" spans="1:21" s="130" customFormat="1" hidden="1">
      <c r="A323" s="78">
        <v>56</v>
      </c>
      <c r="B323" s="130" t="s">
        <v>124</v>
      </c>
      <c r="C323" s="130" t="s">
        <v>66</v>
      </c>
      <c r="D323" s="97" t="e">
        <f>_xlfn.XLOOKUP(A323,[1]CPD_SOP_new!$A:$A,[1]CPD_SOP_new!#REF!,"not found",0 )</f>
        <v>#REF!</v>
      </c>
      <c r="E323" s="97" t="str">
        <f>_xlfn.XLOOKUP(A323,[1]CPD_SOP_new!$A:$A,[1]CPD_SOP_new!$K:$K,"not found",0 )</f>
        <v>F1D</v>
      </c>
      <c r="F323" s="130" t="s">
        <v>27</v>
      </c>
      <c r="G323" s="130" t="s">
        <v>28</v>
      </c>
      <c r="H323" s="130" t="s">
        <v>28</v>
      </c>
      <c r="I323" s="130" t="s">
        <v>27</v>
      </c>
      <c r="J323" s="137" t="s">
        <v>68</v>
      </c>
      <c r="K323" s="85" t="str">
        <f t="shared" si="5"/>
        <v>/mnt/measurements/07_CANape/Mitsubishi/5K45/MMC5.0.0_RC3_with_resetfix/CPD//TC56_Try_2.MF4.xz,remove, real child mea available,RadarFC_Master,remove, real child mea available (ncap3),CPD,dummy</v>
      </c>
      <c r="L323" s="85" t="s">
        <v>3400</v>
      </c>
      <c r="M323" s="130" t="s">
        <v>491</v>
      </c>
      <c r="N323" s="131" t="s">
        <v>446</v>
      </c>
    </row>
    <row r="324" spans="1:21" s="130" customFormat="1" hidden="1">
      <c r="A324" s="78">
        <v>56</v>
      </c>
      <c r="B324" s="130" t="s">
        <v>124</v>
      </c>
      <c r="C324" s="130" t="s">
        <v>66</v>
      </c>
      <c r="D324" s="97" t="e">
        <f>_xlfn.XLOOKUP(A324,[1]CPD_SOP_new!$A:$A,[1]CPD_SOP_new!#REF!,"not found",0 )</f>
        <v>#REF!</v>
      </c>
      <c r="E324" s="97" t="str">
        <f>_xlfn.XLOOKUP(A324,[1]CPD_SOP_new!$A:$A,[1]CPD_SOP_new!$K:$K,"not found",0 )</f>
        <v>F1D</v>
      </c>
      <c r="F324" s="130" t="s">
        <v>27</v>
      </c>
      <c r="G324" s="130" t="s">
        <v>28</v>
      </c>
      <c r="H324" s="130" t="s">
        <v>28</v>
      </c>
      <c r="I324" s="130" t="s">
        <v>27</v>
      </c>
      <c r="J324" s="137" t="s">
        <v>68</v>
      </c>
      <c r="K324" s="85" t="str">
        <f t="shared" si="5"/>
        <v>/mnt/measurements/07_CANape/Mitsubishi/5K45/MMC5.0.0_RC3_with_resetfix/CPD//TC56_Try_3.MF4.xz,remove, real child mea available,RadarFC_Master,remove, real child mea available (ncap3),CPD,dummy</v>
      </c>
      <c r="L324" s="85" t="s">
        <v>3401</v>
      </c>
      <c r="M324" s="130" t="s">
        <v>492</v>
      </c>
      <c r="N324" s="131" t="s">
        <v>446</v>
      </c>
    </row>
    <row r="325" spans="1:21" s="130" customFormat="1" hidden="1">
      <c r="A325" s="78">
        <v>56</v>
      </c>
      <c r="B325" s="130" t="s">
        <v>124</v>
      </c>
      <c r="C325" s="130" t="s">
        <v>66</v>
      </c>
      <c r="D325" s="97" t="e">
        <f>_xlfn.XLOOKUP(A325,[1]CPD_SOP_new!$A:$A,[1]CPD_SOP_new!#REF!,"not found",0 )</f>
        <v>#REF!</v>
      </c>
      <c r="E325" s="97" t="str">
        <f>_xlfn.XLOOKUP(A325,[1]CPD_SOP_new!$A:$A,[1]CPD_SOP_new!$K:$K,"not found",0 )</f>
        <v>F1D</v>
      </c>
      <c r="F325" s="130" t="s">
        <v>27</v>
      </c>
      <c r="G325" s="130" t="s">
        <v>28</v>
      </c>
      <c r="H325" s="130" t="s">
        <v>28</v>
      </c>
      <c r="I325" s="130" t="s">
        <v>27</v>
      </c>
      <c r="J325" s="137" t="s">
        <v>68</v>
      </c>
      <c r="K325" s="85" t="str">
        <f t="shared" si="5"/>
        <v>/mnt/measurements/07_CANape/Mitsubishi/5K45/MMC5.1.0/5K457EG11/CSR_XCP_Signals_Recorder_2025-12-18_13-52-08_TC56_CPD.MF4.xz,remove, real child mea available,RadarFC_Master,remove, real child mea available (ncap3),CPD,dummy</v>
      </c>
      <c r="L325" s="85" t="s">
        <v>3402</v>
      </c>
      <c r="M325" s="136" t="s">
        <v>493</v>
      </c>
      <c r="N325" s="131" t="s">
        <v>202</v>
      </c>
    </row>
    <row r="326" spans="1:21" s="130" customFormat="1" hidden="1">
      <c r="A326" s="78">
        <v>56</v>
      </c>
      <c r="B326" s="130" t="s">
        <v>124</v>
      </c>
      <c r="C326" s="130" t="s">
        <v>66</v>
      </c>
      <c r="D326" s="97" t="e">
        <f>_xlfn.XLOOKUP(A326,[1]CPD_SOP_new!$A:$A,[1]CPD_SOP_new!#REF!,"not found",0 )</f>
        <v>#REF!</v>
      </c>
      <c r="E326" s="97" t="str">
        <f>_xlfn.XLOOKUP(A326,[1]CPD_SOP_new!$A:$A,[1]CPD_SOP_new!$K:$K,"not found",0 )</f>
        <v>F1D</v>
      </c>
      <c r="F326" s="130" t="s">
        <v>27</v>
      </c>
      <c r="G326" s="130" t="s">
        <v>28</v>
      </c>
      <c r="H326" s="130" t="s">
        <v>28</v>
      </c>
      <c r="I326" s="130" t="s">
        <v>27</v>
      </c>
      <c r="J326" s="137" t="s">
        <v>68</v>
      </c>
      <c r="K326" s="85" t="str">
        <f t="shared" si="5"/>
        <v>/mnt/measurements/07_CANape/Mitsubishi/5K45/MMC5.1.0/5K457EG11/CSR_XCP_Signals_Recorder_2025-12-18_13-53-50_TC56_CPD.MF4.xz,remove, real child mea available,RadarFC_Master,remove, real child mea available (ncap3),CPD,dummy</v>
      </c>
      <c r="L326" s="85" t="s">
        <v>3403</v>
      </c>
      <c r="M326" s="136" t="s">
        <v>494</v>
      </c>
      <c r="N326" s="131" t="s">
        <v>202</v>
      </c>
    </row>
    <row r="327" spans="1:21" s="130" customFormat="1" hidden="1">
      <c r="A327" s="78">
        <v>56</v>
      </c>
      <c r="B327" s="130" t="s">
        <v>124</v>
      </c>
      <c r="C327" s="130" t="s">
        <v>66</v>
      </c>
      <c r="D327" s="97" t="e">
        <f>_xlfn.XLOOKUP(A327,[1]CPD_SOP_new!$A:$A,[1]CPD_SOP_new!#REF!,"not found",0 )</f>
        <v>#REF!</v>
      </c>
      <c r="E327" s="97" t="str">
        <f>_xlfn.XLOOKUP(A327,[1]CPD_SOP_new!$A:$A,[1]CPD_SOP_new!$K:$K,"not found",0 )</f>
        <v>F1D</v>
      </c>
      <c r="F327" s="130" t="s">
        <v>27</v>
      </c>
      <c r="G327" s="130" t="s">
        <v>28</v>
      </c>
      <c r="H327" s="130" t="s">
        <v>28</v>
      </c>
      <c r="I327" s="130" t="s">
        <v>27</v>
      </c>
      <c r="J327" s="137" t="s">
        <v>68</v>
      </c>
      <c r="K327" s="85" t="str">
        <f t="shared" si="5"/>
        <v>/mnt/measurements/07_CANape/Mitsubishi/5K45/MMC5.1.0/5K457EG11/CSR_XCP_Signals_Recorder_2025-12-18_14-05-21_TC56_CPD.MF4.xz,remove, real child mea available,RadarFC_Master,remove, real child mea available (ncap3),CPD,dummy</v>
      </c>
      <c r="L327" s="85" t="s">
        <v>3404</v>
      </c>
      <c r="M327" s="62" t="s">
        <v>495</v>
      </c>
      <c r="N327" s="131" t="s">
        <v>202</v>
      </c>
    </row>
    <row r="328" spans="1:21">
      <c r="A328" s="77">
        <v>51</v>
      </c>
      <c r="B328" t="s">
        <v>124</v>
      </c>
      <c r="C328" t="s">
        <v>66</v>
      </c>
      <c r="D328" s="97" t="e">
        <f>_xlfn.XLOOKUP(A328,[1]CPD_SOP_new!$A:$A,[1]CPD_SOP_new!#REF!,"not found",0 )</f>
        <v>#REF!</v>
      </c>
      <c r="E328" s="97" t="str">
        <f>_xlfn.XLOOKUP(A328,[1]CPD_SOP_new!$A:$A,[1]CPD_SOP_new!$K:$K,"not found",0 )</f>
        <v>2C</v>
      </c>
      <c r="F328" t="s">
        <v>28</v>
      </c>
      <c r="G328" t="s">
        <v>28</v>
      </c>
      <c r="H328" t="s">
        <v>28</v>
      </c>
      <c r="I328" t="s">
        <v>28</v>
      </c>
      <c r="J328" t="s">
        <v>124</v>
      </c>
      <c r="K328" s="85" t="str">
        <f t="shared" si="5"/>
        <v>/mnt/measurements/07_CANape/Mitsubishi/5K45/MMC5.0.1/5K457EG-11/Real_Child_Measurements/CSR_XCP_Signals_Recorder_2025-12-15_11-34-50_TC51_3YO2C_CPD.MF4.xz,child,RadarFC_Master,child (ncap3),CPD,realchild</v>
      </c>
      <c r="L328" s="85" t="s">
        <v>3405</v>
      </c>
      <c r="M328" s="60" t="s">
        <v>462</v>
      </c>
      <c r="N328" s="1" t="s">
        <v>102</v>
      </c>
    </row>
    <row r="329" spans="1:21">
      <c r="A329" s="77">
        <v>51</v>
      </c>
      <c r="B329" t="s">
        <v>124</v>
      </c>
      <c r="C329" t="s">
        <v>66</v>
      </c>
      <c r="D329" s="97" t="e">
        <f>_xlfn.XLOOKUP(A329,[1]CPD_SOP_new!$A:$A,[1]CPD_SOP_new!#REF!,"not found",0 )</f>
        <v>#REF!</v>
      </c>
      <c r="E329" s="97" t="str">
        <f>_xlfn.XLOOKUP(A329,[1]CPD_SOP_new!$A:$A,[1]CPD_SOP_new!$K:$K,"not found",0 )</f>
        <v>2C</v>
      </c>
      <c r="F329" t="s">
        <v>28</v>
      </c>
      <c r="G329" t="s">
        <v>28</v>
      </c>
      <c r="H329" t="s">
        <v>28</v>
      </c>
      <c r="I329" t="s">
        <v>28</v>
      </c>
      <c r="J329" t="s">
        <v>124</v>
      </c>
      <c r="K329" s="85" t="str">
        <f t="shared" si="5"/>
        <v>/mnt/measurements/07_CANape/Mitsubishi/5K45/MMC5.0.1/5K457EG-11/Real_Child_Measurements/CSR_XCP_Signals_Recorder_2025-12-15_11-36-29_TC51_3YO2C_CPD.MF4.xz,child,RadarFC_Master,child (ncap3),CPD,realchild</v>
      </c>
      <c r="L329" s="85" t="s">
        <v>3406</v>
      </c>
      <c r="M329" s="60" t="s">
        <v>463</v>
      </c>
      <c r="N329" s="1" t="s">
        <v>102</v>
      </c>
    </row>
    <row r="330" spans="1:21">
      <c r="A330" s="77">
        <v>51</v>
      </c>
      <c r="B330" t="s">
        <v>124</v>
      </c>
      <c r="C330" t="s">
        <v>66</v>
      </c>
      <c r="D330" s="97" t="e">
        <f>_xlfn.XLOOKUP(A330,[1]CPD_SOP_new!$A:$A,[1]CPD_SOP_new!#REF!,"not found",0 )</f>
        <v>#REF!</v>
      </c>
      <c r="E330" s="97" t="str">
        <f>_xlfn.XLOOKUP(A330,[1]CPD_SOP_new!$A:$A,[1]CPD_SOP_new!$K:$K,"not found",0 )</f>
        <v>2C</v>
      </c>
      <c r="F330" t="s">
        <v>28</v>
      </c>
      <c r="G330" t="s">
        <v>28</v>
      </c>
      <c r="H330" t="s">
        <v>28</v>
      </c>
      <c r="I330" t="s">
        <v>28</v>
      </c>
      <c r="J330" t="s">
        <v>124</v>
      </c>
      <c r="K330" s="85" t="str">
        <f t="shared" si="5"/>
        <v>/mnt/measurements/07_CANape/Mitsubishi/5K45/MMC5.0.1/5K457EG-11/Real_Child_Measurements/CSR_XCP_Signals_Recorder_2025-12-15_11-38-04_TC51_3YO2C_CPD.MF4.xz,child,RadarFC_Master,child (ncap3),CPD,realchild</v>
      </c>
      <c r="L330" s="85" t="s">
        <v>3407</v>
      </c>
      <c r="M330" s="60" t="s">
        <v>464</v>
      </c>
      <c r="N330" s="1" t="s">
        <v>102</v>
      </c>
    </row>
    <row r="331" spans="1:21">
      <c r="A331" s="77">
        <v>51</v>
      </c>
      <c r="B331" t="s">
        <v>124</v>
      </c>
      <c r="C331" t="s">
        <v>66</v>
      </c>
      <c r="D331" s="97" t="e">
        <f>_xlfn.XLOOKUP(A331,[1]CPD_SOP_new!$A:$A,[1]CPD_SOP_new!#REF!,"not found",0 )</f>
        <v>#REF!</v>
      </c>
      <c r="E331" s="97" t="str">
        <f>_xlfn.XLOOKUP(A331,[1]CPD_SOP_new!$A:$A,[1]CPD_SOP_new!$K:$K,"not found",0 )</f>
        <v>2C</v>
      </c>
      <c r="F331" t="s">
        <v>28</v>
      </c>
      <c r="G331" t="s">
        <v>28</v>
      </c>
      <c r="H331" t="s">
        <v>28</v>
      </c>
      <c r="I331" t="s">
        <v>28</v>
      </c>
      <c r="J331" t="s">
        <v>124</v>
      </c>
      <c r="K331" s="85" t="str">
        <f t="shared" si="5"/>
        <v>/mnt/measurements/07_CANape/Mitsubishi/5K45/MMC5.0.1/5K457EG-11/Real_Child_Measurements/CSR_XCP_Signals_Recorder_2025-12-15_11-39-49_TC51_3YO2C_CPD.MF4.xz,child,RadarFC_Master,child (ncap3),CPD,realchild</v>
      </c>
      <c r="L331" s="85" t="s">
        <v>3408</v>
      </c>
      <c r="M331" s="60" t="s">
        <v>465</v>
      </c>
      <c r="N331" s="1" t="s">
        <v>102</v>
      </c>
    </row>
    <row r="332" spans="1:21">
      <c r="A332" s="77">
        <v>51</v>
      </c>
      <c r="B332" t="s">
        <v>124</v>
      </c>
      <c r="C332" t="s">
        <v>66</v>
      </c>
      <c r="D332" s="97" t="e">
        <f>_xlfn.XLOOKUP(A332,[1]CPD_SOP_new!$A:$A,[1]CPD_SOP_new!#REF!,"not found",0 )</f>
        <v>#REF!</v>
      </c>
      <c r="E332" s="97" t="str">
        <f>_xlfn.XLOOKUP(A332,[1]CPD_SOP_new!$A:$A,[1]CPD_SOP_new!$K:$K,"not found",0 )</f>
        <v>2C</v>
      </c>
      <c r="F332" t="s">
        <v>28</v>
      </c>
      <c r="G332" t="s">
        <v>28</v>
      </c>
      <c r="H332" t="s">
        <v>28</v>
      </c>
      <c r="I332" t="s">
        <v>28</v>
      </c>
      <c r="J332" t="s">
        <v>124</v>
      </c>
      <c r="K332" s="85" t="str">
        <f t="shared" si="5"/>
        <v>/mnt/measurements/07_CANape/Mitsubishi/5K45/5.3.0_RC6/Customer_Testing/Real_Child_Measurements/CSR_XCP_Signals_Recorder_2026-01-29_16-10-35_TC51.MF4.xz,child,RadarFC_Master,child (ncap3),CPD,realchild</v>
      </c>
      <c r="L332" s="85" t="s">
        <v>3409</v>
      </c>
      <c r="M332" t="s">
        <v>467</v>
      </c>
      <c r="N332" t="s">
        <v>213</v>
      </c>
      <c r="O332" t="s">
        <v>124</v>
      </c>
      <c r="P332" t="s">
        <v>29</v>
      </c>
      <c r="Q332">
        <v>1</v>
      </c>
      <c r="T332">
        <v>0</v>
      </c>
      <c r="U332">
        <v>0</v>
      </c>
    </row>
    <row r="333" spans="1:21">
      <c r="A333" s="77">
        <v>51</v>
      </c>
      <c r="B333" t="s">
        <v>124</v>
      </c>
      <c r="C333" t="s">
        <v>66</v>
      </c>
      <c r="D333" s="97" t="e">
        <f>_xlfn.XLOOKUP(A333,[1]CPD_SOP_new!$A:$A,[1]CPD_SOP_new!#REF!,"not found",0 )</f>
        <v>#REF!</v>
      </c>
      <c r="E333" s="97" t="str">
        <f>_xlfn.XLOOKUP(A333,[1]CPD_SOP_new!$A:$A,[1]CPD_SOP_new!$K:$K,"not found",0 )</f>
        <v>2C</v>
      </c>
      <c r="F333" t="s">
        <v>28</v>
      </c>
      <c r="G333" t="s">
        <v>28</v>
      </c>
      <c r="H333" t="s">
        <v>28</v>
      </c>
      <c r="I333" t="s">
        <v>28</v>
      </c>
      <c r="J333" t="s">
        <v>124</v>
      </c>
      <c r="K333" s="85" t="str">
        <f t="shared" si="5"/>
        <v>/mnt/measurements/07_CANape/Mitsubishi/5K45/5.3.0_RC6/Customer_Testing/Real_Child_Measurements/CSR_XCP_Signals_Recorder_2026-01-29_16-12-21_TC51.MF4.xz,child,RadarFC_Master,child (ncap3),CPD,realchild</v>
      </c>
      <c r="L333" s="85" t="s">
        <v>3410</v>
      </c>
      <c r="M333" t="s">
        <v>469</v>
      </c>
      <c r="N333" t="s">
        <v>213</v>
      </c>
      <c r="O333" t="s">
        <v>124</v>
      </c>
      <c r="P333" t="s">
        <v>29</v>
      </c>
      <c r="Q333">
        <v>1</v>
      </c>
      <c r="T333">
        <v>0</v>
      </c>
      <c r="U333">
        <v>0</v>
      </c>
    </row>
    <row r="334" spans="1:21" s="130" customFormat="1" hidden="1">
      <c r="A334" s="78">
        <v>56</v>
      </c>
      <c r="B334" s="130" t="s">
        <v>124</v>
      </c>
      <c r="C334" s="130" t="s">
        <v>66</v>
      </c>
      <c r="D334" s="97" t="e">
        <f>_xlfn.XLOOKUP(A334,[1]CPD_SOP_new!$A:$A,[1]CPD_SOP_new!#REF!,"not found",0 )</f>
        <v>#REF!</v>
      </c>
      <c r="E334" s="97" t="str">
        <f>_xlfn.XLOOKUP(A334,[1]CPD_SOP_new!$A:$A,[1]CPD_SOP_new!$K:$K,"not found",0 )</f>
        <v>F1D</v>
      </c>
      <c r="F334" s="130" t="s">
        <v>28</v>
      </c>
      <c r="G334" s="130" t="s">
        <v>28</v>
      </c>
      <c r="H334" s="130" t="s">
        <v>28</v>
      </c>
      <c r="I334" s="130" t="s">
        <v>27</v>
      </c>
      <c r="J334" s="130" t="s">
        <v>503</v>
      </c>
      <c r="K334" s="85" t="str">
        <f t="shared" si="5"/>
        <v>/mnt/measurements/07_CANape/Mitsubishi/5K45/MMC5.0.2/5K457EG11/RealChild/CSR_XCP_Signals_Recorder_2026-01-20_09-46-39_CPD_TC56_Try1.MF4.xz,Remove from list - Failing breathing rate,RadarFC_Master,Remove from list - Failing breathing rate (ncap3),CPD,realchild</v>
      </c>
      <c r="L334" s="85" t="s">
        <v>3411</v>
      </c>
      <c r="M334" s="130" t="s">
        <v>504</v>
      </c>
      <c r="N334" s="130" t="s">
        <v>86</v>
      </c>
    </row>
    <row r="335" spans="1:21">
      <c r="A335" s="77">
        <v>51</v>
      </c>
      <c r="B335" t="s">
        <v>124</v>
      </c>
      <c r="C335" t="s">
        <v>66</v>
      </c>
      <c r="D335" s="97" t="e">
        <f>_xlfn.XLOOKUP(A335,[1]CPD_SOP_new!$A:$A,[1]CPD_SOP_new!#REF!,"not found",0 )</f>
        <v>#REF!</v>
      </c>
      <c r="E335" s="97" t="str">
        <f>_xlfn.XLOOKUP(A335,[1]CPD_SOP_new!$A:$A,[1]CPD_SOP_new!$K:$K,"not found",0 )</f>
        <v>2C</v>
      </c>
      <c r="F335" t="s">
        <v>28</v>
      </c>
      <c r="G335" t="s">
        <v>28</v>
      </c>
      <c r="H335" t="s">
        <v>28</v>
      </c>
      <c r="I335" t="s">
        <v>28</v>
      </c>
      <c r="J335" t="s">
        <v>124</v>
      </c>
      <c r="K335" s="85" t="str">
        <f t="shared" si="5"/>
        <v>/mnt/measurements/07_CANape/Mitsubishi/5K45/5.3.0_RC6/Customer_Testing/Real_Child_Measurements/CSR_XCP_Signals_Recorder_2026-01-29_16-13-52_TC51.MF4.xz,child,RadarFC_Master,child (ncap3),CPD,realchild</v>
      </c>
      <c r="L335" s="85" t="s">
        <v>3412</v>
      </c>
      <c r="M335" t="s">
        <v>470</v>
      </c>
      <c r="N335" t="s">
        <v>213</v>
      </c>
      <c r="O335" t="s">
        <v>124</v>
      </c>
      <c r="P335" t="s">
        <v>29</v>
      </c>
      <c r="Q335">
        <v>1</v>
      </c>
      <c r="T335">
        <v>0</v>
      </c>
      <c r="U335">
        <v>0</v>
      </c>
    </row>
    <row r="336" spans="1:21">
      <c r="A336" s="38">
        <v>52</v>
      </c>
      <c r="B336" t="s">
        <v>124</v>
      </c>
      <c r="C336" t="s">
        <v>66</v>
      </c>
      <c r="D336" s="97" t="e">
        <f>_xlfn.XLOOKUP(A336,[1]CPD_SOP_new!$A:$A,[1]CPD_SOP_new!#REF!,"not found",0 )</f>
        <v>#REF!</v>
      </c>
      <c r="E336" s="97" t="str">
        <f>_xlfn.XLOOKUP(A336,[1]CPD_SOP_new!$A:$A,[1]CPD_SOP_new!$K:$K,"not found",0 )</f>
        <v>2C</v>
      </c>
      <c r="F336" t="s">
        <v>27</v>
      </c>
      <c r="G336" t="s">
        <v>27</v>
      </c>
      <c r="H336" t="s">
        <v>27</v>
      </c>
      <c r="I336" t="s">
        <v>28</v>
      </c>
      <c r="J336" t="s">
        <v>124</v>
      </c>
      <c r="K336" s="85" t="str">
        <f t="shared" si="5"/>
        <v>/mnt/measurements/07_CANape/Mitsubishi/5K45/MMC4.1.2/Validation/2025_12_02/ChildAwake/TC_52_Try1.MF4.xz,child,RadarFC_Master,child (ncap3),CPD,dummy</v>
      </c>
      <c r="L336" s="85" t="s">
        <v>3413</v>
      </c>
      <c r="M336" t="s">
        <v>471</v>
      </c>
      <c r="N336" t="s">
        <v>371</v>
      </c>
    </row>
    <row r="337" spans="1:14">
      <c r="A337" s="38">
        <v>52</v>
      </c>
      <c r="B337" t="s">
        <v>124</v>
      </c>
      <c r="C337" t="s">
        <v>66</v>
      </c>
      <c r="D337" s="97" t="e">
        <f>_xlfn.XLOOKUP(A337,[1]CPD_SOP_new!$A:$A,[1]CPD_SOP_new!#REF!,"not found",0 )</f>
        <v>#REF!</v>
      </c>
      <c r="E337" s="97" t="str">
        <f>_xlfn.XLOOKUP(A337,[1]CPD_SOP_new!$A:$A,[1]CPD_SOP_new!$K:$K,"not found",0 )</f>
        <v>2C</v>
      </c>
      <c r="F337" t="s">
        <v>27</v>
      </c>
      <c r="G337" t="s">
        <v>27</v>
      </c>
      <c r="H337" t="s">
        <v>27</v>
      </c>
      <c r="I337" t="s">
        <v>28</v>
      </c>
      <c r="J337" t="s">
        <v>124</v>
      </c>
      <c r="K337" s="85" t="str">
        <f t="shared" si="5"/>
        <v>/mnt/measurements/07_CANape/Mitsubishi/5K45/MMC4.1.2/Validation/2025_12_02/ChildAwake/TC_52_Try2.MF4.xz,child,RadarFC_Master,child (ncap3),CPD,dummy</v>
      </c>
      <c r="L337" s="85" t="s">
        <v>3414</v>
      </c>
      <c r="M337" t="s">
        <v>472</v>
      </c>
      <c r="N337" t="s">
        <v>371</v>
      </c>
    </row>
    <row r="338" spans="1:14" s="130" customFormat="1" hidden="1">
      <c r="A338" s="78">
        <v>57</v>
      </c>
      <c r="B338" s="130" t="s">
        <v>124</v>
      </c>
      <c r="C338" s="130" t="s">
        <v>66</v>
      </c>
      <c r="D338" s="97" t="e">
        <f>_xlfn.XLOOKUP(A338,[1]CPD_SOP_new!$A:$A,[1]CPD_SOP_new!#REF!,"not found",0 )</f>
        <v>#REF!</v>
      </c>
      <c r="E338" s="97" t="str">
        <f>_xlfn.XLOOKUP(A338,[1]CPD_SOP_new!$A:$A,[1]CPD_SOP_new!$K:$K,"not found",0 )</f>
        <v>F1P</v>
      </c>
      <c r="F338" s="130" t="s">
        <v>27</v>
      </c>
      <c r="G338" s="130" t="s">
        <v>28</v>
      </c>
      <c r="H338" s="130" t="s">
        <v>28</v>
      </c>
      <c r="I338" s="130" t="s">
        <v>27</v>
      </c>
      <c r="J338" s="137" t="s">
        <v>68</v>
      </c>
      <c r="K338" s="85" t="str">
        <f t="shared" si="5"/>
        <v>/mnt/measurements/07_CANape/Mitsubishi/5K45/MMC5.0.0_RC3_with_resetfix/CPD//TC57_Try_1.MF4.xz,remove, real child mea available,RadarFC_Master,remove, real child mea available (ncap3),CPD,dummy</v>
      </c>
      <c r="L338" s="85" t="s">
        <v>3415</v>
      </c>
      <c r="M338" s="130" t="s">
        <v>509</v>
      </c>
      <c r="N338" s="131" t="s">
        <v>446</v>
      </c>
    </row>
    <row r="339" spans="1:14" s="130" customFormat="1" hidden="1">
      <c r="A339" s="78">
        <v>57</v>
      </c>
      <c r="B339" s="130" t="s">
        <v>124</v>
      </c>
      <c r="C339" s="130" t="s">
        <v>66</v>
      </c>
      <c r="D339" s="97" t="e">
        <f>_xlfn.XLOOKUP(A339,[1]CPD_SOP_new!$A:$A,[1]CPD_SOP_new!#REF!,"not found",0 )</f>
        <v>#REF!</v>
      </c>
      <c r="E339" s="97" t="str">
        <f>_xlfn.XLOOKUP(A339,[1]CPD_SOP_new!$A:$A,[1]CPD_SOP_new!$K:$K,"not found",0 )</f>
        <v>F1P</v>
      </c>
      <c r="F339" s="130" t="s">
        <v>27</v>
      </c>
      <c r="G339" s="130" t="s">
        <v>28</v>
      </c>
      <c r="H339" s="130" t="s">
        <v>28</v>
      </c>
      <c r="I339" s="130" t="s">
        <v>27</v>
      </c>
      <c r="J339" s="137" t="s">
        <v>68</v>
      </c>
      <c r="K339" s="85" t="str">
        <f t="shared" si="5"/>
        <v>/mnt/measurements/07_CANape/Mitsubishi/5K45/MMC5.0.0_RC3_with_resetfix/CPD//TC57_Try_2.MF4.xz,remove, real child mea available,RadarFC_Master,remove, real child mea available (ncap3),CPD,dummy</v>
      </c>
      <c r="L339" s="85" t="s">
        <v>3416</v>
      </c>
      <c r="M339" s="130" t="s">
        <v>510</v>
      </c>
      <c r="N339" s="131" t="s">
        <v>446</v>
      </c>
    </row>
    <row r="340" spans="1:14" s="130" customFormat="1" hidden="1">
      <c r="A340" s="78">
        <v>57</v>
      </c>
      <c r="B340" s="130" t="s">
        <v>124</v>
      </c>
      <c r="C340" s="130" t="s">
        <v>66</v>
      </c>
      <c r="D340" s="97" t="e">
        <f>_xlfn.XLOOKUP(A340,[1]CPD_SOP_new!$A:$A,[1]CPD_SOP_new!#REF!,"not found",0 )</f>
        <v>#REF!</v>
      </c>
      <c r="E340" s="97" t="str">
        <f>_xlfn.XLOOKUP(A340,[1]CPD_SOP_new!$A:$A,[1]CPD_SOP_new!$K:$K,"not found",0 )</f>
        <v>F1P</v>
      </c>
      <c r="F340" s="130" t="s">
        <v>27</v>
      </c>
      <c r="G340" s="130" t="s">
        <v>28</v>
      </c>
      <c r="H340" s="130" t="s">
        <v>28</v>
      </c>
      <c r="I340" s="130" t="s">
        <v>27</v>
      </c>
      <c r="J340" s="137" t="s">
        <v>68</v>
      </c>
      <c r="K340" s="85" t="str">
        <f t="shared" si="5"/>
        <v>/mnt/measurements/07_CANape/Mitsubishi/5K45/MMC5.0.0_RC3_with_resetfix/CPD//TC57_Try_3.MF4.xz,remove, real child mea available,RadarFC_Master,remove, real child mea available (ncap3),CPD,dummy</v>
      </c>
      <c r="L340" s="85" t="s">
        <v>3417</v>
      </c>
      <c r="M340" s="130" t="s">
        <v>511</v>
      </c>
      <c r="N340" s="131" t="s">
        <v>446</v>
      </c>
    </row>
    <row r="341" spans="1:14">
      <c r="A341" s="38">
        <v>53</v>
      </c>
      <c r="B341" t="s">
        <v>124</v>
      </c>
      <c r="C341" t="s">
        <v>66</v>
      </c>
      <c r="D341" s="97" t="e">
        <f>_xlfn.XLOOKUP(A341,[1]CPD_SOP_new!$A:$A,[1]CPD_SOP_new!#REF!,"not found",0 )</f>
        <v>#REF!</v>
      </c>
      <c r="E341" s="97" t="str">
        <f>_xlfn.XLOOKUP(A341,[1]CPD_SOP_new!$A:$A,[1]CPD_SOP_new!$K:$K,"not found",0 )</f>
        <v>2C</v>
      </c>
      <c r="F341" t="s">
        <v>27</v>
      </c>
      <c r="G341" t="s">
        <v>27</v>
      </c>
      <c r="H341" t="s">
        <v>27</v>
      </c>
      <c r="I341" t="s">
        <v>28</v>
      </c>
      <c r="J341" t="s">
        <v>124</v>
      </c>
      <c r="K341" s="85" t="str">
        <f t="shared" si="5"/>
        <v>/mnt/measurements/07_CANape/Mitsubishi/5K45/MMC5.0.0_RC3_with_resetfix/CPD/TC53_Try_1.MF4.xz,child,RadarFC_Master,child (ncap3),CPD,dummy</v>
      </c>
      <c r="L341" s="85" t="s">
        <v>3418</v>
      </c>
      <c r="M341" t="s">
        <v>474</v>
      </c>
      <c r="N341" t="s">
        <v>475</v>
      </c>
    </row>
    <row r="342" spans="1:14">
      <c r="A342" s="38">
        <v>53</v>
      </c>
      <c r="B342" t="s">
        <v>124</v>
      </c>
      <c r="C342" t="s">
        <v>66</v>
      </c>
      <c r="D342" s="97" t="e">
        <f>_xlfn.XLOOKUP(A342,[1]CPD_SOP_new!$A:$A,[1]CPD_SOP_new!#REF!,"not found",0 )</f>
        <v>#REF!</v>
      </c>
      <c r="E342" s="97" t="str">
        <f>_xlfn.XLOOKUP(A342,[1]CPD_SOP_new!$A:$A,[1]CPD_SOP_new!$K:$K,"not found",0 )</f>
        <v>2C</v>
      </c>
      <c r="F342" t="s">
        <v>27</v>
      </c>
      <c r="G342" t="s">
        <v>27</v>
      </c>
      <c r="H342" t="s">
        <v>27</v>
      </c>
      <c r="I342" t="s">
        <v>28</v>
      </c>
      <c r="J342" t="s">
        <v>124</v>
      </c>
      <c r="K342" s="85" t="str">
        <f t="shared" si="5"/>
        <v>/mnt/measurements/07_CANape/Mitsubishi/5K45/MMC5.0.0_RC3_with_resetfix/CPD/TC53_Try_2.MF4.xz,child,RadarFC_Master,child (ncap3),CPD,dummy</v>
      </c>
      <c r="L342" s="85" t="s">
        <v>3419</v>
      </c>
      <c r="M342" t="s">
        <v>476</v>
      </c>
      <c r="N342" t="s">
        <v>475</v>
      </c>
    </row>
    <row r="343" spans="1:14">
      <c r="A343" s="38">
        <v>53</v>
      </c>
      <c r="B343" t="s">
        <v>124</v>
      </c>
      <c r="C343" t="s">
        <v>66</v>
      </c>
      <c r="D343" s="97" t="e">
        <f>_xlfn.XLOOKUP(A343,[1]CPD_SOP_new!$A:$A,[1]CPD_SOP_new!#REF!,"not found",0 )</f>
        <v>#REF!</v>
      </c>
      <c r="E343" s="97" t="str">
        <f>_xlfn.XLOOKUP(A343,[1]CPD_SOP_new!$A:$A,[1]CPD_SOP_new!$K:$K,"not found",0 )</f>
        <v>2C</v>
      </c>
      <c r="F343" t="s">
        <v>27</v>
      </c>
      <c r="G343" t="s">
        <v>27</v>
      </c>
      <c r="H343" t="s">
        <v>27</v>
      </c>
      <c r="I343" t="s">
        <v>28</v>
      </c>
      <c r="J343" t="s">
        <v>124</v>
      </c>
      <c r="K343" s="85" t="str">
        <f t="shared" si="5"/>
        <v>/mnt/measurements/07_CANape/Mitsubishi/5K45/MMC5.0.0_RC3_with_resetfix/CPD/TC53_Try_3.MF4.xz,child,RadarFC_Master,child (ncap3),CPD,dummy</v>
      </c>
      <c r="L343" s="85" t="s">
        <v>3420</v>
      </c>
      <c r="M343" t="s">
        <v>477</v>
      </c>
      <c r="N343" t="s">
        <v>475</v>
      </c>
    </row>
    <row r="344" spans="1:14">
      <c r="A344" s="38">
        <v>54</v>
      </c>
      <c r="B344" t="s">
        <v>124</v>
      </c>
      <c r="C344" t="s">
        <v>66</v>
      </c>
      <c r="D344" s="97" t="e">
        <f>_xlfn.XLOOKUP(A344,[1]CPD_SOP_new!$A:$A,[1]CPD_SOP_new!#REF!,"not found",0 )</f>
        <v>#REF!</v>
      </c>
      <c r="E344" s="97" t="str">
        <f>_xlfn.XLOOKUP(A344,[1]CPD_SOP_new!$A:$A,[1]CPD_SOP_new!$K:$K,"not found",0 )</f>
        <v>3R</v>
      </c>
      <c r="F344" t="s">
        <v>28</v>
      </c>
      <c r="G344" t="s">
        <v>27</v>
      </c>
      <c r="H344" t="s">
        <v>27</v>
      </c>
      <c r="I344" t="s">
        <v>28</v>
      </c>
      <c r="J344" t="s">
        <v>124</v>
      </c>
      <c r="K344" s="85" t="str">
        <f t="shared" si="5"/>
        <v>/mnt/measurements/07_CANape/Mitsubishi/5K45/MMC5.1.0/5K457EG11/CSR_XCP_Signals_Recorder_2025-12-18_17-02-49_TC54_CPD.MF4.xz,child,RadarFC_Master,child (ncap3),CPD,realchild</v>
      </c>
      <c r="L344" s="85" t="s">
        <v>3421</v>
      </c>
      <c r="M344" t="s">
        <v>478</v>
      </c>
      <c r="N344" s="131" t="s">
        <v>202</v>
      </c>
    </row>
    <row r="345" spans="1:14">
      <c r="A345" s="38">
        <v>54</v>
      </c>
      <c r="B345" t="s">
        <v>124</v>
      </c>
      <c r="C345" t="s">
        <v>66</v>
      </c>
      <c r="D345" s="97" t="e">
        <f>_xlfn.XLOOKUP(A345,[1]CPD_SOP_new!$A:$A,[1]CPD_SOP_new!#REF!,"not found",0 )</f>
        <v>#REF!</v>
      </c>
      <c r="E345" s="97" t="str">
        <f>_xlfn.XLOOKUP(A345,[1]CPD_SOP_new!$A:$A,[1]CPD_SOP_new!$K:$K,"not found",0 )</f>
        <v>3R</v>
      </c>
      <c r="F345" t="s">
        <v>28</v>
      </c>
      <c r="G345" t="s">
        <v>27</v>
      </c>
      <c r="H345" t="s">
        <v>27</v>
      </c>
      <c r="I345" t="s">
        <v>28</v>
      </c>
      <c r="J345" t="s">
        <v>124</v>
      </c>
      <c r="K345" s="85" t="str">
        <f t="shared" si="5"/>
        <v>/mnt/measurements/07_CANape/Mitsubishi/5K45/MMC5.1.0/5K457EG11/CSR_XCP_Signals_Recorder_2025-12-18_17-04-21_TC54_CPD.MF4.xz,child,RadarFC_Master,child (ncap3),CPD,realchild</v>
      </c>
      <c r="L345" s="85" t="s">
        <v>3422</v>
      </c>
      <c r="M345" t="s">
        <v>479</v>
      </c>
      <c r="N345" s="131" t="s">
        <v>202</v>
      </c>
    </row>
    <row r="346" spans="1:14" s="130" customFormat="1" hidden="1">
      <c r="A346" s="78">
        <v>57</v>
      </c>
      <c r="B346" s="130" t="s">
        <v>124</v>
      </c>
      <c r="C346" s="130" t="s">
        <v>66</v>
      </c>
      <c r="D346" s="97" t="e">
        <f>_xlfn.XLOOKUP(A346,[1]CPD_SOP_new!$A:$A,[1]CPD_SOP_new!#REF!,"not found",0 )</f>
        <v>#REF!</v>
      </c>
      <c r="E346" s="97" t="str">
        <f>_xlfn.XLOOKUP(A346,[1]CPD_SOP_new!$A:$A,[1]CPD_SOP_new!$K:$K,"not found",0 )</f>
        <v>F1P</v>
      </c>
      <c r="F346" s="130" t="s">
        <v>28</v>
      </c>
      <c r="G346" s="130" t="s">
        <v>28</v>
      </c>
      <c r="H346" s="130" t="s">
        <v>28</v>
      </c>
      <c r="I346" s="130" t="s">
        <v>27</v>
      </c>
      <c r="J346" s="137" t="s">
        <v>518</v>
      </c>
      <c r="K346" s="85" t="str">
        <f t="shared" si="5"/>
        <v>/mnt/measurements/07_CANape/Mitsubishi/5K45/MMC5.1.0/5K457EG11/CSR_XCP_Signals_Recorder_2025-12-23_11-31-20_TC57_CPD.MF4.xz,Incorrect length,RadarFC_Master,Incorrect length (ncap3),CPD,realchild</v>
      </c>
      <c r="L346" s="85" t="s">
        <v>3423</v>
      </c>
      <c r="M346" s="136" t="s">
        <v>519</v>
      </c>
      <c r="N346" s="131" t="s">
        <v>202</v>
      </c>
    </row>
    <row r="347" spans="1:14" s="130" customFormat="1" hidden="1">
      <c r="A347" s="78">
        <v>57</v>
      </c>
      <c r="B347" s="130" t="s">
        <v>124</v>
      </c>
      <c r="C347" s="130" t="s">
        <v>66</v>
      </c>
      <c r="D347" s="97" t="e">
        <f>_xlfn.XLOOKUP(A347,[1]CPD_SOP_new!$A:$A,[1]CPD_SOP_new!#REF!,"not found",0 )</f>
        <v>#REF!</v>
      </c>
      <c r="E347" s="97" t="str">
        <f>_xlfn.XLOOKUP(A347,[1]CPD_SOP_new!$A:$A,[1]CPD_SOP_new!$K:$K,"not found",0 )</f>
        <v>F1P</v>
      </c>
      <c r="F347" s="130" t="s">
        <v>28</v>
      </c>
      <c r="G347" s="130" t="s">
        <v>28</v>
      </c>
      <c r="H347" s="130" t="s">
        <v>28</v>
      </c>
      <c r="I347" s="130" t="s">
        <v>27</v>
      </c>
      <c r="J347" s="137" t="s">
        <v>518</v>
      </c>
      <c r="K347" s="85" t="str">
        <f t="shared" si="5"/>
        <v>/mnt/measurements/07_CANape/Mitsubishi/5K45/MMC5.1.0/5K457EG11/CSR_XCP_Signals_Recorder_2025-12-23_11-32-54_TC57_CPD.MF4.xz,Incorrect length,RadarFC_Master,Incorrect length (ncap3),CPD,realchild</v>
      </c>
      <c r="L347" s="85" t="s">
        <v>3424</v>
      </c>
      <c r="M347" s="136" t="s">
        <v>520</v>
      </c>
      <c r="N347" s="131" t="s">
        <v>202</v>
      </c>
    </row>
    <row r="348" spans="1:14" s="130" customFormat="1" hidden="1">
      <c r="A348" s="78">
        <v>57</v>
      </c>
      <c r="B348" s="130" t="s">
        <v>124</v>
      </c>
      <c r="C348" s="130" t="s">
        <v>66</v>
      </c>
      <c r="D348" s="97" t="e">
        <f>_xlfn.XLOOKUP(A348,[1]CPD_SOP_new!$A:$A,[1]CPD_SOP_new!#REF!,"not found",0 )</f>
        <v>#REF!</v>
      </c>
      <c r="E348" s="97" t="str">
        <f>_xlfn.XLOOKUP(A348,[1]CPD_SOP_new!$A:$A,[1]CPD_SOP_new!$K:$K,"not found",0 )</f>
        <v>F1P</v>
      </c>
      <c r="F348" s="130" t="s">
        <v>28</v>
      </c>
      <c r="G348" s="130" t="s">
        <v>28</v>
      </c>
      <c r="H348" s="130" t="s">
        <v>28</v>
      </c>
      <c r="I348" s="130" t="s">
        <v>27</v>
      </c>
      <c r="J348" s="137" t="s">
        <v>518</v>
      </c>
      <c r="K348" s="85" t="str">
        <f t="shared" si="5"/>
        <v>/mnt/measurements/07_CANape/Mitsubishi/5K45/MMC5.1.0/5K457EG11/CSR_XCP_Signals_Recorder_2025-12-23_11-34-09_TC57_CPD.MF4.xz,Incorrect length,RadarFC_Master,Incorrect length (ncap3),CPD,realchild</v>
      </c>
      <c r="L348" s="85" t="s">
        <v>3425</v>
      </c>
      <c r="M348" s="136" t="s">
        <v>521</v>
      </c>
      <c r="N348" s="131" t="s">
        <v>202</v>
      </c>
    </row>
    <row r="349" spans="1:14" s="130" customFormat="1" hidden="1">
      <c r="A349" s="78">
        <v>57</v>
      </c>
      <c r="B349" s="130" t="s">
        <v>124</v>
      </c>
      <c r="C349" s="130" t="s">
        <v>66</v>
      </c>
      <c r="D349" s="97" t="e">
        <f>_xlfn.XLOOKUP(A349,[1]CPD_SOP_new!$A:$A,[1]CPD_SOP_new!#REF!,"not found",0 )</f>
        <v>#REF!</v>
      </c>
      <c r="E349" s="97" t="str">
        <f>_xlfn.XLOOKUP(A349,[1]CPD_SOP_new!$A:$A,[1]CPD_SOP_new!$K:$K,"not found",0 )</f>
        <v>F1P</v>
      </c>
      <c r="F349" s="130" t="s">
        <v>28</v>
      </c>
      <c r="G349" s="130" t="s">
        <v>28</v>
      </c>
      <c r="H349" s="130" t="s">
        <v>28</v>
      </c>
      <c r="I349" s="130" t="s">
        <v>27</v>
      </c>
      <c r="J349" s="137" t="s">
        <v>518</v>
      </c>
      <c r="K349" s="85" t="str">
        <f t="shared" si="5"/>
        <v>/mnt/measurements/07_CANape/Mitsubishi/5K45/MMC5.1.0/5K457EG11/CSR_XCP_Signals_Recorder_2025-12-23_11-36-44_TC57_CPD.MF4.xz,Incorrect length,RadarFC_Master,Incorrect length (ncap3),CPD,realchild</v>
      </c>
      <c r="L349" s="85" t="s">
        <v>3426</v>
      </c>
      <c r="M349" s="136" t="s">
        <v>522</v>
      </c>
      <c r="N349" s="131" t="s">
        <v>202</v>
      </c>
    </row>
    <row r="350" spans="1:14" s="130" customFormat="1" hidden="1">
      <c r="A350" s="78">
        <v>57</v>
      </c>
      <c r="B350" s="130" t="s">
        <v>124</v>
      </c>
      <c r="C350" s="130" t="s">
        <v>66</v>
      </c>
      <c r="D350" s="97" t="e">
        <f>_xlfn.XLOOKUP(A350,[1]CPD_SOP_new!$A:$A,[1]CPD_SOP_new!#REF!,"not found",0 )</f>
        <v>#REF!</v>
      </c>
      <c r="E350" s="97" t="str">
        <f>_xlfn.XLOOKUP(A350,[1]CPD_SOP_new!$A:$A,[1]CPD_SOP_new!$K:$K,"not found",0 )</f>
        <v>F1P</v>
      </c>
      <c r="F350" s="130" t="s">
        <v>28</v>
      </c>
      <c r="G350" s="130" t="s">
        <v>28</v>
      </c>
      <c r="H350" s="130" t="s">
        <v>28</v>
      </c>
      <c r="I350" s="130" t="s">
        <v>27</v>
      </c>
      <c r="J350" s="137" t="s">
        <v>518</v>
      </c>
      <c r="K350" s="85" t="str">
        <f t="shared" si="5"/>
        <v>/mnt/measurements/07_CANape/Mitsubishi/5K45/MMC5.1.0/5K457EG11/CSR_XCP_Signals_Recorder_2025-12-23_11-39-21_TC57_CPD.MF4.xz,Incorrect length,RadarFC_Master,Incorrect length (ncap3),CPD,realchild</v>
      </c>
      <c r="L350" s="85" t="s">
        <v>3427</v>
      </c>
      <c r="M350" s="136" t="s">
        <v>523</v>
      </c>
      <c r="N350" s="131" t="s">
        <v>202</v>
      </c>
    </row>
    <row r="351" spans="1:14">
      <c r="A351" s="38">
        <v>54</v>
      </c>
      <c r="B351" t="s">
        <v>124</v>
      </c>
      <c r="C351" t="s">
        <v>66</v>
      </c>
      <c r="D351" s="97" t="e">
        <f>_xlfn.XLOOKUP(A351,[1]CPD_SOP_new!$A:$A,[1]CPD_SOP_new!#REF!,"not found",0 )</f>
        <v>#REF!</v>
      </c>
      <c r="E351" s="97" t="str">
        <f>_xlfn.XLOOKUP(A351,[1]CPD_SOP_new!$A:$A,[1]CPD_SOP_new!$K:$K,"not found",0 )</f>
        <v>3R</v>
      </c>
      <c r="F351" t="s">
        <v>28</v>
      </c>
      <c r="G351" t="s">
        <v>27</v>
      </c>
      <c r="H351" t="s">
        <v>27</v>
      </c>
      <c r="I351" t="s">
        <v>28</v>
      </c>
      <c r="J351" t="s">
        <v>124</v>
      </c>
      <c r="K351" s="85" t="str">
        <f t="shared" si="5"/>
        <v>/mnt/measurements/07_CANape/Mitsubishi/5K45/MMC5.1.0/5K457EG11/CSR_XCP_Signals_Recorder_2025-12-18_17-05-54_TC54_CPD.MF4.xz,child,RadarFC_Master,child (ncap3),CPD,realchild</v>
      </c>
      <c r="L351" s="85" t="s">
        <v>3428</v>
      </c>
      <c r="M351" t="s">
        <v>480</v>
      </c>
      <c r="N351" s="131" t="s">
        <v>202</v>
      </c>
    </row>
    <row r="352" spans="1:14">
      <c r="A352" s="38">
        <v>54</v>
      </c>
      <c r="B352" t="s">
        <v>124</v>
      </c>
      <c r="C352" t="s">
        <v>66</v>
      </c>
      <c r="D352" s="97" t="e">
        <f>_xlfn.XLOOKUP(A352,[1]CPD_SOP_new!$A:$A,[1]CPD_SOP_new!#REF!,"not found",0 )</f>
        <v>#REF!</v>
      </c>
      <c r="E352" s="97" t="str">
        <f>_xlfn.XLOOKUP(A352,[1]CPD_SOP_new!$A:$A,[1]CPD_SOP_new!$K:$K,"not found",0 )</f>
        <v>3R</v>
      </c>
      <c r="F352" t="s">
        <v>28</v>
      </c>
      <c r="G352" t="s">
        <v>27</v>
      </c>
      <c r="H352" t="s">
        <v>27</v>
      </c>
      <c r="I352" t="s">
        <v>28</v>
      </c>
      <c r="J352" t="s">
        <v>124</v>
      </c>
      <c r="K352" s="85" t="str">
        <f t="shared" si="5"/>
        <v>/mnt/measurements/07_CANape/Mitsubishi/5K45/MMC5.1.0/5K457EG11/CSR_XCP_Signals_Recorder_2025-12-18_17-15-22_TC54_CPD.MF4.xz,child,RadarFC_Master,child (ncap3),CPD,realchild</v>
      </c>
      <c r="L352" s="85" t="s">
        <v>3429</v>
      </c>
      <c r="M352" t="s">
        <v>481</v>
      </c>
      <c r="N352" s="131" t="s">
        <v>202</v>
      </c>
    </row>
    <row r="353" spans="1:14">
      <c r="A353" s="38">
        <v>54</v>
      </c>
      <c r="B353" t="s">
        <v>124</v>
      </c>
      <c r="C353" t="s">
        <v>66</v>
      </c>
      <c r="D353" s="97" t="e">
        <f>_xlfn.XLOOKUP(A353,[1]CPD_SOP_new!$A:$A,[1]CPD_SOP_new!#REF!,"not found",0 )</f>
        <v>#REF!</v>
      </c>
      <c r="E353" s="97" t="str">
        <f>_xlfn.XLOOKUP(A353,[1]CPD_SOP_new!$A:$A,[1]CPD_SOP_new!$K:$K,"not found",0 )</f>
        <v>3R</v>
      </c>
      <c r="F353" t="s">
        <v>28</v>
      </c>
      <c r="G353" t="s">
        <v>27</v>
      </c>
      <c r="H353" t="s">
        <v>27</v>
      </c>
      <c r="I353" t="s">
        <v>28</v>
      </c>
      <c r="J353" t="s">
        <v>124</v>
      </c>
      <c r="K353" s="85" t="str">
        <f t="shared" si="5"/>
        <v>/mnt/measurements/07_CANape/Mitsubishi/5K45/MMC5.1.0/5K457EG11/CSR_XCP_Signals_Recorder_2025-12-18_17-16-57_TC54_CPD.MF4.xz,child,RadarFC_Master,child (ncap3),CPD,realchild</v>
      </c>
      <c r="L353" s="85" t="s">
        <v>3430</v>
      </c>
      <c r="M353" t="s">
        <v>482</v>
      </c>
      <c r="N353" s="131" t="s">
        <v>202</v>
      </c>
    </row>
    <row r="354" spans="1:14" s="130" customFormat="1" hidden="1">
      <c r="A354" s="78">
        <v>58</v>
      </c>
      <c r="B354" s="130" t="s">
        <v>124</v>
      </c>
      <c r="C354" s="130" t="s">
        <v>66</v>
      </c>
      <c r="D354" s="97" t="e">
        <f>_xlfn.XLOOKUP(A354,[1]CPD_SOP_new!$A:$A,[1]CPD_SOP_new!#REF!,"not found",0 )</f>
        <v>#REF!</v>
      </c>
      <c r="E354" s="97" t="str">
        <f>_xlfn.XLOOKUP(A354,[1]CPD_SOP_new!$A:$A,[1]CPD_SOP_new!$K:$K,"not found",0 )</f>
        <v>F1P</v>
      </c>
      <c r="F354" s="130" t="s">
        <v>27</v>
      </c>
      <c r="G354" s="130" t="s">
        <v>28</v>
      </c>
      <c r="H354" s="130" t="s">
        <v>28</v>
      </c>
      <c r="I354" s="130" t="s">
        <v>27</v>
      </c>
      <c r="J354" s="137" t="s">
        <v>68</v>
      </c>
      <c r="K354" s="85" t="str">
        <f t="shared" si="5"/>
        <v>/mnt/measurements/07_CANape/Mitsubishi/5K45/MMC5.0.0_RC3_with_resetfix/CPD//TC58_Try_1.MF4.xz,remove, real child mea available,RadarFC_Master,remove, real child mea available (ncap3),CPD,dummy</v>
      </c>
      <c r="L354" s="85" t="s">
        <v>3431</v>
      </c>
      <c r="M354" s="61" t="s">
        <v>527</v>
      </c>
      <c r="N354" s="131" t="s">
        <v>446</v>
      </c>
    </row>
    <row r="355" spans="1:14" s="130" customFormat="1" hidden="1">
      <c r="A355" s="78">
        <v>58</v>
      </c>
      <c r="B355" s="130" t="s">
        <v>124</v>
      </c>
      <c r="C355" s="130" t="s">
        <v>66</v>
      </c>
      <c r="D355" s="97" t="e">
        <f>_xlfn.XLOOKUP(A355,[1]CPD_SOP_new!$A:$A,[1]CPD_SOP_new!#REF!,"not found",0 )</f>
        <v>#REF!</v>
      </c>
      <c r="E355" s="97" t="str">
        <f>_xlfn.XLOOKUP(A355,[1]CPD_SOP_new!$A:$A,[1]CPD_SOP_new!$K:$K,"not found",0 )</f>
        <v>F1P</v>
      </c>
      <c r="F355" s="130" t="s">
        <v>27</v>
      </c>
      <c r="G355" s="130" t="s">
        <v>28</v>
      </c>
      <c r="H355" s="130" t="s">
        <v>28</v>
      </c>
      <c r="I355" s="130" t="s">
        <v>27</v>
      </c>
      <c r="J355" s="137" t="s">
        <v>68</v>
      </c>
      <c r="K355" s="85" t="str">
        <f t="shared" si="5"/>
        <v>/mnt/measurements/07_CANape/Mitsubishi/5K45/MMC5.0.0_RC3_with_resetfix/CPD//TC58_Try_2.MF4.xz,remove, real child mea available,RadarFC_Master,remove, real child mea available (ncap3),CPD,dummy</v>
      </c>
      <c r="L355" s="85" t="s">
        <v>3432</v>
      </c>
      <c r="M355" s="130" t="s">
        <v>528</v>
      </c>
      <c r="N355" s="131" t="s">
        <v>446</v>
      </c>
    </row>
    <row r="356" spans="1:14" s="130" customFormat="1" hidden="1">
      <c r="A356" s="78">
        <v>58</v>
      </c>
      <c r="B356" s="130" t="s">
        <v>124</v>
      </c>
      <c r="C356" s="130" t="s">
        <v>66</v>
      </c>
      <c r="D356" s="97" t="e">
        <f>_xlfn.XLOOKUP(A356,[1]CPD_SOP_new!$A:$A,[1]CPD_SOP_new!#REF!,"not found",0 )</f>
        <v>#REF!</v>
      </c>
      <c r="E356" s="97" t="str">
        <f>_xlfn.XLOOKUP(A356,[1]CPD_SOP_new!$A:$A,[1]CPD_SOP_new!$K:$K,"not found",0 )</f>
        <v>F1P</v>
      </c>
      <c r="F356" s="130" t="s">
        <v>27</v>
      </c>
      <c r="G356" s="130" t="s">
        <v>28</v>
      </c>
      <c r="H356" s="130" t="s">
        <v>28</v>
      </c>
      <c r="I356" s="130" t="s">
        <v>27</v>
      </c>
      <c r="J356" s="137" t="s">
        <v>68</v>
      </c>
      <c r="K356" s="85" t="str">
        <f t="shared" si="5"/>
        <v>/mnt/measurements/07_CANape/Mitsubishi/5K45/MMC5.0.0_RC3_with_resetfix/CPD//TC58_Try_3.MF4.xz,remove, real child mea available,RadarFC_Master,remove, real child mea available (ncap3),CPD,dummy</v>
      </c>
      <c r="L356" s="85" t="s">
        <v>3433</v>
      </c>
      <c r="M356" s="130" t="s">
        <v>529</v>
      </c>
      <c r="N356" s="131" t="s">
        <v>446</v>
      </c>
    </row>
    <row r="357" spans="1:14">
      <c r="A357" s="38">
        <v>55</v>
      </c>
      <c r="B357" t="s">
        <v>124</v>
      </c>
      <c r="C357" t="s">
        <v>66</v>
      </c>
      <c r="D357" s="97" t="e">
        <f>_xlfn.XLOOKUP(A357,[1]CPD_SOP_new!$A:$A,[1]CPD_SOP_new!#REF!,"not found",0 )</f>
        <v>#REF!</v>
      </c>
      <c r="E357" s="97" t="str">
        <f>_xlfn.XLOOKUP(A357,[1]CPD_SOP_new!$A:$A,[1]CPD_SOP_new!$K:$K,"not found",0 )</f>
        <v>3L</v>
      </c>
      <c r="F357" t="s">
        <v>28</v>
      </c>
      <c r="G357" t="s">
        <v>27</v>
      </c>
      <c r="H357" t="s">
        <v>27</v>
      </c>
      <c r="I357" t="s">
        <v>28</v>
      </c>
      <c r="J357" t="s">
        <v>124</v>
      </c>
      <c r="K357" s="85" t="str">
        <f t="shared" si="5"/>
        <v>/mnt/measurements/07_CANape/Mitsubishi/5K45/MMC5.0.1/5K457EG-11/Real_Child_Measurements/CSR_XCP_Signals_Recorder_2025-12-17_14-13-57_TC55_3YO3L_CPD.MF4.xz,child,RadarFC_Master,child (ncap3),CPD,realchild</v>
      </c>
      <c r="L357" s="85" t="s">
        <v>3434</v>
      </c>
      <c r="M357" t="s">
        <v>483</v>
      </c>
      <c r="N357" s="129" t="s">
        <v>102</v>
      </c>
    </row>
    <row r="358" spans="1:14">
      <c r="A358" s="38">
        <v>55</v>
      </c>
      <c r="B358" t="s">
        <v>124</v>
      </c>
      <c r="C358" t="s">
        <v>66</v>
      </c>
      <c r="D358" s="97" t="e">
        <f>_xlfn.XLOOKUP(A358,[1]CPD_SOP_new!$A:$A,[1]CPD_SOP_new!#REF!,"not found",0 )</f>
        <v>#REF!</v>
      </c>
      <c r="E358" s="97" t="str">
        <f>_xlfn.XLOOKUP(A358,[1]CPD_SOP_new!$A:$A,[1]CPD_SOP_new!$K:$K,"not found",0 )</f>
        <v>3L</v>
      </c>
      <c r="F358" t="s">
        <v>28</v>
      </c>
      <c r="G358" t="s">
        <v>27</v>
      </c>
      <c r="H358" t="s">
        <v>27</v>
      </c>
      <c r="I358" t="s">
        <v>28</v>
      </c>
      <c r="J358" t="s">
        <v>124</v>
      </c>
      <c r="K358" s="85" t="str">
        <f t="shared" si="5"/>
        <v>/mnt/measurements/07_CANape/Mitsubishi/5K45/MMC5.0.1/5K457EG-11/Real_Child_Measurements/CSR_XCP_Signals_Recorder_2025-12-17_14-15-22_TC55_3YO3L_CPD.MF4.xz,child,RadarFC_Master,child (ncap3),CPD,realchild</v>
      </c>
      <c r="L358" s="85" t="s">
        <v>3435</v>
      </c>
      <c r="M358" t="s">
        <v>484</v>
      </c>
      <c r="N358" s="129" t="s">
        <v>102</v>
      </c>
    </row>
    <row r="359" spans="1:14">
      <c r="A359" s="38">
        <v>55</v>
      </c>
      <c r="B359" t="s">
        <v>124</v>
      </c>
      <c r="C359" t="s">
        <v>66</v>
      </c>
      <c r="D359" s="97" t="e">
        <f>_xlfn.XLOOKUP(A359,[1]CPD_SOP_new!$A:$A,[1]CPD_SOP_new!#REF!,"not found",0 )</f>
        <v>#REF!</v>
      </c>
      <c r="E359" s="97" t="str">
        <f>_xlfn.XLOOKUP(A359,[1]CPD_SOP_new!$A:$A,[1]CPD_SOP_new!$K:$K,"not found",0 )</f>
        <v>3L</v>
      </c>
      <c r="F359" t="s">
        <v>28</v>
      </c>
      <c r="G359" t="s">
        <v>27</v>
      </c>
      <c r="H359" t="s">
        <v>27</v>
      </c>
      <c r="I359" t="s">
        <v>28</v>
      </c>
      <c r="J359" t="s">
        <v>124</v>
      </c>
      <c r="K359" s="85" t="str">
        <f t="shared" si="5"/>
        <v>/mnt/measurements/07_CANape/Mitsubishi/5K45/MMC5.0.1/5K457EG-11/Real_Child_Measurements/CSR_XCP_Signals_Recorder_2025-12-17_14-17-27_TC55_3YO3L_CPD.MF4.xz,child,RadarFC_Master,child (ncap3),CPD,realchild</v>
      </c>
      <c r="L359" s="85" t="s">
        <v>3436</v>
      </c>
      <c r="M359" t="s">
        <v>485</v>
      </c>
      <c r="N359" s="129" t="s">
        <v>102</v>
      </c>
    </row>
    <row r="360" spans="1:14">
      <c r="A360" s="38">
        <v>55</v>
      </c>
      <c r="B360" t="s">
        <v>124</v>
      </c>
      <c r="C360" t="s">
        <v>66</v>
      </c>
      <c r="D360" s="97" t="e">
        <f>_xlfn.XLOOKUP(A360,[1]CPD_SOP_new!$A:$A,[1]CPD_SOP_new!#REF!,"not found",0 )</f>
        <v>#REF!</v>
      </c>
      <c r="E360" s="97" t="str">
        <f>_xlfn.XLOOKUP(A360,[1]CPD_SOP_new!$A:$A,[1]CPD_SOP_new!$K:$K,"not found",0 )</f>
        <v>3L</v>
      </c>
      <c r="F360" t="s">
        <v>28</v>
      </c>
      <c r="G360" t="s">
        <v>27</v>
      </c>
      <c r="H360" t="s">
        <v>27</v>
      </c>
      <c r="I360" t="s">
        <v>28</v>
      </c>
      <c r="J360" t="s">
        <v>124</v>
      </c>
      <c r="K360" s="85" t="str">
        <f t="shared" si="5"/>
        <v>/mnt/measurements/07_CANape/Mitsubishi/5K45/MMC5.0.1/5K457EG-11/Real_Child_Measurements/CSR_XCP_Signals_Recorder_2025-12-17_14-18-54_TC55_3YO3L_CPD.MF4.xz,child,RadarFC_Master,child (ncap3),CPD,realchild</v>
      </c>
      <c r="L360" s="85" t="s">
        <v>3437</v>
      </c>
      <c r="M360" t="s">
        <v>486</v>
      </c>
      <c r="N360" s="129" t="s">
        <v>102</v>
      </c>
    </row>
    <row r="361" spans="1:14">
      <c r="A361" s="38">
        <v>55</v>
      </c>
      <c r="B361" t="s">
        <v>124</v>
      </c>
      <c r="C361" t="s">
        <v>66</v>
      </c>
      <c r="D361" s="97" t="e">
        <f>_xlfn.XLOOKUP(A361,[1]CPD_SOP_new!$A:$A,[1]CPD_SOP_new!#REF!,"not found",0 )</f>
        <v>#REF!</v>
      </c>
      <c r="E361" s="97" t="str">
        <f>_xlfn.XLOOKUP(A361,[1]CPD_SOP_new!$A:$A,[1]CPD_SOP_new!$K:$K,"not found",0 )</f>
        <v>3L</v>
      </c>
      <c r="F361" t="s">
        <v>28</v>
      </c>
      <c r="G361" t="s">
        <v>27</v>
      </c>
      <c r="H361" t="s">
        <v>27</v>
      </c>
      <c r="I361" t="s">
        <v>28</v>
      </c>
      <c r="J361" t="s">
        <v>124</v>
      </c>
      <c r="K361" s="85" t="str">
        <f t="shared" si="5"/>
        <v>/mnt/measurements/07_CANape/Mitsubishi/5K45/MMC5.0.1/5K457EG-11/Real_Child_Measurements/CSR_XCP_Signals_Recorder_2025-12-17_14-20-27_TC55_3YO3L_CPD.MF4.xz,child,RadarFC_Master,child (ncap3),CPD,realchild</v>
      </c>
      <c r="L361" s="85" t="s">
        <v>3438</v>
      </c>
      <c r="M361" t="s">
        <v>487</v>
      </c>
      <c r="N361" s="129" t="s">
        <v>102</v>
      </c>
    </row>
    <row r="362" spans="1:14">
      <c r="A362" s="77">
        <v>56</v>
      </c>
      <c r="B362" t="s">
        <v>124</v>
      </c>
      <c r="C362" t="s">
        <v>66</v>
      </c>
      <c r="D362" s="97" t="e">
        <f>_xlfn.XLOOKUP(A362,[1]CPD_SOP_new!$A:$A,[1]CPD_SOP_new!#REF!,"not found",0 )</f>
        <v>#REF!</v>
      </c>
      <c r="E362" s="97" t="str">
        <f>_xlfn.XLOOKUP(A362,[1]CPD_SOP_new!$A:$A,[1]CPD_SOP_new!$K:$K,"not found",0 )</f>
        <v>F1D</v>
      </c>
      <c r="F362" t="s">
        <v>28</v>
      </c>
      <c r="G362" t="s">
        <v>28</v>
      </c>
      <c r="H362" t="s">
        <v>28</v>
      </c>
      <c r="I362" t="s">
        <v>28</v>
      </c>
      <c r="J362" t="s">
        <v>124</v>
      </c>
      <c r="K362" s="85" t="str">
        <f t="shared" si="5"/>
        <v>/mnt/measurements/07_CANape/Mitsubishi/5K45/MMC5.0.2/5K457EG11/RealChild/CPD_TC56_Try1.MF4.xz,child,RadarFC_Master,child (ncap3),CPD,realchild</v>
      </c>
      <c r="L362" s="85" t="s">
        <v>3439</v>
      </c>
      <c r="M362" s="132" t="s">
        <v>496</v>
      </c>
      <c r="N362" s="129" t="s">
        <v>86</v>
      </c>
    </row>
    <row r="363" spans="1:14">
      <c r="A363" s="77">
        <v>56</v>
      </c>
      <c r="B363" t="s">
        <v>124</v>
      </c>
      <c r="C363" t="s">
        <v>66</v>
      </c>
      <c r="D363" s="97" t="e">
        <f>_xlfn.XLOOKUP(A363,[1]CPD_SOP_new!$A:$A,[1]CPD_SOP_new!#REF!,"not found",0 )</f>
        <v>#REF!</v>
      </c>
      <c r="E363" s="97" t="str">
        <f>_xlfn.XLOOKUP(A363,[1]CPD_SOP_new!$A:$A,[1]CPD_SOP_new!$K:$K,"not found",0 )</f>
        <v>F1D</v>
      </c>
      <c r="F363" t="s">
        <v>28</v>
      </c>
      <c r="G363" t="s">
        <v>28</v>
      </c>
      <c r="H363" t="s">
        <v>28</v>
      </c>
      <c r="I363" t="s">
        <v>28</v>
      </c>
      <c r="J363" t="s">
        <v>124</v>
      </c>
      <c r="K363" s="85" t="str">
        <f t="shared" si="5"/>
        <v>/mnt/measurements/07_CANape/Mitsubishi/5K45/MMC5.0.2/5K457EG11/RealChild/CPD_TC56_Try2.MF4.xz,child,RadarFC_Master,child (ncap3),CPD,realchild</v>
      </c>
      <c r="L363" s="85" t="s">
        <v>3440</v>
      </c>
      <c r="M363" s="132" t="s">
        <v>498</v>
      </c>
      <c r="N363" s="129" t="s">
        <v>86</v>
      </c>
    </row>
    <row r="364" spans="1:14">
      <c r="A364" s="77">
        <v>56</v>
      </c>
      <c r="B364" t="s">
        <v>124</v>
      </c>
      <c r="C364" t="s">
        <v>66</v>
      </c>
      <c r="D364" s="97" t="e">
        <f>_xlfn.XLOOKUP(A364,[1]CPD_SOP_new!$A:$A,[1]CPD_SOP_new!#REF!,"not found",0 )</f>
        <v>#REF!</v>
      </c>
      <c r="E364" s="97" t="str">
        <f>_xlfn.XLOOKUP(A364,[1]CPD_SOP_new!$A:$A,[1]CPD_SOP_new!$K:$K,"not found",0 )</f>
        <v>F1D</v>
      </c>
      <c r="F364" t="s">
        <v>28</v>
      </c>
      <c r="G364" t="s">
        <v>28</v>
      </c>
      <c r="H364" t="s">
        <v>28</v>
      </c>
      <c r="I364" t="s">
        <v>28</v>
      </c>
      <c r="J364" t="s">
        <v>124</v>
      </c>
      <c r="K364" s="85" t="str">
        <f t="shared" si="5"/>
        <v>/mnt/measurements/07_CANape/Mitsubishi/5K45/MMC5.0.2/5K457EG11/RealChild/CPD_TC56_Try3.MF4.xz,child,RadarFC_Master,child (ncap3),CPD,realchild</v>
      </c>
      <c r="L364" s="85" t="s">
        <v>3441</v>
      </c>
      <c r="M364" s="132" t="s">
        <v>499</v>
      </c>
      <c r="N364" s="129" t="s">
        <v>86</v>
      </c>
    </row>
    <row r="365" spans="1:14">
      <c r="A365" s="77">
        <v>56</v>
      </c>
      <c r="B365" t="s">
        <v>124</v>
      </c>
      <c r="C365" t="s">
        <v>66</v>
      </c>
      <c r="D365" s="97" t="e">
        <f>_xlfn.XLOOKUP(A365,[1]CPD_SOP_new!$A:$A,[1]CPD_SOP_new!#REF!,"not found",0 )</f>
        <v>#REF!</v>
      </c>
      <c r="E365" s="97" t="str">
        <f>_xlfn.XLOOKUP(A365,[1]CPD_SOP_new!$A:$A,[1]CPD_SOP_new!$K:$K,"not found",0 )</f>
        <v>F1D</v>
      </c>
      <c r="F365" t="s">
        <v>28</v>
      </c>
      <c r="G365" t="s">
        <v>28</v>
      </c>
      <c r="H365" t="s">
        <v>28</v>
      </c>
      <c r="I365" t="s">
        <v>28</v>
      </c>
      <c r="J365" t="s">
        <v>124</v>
      </c>
      <c r="K365" s="85" t="str">
        <f t="shared" si="5"/>
        <v>/mnt/measurements/07_CANape/Mitsubishi/5K45/MMC5.0.2/5K457EG11/RealChild/CPD_TC56_Try4.MF4.xz,child,RadarFC_Master,child (ncap3),CPD,realchild</v>
      </c>
      <c r="L365" s="85" t="s">
        <v>3442</v>
      </c>
      <c r="M365" s="132" t="s">
        <v>500</v>
      </c>
      <c r="N365" s="129" t="s">
        <v>86</v>
      </c>
    </row>
    <row r="366" spans="1:14">
      <c r="A366" s="77">
        <v>56</v>
      </c>
      <c r="B366" t="s">
        <v>124</v>
      </c>
      <c r="C366" t="s">
        <v>66</v>
      </c>
      <c r="D366" s="97" t="e">
        <f>_xlfn.XLOOKUP(A366,[1]CPD_SOP_new!$A:$A,[1]CPD_SOP_new!#REF!,"not found",0 )</f>
        <v>#REF!</v>
      </c>
      <c r="E366" s="97" t="str">
        <f>_xlfn.XLOOKUP(A366,[1]CPD_SOP_new!$A:$A,[1]CPD_SOP_new!$K:$K,"not found",0 )</f>
        <v>F1D</v>
      </c>
      <c r="F366" t="s">
        <v>28</v>
      </c>
      <c r="G366" t="s">
        <v>28</v>
      </c>
      <c r="H366" t="s">
        <v>28</v>
      </c>
      <c r="I366" t="s">
        <v>28</v>
      </c>
      <c r="J366" t="s">
        <v>124</v>
      </c>
      <c r="K366" s="85" t="str">
        <f t="shared" si="5"/>
        <v>/mnt/measurements/07_CANape/Mitsubishi/5K45/MMC5.0.2/5K457EG11/RealChild/CPD_TC56_Try5.MF4.xz,child,RadarFC_Master,child (ncap3),CPD,realchild</v>
      </c>
      <c r="L366" s="85" t="s">
        <v>3443</v>
      </c>
      <c r="M366" s="132" t="s">
        <v>501</v>
      </c>
      <c r="N366" s="129" t="s">
        <v>86</v>
      </c>
    </row>
    <row r="367" spans="1:14">
      <c r="A367" s="77">
        <v>56</v>
      </c>
      <c r="B367" t="s">
        <v>124</v>
      </c>
      <c r="C367" t="s">
        <v>66</v>
      </c>
      <c r="D367" s="97" t="e">
        <f>_xlfn.XLOOKUP(A367,[1]CPD_SOP_new!$A:$A,[1]CPD_SOP_new!#REF!,"not found",0 )</f>
        <v>#REF!</v>
      </c>
      <c r="E367" s="97" t="str">
        <f>_xlfn.XLOOKUP(A367,[1]CPD_SOP_new!$A:$A,[1]CPD_SOP_new!$K:$K,"not found",0 )</f>
        <v>F1D</v>
      </c>
      <c r="F367" t="s">
        <v>28</v>
      </c>
      <c r="G367" t="s">
        <v>28</v>
      </c>
      <c r="H367" t="s">
        <v>28</v>
      </c>
      <c r="I367" t="s">
        <v>28</v>
      </c>
      <c r="J367" t="s">
        <v>124</v>
      </c>
      <c r="K367" s="85" t="str">
        <f t="shared" si="5"/>
        <v>/mnt/measurements/07_CANape/Mitsubishi/5K45/MMC5.0.2/5K457EG11/RealChild/CSR_XCP_Signals_Recorder_2026-01-20_09-53-27_CPD_TC56_Try5.MF4.xz,child,RadarFC_Master,child (ncap3),CPD,realchild</v>
      </c>
      <c r="L367" s="85" t="s">
        <v>3444</v>
      </c>
      <c r="M367" t="s">
        <v>502</v>
      </c>
      <c r="N367" t="s">
        <v>86</v>
      </c>
    </row>
    <row r="368" spans="1:14" s="130" customFormat="1" hidden="1">
      <c r="A368" s="78">
        <v>61</v>
      </c>
      <c r="B368" s="130" t="s">
        <v>124</v>
      </c>
      <c r="C368" s="130" t="s">
        <v>66</v>
      </c>
      <c r="D368" s="97" t="e">
        <f>_xlfn.XLOOKUP(A368,[1]CPD_SOP_new!$A:$A,[1]CPD_SOP_new!#REF!,"not found",0 )</f>
        <v>#REF!</v>
      </c>
      <c r="E368" s="97" t="str">
        <f>_xlfn.XLOOKUP(A368,[1]CPD_SOP_new!$A:$A,[1]CPD_SOP_new!$K:$K,"not found",0 )</f>
        <v>F2C</v>
      </c>
      <c r="F368" s="130" t="s">
        <v>27</v>
      </c>
      <c r="G368" s="130" t="s">
        <v>27</v>
      </c>
      <c r="H368" s="130" t="s">
        <v>27</v>
      </c>
      <c r="I368" s="130" t="s">
        <v>27</v>
      </c>
      <c r="J368" s="137" t="s">
        <v>544</v>
      </c>
      <c r="K368" s="85" t="str">
        <f t="shared" si="5"/>
        <v>/mnt/measurements/07_CANape/Mitsubishi/5K45/MMC4.1.2/Validation/MMC4.1.2/Validation/2025_11_28/orderedByTargetType/ncap3/TC_61_Try1.MF4.xz,detection is deatcivated in mea (CpdFuncActive =5),RadarFC_Master,detection is deatcivated in mea (CpdFuncActive =5) (ncap3),CPD,dummy</v>
      </c>
      <c r="L368" s="85" t="s">
        <v>3445</v>
      </c>
      <c r="M368" s="130" t="s">
        <v>545</v>
      </c>
      <c r="N368" s="130" t="s">
        <v>546</v>
      </c>
    </row>
    <row r="369" spans="1:21" s="130" customFormat="1" hidden="1">
      <c r="A369" s="78">
        <v>61</v>
      </c>
      <c r="B369" s="130" t="s">
        <v>124</v>
      </c>
      <c r="C369" s="130" t="s">
        <v>66</v>
      </c>
      <c r="D369" s="97" t="e">
        <f>_xlfn.XLOOKUP(A369,[1]CPD_SOP_new!$A:$A,[1]CPD_SOP_new!#REF!,"not found",0 )</f>
        <v>#REF!</v>
      </c>
      <c r="E369" s="97" t="str">
        <f>_xlfn.XLOOKUP(A369,[1]CPD_SOP_new!$A:$A,[1]CPD_SOP_new!$K:$K,"not found",0 )</f>
        <v>F2C</v>
      </c>
      <c r="F369" s="130" t="s">
        <v>27</v>
      </c>
      <c r="G369" s="130" t="s">
        <v>27</v>
      </c>
      <c r="H369" s="130" t="s">
        <v>27</v>
      </c>
      <c r="I369" s="130" t="s">
        <v>27</v>
      </c>
      <c r="J369" s="137" t="s">
        <v>544</v>
      </c>
      <c r="K369" s="85" t="str">
        <f t="shared" si="5"/>
        <v>/mnt/measurements/07_CANape/Mitsubishi/5K45/MMC4.1.2/Validation/MMC4.1.2/Validation/2025_11_28/orderedByTargetType/ncap3/TC_61_Try2.MF4.xz,detection is deatcivated in mea (CpdFuncActive =5),RadarFC_Master,detection is deatcivated in mea (CpdFuncActive =5) (ncap3),CPD,dummy</v>
      </c>
      <c r="L369" s="85" t="s">
        <v>3446</v>
      </c>
      <c r="M369" s="130" t="s">
        <v>547</v>
      </c>
      <c r="N369" s="130" t="s">
        <v>546</v>
      </c>
    </row>
    <row r="370" spans="1:21" s="130" customFormat="1" hidden="1">
      <c r="A370" s="78">
        <v>61</v>
      </c>
      <c r="B370" s="130" t="s">
        <v>124</v>
      </c>
      <c r="C370" s="130" t="s">
        <v>66</v>
      </c>
      <c r="D370" s="97" t="e">
        <f>_xlfn.XLOOKUP(A370,[1]CPD_SOP_new!$A:$A,[1]CPD_SOP_new!#REF!,"not found",0 )</f>
        <v>#REF!</v>
      </c>
      <c r="E370" s="97" t="str">
        <f>_xlfn.XLOOKUP(A370,[1]CPD_SOP_new!$A:$A,[1]CPD_SOP_new!$K:$K,"not found",0 )</f>
        <v>F2C</v>
      </c>
      <c r="F370" s="130" t="s">
        <v>27</v>
      </c>
      <c r="G370" s="130" t="s">
        <v>27</v>
      </c>
      <c r="H370" s="130" t="s">
        <v>27</v>
      </c>
      <c r="I370" s="130" t="s">
        <v>27</v>
      </c>
      <c r="J370" s="137" t="s">
        <v>544</v>
      </c>
      <c r="K370" s="85" t="str">
        <f t="shared" si="5"/>
        <v>/mnt/measurements/07_CANape/Mitsubishi/5K45/MMC4.1.2/Validation/MMC4.1.2/Validation/2025_11_28/orderedByTargetType/ncap3/TC_61_Try3.MF4.xz,detection is deatcivated in mea (CpdFuncActive =5),RadarFC_Master,detection is deatcivated in mea (CpdFuncActive =5) (ncap3),CPD,dummy</v>
      </c>
      <c r="L370" s="85" t="s">
        <v>3447</v>
      </c>
      <c r="M370" s="130" t="s">
        <v>548</v>
      </c>
      <c r="N370" s="130" t="s">
        <v>546</v>
      </c>
    </row>
    <row r="371" spans="1:21">
      <c r="A371" s="77">
        <v>56</v>
      </c>
      <c r="B371" t="s">
        <v>124</v>
      </c>
      <c r="C371" t="s">
        <v>66</v>
      </c>
      <c r="D371" s="97" t="e">
        <f>_xlfn.XLOOKUP(A371,[1]CPD_SOP_new!$A:$A,[1]CPD_SOP_new!#REF!,"not found",0 )</f>
        <v>#REF!</v>
      </c>
      <c r="E371" s="97" t="str">
        <f>_xlfn.XLOOKUP(A371,[1]CPD_SOP_new!$A:$A,[1]CPD_SOP_new!$K:$K,"not found",0 )</f>
        <v>F1D</v>
      </c>
      <c r="F371" t="s">
        <v>28</v>
      </c>
      <c r="G371" t="s">
        <v>28</v>
      </c>
      <c r="H371" t="s">
        <v>28</v>
      </c>
      <c r="I371" t="s">
        <v>28</v>
      </c>
      <c r="J371" t="s">
        <v>124</v>
      </c>
      <c r="K371" s="85" t="str">
        <f t="shared" si="5"/>
        <v>/mnt/measurements/07_CANape/Mitsubishi/5K45/MMC5.0.2/5K457EG11/RealChild/CSR_XCP_Signals_Recorder_2026-01-20_09-48-47_CPD_TC56_Try2.MF4.xz,child,RadarFC_Master,child (ncap3),CPD,realchild</v>
      </c>
      <c r="L371" s="85" t="s">
        <v>3448</v>
      </c>
      <c r="M371" t="s">
        <v>505</v>
      </c>
      <c r="N371" t="s">
        <v>86</v>
      </c>
    </row>
    <row r="372" spans="1:21">
      <c r="A372" s="77">
        <v>56</v>
      </c>
      <c r="B372" t="s">
        <v>124</v>
      </c>
      <c r="C372" t="s">
        <v>66</v>
      </c>
      <c r="D372" s="97" t="e">
        <f>_xlfn.XLOOKUP(A372,[1]CPD_SOP_new!$A:$A,[1]CPD_SOP_new!#REF!,"not found",0 )</f>
        <v>#REF!</v>
      </c>
      <c r="E372" s="97" t="str">
        <f>_xlfn.XLOOKUP(A372,[1]CPD_SOP_new!$A:$A,[1]CPD_SOP_new!$K:$K,"not found",0 )</f>
        <v>F1D</v>
      </c>
      <c r="F372" t="s">
        <v>28</v>
      </c>
      <c r="G372" t="s">
        <v>28</v>
      </c>
      <c r="H372" t="s">
        <v>28</v>
      </c>
      <c r="I372" t="s">
        <v>28</v>
      </c>
      <c r="J372" t="s">
        <v>124</v>
      </c>
      <c r="K372" s="85" t="str">
        <f t="shared" si="5"/>
        <v>/mnt/measurements/07_CANape/Mitsubishi/5K45/MMC5.0.2/5K457EG11/RealChild/CSR_XCP_Signals_Recorder_2026-01-20_09-50-16_CPD_TC56_Try3.MF4.xz,child,RadarFC_Master,child (ncap3),CPD,realchild</v>
      </c>
      <c r="L372" s="85" t="s">
        <v>3449</v>
      </c>
      <c r="M372" t="s">
        <v>506</v>
      </c>
      <c r="N372" t="s">
        <v>86</v>
      </c>
    </row>
    <row r="373" spans="1:21">
      <c r="A373" s="77">
        <v>56</v>
      </c>
      <c r="B373" t="s">
        <v>124</v>
      </c>
      <c r="C373" t="s">
        <v>66</v>
      </c>
      <c r="D373" s="97" t="e">
        <f>_xlfn.XLOOKUP(A373,[1]CPD_SOP_new!$A:$A,[1]CPD_SOP_new!#REF!,"not found",0 )</f>
        <v>#REF!</v>
      </c>
      <c r="E373" s="97" t="str">
        <f>_xlfn.XLOOKUP(A373,[1]CPD_SOP_new!$A:$A,[1]CPD_SOP_new!$K:$K,"not found",0 )</f>
        <v>F1D</v>
      </c>
      <c r="F373" t="s">
        <v>28</v>
      </c>
      <c r="G373" t="s">
        <v>28</v>
      </c>
      <c r="H373" t="s">
        <v>28</v>
      </c>
      <c r="I373" t="s">
        <v>28</v>
      </c>
      <c r="J373" t="s">
        <v>124</v>
      </c>
      <c r="K373" s="85" t="str">
        <f t="shared" si="5"/>
        <v>/mnt/measurements/07_CANape/Mitsubishi/5K45/MMC5.0.2/5K457EG11/RealChild/CSR_XCP_Signals_Recorder_2026-01-20_09-51-41_CPD_TC56_Try4.MF4.xz,child,RadarFC_Master,child (ncap3),CPD,realchild</v>
      </c>
      <c r="L373" s="85" t="s">
        <v>3450</v>
      </c>
      <c r="M373" t="s">
        <v>507</v>
      </c>
      <c r="N373" t="s">
        <v>86</v>
      </c>
    </row>
    <row r="374" spans="1:21">
      <c r="A374" s="77">
        <v>57</v>
      </c>
      <c r="B374" t="s">
        <v>124</v>
      </c>
      <c r="C374" t="s">
        <v>66</v>
      </c>
      <c r="D374" s="97" t="e">
        <f>_xlfn.XLOOKUP(A374,[1]CPD_SOP_new!$A:$A,[1]CPD_SOP_new!#REF!,"not found",0 )</f>
        <v>#REF!</v>
      </c>
      <c r="E374" s="97" t="str">
        <f>_xlfn.XLOOKUP(A374,[1]CPD_SOP_new!$A:$A,[1]CPD_SOP_new!$K:$K,"not found",0 )</f>
        <v>F1P</v>
      </c>
      <c r="F374" t="s">
        <v>28</v>
      </c>
      <c r="G374" t="s">
        <v>28</v>
      </c>
      <c r="H374" t="s">
        <v>28</v>
      </c>
      <c r="I374" t="s">
        <v>28</v>
      </c>
      <c r="J374" t="s">
        <v>124</v>
      </c>
      <c r="K374" s="85" t="str">
        <f t="shared" si="5"/>
        <v>/mnt/measurements/07_CANape/Mitsubishi/5K45/MMC5.0.2/5K457EG11/RealChild/CPD_TC57_Try1.MF4.xz,child,RadarFC_Master,child (ncap3),CPD,realchild</v>
      </c>
      <c r="L374" s="85" t="s">
        <v>3451</v>
      </c>
      <c r="M374" s="132" t="s">
        <v>512</v>
      </c>
      <c r="N374" s="129" t="s">
        <v>86</v>
      </c>
    </row>
    <row r="375" spans="1:21">
      <c r="A375" s="77">
        <v>57</v>
      </c>
      <c r="B375" t="s">
        <v>124</v>
      </c>
      <c r="C375" t="s">
        <v>66</v>
      </c>
      <c r="D375" s="97" t="e">
        <f>_xlfn.XLOOKUP(A375,[1]CPD_SOP_new!$A:$A,[1]CPD_SOP_new!#REF!,"not found",0 )</f>
        <v>#REF!</v>
      </c>
      <c r="E375" s="97" t="str">
        <f>_xlfn.XLOOKUP(A375,[1]CPD_SOP_new!$A:$A,[1]CPD_SOP_new!$K:$K,"not found",0 )</f>
        <v>F1P</v>
      </c>
      <c r="F375" t="s">
        <v>28</v>
      </c>
      <c r="G375" t="s">
        <v>28</v>
      </c>
      <c r="H375" t="s">
        <v>28</v>
      </c>
      <c r="I375" t="s">
        <v>28</v>
      </c>
      <c r="J375" t="s">
        <v>124</v>
      </c>
      <c r="K375" s="85" t="str">
        <f t="shared" si="5"/>
        <v>/mnt/measurements/07_CANape/Mitsubishi/5K45/MMC5.0.2/5K457EG11/RealChild/CPD_TC57_Try2.MF4.xz,child,RadarFC_Master,child (ncap3),CPD,realchild</v>
      </c>
      <c r="L375" s="85" t="s">
        <v>3452</v>
      </c>
      <c r="M375" s="11" t="s">
        <v>514</v>
      </c>
      <c r="N375" s="129" t="s">
        <v>86</v>
      </c>
    </row>
    <row r="376" spans="1:21">
      <c r="A376" s="77">
        <v>57</v>
      </c>
      <c r="B376" t="s">
        <v>124</v>
      </c>
      <c r="C376" t="s">
        <v>66</v>
      </c>
      <c r="D376" s="97" t="e">
        <f>_xlfn.XLOOKUP(A376,[1]CPD_SOP_new!$A:$A,[1]CPD_SOP_new!#REF!,"not found",0 )</f>
        <v>#REF!</v>
      </c>
      <c r="E376" s="97" t="str">
        <f>_xlfn.XLOOKUP(A376,[1]CPD_SOP_new!$A:$A,[1]CPD_SOP_new!$K:$K,"not found",0 )</f>
        <v>F1P</v>
      </c>
      <c r="F376" t="s">
        <v>28</v>
      </c>
      <c r="G376" t="s">
        <v>28</v>
      </c>
      <c r="H376" t="s">
        <v>28</v>
      </c>
      <c r="I376" t="s">
        <v>28</v>
      </c>
      <c r="J376" t="s">
        <v>124</v>
      </c>
      <c r="K376" s="85" t="str">
        <f t="shared" si="5"/>
        <v>/mnt/measurements/07_CANape/Mitsubishi/5K45/MMC5.0.2/5K457EG11/RealChild/CPD_TC57_Try3.MF4.xz,child,RadarFC_Master,child (ncap3),CPD,realchild</v>
      </c>
      <c r="L376" s="85" t="s">
        <v>3453</v>
      </c>
      <c r="M376" s="132" t="s">
        <v>515</v>
      </c>
      <c r="N376" s="129" t="s">
        <v>86</v>
      </c>
    </row>
    <row r="377" spans="1:21" hidden="1">
      <c r="A377" s="78">
        <v>62</v>
      </c>
      <c r="B377" s="137" t="s">
        <v>105</v>
      </c>
      <c r="C377" t="s">
        <v>66</v>
      </c>
      <c r="D377" s="97" t="e">
        <f>_xlfn.XLOOKUP(A377,[1]CPD_SOP_new!$A:$A,[1]CPD_SOP_new!#REF!,"not found",0 )</f>
        <v>#REF!</v>
      </c>
      <c r="E377" s="97" t="str">
        <f>_xlfn.XLOOKUP(A377,[1]CPD_SOP_new!$A:$A,[1]CPD_SOP_new!$K:$K,"not found",0 )</f>
        <v>F3R</v>
      </c>
      <c r="F377" t="s">
        <v>28</v>
      </c>
      <c r="G377" t="s">
        <v>28</v>
      </c>
      <c r="H377" t="s">
        <v>28</v>
      </c>
      <c r="I377" s="137" t="s">
        <v>27</v>
      </c>
      <c r="J377" s="137" t="s">
        <v>105</v>
      </c>
      <c r="K377" s="85" t="str">
        <f t="shared" si="5"/>
        <v>/mnt/measurements/07_CANape/Mitsubishi/5K45/5.3.0_RC6/Customer_Testing/Real_Child_Measurements/3YO/CSR_XCP_Signals_Recorder_2026-01-30_10-12-17_TC62.MF4.xz,error,RadarFC_Master,error,CPD,realchild</v>
      </c>
      <c r="L377" s="85" t="s">
        <v>3454</v>
      </c>
      <c r="M377" s="137" t="s">
        <v>556</v>
      </c>
      <c r="N377" s="137" t="s">
        <v>391</v>
      </c>
      <c r="O377" s="137" t="s">
        <v>105</v>
      </c>
      <c r="P377" s="137" t="s">
        <v>105</v>
      </c>
      <c r="Q377" s="137" t="s">
        <v>105</v>
      </c>
      <c r="R377" s="137"/>
      <c r="S377" s="137"/>
      <c r="T377" s="137" t="s">
        <v>105</v>
      </c>
      <c r="U377" s="137" t="s">
        <v>105</v>
      </c>
    </row>
    <row r="378" spans="1:21" hidden="1">
      <c r="A378" s="78">
        <v>62</v>
      </c>
      <c r="B378" s="137" t="s">
        <v>105</v>
      </c>
      <c r="C378" t="s">
        <v>66</v>
      </c>
      <c r="D378" s="97" t="e">
        <f>_xlfn.XLOOKUP(A378,[1]CPD_SOP_new!$A:$A,[1]CPD_SOP_new!#REF!,"not found",0 )</f>
        <v>#REF!</v>
      </c>
      <c r="E378" s="97" t="str">
        <f>_xlfn.XLOOKUP(A378,[1]CPD_SOP_new!$A:$A,[1]CPD_SOP_new!$K:$K,"not found",0 )</f>
        <v>F3R</v>
      </c>
      <c r="F378" t="s">
        <v>28</v>
      </c>
      <c r="G378" t="s">
        <v>28</v>
      </c>
      <c r="H378" t="s">
        <v>28</v>
      </c>
      <c r="I378" s="137" t="s">
        <v>27</v>
      </c>
      <c r="J378" s="137" t="s">
        <v>105</v>
      </c>
      <c r="K378" s="85" t="str">
        <f t="shared" si="5"/>
        <v>/mnt/measurements/07_CANape/Mitsubishi/5K45/5.3.0_RC6/Customer_Testing/Real_Child_Measurements/3YO/CSR_XCP_Signals_Recorder_2026-01-30_10-14-10_TC62.MF4.xz,error,RadarFC_Master,error,CPD,realchild</v>
      </c>
      <c r="L378" s="85" t="s">
        <v>3455</v>
      </c>
      <c r="M378" s="137" t="s">
        <v>557</v>
      </c>
      <c r="N378" s="137" t="s">
        <v>391</v>
      </c>
      <c r="O378" s="137" t="s">
        <v>105</v>
      </c>
      <c r="P378" s="137" t="s">
        <v>105</v>
      </c>
      <c r="Q378" s="137" t="s">
        <v>105</v>
      </c>
      <c r="R378" s="137"/>
      <c r="S378" s="137"/>
      <c r="T378" s="137" t="s">
        <v>105</v>
      </c>
      <c r="U378" s="137" t="s">
        <v>105</v>
      </c>
    </row>
    <row r="379" spans="1:21">
      <c r="A379" s="77">
        <v>57</v>
      </c>
      <c r="B379" t="s">
        <v>124</v>
      </c>
      <c r="C379" t="s">
        <v>66</v>
      </c>
      <c r="D379" s="97" t="e">
        <f>_xlfn.XLOOKUP(A379,[1]CPD_SOP_new!$A:$A,[1]CPD_SOP_new!#REF!,"not found",0 )</f>
        <v>#REF!</v>
      </c>
      <c r="E379" s="97" t="str">
        <f>_xlfn.XLOOKUP(A379,[1]CPD_SOP_new!$A:$A,[1]CPD_SOP_new!$K:$K,"not found",0 )</f>
        <v>F1P</v>
      </c>
      <c r="F379" t="s">
        <v>28</v>
      </c>
      <c r="G379" t="s">
        <v>28</v>
      </c>
      <c r="H379" t="s">
        <v>28</v>
      </c>
      <c r="I379" t="s">
        <v>28</v>
      </c>
      <c r="J379" t="s">
        <v>124</v>
      </c>
      <c r="K379" s="85" t="str">
        <f t="shared" si="5"/>
        <v>/mnt/measurements/07_CANape/Mitsubishi/5K45/MMC5.0.2/5K457EG11/RealChild/CPD_TC57_Try4.MF4.xz,child,RadarFC_Master,child (ncap3),CPD,realchild</v>
      </c>
      <c r="L379" s="85" t="s">
        <v>3456</v>
      </c>
      <c r="M379" s="132" t="s">
        <v>516</v>
      </c>
      <c r="N379" s="129" t="s">
        <v>86</v>
      </c>
    </row>
    <row r="380" spans="1:21" hidden="1">
      <c r="A380" s="78">
        <v>62</v>
      </c>
      <c r="B380" s="137" t="s">
        <v>105</v>
      </c>
      <c r="C380" t="s">
        <v>66</v>
      </c>
      <c r="D380" s="97" t="e">
        <f>_xlfn.XLOOKUP(A380,[1]CPD_SOP_new!$A:$A,[1]CPD_SOP_new!#REF!,"not found",0 )</f>
        <v>#REF!</v>
      </c>
      <c r="E380" s="97" t="str">
        <f>_xlfn.XLOOKUP(A380,[1]CPD_SOP_new!$A:$A,[1]CPD_SOP_new!$K:$K,"not found",0 )</f>
        <v>F3R</v>
      </c>
      <c r="F380" t="s">
        <v>28</v>
      </c>
      <c r="G380" t="s">
        <v>28</v>
      </c>
      <c r="H380" t="s">
        <v>28</v>
      </c>
      <c r="I380" s="137" t="s">
        <v>27</v>
      </c>
      <c r="J380" s="137" t="s">
        <v>105</v>
      </c>
      <c r="K380" s="85" t="str">
        <f t="shared" si="5"/>
        <v>/mnt/measurements/07_CANape/Mitsubishi/5K45/5.3.0_RC6/Customer_Testing/Real_Child_Measurements/3YO/CSR_XCP_Signals_Recorder_2026-01-30_10-18-55_TC62.MF4.xz,error,RadarFC_Master,error,CPD,realchild</v>
      </c>
      <c r="L380" s="85" t="s">
        <v>3457</v>
      </c>
      <c r="M380" s="137" t="s">
        <v>560</v>
      </c>
      <c r="N380" s="137" t="s">
        <v>391</v>
      </c>
      <c r="O380" s="137" t="s">
        <v>105</v>
      </c>
      <c r="P380" s="137" t="s">
        <v>105</v>
      </c>
      <c r="Q380" s="137" t="s">
        <v>105</v>
      </c>
      <c r="R380" s="137"/>
      <c r="S380" s="137"/>
      <c r="T380" s="137" t="s">
        <v>105</v>
      </c>
      <c r="U380" s="137" t="s">
        <v>105</v>
      </c>
    </row>
    <row r="381" spans="1:21">
      <c r="A381" s="77">
        <v>57</v>
      </c>
      <c r="B381" t="s">
        <v>124</v>
      </c>
      <c r="C381" t="s">
        <v>66</v>
      </c>
      <c r="D381" s="97" t="e">
        <f>_xlfn.XLOOKUP(A381,[1]CPD_SOP_new!$A:$A,[1]CPD_SOP_new!#REF!,"not found",0 )</f>
        <v>#REF!</v>
      </c>
      <c r="E381" s="97" t="str">
        <f>_xlfn.XLOOKUP(A381,[1]CPD_SOP_new!$A:$A,[1]CPD_SOP_new!$K:$K,"not found",0 )</f>
        <v>F1P</v>
      </c>
      <c r="F381" t="s">
        <v>28</v>
      </c>
      <c r="G381" t="s">
        <v>28</v>
      </c>
      <c r="H381" t="s">
        <v>28</v>
      </c>
      <c r="I381" t="s">
        <v>28</v>
      </c>
      <c r="J381" t="s">
        <v>124</v>
      </c>
      <c r="K381" s="85" t="str">
        <f t="shared" si="5"/>
        <v>/mnt/measurements/07_CANape/Mitsubishi/5K45/MMC5.0.2/5K457EG11/RealChild/CPD_TC57_Try5.MF4.xz,child,RadarFC_Master,child (ncap3),CPD,realchild</v>
      </c>
      <c r="L381" s="85" t="s">
        <v>3458</v>
      </c>
      <c r="M381" s="132" t="s">
        <v>517</v>
      </c>
      <c r="N381" s="129" t="s">
        <v>86</v>
      </c>
    </row>
    <row r="382" spans="1:21">
      <c r="A382" s="77">
        <v>57</v>
      </c>
      <c r="B382" t="s">
        <v>124</v>
      </c>
      <c r="C382" t="s">
        <v>66</v>
      </c>
      <c r="D382" s="97" t="e">
        <f>_xlfn.XLOOKUP(A382,[1]CPD_SOP_new!$A:$A,[1]CPD_SOP_new!#REF!,"not found",0 )</f>
        <v>#REF!</v>
      </c>
      <c r="E382" s="97" t="str">
        <f>_xlfn.XLOOKUP(A382,[1]CPD_SOP_new!$A:$A,[1]CPD_SOP_new!$K:$K,"not found",0 )</f>
        <v>F1P</v>
      </c>
      <c r="F382" t="s">
        <v>28</v>
      </c>
      <c r="G382" t="s">
        <v>28</v>
      </c>
      <c r="H382" t="s">
        <v>28</v>
      </c>
      <c r="I382" t="s">
        <v>28</v>
      </c>
      <c r="J382" t="s">
        <v>124</v>
      </c>
      <c r="K382" s="85" t="str">
        <f t="shared" si="5"/>
        <v>/mnt/measurements/07_CANape/Mitsubishi/5K45/5.3.0_RC6/Customer_Testing/Real_Child_Measurements/CSR_XCP_Signals_Recorder_2026-01-29_16-22-22_TC57.MF4.xz,child,RadarFC_Master,child (ncap3),CPD,realchild</v>
      </c>
      <c r="L382" s="85" t="s">
        <v>3459</v>
      </c>
      <c r="M382" t="s">
        <v>524</v>
      </c>
      <c r="N382" t="s">
        <v>213</v>
      </c>
      <c r="O382" t="s">
        <v>124</v>
      </c>
      <c r="P382" t="s">
        <v>29</v>
      </c>
      <c r="Q382">
        <v>1</v>
      </c>
      <c r="T382">
        <v>0</v>
      </c>
      <c r="U382">
        <v>0</v>
      </c>
    </row>
    <row r="383" spans="1:21">
      <c r="A383" s="77">
        <v>57</v>
      </c>
      <c r="B383" t="s">
        <v>124</v>
      </c>
      <c r="C383" t="s">
        <v>66</v>
      </c>
      <c r="D383" s="97" t="e">
        <f>_xlfn.XLOOKUP(A383,[1]CPD_SOP_new!$A:$A,[1]CPD_SOP_new!#REF!,"not found",0 )</f>
        <v>#REF!</v>
      </c>
      <c r="E383" s="97" t="str">
        <f>_xlfn.XLOOKUP(A383,[1]CPD_SOP_new!$A:$A,[1]CPD_SOP_new!$K:$K,"not found",0 )</f>
        <v>F1P</v>
      </c>
      <c r="F383" t="s">
        <v>28</v>
      </c>
      <c r="G383" t="s">
        <v>28</v>
      </c>
      <c r="H383" t="s">
        <v>28</v>
      </c>
      <c r="I383" t="s">
        <v>28</v>
      </c>
      <c r="J383" t="s">
        <v>124</v>
      </c>
      <c r="K383" s="85" t="str">
        <f t="shared" si="5"/>
        <v>/mnt/measurements/07_CANape/Mitsubishi/5K45/5.3.0_RC6/Customer_Testing/Real_Child_Measurements/CSR_XCP_Signals_Recorder_2026-01-29_16-24-52_TC57.MF4.xz,child,RadarFC_Master,child (ncap3),CPD,realchild</v>
      </c>
      <c r="L383" s="85" t="s">
        <v>3460</v>
      </c>
      <c r="M383" t="s">
        <v>525</v>
      </c>
      <c r="N383" t="s">
        <v>213</v>
      </c>
      <c r="O383" t="s">
        <v>124</v>
      </c>
      <c r="P383" t="s">
        <v>29</v>
      </c>
      <c r="Q383">
        <v>1</v>
      </c>
      <c r="T383">
        <v>0</v>
      </c>
      <c r="U383">
        <v>0</v>
      </c>
    </row>
    <row r="384" spans="1:21">
      <c r="A384" s="77">
        <v>57</v>
      </c>
      <c r="B384" t="s">
        <v>124</v>
      </c>
      <c r="C384" t="s">
        <v>66</v>
      </c>
      <c r="D384" s="97" t="e">
        <f>_xlfn.XLOOKUP(A384,[1]CPD_SOP_new!$A:$A,[1]CPD_SOP_new!#REF!,"not found",0 )</f>
        <v>#REF!</v>
      </c>
      <c r="E384" s="97" t="str">
        <f>_xlfn.XLOOKUP(A384,[1]CPD_SOP_new!$A:$A,[1]CPD_SOP_new!$K:$K,"not found",0 )</f>
        <v>F1P</v>
      </c>
      <c r="F384" t="s">
        <v>28</v>
      </c>
      <c r="G384" t="s">
        <v>28</v>
      </c>
      <c r="H384" t="s">
        <v>28</v>
      </c>
      <c r="I384" t="s">
        <v>28</v>
      </c>
      <c r="J384" t="s">
        <v>124</v>
      </c>
      <c r="K384" s="85" t="str">
        <f t="shared" si="5"/>
        <v>/mnt/measurements/07_CANape/Mitsubishi/5K45/5.3.0_RC6/Customer_Testing/Real_Child_Measurements/CSR_XCP_Signals_Recorder_2026-01-29_16-26-15_TC57.MF4.xz,child,RadarFC_Master,child (ncap3),CPD,realchild</v>
      </c>
      <c r="L384" s="85" t="s">
        <v>3461</v>
      </c>
      <c r="M384" t="s">
        <v>526</v>
      </c>
      <c r="N384" t="s">
        <v>213</v>
      </c>
      <c r="O384" t="s">
        <v>124</v>
      </c>
      <c r="P384" t="s">
        <v>29</v>
      </c>
      <c r="Q384">
        <v>1</v>
      </c>
      <c r="T384">
        <v>0</v>
      </c>
      <c r="U384">
        <v>0</v>
      </c>
    </row>
    <row r="385" spans="1:14">
      <c r="A385" s="77">
        <v>58</v>
      </c>
      <c r="B385" t="s">
        <v>124</v>
      </c>
      <c r="C385" t="s">
        <v>66</v>
      </c>
      <c r="D385" s="97" t="e">
        <f>_xlfn.XLOOKUP(A385,[1]CPD_SOP_new!$A:$A,[1]CPD_SOP_new!#REF!,"not found",0 )</f>
        <v>#REF!</v>
      </c>
      <c r="E385" s="97" t="str">
        <f>_xlfn.XLOOKUP(A385,[1]CPD_SOP_new!$A:$A,[1]CPD_SOP_new!$K:$K,"not found",0 )</f>
        <v>F1P</v>
      </c>
      <c r="F385" t="s">
        <v>28</v>
      </c>
      <c r="G385" t="s">
        <v>28</v>
      </c>
      <c r="H385" t="s">
        <v>28</v>
      </c>
      <c r="I385" t="s">
        <v>28</v>
      </c>
      <c r="J385" t="s">
        <v>124</v>
      </c>
      <c r="K385" s="85" t="str">
        <f t="shared" si="5"/>
        <v>/mnt/measurements/07_CANape/Mitsubishi/5K45/MMC5.0.2/5K457EG11/RealChild/CPD_TC58_Try1.MF4.xz,child,RadarFC_Master,child (ncap3),CPD,realchild</v>
      </c>
      <c r="L385" s="85" t="s">
        <v>3462</v>
      </c>
      <c r="M385" s="132" t="s">
        <v>530</v>
      </c>
      <c r="N385" s="129" t="s">
        <v>86</v>
      </c>
    </row>
    <row r="386" spans="1:14">
      <c r="A386" s="77">
        <v>58</v>
      </c>
      <c r="B386" t="s">
        <v>124</v>
      </c>
      <c r="C386" t="s">
        <v>66</v>
      </c>
      <c r="D386" s="97" t="e">
        <f>_xlfn.XLOOKUP(A386,[1]CPD_SOP_new!$A:$A,[1]CPD_SOP_new!#REF!,"not found",0 )</f>
        <v>#REF!</v>
      </c>
      <c r="E386" s="97" t="str">
        <f>_xlfn.XLOOKUP(A386,[1]CPD_SOP_new!$A:$A,[1]CPD_SOP_new!$K:$K,"not found",0 )</f>
        <v>F1P</v>
      </c>
      <c r="F386" t="s">
        <v>28</v>
      </c>
      <c r="G386" t="s">
        <v>28</v>
      </c>
      <c r="H386" t="s">
        <v>28</v>
      </c>
      <c r="I386" t="s">
        <v>28</v>
      </c>
      <c r="J386" t="s">
        <v>124</v>
      </c>
      <c r="K386" s="85" t="str">
        <f t="shared" ref="K386:K449" si="6">N386&amp;"/"&amp;M386&amp;","&amp;IF(J386="ncap3","child",J386)&amp;",RadarFC_Master,"&amp;IF(J386="ncap3","child",J386)&amp;IF(B386="ncap1,2"," ("&amp;B386&amp;")","")&amp;IF(B386="ncap3"," ("&amp;B386&amp;")","")&amp;IF(B386="multiple children"," (ncap1,2)","")&amp;IF(B386="NB awake"," (ncap1,2)","")&amp;",CPD,"&amp;IF(F386="Y","realchild","dummy")</f>
        <v>/mnt/measurements/07_CANape/Mitsubishi/5K45/MMC5.0.2/5K457EG11/RealChild/CPD_TC58_Try2.MF4.xz,child,RadarFC_Master,child (ncap3),CPD,realchild</v>
      </c>
      <c r="L386" s="85" t="s">
        <v>3463</v>
      </c>
      <c r="M386" s="132" t="s">
        <v>532</v>
      </c>
      <c r="N386" s="129" t="s">
        <v>86</v>
      </c>
    </row>
    <row r="387" spans="1:14">
      <c r="A387" s="77">
        <v>58</v>
      </c>
      <c r="B387" t="s">
        <v>124</v>
      </c>
      <c r="C387" t="s">
        <v>66</v>
      </c>
      <c r="D387" s="97" t="e">
        <f>_xlfn.XLOOKUP(A387,[1]CPD_SOP_new!$A:$A,[1]CPD_SOP_new!#REF!,"not found",0 )</f>
        <v>#REF!</v>
      </c>
      <c r="E387" s="97" t="str">
        <f>_xlfn.XLOOKUP(A387,[1]CPD_SOP_new!$A:$A,[1]CPD_SOP_new!$K:$K,"not found",0 )</f>
        <v>F1P</v>
      </c>
      <c r="F387" t="s">
        <v>28</v>
      </c>
      <c r="G387" t="s">
        <v>28</v>
      </c>
      <c r="H387" t="s">
        <v>28</v>
      </c>
      <c r="I387" t="s">
        <v>28</v>
      </c>
      <c r="J387" t="s">
        <v>124</v>
      </c>
      <c r="K387" s="85" t="str">
        <f t="shared" si="6"/>
        <v>/mnt/measurements/07_CANape/Mitsubishi/5K45/MMC5.0.2/5K457EG11/RealChild/CPD_TC58_Try3.MF4.xz,child,RadarFC_Master,child (ncap3),CPD,realchild</v>
      </c>
      <c r="L387" s="85" t="s">
        <v>3464</v>
      </c>
      <c r="M387" s="132" t="s">
        <v>533</v>
      </c>
      <c r="N387" s="129" t="s">
        <v>86</v>
      </c>
    </row>
    <row r="388" spans="1:14">
      <c r="A388" s="77">
        <v>58</v>
      </c>
      <c r="B388" t="s">
        <v>124</v>
      </c>
      <c r="C388" t="s">
        <v>66</v>
      </c>
      <c r="D388" s="97" t="e">
        <f>_xlfn.XLOOKUP(A388,[1]CPD_SOP_new!$A:$A,[1]CPD_SOP_new!#REF!,"not found",0 )</f>
        <v>#REF!</v>
      </c>
      <c r="E388" s="97" t="str">
        <f>_xlfn.XLOOKUP(A388,[1]CPD_SOP_new!$A:$A,[1]CPD_SOP_new!$K:$K,"not found",0 )</f>
        <v>F1P</v>
      </c>
      <c r="F388" t="s">
        <v>28</v>
      </c>
      <c r="G388" t="s">
        <v>28</v>
      </c>
      <c r="H388" t="s">
        <v>28</v>
      </c>
      <c r="I388" t="s">
        <v>28</v>
      </c>
      <c r="J388" t="s">
        <v>124</v>
      </c>
      <c r="K388" s="85" t="str">
        <f t="shared" si="6"/>
        <v>/mnt/measurements/07_CANape/Mitsubishi/5K45/MMC5.0.2/5K457EG11/RealChild/CPD_TC58_Try4.MF4.xz,child,RadarFC_Master,child (ncap3),CPD,realchild</v>
      </c>
      <c r="L388" s="85" t="s">
        <v>3465</v>
      </c>
      <c r="M388" s="132" t="s">
        <v>534</v>
      </c>
      <c r="N388" s="129" t="s">
        <v>86</v>
      </c>
    </row>
    <row r="389" spans="1:14">
      <c r="A389" s="77">
        <v>58</v>
      </c>
      <c r="B389" t="s">
        <v>124</v>
      </c>
      <c r="C389" t="s">
        <v>66</v>
      </c>
      <c r="D389" s="97" t="e">
        <f>_xlfn.XLOOKUP(A389,[1]CPD_SOP_new!$A:$A,[1]CPD_SOP_new!#REF!,"not found",0 )</f>
        <v>#REF!</v>
      </c>
      <c r="E389" s="97" t="str">
        <f>_xlfn.XLOOKUP(A389,[1]CPD_SOP_new!$A:$A,[1]CPD_SOP_new!$K:$K,"not found",0 )</f>
        <v>F1P</v>
      </c>
      <c r="F389" t="s">
        <v>28</v>
      </c>
      <c r="G389" t="s">
        <v>28</v>
      </c>
      <c r="H389" t="s">
        <v>28</v>
      </c>
      <c r="I389" t="s">
        <v>28</v>
      </c>
      <c r="J389" t="s">
        <v>124</v>
      </c>
      <c r="K389" s="85" t="str">
        <f t="shared" si="6"/>
        <v>/mnt/measurements/07_CANape/Mitsubishi/5K45/MMC5.0.2/5K457EG11/RealChild/CPD_TC58_Try5.MF4.xz,child,RadarFC_Master,child (ncap3),CPD,realchild</v>
      </c>
      <c r="L389" s="85" t="s">
        <v>3466</v>
      </c>
      <c r="M389" s="132" t="s">
        <v>535</v>
      </c>
      <c r="N389" s="129" t="s">
        <v>86</v>
      </c>
    </row>
    <row r="390" spans="1:14">
      <c r="A390" s="38">
        <v>59</v>
      </c>
      <c r="B390" t="s">
        <v>124</v>
      </c>
      <c r="C390" t="s">
        <v>66</v>
      </c>
      <c r="D390" s="97" t="e">
        <f>_xlfn.XLOOKUP(A390,[1]CPD_SOP_new!$A:$A,[1]CPD_SOP_new!#REF!,"not found",0 )</f>
        <v>#REF!</v>
      </c>
      <c r="E390" s="97" t="str">
        <f>_xlfn.XLOOKUP(A390,[1]CPD_SOP_new!$A:$A,[1]CPD_SOP_new!$K:$K,"not found",0 )</f>
        <v>F2R</v>
      </c>
      <c r="F390" t="s">
        <v>27</v>
      </c>
      <c r="G390" t="s">
        <v>27</v>
      </c>
      <c r="H390" t="s">
        <v>27</v>
      </c>
      <c r="I390" t="s">
        <v>28</v>
      </c>
      <c r="J390" t="s">
        <v>124</v>
      </c>
      <c r="K390" s="85" t="str">
        <f t="shared" si="6"/>
        <v>/mnt/measurements/07_CANape/Mitsubishi/5K45/MMC5.0.0_RC3_with_resetfix/CPD/TC59_Try_1.MF4.xz,child,RadarFC_Master,child (ncap3),CPD,dummy</v>
      </c>
      <c r="L390" s="85" t="s">
        <v>3467</v>
      </c>
      <c r="M390" t="s">
        <v>537</v>
      </c>
      <c r="N390" s="129" t="s">
        <v>475</v>
      </c>
    </row>
    <row r="391" spans="1:14" s="130" customFormat="1" hidden="1">
      <c r="A391" s="78">
        <v>65</v>
      </c>
      <c r="B391" s="130" t="s">
        <v>124</v>
      </c>
      <c r="C391" s="130" t="s">
        <v>253</v>
      </c>
      <c r="D391" s="97" t="e">
        <f>_xlfn.XLOOKUP(A391,[1]CPD_SOP_new!$A:$A,[1]CPD_SOP_new!#REF!,"not found",0 )</f>
        <v>#REF!</v>
      </c>
      <c r="E391" s="97" t="s">
        <v>26</v>
      </c>
      <c r="F391" s="130" t="s">
        <v>27</v>
      </c>
      <c r="G391" s="130" t="s">
        <v>28</v>
      </c>
      <c r="H391" s="130" t="s">
        <v>27</v>
      </c>
      <c r="I391" s="130" t="s">
        <v>27</v>
      </c>
      <c r="J391" s="137" t="s">
        <v>68</v>
      </c>
      <c r="K391" s="85" t="str">
        <f t="shared" si="6"/>
        <v>/mnt/measurements/07_CANape/Mitsubishi/5K45/MMC4.1.2/Validation/2025_12_02/ChildAwake/TC_65_Try1.MF4.xz,remove, real child mea available,RadarFC_Master,remove, real child mea available (ncap3),CPD,dummy</v>
      </c>
      <c r="L391" s="85" t="s">
        <v>3468</v>
      </c>
      <c r="M391" s="136" t="s">
        <v>573</v>
      </c>
      <c r="N391" s="136" t="s">
        <v>371</v>
      </c>
    </row>
    <row r="392" spans="1:14" s="130" customFormat="1" hidden="1">
      <c r="A392" s="78">
        <v>65</v>
      </c>
      <c r="B392" s="130" t="s">
        <v>124</v>
      </c>
      <c r="C392" s="130" t="s">
        <v>253</v>
      </c>
      <c r="D392" s="97" t="e">
        <f>_xlfn.XLOOKUP(A392,[1]CPD_SOP_new!$A:$A,[1]CPD_SOP_new!#REF!,"not found",0 )</f>
        <v>#REF!</v>
      </c>
      <c r="E392" s="97" t="s">
        <v>26</v>
      </c>
      <c r="F392" s="130" t="s">
        <v>27</v>
      </c>
      <c r="G392" s="130" t="s">
        <v>28</v>
      </c>
      <c r="H392" s="130" t="s">
        <v>27</v>
      </c>
      <c r="I392" s="130" t="s">
        <v>27</v>
      </c>
      <c r="J392" s="137" t="s">
        <v>68</v>
      </c>
      <c r="K392" s="85" t="str">
        <f t="shared" si="6"/>
        <v>/mnt/measurements/07_CANape/Mitsubishi/5K45/MMC4.1.2/Validation/2025_12_02/ChildAwake/TC_65_Try2.MF4.xz,remove, real child mea available,RadarFC_Master,remove, real child mea available (ncap3),CPD,dummy</v>
      </c>
      <c r="L392" s="85" t="s">
        <v>3469</v>
      </c>
      <c r="M392" s="136" t="s">
        <v>574</v>
      </c>
      <c r="N392" s="130" t="s">
        <v>371</v>
      </c>
    </row>
    <row r="393" spans="1:14" s="130" customFormat="1" hidden="1">
      <c r="A393" s="78">
        <v>65</v>
      </c>
      <c r="B393" s="130" t="s">
        <v>124</v>
      </c>
      <c r="C393" s="130" t="s">
        <v>253</v>
      </c>
      <c r="D393" s="97" t="e">
        <f>_xlfn.XLOOKUP(A393,[1]CPD_SOP_new!$A:$A,[1]CPD_SOP_new!#REF!,"not found",0 )</f>
        <v>#REF!</v>
      </c>
      <c r="E393" s="97" t="s">
        <v>26</v>
      </c>
      <c r="F393" s="130" t="s">
        <v>27</v>
      </c>
      <c r="G393" s="130" t="s">
        <v>28</v>
      </c>
      <c r="H393" s="130" t="s">
        <v>27</v>
      </c>
      <c r="I393" s="130" t="s">
        <v>27</v>
      </c>
      <c r="J393" s="137" t="s">
        <v>68</v>
      </c>
      <c r="K393" s="85" t="str">
        <f t="shared" si="6"/>
        <v>/mnt/measurements/07_CANape/Mitsubishi/5K45/MMC4.1.2/Validation/2025_12_02/ChildAwake/TC_65_Try3.MF4.xz,remove, real child mea available,RadarFC_Master,remove, real child mea available (ncap3),CPD,dummy</v>
      </c>
      <c r="L393" s="85" t="s">
        <v>3470</v>
      </c>
      <c r="M393" s="136" t="s">
        <v>575</v>
      </c>
      <c r="N393" s="130" t="s">
        <v>371</v>
      </c>
    </row>
    <row r="394" spans="1:14">
      <c r="A394" s="38">
        <v>59</v>
      </c>
      <c r="B394" t="s">
        <v>124</v>
      </c>
      <c r="C394" t="s">
        <v>66</v>
      </c>
      <c r="D394" s="97" t="e">
        <f>_xlfn.XLOOKUP(A394,[1]CPD_SOP_new!$A:$A,[1]CPD_SOP_new!#REF!,"not found",0 )</f>
        <v>#REF!</v>
      </c>
      <c r="E394" s="97" t="str">
        <f>_xlfn.XLOOKUP(A394,[1]CPD_SOP_new!$A:$A,[1]CPD_SOP_new!$K:$K,"not found",0 )</f>
        <v>F2R</v>
      </c>
      <c r="F394" t="s">
        <v>27</v>
      </c>
      <c r="G394" t="s">
        <v>27</v>
      </c>
      <c r="H394" t="s">
        <v>27</v>
      </c>
      <c r="I394" t="s">
        <v>28</v>
      </c>
      <c r="J394" t="s">
        <v>124</v>
      </c>
      <c r="K394" s="85" t="str">
        <f t="shared" si="6"/>
        <v>/mnt/measurements/07_CANape/Mitsubishi/5K45/MMC5.0.0_RC3_with_resetfix/CPD/TC59_Try_2.MF4.xz,child,RadarFC_Master,child (ncap3),CPD,dummy</v>
      </c>
      <c r="L394" s="85" t="s">
        <v>3471</v>
      </c>
      <c r="M394" t="s">
        <v>538</v>
      </c>
      <c r="N394" s="129" t="s">
        <v>475</v>
      </c>
    </row>
    <row r="395" spans="1:14">
      <c r="A395" s="38">
        <v>59</v>
      </c>
      <c r="B395" t="s">
        <v>124</v>
      </c>
      <c r="C395" t="s">
        <v>66</v>
      </c>
      <c r="D395" s="97" t="e">
        <f>_xlfn.XLOOKUP(A395,[1]CPD_SOP_new!$A:$A,[1]CPD_SOP_new!#REF!,"not found",0 )</f>
        <v>#REF!</v>
      </c>
      <c r="E395" s="97" t="str">
        <f>_xlfn.XLOOKUP(A395,[1]CPD_SOP_new!$A:$A,[1]CPD_SOP_new!$K:$K,"not found",0 )</f>
        <v>F2R</v>
      </c>
      <c r="F395" t="s">
        <v>27</v>
      </c>
      <c r="G395" t="s">
        <v>27</v>
      </c>
      <c r="H395" t="s">
        <v>27</v>
      </c>
      <c r="I395" t="s">
        <v>28</v>
      </c>
      <c r="J395" t="s">
        <v>124</v>
      </c>
      <c r="K395" s="85" t="str">
        <f t="shared" si="6"/>
        <v>/mnt/measurements/07_CANape/Mitsubishi/5K45/MMC5.0.0_RC3_with_resetfix/CPD/TC59_Try_3.MF4.xz,child,RadarFC_Master,child (ncap3),CPD,dummy</v>
      </c>
      <c r="L395" s="85" t="s">
        <v>3472</v>
      </c>
      <c r="M395" t="s">
        <v>539</v>
      </c>
      <c r="N395" s="129" t="s">
        <v>475</v>
      </c>
    </row>
    <row r="396" spans="1:14">
      <c r="A396" s="38">
        <v>60</v>
      </c>
      <c r="B396" t="s">
        <v>124</v>
      </c>
      <c r="C396" t="s">
        <v>66</v>
      </c>
      <c r="D396" s="97" t="e">
        <f>_xlfn.XLOOKUP(A396,[1]CPD_SOP_new!$A:$A,[1]CPD_SOP_new!#REF!,"not found",0 )</f>
        <v>#REF!</v>
      </c>
      <c r="E396" s="97" t="str">
        <f>_xlfn.XLOOKUP(A396,[1]CPD_SOP_new!$A:$A,[1]CPD_SOP_new!$K:$K,"not found",0 )</f>
        <v>F2L</v>
      </c>
      <c r="F396" t="s">
        <v>27</v>
      </c>
      <c r="G396" t="s">
        <v>27</v>
      </c>
      <c r="H396" t="s">
        <v>27</v>
      </c>
      <c r="I396" t="s">
        <v>28</v>
      </c>
      <c r="J396" t="s">
        <v>124</v>
      </c>
      <c r="K396" s="85" t="str">
        <f t="shared" si="6"/>
        <v>/mnt/measurements/07_CANape/Mitsubishi/5K45/MMC5.0.0_RC3_with_resetfix/CPD/TC60_Try_1.MF4.xz,child,RadarFC_Master,child (ncap3),CPD,dummy</v>
      </c>
      <c r="L396" s="85" t="s">
        <v>3473</v>
      </c>
      <c r="M396" t="s">
        <v>540</v>
      </c>
      <c r="N396" s="129" t="s">
        <v>475</v>
      </c>
    </row>
    <row r="397" spans="1:14">
      <c r="A397" s="38">
        <v>60</v>
      </c>
      <c r="B397" t="s">
        <v>124</v>
      </c>
      <c r="C397" t="s">
        <v>66</v>
      </c>
      <c r="D397" s="97" t="e">
        <f>_xlfn.XLOOKUP(A397,[1]CPD_SOP_new!$A:$A,[1]CPD_SOP_new!#REF!,"not found",0 )</f>
        <v>#REF!</v>
      </c>
      <c r="E397" s="97" t="str">
        <f>_xlfn.XLOOKUP(A397,[1]CPD_SOP_new!$A:$A,[1]CPD_SOP_new!$K:$K,"not found",0 )</f>
        <v>F2L</v>
      </c>
      <c r="F397" t="s">
        <v>27</v>
      </c>
      <c r="G397" t="s">
        <v>27</v>
      </c>
      <c r="H397" t="s">
        <v>27</v>
      </c>
      <c r="I397" t="s">
        <v>28</v>
      </c>
      <c r="J397" t="s">
        <v>124</v>
      </c>
      <c r="K397" s="85" t="str">
        <f t="shared" si="6"/>
        <v>/mnt/measurements/07_CANape/Mitsubishi/5K45/MMC5.0.0_RC3_with_resetfix/CPD/TC60_Try_2.MF4.xz,child,RadarFC_Master,child (ncap3),CPD,dummy</v>
      </c>
      <c r="L397" s="85" t="s">
        <v>3474</v>
      </c>
      <c r="M397" s="60" t="s">
        <v>541</v>
      </c>
      <c r="N397" s="129" t="s">
        <v>475</v>
      </c>
    </row>
    <row r="398" spans="1:14">
      <c r="A398" s="38">
        <v>60</v>
      </c>
      <c r="B398" t="s">
        <v>124</v>
      </c>
      <c r="C398" t="s">
        <v>66</v>
      </c>
      <c r="D398" s="97" t="e">
        <f>_xlfn.XLOOKUP(A398,[1]CPD_SOP_new!$A:$A,[1]CPD_SOP_new!#REF!,"not found",0 )</f>
        <v>#REF!</v>
      </c>
      <c r="E398" s="97" t="str">
        <f>_xlfn.XLOOKUP(A398,[1]CPD_SOP_new!$A:$A,[1]CPD_SOP_new!$K:$K,"not found",0 )</f>
        <v>F2L</v>
      </c>
      <c r="F398" t="s">
        <v>27</v>
      </c>
      <c r="G398" t="s">
        <v>27</v>
      </c>
      <c r="H398" t="s">
        <v>27</v>
      </c>
      <c r="I398" t="s">
        <v>28</v>
      </c>
      <c r="J398" t="s">
        <v>124</v>
      </c>
      <c r="K398" s="85" t="str">
        <f t="shared" si="6"/>
        <v>/mnt/measurements/07_CANape/Mitsubishi/5K45/MMC5.0.0_RC3_with_resetfix/CPD/TC60_Try_3.MF4.xz,child,RadarFC_Master,child (ncap3),CPD,dummy</v>
      </c>
      <c r="L398" s="85" t="s">
        <v>3475</v>
      </c>
      <c r="M398" t="s">
        <v>542</v>
      </c>
      <c r="N398" s="129" t="s">
        <v>475</v>
      </c>
    </row>
    <row r="399" spans="1:14">
      <c r="A399" s="38">
        <v>61</v>
      </c>
      <c r="B399" t="s">
        <v>124</v>
      </c>
      <c r="C399" t="s">
        <v>66</v>
      </c>
      <c r="D399" s="97" t="e">
        <f>_xlfn.XLOOKUP(A399,[1]CPD_SOP_new!$A:$A,[1]CPD_SOP_new!#REF!,"not found",0 )</f>
        <v>#REF!</v>
      </c>
      <c r="E399" s="97" t="str">
        <f>_xlfn.XLOOKUP(A399,[1]CPD_SOP_new!$A:$A,[1]CPD_SOP_new!$K:$K,"not found",0 )</f>
        <v>F2C</v>
      </c>
      <c r="F399" t="s">
        <v>27</v>
      </c>
      <c r="G399" t="s">
        <v>27</v>
      </c>
      <c r="H399" t="s">
        <v>27</v>
      </c>
      <c r="I399" t="s">
        <v>28</v>
      </c>
      <c r="J399" t="s">
        <v>124</v>
      </c>
      <c r="K399" s="85" t="str">
        <f t="shared" si="6"/>
        <v>/mnt/measurements/07_CANape/Mitsubishi/5K45/MMC4.1.2/Validation/2025_12_02/ChildSleep/TC_61_Try1.MF4.xz,child,RadarFC_Master,child (ncap3),CPD,dummy</v>
      </c>
      <c r="L399" s="85" t="s">
        <v>3476</v>
      </c>
      <c r="M399" t="s">
        <v>549</v>
      </c>
      <c r="N399" s="129" t="s">
        <v>380</v>
      </c>
    </row>
    <row r="400" spans="1:14">
      <c r="A400" s="38">
        <v>61</v>
      </c>
      <c r="B400" t="s">
        <v>124</v>
      </c>
      <c r="C400" t="s">
        <v>66</v>
      </c>
      <c r="D400" s="97" t="e">
        <f>_xlfn.XLOOKUP(A400,[1]CPD_SOP_new!$A:$A,[1]CPD_SOP_new!#REF!,"not found",0 )</f>
        <v>#REF!</v>
      </c>
      <c r="E400" s="97" t="str">
        <f>_xlfn.XLOOKUP(A400,[1]CPD_SOP_new!$A:$A,[1]CPD_SOP_new!$K:$K,"not found",0 )</f>
        <v>F2C</v>
      </c>
      <c r="F400" t="s">
        <v>27</v>
      </c>
      <c r="G400" t="s">
        <v>27</v>
      </c>
      <c r="H400" t="s">
        <v>27</v>
      </c>
      <c r="I400" t="s">
        <v>28</v>
      </c>
      <c r="J400" t="s">
        <v>124</v>
      </c>
      <c r="K400" s="85" t="str">
        <f t="shared" si="6"/>
        <v>/mnt/measurements/07_CANape/Mitsubishi/5K45/MMC4.1.2/Validation/2025_12_02/ChildSleep/TC_61_Try2.MF4.xz,child,RadarFC_Master,child (ncap3),CPD,dummy</v>
      </c>
      <c r="L400" s="85" t="s">
        <v>3477</v>
      </c>
      <c r="M400" t="s">
        <v>550</v>
      </c>
      <c r="N400" s="129" t="s">
        <v>380</v>
      </c>
    </row>
    <row r="401" spans="1:21">
      <c r="A401" s="38">
        <v>61</v>
      </c>
      <c r="B401" t="s">
        <v>124</v>
      </c>
      <c r="C401" t="s">
        <v>66</v>
      </c>
      <c r="D401" s="97" t="e">
        <f>_xlfn.XLOOKUP(A401,[1]CPD_SOP_new!$A:$A,[1]CPD_SOP_new!#REF!,"not found",0 )</f>
        <v>#REF!</v>
      </c>
      <c r="E401" s="97" t="str">
        <f>_xlfn.XLOOKUP(A401,[1]CPD_SOP_new!$A:$A,[1]CPD_SOP_new!$K:$K,"not found",0 )</f>
        <v>F2C</v>
      </c>
      <c r="F401" t="s">
        <v>27</v>
      </c>
      <c r="G401" t="s">
        <v>27</v>
      </c>
      <c r="H401" t="s">
        <v>27</v>
      </c>
      <c r="I401" t="s">
        <v>28</v>
      </c>
      <c r="J401" t="s">
        <v>124</v>
      </c>
      <c r="K401" s="85" t="str">
        <f t="shared" si="6"/>
        <v>/mnt/measurements/07_CANape/Mitsubishi/5K45/MMC4.1.2/Validation/2025_12_02/ChildSleep/TC_61_Try3.MF4.xz,child,RadarFC_Master,child (ncap3),CPD,dummy</v>
      </c>
      <c r="L401" s="85" t="s">
        <v>3478</v>
      </c>
      <c r="M401" t="s">
        <v>551</v>
      </c>
      <c r="N401" s="129" t="s">
        <v>380</v>
      </c>
    </row>
    <row r="402" spans="1:21">
      <c r="A402" s="77">
        <v>62</v>
      </c>
      <c r="B402" t="s">
        <v>124</v>
      </c>
      <c r="C402" t="s">
        <v>66</v>
      </c>
      <c r="D402" s="97" t="e">
        <f>_xlfn.XLOOKUP(A402,[1]CPD_SOP_new!$A:$A,[1]CPD_SOP_new!#REF!,"not found",0 )</f>
        <v>#REF!</v>
      </c>
      <c r="E402" s="97" t="str">
        <f>_xlfn.XLOOKUP(A402,[1]CPD_SOP_new!$A:$A,[1]CPD_SOP_new!$K:$K,"not found",0 )</f>
        <v>F3R</v>
      </c>
      <c r="F402" t="s">
        <v>27</v>
      </c>
      <c r="G402" t="s">
        <v>28</v>
      </c>
      <c r="H402" t="s">
        <v>28</v>
      </c>
      <c r="I402" t="s">
        <v>28</v>
      </c>
      <c r="J402" t="s">
        <v>124</v>
      </c>
      <c r="K402" s="85" t="str">
        <f t="shared" si="6"/>
        <v>/mnt/measurements/07_CANape/Mitsubishi/5K45/MMC5.0.0_RC3_with_resetfix/CPD/TC62_Try_1.MF4.xz,child,RadarFC_Master,child (ncap3),CPD,dummy</v>
      </c>
      <c r="L402" s="85" t="s">
        <v>3479</v>
      </c>
      <c r="M402" s="132" t="s">
        <v>552</v>
      </c>
      <c r="N402" s="132" t="s">
        <v>475</v>
      </c>
    </row>
    <row r="403" spans="1:21" s="137" customFormat="1">
      <c r="A403" s="77">
        <v>62</v>
      </c>
      <c r="B403" t="s">
        <v>124</v>
      </c>
      <c r="C403" t="s">
        <v>66</v>
      </c>
      <c r="D403" s="97" t="e">
        <f>_xlfn.XLOOKUP(A403,[1]CPD_SOP_new!$A:$A,[1]CPD_SOP_new!#REF!,"not found",0 )</f>
        <v>#REF!</v>
      </c>
      <c r="E403" s="97" t="str">
        <f>_xlfn.XLOOKUP(A403,[1]CPD_SOP_new!$A:$A,[1]CPD_SOP_new!$K:$K,"not found",0 )</f>
        <v>F3R</v>
      </c>
      <c r="F403" t="s">
        <v>27</v>
      </c>
      <c r="G403" t="s">
        <v>28</v>
      </c>
      <c r="H403" t="s">
        <v>28</v>
      </c>
      <c r="I403" t="s">
        <v>28</v>
      </c>
      <c r="J403" t="s">
        <v>124</v>
      </c>
      <c r="K403" s="85" t="str">
        <f t="shared" si="6"/>
        <v>/mnt/measurements/07_CANape/Mitsubishi/5K45/MMC5.0.0_RC3_with_resetfix/CPD/TC62_Try_2.MF4.xz,child,RadarFC_Master,child (ncap3),CPD,dummy</v>
      </c>
      <c r="L403" s="85" t="s">
        <v>3480</v>
      </c>
      <c r="M403" s="132" t="s">
        <v>554</v>
      </c>
      <c r="N403" s="132" t="s">
        <v>475</v>
      </c>
    </row>
    <row r="404" spans="1:21" s="130" customFormat="1" hidden="1">
      <c r="A404" s="78">
        <v>67</v>
      </c>
      <c r="B404" s="130" t="s">
        <v>124</v>
      </c>
      <c r="C404" s="130" t="s">
        <v>253</v>
      </c>
      <c r="D404" s="97" t="e">
        <f>_xlfn.XLOOKUP(A404,[1]CPD_SOP_new!$A:$A,[1]CPD_SOP_new!#REF!,"not found",0 )</f>
        <v>#REF!</v>
      </c>
      <c r="E404" s="97" t="str">
        <f>_xlfn.XLOOKUP(A404,[1]CPD_SOP_new!$A:$A,[1]CPD_SOP_new!$K:$K,"not found",0 )</f>
        <v>2R</v>
      </c>
      <c r="F404" s="130" t="s">
        <v>27</v>
      </c>
      <c r="G404" s="130" t="s">
        <v>28</v>
      </c>
      <c r="H404" s="130" t="s">
        <v>28</v>
      </c>
      <c r="I404" s="130" t="s">
        <v>27</v>
      </c>
      <c r="J404" s="137" t="s">
        <v>68</v>
      </c>
      <c r="K404" s="85" t="str">
        <f t="shared" si="6"/>
        <v>/mnt/measurements/07_CANape/Mitsubishi/5K45/MMC4.1.2/Validation/2025_12_02/ChildAwake/TC_67_Try1.MF4.xz,remove, real child mea available,RadarFC_Master,remove, real child mea available (ncap3),CPD,dummy</v>
      </c>
      <c r="L404" s="85" t="s">
        <v>3481</v>
      </c>
      <c r="M404" s="136" t="s">
        <v>588</v>
      </c>
      <c r="N404" s="131" t="s">
        <v>371</v>
      </c>
    </row>
    <row r="405" spans="1:21" s="130" customFormat="1" hidden="1">
      <c r="A405" s="78">
        <v>67</v>
      </c>
      <c r="B405" s="130" t="s">
        <v>124</v>
      </c>
      <c r="C405" s="130" t="s">
        <v>253</v>
      </c>
      <c r="D405" s="97" t="e">
        <f>_xlfn.XLOOKUP(A405,[1]CPD_SOP_new!$A:$A,[1]CPD_SOP_new!#REF!,"not found",0 )</f>
        <v>#REF!</v>
      </c>
      <c r="E405" s="97" t="str">
        <f>_xlfn.XLOOKUP(A405,[1]CPD_SOP_new!$A:$A,[1]CPD_SOP_new!$K:$K,"not found",0 )</f>
        <v>2R</v>
      </c>
      <c r="F405" s="130" t="s">
        <v>27</v>
      </c>
      <c r="G405" s="130" t="s">
        <v>28</v>
      </c>
      <c r="H405" s="130" t="s">
        <v>28</v>
      </c>
      <c r="I405" s="130" t="s">
        <v>27</v>
      </c>
      <c r="J405" s="137" t="s">
        <v>68</v>
      </c>
      <c r="K405" s="85" t="str">
        <f t="shared" si="6"/>
        <v>/mnt/measurements/07_CANape/Mitsubishi/5K45/MMC4.1.2/Validation/2025_12_02/ChildAwake/TC_67_Try2.MF4.xz,remove, real child mea available,RadarFC_Master,remove, real child mea available (ncap3),CPD,dummy</v>
      </c>
      <c r="L405" s="85" t="s">
        <v>3482</v>
      </c>
      <c r="M405" s="136" t="s">
        <v>589</v>
      </c>
      <c r="N405" s="130" t="s">
        <v>371</v>
      </c>
    </row>
    <row r="406" spans="1:21" s="130" customFormat="1" hidden="1">
      <c r="A406" s="78">
        <v>67</v>
      </c>
      <c r="B406" s="130" t="s">
        <v>124</v>
      </c>
      <c r="C406" s="130" t="s">
        <v>253</v>
      </c>
      <c r="D406" s="97" t="e">
        <f>_xlfn.XLOOKUP(A406,[1]CPD_SOP_new!$A:$A,[1]CPD_SOP_new!#REF!,"not found",0 )</f>
        <v>#REF!</v>
      </c>
      <c r="E406" s="97" t="str">
        <f>_xlfn.XLOOKUP(A406,[1]CPD_SOP_new!$A:$A,[1]CPD_SOP_new!$K:$K,"not found",0 )</f>
        <v>2R</v>
      </c>
      <c r="F406" s="130" t="s">
        <v>27</v>
      </c>
      <c r="G406" s="130" t="s">
        <v>28</v>
      </c>
      <c r="H406" s="130" t="s">
        <v>28</v>
      </c>
      <c r="I406" s="130" t="s">
        <v>27</v>
      </c>
      <c r="J406" s="137" t="s">
        <v>68</v>
      </c>
      <c r="K406" s="85" t="str">
        <f t="shared" si="6"/>
        <v>/mnt/measurements/07_CANape/Mitsubishi/5K45/MMC4.1.2/Validation/2025_12_02/ChildAwake/TC_67_Try3.MF4.xz,remove, real child mea available,RadarFC_Master,remove, real child mea available (ncap3),CPD,dummy</v>
      </c>
      <c r="L406" s="85" t="s">
        <v>3483</v>
      </c>
      <c r="M406" s="136" t="s">
        <v>590</v>
      </c>
      <c r="N406" s="130" t="s">
        <v>371</v>
      </c>
    </row>
    <row r="407" spans="1:21" s="130" customFormat="1" hidden="1">
      <c r="A407" s="78">
        <v>68</v>
      </c>
      <c r="B407" s="130" t="s">
        <v>124</v>
      </c>
      <c r="C407" s="130" t="s">
        <v>253</v>
      </c>
      <c r="D407" s="97" t="e">
        <f>_xlfn.XLOOKUP(A407,[1]CPD_SOP_new!$A:$A,[1]CPD_SOP_new!#REF!,"not found",0 )</f>
        <v>#REF!</v>
      </c>
      <c r="E407" s="97" t="str">
        <f>_xlfn.XLOOKUP(A407,[1]CPD_SOP_new!$A:$A,[1]CPD_SOP_new!$K:$K,"not found",0 )</f>
        <v>2L</v>
      </c>
      <c r="F407" s="130" t="s">
        <v>27</v>
      </c>
      <c r="G407" s="130" t="s">
        <v>28</v>
      </c>
      <c r="H407" s="130" t="s">
        <v>28</v>
      </c>
      <c r="I407" s="130" t="s">
        <v>27</v>
      </c>
      <c r="J407" s="137" t="s">
        <v>518</v>
      </c>
      <c r="K407" s="85" t="str">
        <f t="shared" si="6"/>
        <v>/mnt/measurements/07_CANape/Mitsubishi/5K45/MMC5.1.0/5K457MG47/SmokeTest/CPD_SmokeTest_TS68-Try1.MF4.xz,Incorrect length,RadarFC_Master,Incorrect length (ncap3),CPD,dummy</v>
      </c>
      <c r="L407" s="85" t="s">
        <v>3484</v>
      </c>
      <c r="M407" s="136" t="s">
        <v>591</v>
      </c>
      <c r="N407" s="136" t="s">
        <v>130</v>
      </c>
    </row>
    <row r="408" spans="1:21" s="130" customFormat="1" hidden="1">
      <c r="A408" s="78">
        <v>68</v>
      </c>
      <c r="B408" s="130" t="s">
        <v>124</v>
      </c>
      <c r="C408" s="130" t="s">
        <v>253</v>
      </c>
      <c r="D408" s="97" t="e">
        <f>_xlfn.XLOOKUP(A408,[1]CPD_SOP_new!$A:$A,[1]CPD_SOP_new!#REF!,"not found",0 )</f>
        <v>#REF!</v>
      </c>
      <c r="E408" s="97" t="str">
        <f>_xlfn.XLOOKUP(A408,[1]CPD_SOP_new!$A:$A,[1]CPD_SOP_new!$K:$K,"not found",0 )</f>
        <v>2L</v>
      </c>
      <c r="F408" s="130" t="s">
        <v>27</v>
      </c>
      <c r="G408" s="130" t="s">
        <v>28</v>
      </c>
      <c r="H408" s="130" t="s">
        <v>28</v>
      </c>
      <c r="I408" s="130" t="s">
        <v>27</v>
      </c>
      <c r="J408" s="137" t="s">
        <v>518</v>
      </c>
      <c r="K408" s="85" t="str">
        <f t="shared" si="6"/>
        <v>/mnt/measurements/07_CANape/Mitsubishi/5K45/MMC5.1.0/5K457MG47/SmokeTest/CPD_SmokeTest_TS68_Try2.MF4.xz,Incorrect length,RadarFC_Master,Incorrect length (ncap3),CPD,dummy</v>
      </c>
      <c r="L408" s="85" t="s">
        <v>3485</v>
      </c>
      <c r="M408" s="62" t="s">
        <v>592</v>
      </c>
      <c r="N408" s="136" t="s">
        <v>130</v>
      </c>
    </row>
    <row r="409" spans="1:21" s="130" customFormat="1" hidden="1">
      <c r="A409" s="78">
        <v>68</v>
      </c>
      <c r="B409" s="130" t="s">
        <v>124</v>
      </c>
      <c r="C409" s="130" t="s">
        <v>253</v>
      </c>
      <c r="D409" s="97" t="e">
        <f>_xlfn.XLOOKUP(A409,[1]CPD_SOP_new!$A:$A,[1]CPD_SOP_new!#REF!,"not found",0 )</f>
        <v>#REF!</v>
      </c>
      <c r="E409" s="97" t="str">
        <f>_xlfn.XLOOKUP(A409,[1]CPD_SOP_new!$A:$A,[1]CPD_SOP_new!$K:$K,"not found",0 )</f>
        <v>2L</v>
      </c>
      <c r="F409" s="130" t="s">
        <v>27</v>
      </c>
      <c r="G409" s="130" t="s">
        <v>28</v>
      </c>
      <c r="H409" s="130" t="s">
        <v>28</v>
      </c>
      <c r="I409" s="130" t="s">
        <v>27</v>
      </c>
      <c r="J409" s="137" t="s">
        <v>518</v>
      </c>
      <c r="K409" s="85" t="str">
        <f t="shared" si="6"/>
        <v>/mnt/measurements/07_CANape/Mitsubishi/5K45/MMC5.1.0/5K457MG47/SmokeTest/CPD_SmokeTest_TS68_Try3.MF4.xz,Incorrect length,RadarFC_Master,Incorrect length (ncap3),CPD,dummy</v>
      </c>
      <c r="L409" s="85" t="s">
        <v>3486</v>
      </c>
      <c r="M409" s="62" t="s">
        <v>593</v>
      </c>
      <c r="N409" s="136" t="s">
        <v>130</v>
      </c>
    </row>
    <row r="410" spans="1:21">
      <c r="A410" s="77">
        <v>62</v>
      </c>
      <c r="B410" t="s">
        <v>124</v>
      </c>
      <c r="C410" t="s">
        <v>66</v>
      </c>
      <c r="D410" s="97" t="e">
        <f>_xlfn.XLOOKUP(A410,[1]CPD_SOP_new!$A:$A,[1]CPD_SOP_new!#REF!,"not found",0 )</f>
        <v>#REF!</v>
      </c>
      <c r="E410" s="97" t="str">
        <f>_xlfn.XLOOKUP(A410,[1]CPD_SOP_new!$A:$A,[1]CPD_SOP_new!$K:$K,"not found",0 )</f>
        <v>F3R</v>
      </c>
      <c r="F410" t="s">
        <v>27</v>
      </c>
      <c r="G410" t="s">
        <v>28</v>
      </c>
      <c r="H410" t="s">
        <v>28</v>
      </c>
      <c r="I410" t="s">
        <v>28</v>
      </c>
      <c r="J410" t="s">
        <v>124</v>
      </c>
      <c r="K410" s="85" t="str">
        <f t="shared" si="6"/>
        <v>/mnt/measurements/07_CANape/Mitsubishi/5K45/MMC5.0.0_RC3_with_resetfix/CPD/TC62_Try_3.MF4.xz,child,RadarFC_Master,child (ncap3),CPD,dummy</v>
      </c>
      <c r="L410" s="85" t="s">
        <v>3487</v>
      </c>
      <c r="M410" s="11" t="s">
        <v>555</v>
      </c>
      <c r="N410" s="132" t="s">
        <v>475</v>
      </c>
    </row>
    <row r="411" spans="1:21">
      <c r="A411" s="77">
        <v>62</v>
      </c>
      <c r="B411" t="s">
        <v>124</v>
      </c>
      <c r="C411" t="s">
        <v>66</v>
      </c>
      <c r="D411" s="97" t="e">
        <f>_xlfn.XLOOKUP(A411,[1]CPD_SOP_new!$A:$A,[1]CPD_SOP_new!#REF!,"not found",0 )</f>
        <v>#REF!</v>
      </c>
      <c r="E411" s="97" t="str">
        <f>_xlfn.XLOOKUP(A411,[1]CPD_SOP_new!$A:$A,[1]CPD_SOP_new!$K:$K,"not found",0 )</f>
        <v>F3R</v>
      </c>
      <c r="F411" t="s">
        <v>28</v>
      </c>
      <c r="G411" t="s">
        <v>28</v>
      </c>
      <c r="H411" t="s">
        <v>28</v>
      </c>
      <c r="I411" t="s">
        <v>28</v>
      </c>
      <c r="J411" t="s">
        <v>124</v>
      </c>
      <c r="K411" s="85" t="str">
        <f t="shared" si="6"/>
        <v>/mnt/measurements/07_CANape/Mitsubishi/5K45/5.3.0_RC6/Customer_Testing/Real_Child_Measurements/3YO/CSR_XCP_Signals_Recorder_2026-01-30_10-16-49_TC62.MF4.xz,child,RadarFC_Master,child (ncap3),CPD,realchild</v>
      </c>
      <c r="L411" s="85" t="s">
        <v>3488</v>
      </c>
      <c r="M411" s="60" t="s">
        <v>558</v>
      </c>
      <c r="N411" t="s">
        <v>391</v>
      </c>
      <c r="O411" t="s">
        <v>124</v>
      </c>
      <c r="P411" t="s">
        <v>29</v>
      </c>
      <c r="Q411">
        <v>1</v>
      </c>
      <c r="T411">
        <v>0</v>
      </c>
      <c r="U411">
        <v>0</v>
      </c>
    </row>
    <row r="412" spans="1:21">
      <c r="A412" s="38">
        <v>63</v>
      </c>
      <c r="B412" t="s">
        <v>124</v>
      </c>
      <c r="C412" t="s">
        <v>66</v>
      </c>
      <c r="D412" s="97" t="e">
        <f>_xlfn.XLOOKUP(A412,[1]CPD_SOP_new!$A:$A,[1]CPD_SOP_new!#REF!,"not found",0 )</f>
        <v>#REF!</v>
      </c>
      <c r="E412" s="97" t="str">
        <f>_xlfn.XLOOKUP(A412,[1]CPD_SOP_new!$A:$A,[1]CPD_SOP_new!$K:$K,"not found",0 )</f>
        <v>F3L</v>
      </c>
      <c r="F412" t="s">
        <v>27</v>
      </c>
      <c r="G412" t="s">
        <v>27</v>
      </c>
      <c r="H412" t="s">
        <v>27</v>
      </c>
      <c r="I412" t="s">
        <v>28</v>
      </c>
      <c r="J412" t="s">
        <v>124</v>
      </c>
      <c r="K412" s="85" t="str">
        <f t="shared" si="6"/>
        <v>/mnt/measurements/07_CANape/Mitsubishi/5K45/MMC4.1.2/Validation/2025_12_02/ChildSleep/TC_63_Try1.MF4.xz,child,RadarFC_Master,child (ncap3),CPD,dummy</v>
      </c>
      <c r="L412" s="85" t="s">
        <v>3489</v>
      </c>
      <c r="M412" s="60" t="s">
        <v>562</v>
      </c>
      <c r="N412" s="129" t="s">
        <v>380</v>
      </c>
      <c r="O412" s="137"/>
      <c r="P412" s="137"/>
      <c r="Q412" s="137"/>
      <c r="R412" s="137"/>
      <c r="S412" s="137"/>
      <c r="T412" s="137"/>
      <c r="U412" s="137"/>
    </row>
    <row r="413" spans="1:21">
      <c r="A413" s="38">
        <v>63</v>
      </c>
      <c r="B413" t="s">
        <v>124</v>
      </c>
      <c r="C413" t="s">
        <v>66</v>
      </c>
      <c r="D413" s="97" t="e">
        <f>_xlfn.XLOOKUP(A413,[1]CPD_SOP_new!$A:$A,[1]CPD_SOP_new!#REF!,"not found",0 )</f>
        <v>#REF!</v>
      </c>
      <c r="E413" s="97" t="str">
        <f>_xlfn.XLOOKUP(A413,[1]CPD_SOP_new!$A:$A,[1]CPD_SOP_new!$K:$K,"not found",0 )</f>
        <v>F3L</v>
      </c>
      <c r="F413" t="s">
        <v>27</v>
      </c>
      <c r="G413" t="s">
        <v>27</v>
      </c>
      <c r="H413" t="s">
        <v>27</v>
      </c>
      <c r="I413" t="s">
        <v>28</v>
      </c>
      <c r="J413" t="s">
        <v>124</v>
      </c>
      <c r="K413" s="85" t="str">
        <f t="shared" si="6"/>
        <v>/mnt/measurements/07_CANape/Mitsubishi/5K45/MMC4.1.2/Validation/2025_12_02/ChildSleep/TC_63_Try2.MF4.xz,child,RadarFC_Master,child (ncap3),CPD,dummy</v>
      </c>
      <c r="L413" s="85" t="s">
        <v>3490</v>
      </c>
      <c r="M413" t="s">
        <v>563</v>
      </c>
      <c r="N413" s="129" t="s">
        <v>380</v>
      </c>
      <c r="O413" s="137"/>
      <c r="P413" s="137"/>
      <c r="Q413" s="137"/>
      <c r="R413" s="137"/>
      <c r="S413" s="137"/>
      <c r="T413" s="137"/>
      <c r="U413" s="137"/>
    </row>
    <row r="414" spans="1:21">
      <c r="A414" s="38">
        <v>63</v>
      </c>
      <c r="B414" t="s">
        <v>124</v>
      </c>
      <c r="C414" t="s">
        <v>66</v>
      </c>
      <c r="D414" s="97" t="e">
        <f>_xlfn.XLOOKUP(A414,[1]CPD_SOP_new!$A:$A,[1]CPD_SOP_new!#REF!,"not found",0 )</f>
        <v>#REF!</v>
      </c>
      <c r="E414" s="97" t="str">
        <f>_xlfn.XLOOKUP(A414,[1]CPD_SOP_new!$A:$A,[1]CPD_SOP_new!$K:$K,"not found",0 )</f>
        <v>F3L</v>
      </c>
      <c r="F414" t="s">
        <v>27</v>
      </c>
      <c r="G414" t="s">
        <v>27</v>
      </c>
      <c r="H414" t="s">
        <v>27</v>
      </c>
      <c r="I414" t="s">
        <v>28</v>
      </c>
      <c r="J414" t="s">
        <v>124</v>
      </c>
      <c r="K414" s="85" t="str">
        <f t="shared" si="6"/>
        <v>/mnt/measurements/07_CANape/Mitsubishi/5K45/MMC4.1.2/Validation/2025_12_02/ChildSleep/TC_63_Try3.MF4.xz,child,RadarFC_Master,child (ncap3),CPD,dummy</v>
      </c>
      <c r="L414" s="85" t="s">
        <v>3491</v>
      </c>
      <c r="M414" t="s">
        <v>564</v>
      </c>
      <c r="N414" s="129" t="s">
        <v>380</v>
      </c>
      <c r="O414" s="137"/>
      <c r="P414" s="137"/>
      <c r="Q414" s="137"/>
      <c r="R414" s="137"/>
      <c r="S414" s="137"/>
      <c r="T414" s="137"/>
      <c r="U414" s="137"/>
    </row>
    <row r="415" spans="1:21">
      <c r="A415" s="38">
        <v>64</v>
      </c>
      <c r="B415" t="s">
        <v>124</v>
      </c>
      <c r="C415" t="s">
        <v>66</v>
      </c>
      <c r="D415" s="97" t="e">
        <f>_xlfn.XLOOKUP(A415,[1]CPD_SOP_new!$A:$A,[1]CPD_SOP_new!#REF!,"not found",0 )</f>
        <v>#REF!</v>
      </c>
      <c r="E415" s="97" t="str">
        <f>_xlfn.XLOOKUP(A415,[1]CPD_SOP_new!$A:$A,[1]CPD_SOP_new!$K:$K,"not found",0 )</f>
        <v>F3L</v>
      </c>
      <c r="F415" t="s">
        <v>27</v>
      </c>
      <c r="G415" t="s">
        <v>27</v>
      </c>
      <c r="H415" t="s">
        <v>27</v>
      </c>
      <c r="I415" t="s">
        <v>28</v>
      </c>
      <c r="J415" t="s">
        <v>124</v>
      </c>
      <c r="K415" s="85" t="str">
        <f t="shared" si="6"/>
        <v>/mnt/measurements/07_CANape/Mitsubishi/5K45/MMC5.0.0_RC3_with_resetfix/CPD/TC64_Try_1.MF4.xz,child,RadarFC_Master,child (ncap3),CPD,dummy</v>
      </c>
      <c r="L415" s="85" t="s">
        <v>3492</v>
      </c>
      <c r="M415" t="s">
        <v>565</v>
      </c>
      <c r="N415" s="129" t="s">
        <v>475</v>
      </c>
      <c r="O415" s="137"/>
      <c r="P415" s="137"/>
      <c r="Q415" s="137"/>
      <c r="R415" s="137"/>
      <c r="S415" s="137"/>
      <c r="T415" s="137"/>
      <c r="U415" s="137"/>
    </row>
    <row r="416" spans="1:21">
      <c r="A416" s="38">
        <v>64</v>
      </c>
      <c r="B416" t="s">
        <v>124</v>
      </c>
      <c r="C416" t="s">
        <v>66</v>
      </c>
      <c r="D416" s="97" t="e">
        <f>_xlfn.XLOOKUP(A416,[1]CPD_SOP_new!$A:$A,[1]CPD_SOP_new!#REF!,"not found",0 )</f>
        <v>#REF!</v>
      </c>
      <c r="E416" s="97" t="str">
        <f>_xlfn.XLOOKUP(A416,[1]CPD_SOP_new!$A:$A,[1]CPD_SOP_new!$K:$K,"not found",0 )</f>
        <v>F3L</v>
      </c>
      <c r="F416" t="s">
        <v>27</v>
      </c>
      <c r="G416" t="s">
        <v>27</v>
      </c>
      <c r="H416" t="s">
        <v>27</v>
      </c>
      <c r="I416" t="s">
        <v>28</v>
      </c>
      <c r="J416" t="s">
        <v>124</v>
      </c>
      <c r="K416" s="85" t="str">
        <f t="shared" si="6"/>
        <v>/mnt/measurements/07_CANape/Mitsubishi/5K45/MMC5.0.0_RC3_with_resetfix/CPD/TC64_Try_2.MF4.xz,child,RadarFC_Master,child (ncap3),CPD,dummy</v>
      </c>
      <c r="L416" s="85" t="s">
        <v>3493</v>
      </c>
      <c r="M416" t="s">
        <v>566</v>
      </c>
      <c r="N416" s="129" t="s">
        <v>475</v>
      </c>
      <c r="O416" s="137"/>
      <c r="P416" s="137"/>
      <c r="Q416" s="137"/>
      <c r="R416" s="137"/>
      <c r="S416" s="137"/>
      <c r="T416" s="137"/>
      <c r="U416" s="137"/>
    </row>
    <row r="417" spans="1:21">
      <c r="A417" s="38">
        <v>64</v>
      </c>
      <c r="B417" t="s">
        <v>124</v>
      </c>
      <c r="C417" t="s">
        <v>66</v>
      </c>
      <c r="D417" s="97" t="e">
        <f>_xlfn.XLOOKUP(A417,[1]CPD_SOP_new!$A:$A,[1]CPD_SOP_new!#REF!,"not found",0 )</f>
        <v>#REF!</v>
      </c>
      <c r="E417" s="97" t="str">
        <f>_xlfn.XLOOKUP(A417,[1]CPD_SOP_new!$A:$A,[1]CPD_SOP_new!$K:$K,"not found",0 )</f>
        <v>F3L</v>
      </c>
      <c r="F417" t="s">
        <v>27</v>
      </c>
      <c r="G417" t="s">
        <v>27</v>
      </c>
      <c r="H417" t="s">
        <v>27</v>
      </c>
      <c r="I417" t="s">
        <v>28</v>
      </c>
      <c r="J417" t="s">
        <v>124</v>
      </c>
      <c r="K417" s="85" t="str">
        <f t="shared" si="6"/>
        <v>/mnt/measurements/07_CANape/Mitsubishi/5K45/MMC5.0.0_RC3_with_resetfix/CPD/TC64_Try_3.MF4.xz,child,RadarFC_Master,child (ncap3),CPD,dummy</v>
      </c>
      <c r="L417" s="85" t="s">
        <v>3494</v>
      </c>
      <c r="M417" t="s">
        <v>567</v>
      </c>
      <c r="N417" s="129" t="s">
        <v>475</v>
      </c>
      <c r="O417" s="137"/>
      <c r="P417" s="137"/>
      <c r="Q417" s="137"/>
      <c r="R417" s="137"/>
      <c r="S417" s="137"/>
      <c r="T417" s="137"/>
      <c r="U417" s="137"/>
    </row>
    <row r="418" spans="1:21">
      <c r="A418" s="77">
        <v>65</v>
      </c>
      <c r="B418" t="s">
        <v>124</v>
      </c>
      <c r="C418" t="s">
        <v>253</v>
      </c>
      <c r="D418" s="97" t="e">
        <f>_xlfn.XLOOKUP(A418,[1]CPD_SOP_new!$A:$A,[1]CPD_SOP_new!#REF!,"not found",0 )</f>
        <v>#REF!</v>
      </c>
      <c r="E418" s="97" t="s">
        <v>26</v>
      </c>
      <c r="F418" t="s">
        <v>28</v>
      </c>
      <c r="G418" t="s">
        <v>28</v>
      </c>
      <c r="H418" t="s">
        <v>27</v>
      </c>
      <c r="I418" t="s">
        <v>28</v>
      </c>
      <c r="J418" t="s">
        <v>124</v>
      </c>
      <c r="K418" s="85" t="str">
        <f t="shared" si="6"/>
        <v>/mnt/measurements/07_CANape/Mitsubishi/5K45/MMC5.0.0_RC3/Real_Child_Tests/CSR_XCP_Signals_Recorder_2025-12-11_10-11-15_TC65_6YO_1R_CPD.MF4.xz,child,RadarFC_Master,child (ncap3),CPD,realchild</v>
      </c>
      <c r="L418" s="85" t="s">
        <v>3495</v>
      </c>
      <c r="M418" t="s">
        <v>568</v>
      </c>
      <c r="N418" s="132" t="s">
        <v>217</v>
      </c>
    </row>
    <row r="419" spans="1:21">
      <c r="A419" s="77">
        <v>65</v>
      </c>
      <c r="B419" t="s">
        <v>124</v>
      </c>
      <c r="C419" t="s">
        <v>253</v>
      </c>
      <c r="D419" s="97" t="e">
        <f>_xlfn.XLOOKUP(A419,[1]CPD_SOP_new!$A:$A,[1]CPD_SOP_new!#REF!,"not found",0 )</f>
        <v>#REF!</v>
      </c>
      <c r="E419" s="97" t="s">
        <v>26</v>
      </c>
      <c r="F419" t="s">
        <v>28</v>
      </c>
      <c r="G419" t="s">
        <v>28</v>
      </c>
      <c r="H419" t="s">
        <v>27</v>
      </c>
      <c r="I419" t="s">
        <v>28</v>
      </c>
      <c r="J419" t="s">
        <v>124</v>
      </c>
      <c r="K419" s="85" t="str">
        <f t="shared" si="6"/>
        <v>/mnt/measurements/07_CANape/Mitsubishi/5K45/MMC5.0.0_RC3/Real_Child_Tests/CSR_XCP_Signals_Recorder_2025-12-11_10-20-02_TC65_6YO_1R_CPD.MF4.xz,child,RadarFC_Master,child (ncap3),CPD,realchild</v>
      </c>
      <c r="L419" s="85" t="s">
        <v>3496</v>
      </c>
      <c r="M419" t="s">
        <v>570</v>
      </c>
      <c r="N419" s="132" t="s">
        <v>217</v>
      </c>
    </row>
    <row r="420" spans="1:21" s="130" customFormat="1" hidden="1">
      <c r="A420" s="78">
        <v>69</v>
      </c>
      <c r="B420" s="130" t="s">
        <v>124</v>
      </c>
      <c r="C420" s="130" t="s">
        <v>253</v>
      </c>
      <c r="D420" s="97" t="e">
        <f>_xlfn.XLOOKUP(A420,[1]CPD_SOP_new!$A:$A,[1]CPD_SOP_new!#REF!,"not found",0 )</f>
        <v>#REF!</v>
      </c>
      <c r="E420" s="97" t="str">
        <f>_xlfn.XLOOKUP(A420,[1]CPD_SOP_new!$A:$A,[1]CPD_SOP_new!$K:$K,"not found",0 )</f>
        <v>2L</v>
      </c>
      <c r="F420" s="130" t="s">
        <v>28</v>
      </c>
      <c r="G420" s="130" t="s">
        <v>28</v>
      </c>
      <c r="H420" s="130" t="s">
        <v>28</v>
      </c>
      <c r="I420" s="130" t="s">
        <v>27</v>
      </c>
      <c r="J420" s="137" t="s">
        <v>607</v>
      </c>
      <c r="K420" s="85" t="str">
        <f t="shared" si="6"/>
        <v>/mnt/measurements/07_CANape/Mitsubishi/5K45/MMC4.1.2/Validation/2025_12_02/ChildAwake/TC_69_Try1.MF4.xz,m_CpdFuncActive = 8, CPD is in INIT,RadarFC_Master,m_CpdFuncActive = 8, CPD is in INIT (ncap3),CPD,realchild</v>
      </c>
      <c r="L420" s="85" t="s">
        <v>3497</v>
      </c>
      <c r="M420" s="62" t="s">
        <v>608</v>
      </c>
      <c r="N420" s="86" t="s">
        <v>371</v>
      </c>
    </row>
    <row r="421" spans="1:21" s="130" customFormat="1" hidden="1">
      <c r="A421" s="78">
        <v>69</v>
      </c>
      <c r="B421" s="130" t="s">
        <v>124</v>
      </c>
      <c r="C421" s="130" t="s">
        <v>253</v>
      </c>
      <c r="D421" s="97" t="e">
        <f>_xlfn.XLOOKUP(A421,[1]CPD_SOP_new!$A:$A,[1]CPD_SOP_new!#REF!,"not found",0 )</f>
        <v>#REF!</v>
      </c>
      <c r="E421" s="97" t="str">
        <f>_xlfn.XLOOKUP(A421,[1]CPD_SOP_new!$A:$A,[1]CPD_SOP_new!$K:$K,"not found",0 )</f>
        <v>2L</v>
      </c>
      <c r="F421" s="130" t="s">
        <v>28</v>
      </c>
      <c r="G421" s="130" t="s">
        <v>28</v>
      </c>
      <c r="H421" s="130" t="s">
        <v>28</v>
      </c>
      <c r="I421" s="130" t="s">
        <v>27</v>
      </c>
      <c r="J421" s="137" t="s">
        <v>68</v>
      </c>
      <c r="K421" s="85" t="str">
        <f t="shared" si="6"/>
        <v>/mnt/measurements/07_CANape/Mitsubishi/5K45/MMC4.1.2/Validation/2025_12_02/ChildAwake/TC_69_Try2.MF4.xz,remove, real child mea available,RadarFC_Master,remove, real child mea available (ncap3),CPD,realchild</v>
      </c>
      <c r="L421" s="85" t="s">
        <v>3498</v>
      </c>
      <c r="M421" s="62" t="s">
        <v>609</v>
      </c>
      <c r="N421" s="86" t="s">
        <v>371</v>
      </c>
    </row>
    <row r="422" spans="1:21" s="130" customFormat="1" hidden="1">
      <c r="A422" s="78">
        <v>69</v>
      </c>
      <c r="B422" s="130" t="s">
        <v>124</v>
      </c>
      <c r="C422" s="130" t="s">
        <v>253</v>
      </c>
      <c r="D422" s="97" t="e">
        <f>_xlfn.XLOOKUP(A422,[1]CPD_SOP_new!$A:$A,[1]CPD_SOP_new!#REF!,"not found",0 )</f>
        <v>#REF!</v>
      </c>
      <c r="E422" s="97" t="str">
        <f>_xlfn.XLOOKUP(A422,[1]CPD_SOP_new!$A:$A,[1]CPD_SOP_new!$K:$K,"not found",0 )</f>
        <v>2L</v>
      </c>
      <c r="F422" s="130" t="s">
        <v>28</v>
      </c>
      <c r="G422" s="130" t="s">
        <v>28</v>
      </c>
      <c r="H422" s="130" t="s">
        <v>28</v>
      </c>
      <c r="I422" s="130" t="s">
        <v>27</v>
      </c>
      <c r="J422" s="137" t="s">
        <v>68</v>
      </c>
      <c r="K422" s="85" t="str">
        <f t="shared" si="6"/>
        <v>/mnt/measurements/07_CANape/Mitsubishi/5K45/MMC4.1.2/Validation/2025_12_02/ChildAwake/TC_69_Try3.MF4.xz,remove, real child mea available,RadarFC_Master,remove, real child mea available (ncap3),CPD,realchild</v>
      </c>
      <c r="L422" s="85" t="s">
        <v>3499</v>
      </c>
      <c r="M422" s="62" t="s">
        <v>610</v>
      </c>
      <c r="N422" s="86" t="s">
        <v>371</v>
      </c>
    </row>
    <row r="423" spans="1:21" s="130" customFormat="1" hidden="1">
      <c r="A423" s="78">
        <v>70</v>
      </c>
      <c r="B423" s="130" t="s">
        <v>124</v>
      </c>
      <c r="C423" s="130" t="s">
        <v>253</v>
      </c>
      <c r="D423" s="97" t="e">
        <f>_xlfn.XLOOKUP(A423,[1]CPD_SOP_new!$A:$A,[1]CPD_SOP_new!#REF!,"not found",0 )</f>
        <v>#REF!</v>
      </c>
      <c r="E423" s="97" t="str">
        <f>_xlfn.XLOOKUP(A423,[1]CPD_SOP_new!$A:$A,[1]CPD_SOP_new!$K:$K,"not found",0 )</f>
        <v>2C</v>
      </c>
      <c r="F423" s="130" t="s">
        <v>28</v>
      </c>
      <c r="G423" s="130" t="s">
        <v>28</v>
      </c>
      <c r="H423" s="130" t="s">
        <v>28</v>
      </c>
      <c r="I423" s="130" t="s">
        <v>27</v>
      </c>
      <c r="J423" s="130" t="s">
        <v>611</v>
      </c>
      <c r="K423" s="85" t="str">
        <f t="shared" si="6"/>
        <v>/mnt/measurements/07_CANape/Mitsubishi/5K45/MMC5.0.0_RC3/Real_Child_Tests/CSR_XCP_Signals_Recorder_2025-12-10_10-50-49_TC70_6YO2RC_CPD.MF4.xz,m_CpdFuncActive = 7, CPD degraded,RadarFC_Master,m_CpdFuncActive = 7, CPD degraded (ncap3),CPD,realchild</v>
      </c>
      <c r="L423" s="85" t="s">
        <v>3500</v>
      </c>
      <c r="M423" s="61" t="s">
        <v>612</v>
      </c>
      <c r="N423" s="86" t="s">
        <v>217</v>
      </c>
    </row>
    <row r="424" spans="1:21" s="130" customFormat="1" hidden="1">
      <c r="A424" s="78">
        <v>70</v>
      </c>
      <c r="B424" s="130" t="s">
        <v>124</v>
      </c>
      <c r="C424" s="130" t="s">
        <v>253</v>
      </c>
      <c r="D424" s="97" t="e">
        <f>_xlfn.XLOOKUP(A424,[1]CPD_SOP_new!$A:$A,[1]CPD_SOP_new!#REF!,"not found",0 )</f>
        <v>#REF!</v>
      </c>
      <c r="E424" s="97" t="str">
        <f>_xlfn.XLOOKUP(A424,[1]CPD_SOP_new!$A:$A,[1]CPD_SOP_new!$K:$K,"not found",0 )</f>
        <v>2C</v>
      </c>
      <c r="F424" s="130" t="s">
        <v>28</v>
      </c>
      <c r="G424" s="130" t="s">
        <v>28</v>
      </c>
      <c r="H424" s="130" t="s">
        <v>28</v>
      </c>
      <c r="I424" s="130" t="s">
        <v>27</v>
      </c>
      <c r="J424" s="130" t="s">
        <v>644</v>
      </c>
      <c r="K424" s="85" t="str">
        <f t="shared" si="6"/>
        <v>/mnt/measurements/07_CANape/Mitsubishi/5K45/MMC5.0.0_RC3/Real_Child_Tests/CSR_XCP_Signals_Recorder_2025-12-10_10-52-35_TC70_6YO2RC_CPD.MF4.xz,Short seqquence,RadarFC_Master,Short seqquence (ncap3),CPD,realchild</v>
      </c>
      <c r="L424" s="85" t="s">
        <v>3501</v>
      </c>
      <c r="M424" s="61" t="s">
        <v>645</v>
      </c>
      <c r="N424" s="86" t="s">
        <v>217</v>
      </c>
    </row>
    <row r="425" spans="1:21" s="130" customFormat="1" hidden="1">
      <c r="A425" s="78">
        <v>70</v>
      </c>
      <c r="B425" s="130" t="s">
        <v>124</v>
      </c>
      <c r="C425" s="130" t="s">
        <v>253</v>
      </c>
      <c r="D425" s="97" t="e">
        <f>_xlfn.XLOOKUP(A425,[1]CPD_SOP_new!$A:$A,[1]CPD_SOP_new!#REF!,"not found",0 )</f>
        <v>#REF!</v>
      </c>
      <c r="E425" s="97" t="str">
        <f>_xlfn.XLOOKUP(A425,[1]CPD_SOP_new!$A:$A,[1]CPD_SOP_new!$K:$K,"not found",0 )</f>
        <v>2C</v>
      </c>
      <c r="F425" s="130" t="s">
        <v>28</v>
      </c>
      <c r="G425" s="130" t="s">
        <v>28</v>
      </c>
      <c r="H425" s="130" t="s">
        <v>28</v>
      </c>
      <c r="I425" s="130" t="s">
        <v>27</v>
      </c>
      <c r="J425" s="130" t="s">
        <v>644</v>
      </c>
      <c r="K425" s="85" t="str">
        <f t="shared" si="6"/>
        <v>/mnt/measurements/07_CANape/Mitsubishi/5K45/MMC5.0.0_RC3/Real_Child_Tests/CSR_XCP_Signals_Recorder_2025-12-10_10-54-48_TC70_6YO2RC_CPD.MF4.xz,Short seqquence,RadarFC_Master,Short seqquence (ncap3),CPD,realchild</v>
      </c>
      <c r="L425" s="85" t="s">
        <v>3502</v>
      </c>
      <c r="M425" s="130" t="s">
        <v>646</v>
      </c>
      <c r="N425" s="63" t="s">
        <v>217</v>
      </c>
    </row>
    <row r="426" spans="1:21" s="130" customFormat="1" hidden="1">
      <c r="A426" s="78">
        <v>70</v>
      </c>
      <c r="B426" s="130" t="s">
        <v>124</v>
      </c>
      <c r="C426" s="130" t="s">
        <v>253</v>
      </c>
      <c r="D426" s="97" t="e">
        <f>_xlfn.XLOOKUP(A426,[1]CPD_SOP_new!$A:$A,[1]CPD_SOP_new!#REF!,"not found",0 )</f>
        <v>#REF!</v>
      </c>
      <c r="E426" s="97" t="str">
        <f>_xlfn.XLOOKUP(A426,[1]CPD_SOP_new!$A:$A,[1]CPD_SOP_new!$K:$K,"not found",0 )</f>
        <v>2C</v>
      </c>
      <c r="F426" s="130" t="s">
        <v>28</v>
      </c>
      <c r="G426" s="130" t="s">
        <v>28</v>
      </c>
      <c r="H426" s="130" t="s">
        <v>28</v>
      </c>
      <c r="I426" s="130" t="s">
        <v>27</v>
      </c>
      <c r="J426" s="130" t="s">
        <v>611</v>
      </c>
      <c r="K426" s="85" t="str">
        <f t="shared" si="6"/>
        <v>/mnt/measurements/07_CANape/Mitsubishi/5K45/MMC5.0.0_RC3/Real_Child_Tests/CSR_XCP_Signals_Recorder_2025-12-10_11-00-30_TC70_6YO2RC_CPD.MF4.xz,m_CpdFuncActive = 7, CPD degraded,RadarFC_Master,m_CpdFuncActive = 7, CPD degraded (ncap3),CPD,realchild</v>
      </c>
      <c r="L426" s="85" t="s">
        <v>3503</v>
      </c>
      <c r="M426" s="130" t="s">
        <v>647</v>
      </c>
      <c r="N426" s="63" t="s">
        <v>217</v>
      </c>
    </row>
    <row r="427" spans="1:21" s="130" customFormat="1" hidden="1">
      <c r="A427" s="78">
        <v>70</v>
      </c>
      <c r="B427" s="130" t="s">
        <v>124</v>
      </c>
      <c r="C427" s="130" t="s">
        <v>253</v>
      </c>
      <c r="D427" s="97" t="e">
        <f>_xlfn.XLOOKUP(A427,[1]CPD_SOP_new!$A:$A,[1]CPD_SOP_new!#REF!,"not found",0 )</f>
        <v>#REF!</v>
      </c>
      <c r="E427" s="97" t="str">
        <f>_xlfn.XLOOKUP(A427,[1]CPD_SOP_new!$A:$A,[1]CPD_SOP_new!$K:$K,"not found",0 )</f>
        <v>2C</v>
      </c>
      <c r="F427" s="130" t="s">
        <v>28</v>
      </c>
      <c r="G427" s="130" t="s">
        <v>28</v>
      </c>
      <c r="H427" s="130" t="s">
        <v>28</v>
      </c>
      <c r="I427" s="130" t="s">
        <v>27</v>
      </c>
      <c r="J427" s="130" t="s">
        <v>611</v>
      </c>
      <c r="K427" s="85" t="str">
        <f t="shared" si="6"/>
        <v>/mnt/measurements/07_CANape/Mitsubishi/5K45/MMC5.0.0_RC3/Real_Child_Tests/CSR_XCP_Signals_Recorder_2025-12-10_11-02-28_TC70_6YO2RC_CPD.MF4.xz,m_CpdFuncActive = 7, CPD degraded,RadarFC_Master,m_CpdFuncActive = 7, CPD degraded (ncap3),CPD,realchild</v>
      </c>
      <c r="L427" s="85" t="s">
        <v>3504</v>
      </c>
      <c r="M427" s="130" t="s">
        <v>719</v>
      </c>
      <c r="N427" s="63" t="s">
        <v>217</v>
      </c>
    </row>
    <row r="428" spans="1:21">
      <c r="A428" s="77">
        <v>65</v>
      </c>
      <c r="B428" t="s">
        <v>124</v>
      </c>
      <c r="C428" t="s">
        <v>253</v>
      </c>
      <c r="D428" s="97" t="e">
        <f>_xlfn.XLOOKUP(A428,[1]CPD_SOP_new!$A:$A,[1]CPD_SOP_new!#REF!,"not found",0 )</f>
        <v>#REF!</v>
      </c>
      <c r="E428" s="97" t="s">
        <v>26</v>
      </c>
      <c r="F428" t="s">
        <v>28</v>
      </c>
      <c r="G428" t="s">
        <v>28</v>
      </c>
      <c r="H428" t="s">
        <v>27</v>
      </c>
      <c r="I428" t="s">
        <v>28</v>
      </c>
      <c r="J428" t="s">
        <v>124</v>
      </c>
      <c r="K428" s="85" t="str">
        <f t="shared" si="6"/>
        <v>/mnt/measurements/07_CANape/Mitsubishi/5K45/MMC5.0.0_RC3/Real_Child_Tests/CSR_XCP_Signals_Recorder_2025-12-11_10-23-00_TC65_6YO_1R_CPD.MF4.xz,child,RadarFC_Master,child (ncap3),CPD,realchild</v>
      </c>
      <c r="L428" s="85" t="s">
        <v>3505</v>
      </c>
      <c r="M428" s="60" t="s">
        <v>571</v>
      </c>
      <c r="N428" s="132" t="s">
        <v>217</v>
      </c>
    </row>
    <row r="429" spans="1:21">
      <c r="A429" s="77">
        <v>65</v>
      </c>
      <c r="B429" t="s">
        <v>124</v>
      </c>
      <c r="C429" t="s">
        <v>253</v>
      </c>
      <c r="D429" s="97" t="e">
        <f>_xlfn.XLOOKUP(A429,[1]CPD_SOP_new!$A:$A,[1]CPD_SOP_new!#REF!,"not found",0 )</f>
        <v>#REF!</v>
      </c>
      <c r="E429" s="97" t="s">
        <v>26</v>
      </c>
      <c r="F429" t="s">
        <v>28</v>
      </c>
      <c r="G429" t="s">
        <v>28</v>
      </c>
      <c r="H429" t="s">
        <v>27</v>
      </c>
      <c r="I429" t="s">
        <v>28</v>
      </c>
      <c r="J429" t="s">
        <v>124</v>
      </c>
      <c r="K429" s="85" t="str">
        <f t="shared" si="6"/>
        <v>/mnt/measurements/07_CANape/Mitsubishi/5K45/MMC5.0.0_RC3/Real_Child_Tests/CSR_XCP_Signals_Recorder_2025-12-11_10-25-45_TC65_6YO_1R_CPD.MF4.xz,child,RadarFC_Master,child (ncap3),CPD,realchild</v>
      </c>
      <c r="L429" s="85" t="s">
        <v>3506</v>
      </c>
      <c r="M429" s="60" t="s">
        <v>572</v>
      </c>
      <c r="N429" s="132" t="s">
        <v>217</v>
      </c>
    </row>
    <row r="430" spans="1:21">
      <c r="A430" s="77">
        <v>66</v>
      </c>
      <c r="B430" t="s">
        <v>124</v>
      </c>
      <c r="C430" t="s">
        <v>253</v>
      </c>
      <c r="D430" s="97" t="e">
        <f>_xlfn.XLOOKUP(A430,[1]CPD_SOP_new!$A:$A,[1]CPD_SOP_new!#REF!,"not found",0 )</f>
        <v>#REF!</v>
      </c>
      <c r="E430" s="97" t="str">
        <f>_xlfn.XLOOKUP(A430,[1]CPD_SOP_new!$A:$A,[1]CPD_SOP_new!$K:$K,"not found",0 )</f>
        <v>2R</v>
      </c>
      <c r="F430" t="s">
        <v>28</v>
      </c>
      <c r="G430" t="s">
        <v>28</v>
      </c>
      <c r="H430" t="s">
        <v>28</v>
      </c>
      <c r="I430" t="s">
        <v>28</v>
      </c>
      <c r="J430" t="s">
        <v>124</v>
      </c>
      <c r="K430" s="85" t="str">
        <f t="shared" si="6"/>
        <v>/mnt/measurements/07_CANape/Mitsubishi/5K45/MMC5.0.0_RC3/Real_Child_Tests/CSR_XCP_Signals_Recorder_2025-12-10_17-19-17_TC66_6YO2RR_CPD.MF4.xz,child,RadarFC_Master,child (ncap3),CPD,realchild</v>
      </c>
      <c r="L430" s="85" t="s">
        <v>3507</v>
      </c>
      <c r="M430" s="60" t="s">
        <v>576</v>
      </c>
      <c r="N430" t="s">
        <v>217</v>
      </c>
    </row>
    <row r="431" spans="1:21">
      <c r="A431" s="77">
        <v>66</v>
      </c>
      <c r="B431" t="s">
        <v>124</v>
      </c>
      <c r="C431" t="s">
        <v>253</v>
      </c>
      <c r="D431" s="97" t="e">
        <f>_xlfn.XLOOKUP(A431,[1]CPD_SOP_new!$A:$A,[1]CPD_SOP_new!#REF!,"not found",0 )</f>
        <v>#REF!</v>
      </c>
      <c r="E431" s="97" t="str">
        <f>_xlfn.XLOOKUP(A431,[1]CPD_SOP_new!$A:$A,[1]CPD_SOP_new!$K:$K,"not found",0 )</f>
        <v>2R</v>
      </c>
      <c r="F431" t="s">
        <v>28</v>
      </c>
      <c r="G431" t="s">
        <v>28</v>
      </c>
      <c r="H431" t="s">
        <v>28</v>
      </c>
      <c r="I431" t="s">
        <v>28</v>
      </c>
      <c r="J431" t="s">
        <v>124</v>
      </c>
      <c r="K431" s="85" t="str">
        <f t="shared" si="6"/>
        <v>/mnt/measurements/07_CANape/Mitsubishi/5K45/MMC5.0.0_RC3/Real_Child_Tests/CSR_XCP_Signals_Recorder_2025-12-10_17-24-11_TC66__6YO2RR_CPD.MF4.xz,child,RadarFC_Master,child (ncap3),CPD,realchild</v>
      </c>
      <c r="L431" s="85" t="s">
        <v>3508</v>
      </c>
      <c r="M431" s="60" t="s">
        <v>578</v>
      </c>
      <c r="N431" t="s">
        <v>217</v>
      </c>
    </row>
    <row r="432" spans="1:21">
      <c r="A432" s="77">
        <v>66</v>
      </c>
      <c r="B432" t="s">
        <v>124</v>
      </c>
      <c r="C432" t="s">
        <v>253</v>
      </c>
      <c r="D432" s="97" t="e">
        <f>_xlfn.XLOOKUP(A432,[1]CPD_SOP_new!$A:$A,[1]CPD_SOP_new!#REF!,"not found",0 )</f>
        <v>#REF!</v>
      </c>
      <c r="E432" s="97" t="str">
        <f>_xlfn.XLOOKUP(A432,[1]CPD_SOP_new!$A:$A,[1]CPD_SOP_new!$K:$K,"not found",0 )</f>
        <v>2R</v>
      </c>
      <c r="F432" t="s">
        <v>28</v>
      </c>
      <c r="G432" t="s">
        <v>28</v>
      </c>
      <c r="H432" t="s">
        <v>28</v>
      </c>
      <c r="I432" t="s">
        <v>28</v>
      </c>
      <c r="J432" t="s">
        <v>124</v>
      </c>
      <c r="K432" s="85" t="str">
        <f t="shared" si="6"/>
        <v>/mnt/measurements/07_CANape/Mitsubishi/5K45/MMC5.0.0_RC3/Real_Child_Tests/CSR_XCP_Signals_Recorder_2025-12-10_17-25-54_TC66__6YO2RR_CPD.MF4.xz,child,RadarFC_Master,child (ncap3),CPD,realchild</v>
      </c>
      <c r="L432" s="85" t="s">
        <v>3509</v>
      </c>
      <c r="M432" s="60" t="s">
        <v>579</v>
      </c>
      <c r="N432" t="s">
        <v>217</v>
      </c>
    </row>
    <row r="433" spans="1:14">
      <c r="A433" s="77">
        <v>66</v>
      </c>
      <c r="B433" t="s">
        <v>124</v>
      </c>
      <c r="C433" t="s">
        <v>253</v>
      </c>
      <c r="D433" s="97" t="e">
        <f>_xlfn.XLOOKUP(A433,[1]CPD_SOP_new!$A:$A,[1]CPD_SOP_new!#REF!,"not found",0 )</f>
        <v>#REF!</v>
      </c>
      <c r="E433" s="97" t="str">
        <f>_xlfn.XLOOKUP(A433,[1]CPD_SOP_new!$A:$A,[1]CPD_SOP_new!$K:$K,"not found",0 )</f>
        <v>2R</v>
      </c>
      <c r="F433" t="s">
        <v>28</v>
      </c>
      <c r="G433" t="s">
        <v>28</v>
      </c>
      <c r="H433" t="s">
        <v>28</v>
      </c>
      <c r="I433" t="s">
        <v>28</v>
      </c>
      <c r="J433" t="s">
        <v>124</v>
      </c>
      <c r="K433" s="85" t="str">
        <f t="shared" si="6"/>
        <v>/mnt/measurements/07_CANape/Mitsubishi/5K45/MMC5.0.0_RC3/Real_Child_Tests/CSR_XCP_Signals_Recorder_2025-12-10_17-27-22_TC66__6YO2RR_CPD.MF4.xz,child,RadarFC_Master,child (ncap3),CPD,realchild</v>
      </c>
      <c r="L433" s="85" t="s">
        <v>3510</v>
      </c>
      <c r="M433" t="s">
        <v>580</v>
      </c>
      <c r="N433" t="s">
        <v>217</v>
      </c>
    </row>
    <row r="434" spans="1:14">
      <c r="A434" s="77">
        <v>66</v>
      </c>
      <c r="B434" t="s">
        <v>124</v>
      </c>
      <c r="C434" t="s">
        <v>253</v>
      </c>
      <c r="D434" s="97" t="e">
        <f>_xlfn.XLOOKUP(A434,[1]CPD_SOP_new!$A:$A,[1]CPD_SOP_new!#REF!,"not found",0 )</f>
        <v>#REF!</v>
      </c>
      <c r="E434" s="97" t="str">
        <f>_xlfn.XLOOKUP(A434,[1]CPD_SOP_new!$A:$A,[1]CPD_SOP_new!$K:$K,"not found",0 )</f>
        <v>2R</v>
      </c>
      <c r="F434" t="s">
        <v>28</v>
      </c>
      <c r="G434" t="s">
        <v>28</v>
      </c>
      <c r="H434" t="s">
        <v>28</v>
      </c>
      <c r="I434" t="s">
        <v>28</v>
      </c>
      <c r="J434" t="s">
        <v>124</v>
      </c>
      <c r="K434" s="85" t="str">
        <f t="shared" si="6"/>
        <v>/mnt/measurements/07_CANape/Mitsubishi/5K45/MMC5.0.0_RC3/Real_Child_Tests/CSR_XCP_Signals_Recorder_2025-12-10_17-30-40_TC66__6YO2RR_CPD.MF4.xz,child,RadarFC_Master,child (ncap3),CPD,realchild</v>
      </c>
      <c r="L434" s="85" t="s">
        <v>3511</v>
      </c>
      <c r="M434" t="s">
        <v>581</v>
      </c>
      <c r="N434" t="s">
        <v>217</v>
      </c>
    </row>
    <row r="435" spans="1:14">
      <c r="A435" s="77">
        <v>67</v>
      </c>
      <c r="B435" t="s">
        <v>124</v>
      </c>
      <c r="C435" t="s">
        <v>253</v>
      </c>
      <c r="D435" s="97" t="e">
        <f>_xlfn.XLOOKUP(A435,[1]CPD_SOP_new!$A:$A,[1]CPD_SOP_new!#REF!,"not found",0 )</f>
        <v>#REF!</v>
      </c>
      <c r="E435" s="97" t="str">
        <f>_xlfn.XLOOKUP(A435,[1]CPD_SOP_new!$A:$A,[1]CPD_SOP_new!$K:$K,"not found",0 )</f>
        <v>2R</v>
      </c>
      <c r="F435" t="s">
        <v>28</v>
      </c>
      <c r="G435" t="s">
        <v>28</v>
      </c>
      <c r="H435" t="s">
        <v>28</v>
      </c>
      <c r="I435" t="s">
        <v>28</v>
      </c>
      <c r="J435" t="s">
        <v>124</v>
      </c>
      <c r="K435" s="85" t="str">
        <f t="shared" si="6"/>
        <v>/mnt/measurements/07_CANape/Mitsubishi/5K45/MMC5.0.0_RC3/Real_Child_Tests/CSR_XCP_Signals_Recorder_2025-12-11_10-32-41_TC67_6YO_2R_CPD.MF4.xz,child,RadarFC_Master,child (ncap3),CPD,realchild</v>
      </c>
      <c r="L435" s="85" t="s">
        <v>3512</v>
      </c>
      <c r="M435" t="s">
        <v>582</v>
      </c>
      <c r="N435" t="s">
        <v>217</v>
      </c>
    </row>
    <row r="436" spans="1:14">
      <c r="A436" s="77">
        <v>67</v>
      </c>
      <c r="B436" t="s">
        <v>124</v>
      </c>
      <c r="C436" t="s">
        <v>253</v>
      </c>
      <c r="D436" s="97" t="e">
        <f>_xlfn.XLOOKUP(A436,[1]CPD_SOP_new!$A:$A,[1]CPD_SOP_new!#REF!,"not found",0 )</f>
        <v>#REF!</v>
      </c>
      <c r="E436" s="97" t="str">
        <f>_xlfn.XLOOKUP(A436,[1]CPD_SOP_new!$A:$A,[1]CPD_SOP_new!$K:$K,"not found",0 )</f>
        <v>2R</v>
      </c>
      <c r="F436" t="s">
        <v>28</v>
      </c>
      <c r="G436" t="s">
        <v>28</v>
      </c>
      <c r="H436" t="s">
        <v>28</v>
      </c>
      <c r="I436" t="s">
        <v>28</v>
      </c>
      <c r="J436" t="s">
        <v>124</v>
      </c>
      <c r="K436" s="85" t="str">
        <f t="shared" si="6"/>
        <v>/mnt/measurements/07_CANape/Mitsubishi/5K45/MMC5.0.0_RC3/Real_Child_Tests/CSR_XCP_Signals_Recorder_2025-12-11_10-34-11_TC67_6YO_2R_CPD.MF4.xz,child,RadarFC_Master,child (ncap3),CPD,realchild</v>
      </c>
      <c r="L436" s="85" t="s">
        <v>3513</v>
      </c>
      <c r="M436" s="60" t="s">
        <v>584</v>
      </c>
      <c r="N436" t="s">
        <v>217</v>
      </c>
    </row>
    <row r="437" spans="1:14">
      <c r="A437" s="77">
        <v>67</v>
      </c>
      <c r="B437" t="s">
        <v>124</v>
      </c>
      <c r="C437" t="s">
        <v>253</v>
      </c>
      <c r="D437" s="97" t="e">
        <f>_xlfn.XLOOKUP(A437,[1]CPD_SOP_new!$A:$A,[1]CPD_SOP_new!#REF!,"not found",0 )</f>
        <v>#REF!</v>
      </c>
      <c r="E437" s="97" t="str">
        <f>_xlfn.XLOOKUP(A437,[1]CPD_SOP_new!$A:$A,[1]CPD_SOP_new!$K:$K,"not found",0 )</f>
        <v>2R</v>
      </c>
      <c r="F437" t="s">
        <v>28</v>
      </c>
      <c r="G437" t="s">
        <v>28</v>
      </c>
      <c r="H437" t="s">
        <v>28</v>
      </c>
      <c r="I437" t="s">
        <v>28</v>
      </c>
      <c r="J437" t="s">
        <v>124</v>
      </c>
      <c r="K437" s="85" t="str">
        <f t="shared" si="6"/>
        <v>/mnt/measurements/07_CANape/Mitsubishi/5K45/MMC5.0.0_RC3/Real_Child_Tests/CSR_XCP_Signals_Recorder_2025-12-11_10-35-52_TC67_6YO_2R_CPD.MF4.xz,child,RadarFC_Master,child (ncap3),CPD,realchild</v>
      </c>
      <c r="L437" s="85" t="s">
        <v>3514</v>
      </c>
      <c r="M437" s="60" t="s">
        <v>585</v>
      </c>
      <c r="N437" t="s">
        <v>217</v>
      </c>
    </row>
    <row r="438" spans="1:14">
      <c r="A438" s="77">
        <v>67</v>
      </c>
      <c r="B438" t="s">
        <v>124</v>
      </c>
      <c r="C438" t="s">
        <v>253</v>
      </c>
      <c r="D438" s="97" t="e">
        <f>_xlfn.XLOOKUP(A438,[1]CPD_SOP_new!$A:$A,[1]CPD_SOP_new!#REF!,"not found",0 )</f>
        <v>#REF!</v>
      </c>
      <c r="E438" s="97" t="str">
        <f>_xlfn.XLOOKUP(A438,[1]CPD_SOP_new!$A:$A,[1]CPD_SOP_new!$K:$K,"not found",0 )</f>
        <v>2R</v>
      </c>
      <c r="F438" t="s">
        <v>28</v>
      </c>
      <c r="G438" t="s">
        <v>28</v>
      </c>
      <c r="H438" t="s">
        <v>28</v>
      </c>
      <c r="I438" t="s">
        <v>28</v>
      </c>
      <c r="J438" t="s">
        <v>124</v>
      </c>
      <c r="K438" s="85" t="str">
        <f t="shared" si="6"/>
        <v>/mnt/measurements/07_CANape/Mitsubishi/5K45/MMC5.0.0_RC3/Real_Child_Tests/CSR_XCP_Signals_Recorder_2025-12-11_10-38-31_TC67_6YO_2R_CPD.MF4.xz,child,RadarFC_Master,child (ncap3),CPD,realchild</v>
      </c>
      <c r="L438" s="85" t="s">
        <v>3515</v>
      </c>
      <c r="M438" s="60" t="s">
        <v>586</v>
      </c>
      <c r="N438" t="s">
        <v>217</v>
      </c>
    </row>
    <row r="439" spans="1:14">
      <c r="A439" s="77">
        <v>67</v>
      </c>
      <c r="B439" t="s">
        <v>124</v>
      </c>
      <c r="C439" t="s">
        <v>253</v>
      </c>
      <c r="D439" s="97" t="e">
        <f>_xlfn.XLOOKUP(A439,[1]CPD_SOP_new!$A:$A,[1]CPD_SOP_new!#REF!,"not found",0 )</f>
        <v>#REF!</v>
      </c>
      <c r="E439" s="97" t="str">
        <f>_xlfn.XLOOKUP(A439,[1]CPD_SOP_new!$A:$A,[1]CPD_SOP_new!$K:$K,"not found",0 )</f>
        <v>2R</v>
      </c>
      <c r="F439" t="s">
        <v>28</v>
      </c>
      <c r="G439" t="s">
        <v>28</v>
      </c>
      <c r="H439" t="s">
        <v>28</v>
      </c>
      <c r="I439" t="s">
        <v>28</v>
      </c>
      <c r="J439" t="s">
        <v>124</v>
      </c>
      <c r="K439" s="85" t="str">
        <f t="shared" si="6"/>
        <v>/mnt/measurements/07_CANape/Mitsubishi/5K45/MMC5.0.0_RC3/Real_Child_Tests/CSR_XCP_Signals_Recorder_2025-12-11_10-30-51_TC67_6YO_2R_CPD.MF4.xz,child,RadarFC_Master,child (ncap3),CPD,realchild</v>
      </c>
      <c r="L439" s="85" t="s">
        <v>3516</v>
      </c>
      <c r="M439" s="11" t="s">
        <v>587</v>
      </c>
      <c r="N439" t="s">
        <v>217</v>
      </c>
    </row>
    <row r="440" spans="1:14">
      <c r="A440" s="77">
        <v>68</v>
      </c>
      <c r="B440" t="s">
        <v>124</v>
      </c>
      <c r="C440" t="s">
        <v>253</v>
      </c>
      <c r="D440" s="97" t="e">
        <f>_xlfn.XLOOKUP(A440,[1]CPD_SOP_new!$A:$A,[1]CPD_SOP_new!#REF!,"not found",0 )</f>
        <v>#REF!</v>
      </c>
      <c r="E440" s="97" t="str">
        <f>_xlfn.XLOOKUP(A440,[1]CPD_SOP_new!$A:$A,[1]CPD_SOP_new!$K:$K,"not found",0 )</f>
        <v>2L</v>
      </c>
      <c r="F440" t="s">
        <v>27</v>
      </c>
      <c r="G440" t="s">
        <v>28</v>
      </c>
      <c r="H440" t="s">
        <v>28</v>
      </c>
      <c r="I440" t="s">
        <v>28</v>
      </c>
      <c r="J440" t="s">
        <v>124</v>
      </c>
      <c r="K440" s="85" t="str">
        <f t="shared" si="6"/>
        <v>/mnt/measurements/07_CANape/Mitsubishi/5K45/MMC5.0.0_RC3_with_resetfix/CPD/TC68_Try_1.MF4.xz,child,RadarFC_Master,child (ncap3),CPD,dummy</v>
      </c>
      <c r="L440" s="85" t="s">
        <v>3517</v>
      </c>
      <c r="M440" s="132" t="s">
        <v>594</v>
      </c>
      <c r="N440" s="132" t="s">
        <v>475</v>
      </c>
    </row>
    <row r="441" spans="1:14" s="137" customFormat="1" hidden="1">
      <c r="A441" s="79">
        <v>71</v>
      </c>
      <c r="B441" s="137" t="s">
        <v>124</v>
      </c>
      <c r="C441" s="137" t="s">
        <v>253</v>
      </c>
      <c r="D441" s="97" t="e">
        <f>_xlfn.XLOOKUP(A441,[1]CPD_SOP_new!$A:$A,[1]CPD_SOP_new!#REF!,"not found",0 )</f>
        <v>#REF!</v>
      </c>
      <c r="E441" s="97" t="str">
        <f>_xlfn.XLOOKUP(A441,[1]CPD_SOP_new!$A:$A,[1]CPD_SOP_new!$K:$K,"not found",0 )</f>
        <v>3R</v>
      </c>
      <c r="F441" s="137" t="s">
        <v>27</v>
      </c>
      <c r="G441" s="137" t="s">
        <v>27</v>
      </c>
      <c r="H441" s="137" t="s">
        <v>27</v>
      </c>
      <c r="I441" s="137" t="s">
        <v>27</v>
      </c>
      <c r="J441" s="137" t="s">
        <v>544</v>
      </c>
      <c r="K441" s="85" t="str">
        <f t="shared" si="6"/>
        <v>/mnt/measurements/07_CANape/Mitsubishi/5K45/MMC4.1.2/Validation/2025_11_28/orderedByTargetType/child/Sleep/TC_71_Try1.MF4.xz,detection is deatcivated in mea (CpdFuncActive =5),RadarFC_Master,detection is deatcivated in mea (CpdFuncActive =5) (ncap3),CPD,dummy</v>
      </c>
      <c r="L441" s="85" t="s">
        <v>3518</v>
      </c>
      <c r="M441" s="137" t="s">
        <v>895</v>
      </c>
      <c r="N441" s="134" t="s">
        <v>853</v>
      </c>
    </row>
    <row r="442" spans="1:14" s="137" customFormat="1" hidden="1">
      <c r="A442" s="79">
        <v>71</v>
      </c>
      <c r="B442" s="137" t="s">
        <v>124</v>
      </c>
      <c r="C442" s="137" t="s">
        <v>253</v>
      </c>
      <c r="D442" s="97" t="e">
        <f>_xlfn.XLOOKUP(A442,[1]CPD_SOP_new!$A:$A,[1]CPD_SOP_new!#REF!,"not found",0 )</f>
        <v>#REF!</v>
      </c>
      <c r="E442" s="97" t="str">
        <f>_xlfn.XLOOKUP(A442,[1]CPD_SOP_new!$A:$A,[1]CPD_SOP_new!$K:$K,"not found",0 )</f>
        <v>3R</v>
      </c>
      <c r="F442" s="137" t="s">
        <v>27</v>
      </c>
      <c r="G442" s="137" t="s">
        <v>27</v>
      </c>
      <c r="H442" s="137" t="s">
        <v>27</v>
      </c>
      <c r="I442" s="137" t="s">
        <v>27</v>
      </c>
      <c r="J442" s="137" t="s">
        <v>544</v>
      </c>
      <c r="K442" s="85" t="str">
        <f t="shared" si="6"/>
        <v>/mnt/measurements/07_CANape/Mitsubishi/5K45/MMC4.1.2/Validation/2025_11_28/orderedByTargetType/child/Sleep/TC_71_Try2.MF4.xz,detection is deatcivated in mea (CpdFuncActive =5),RadarFC_Master,detection is deatcivated in mea (CpdFuncActive =5) (ncap3),CPD,dummy</v>
      </c>
      <c r="L442" s="85" t="s">
        <v>3519</v>
      </c>
      <c r="M442" s="137" t="s">
        <v>896</v>
      </c>
      <c r="N442" s="134" t="s">
        <v>853</v>
      </c>
    </row>
    <row r="443" spans="1:14" s="137" customFormat="1" hidden="1">
      <c r="A443" s="79">
        <v>71</v>
      </c>
      <c r="B443" s="137" t="s">
        <v>124</v>
      </c>
      <c r="C443" s="137" t="s">
        <v>253</v>
      </c>
      <c r="D443" s="97" t="e">
        <f>_xlfn.XLOOKUP(A443,[1]CPD_SOP_new!$A:$A,[1]CPD_SOP_new!#REF!,"not found",0 )</f>
        <v>#REF!</v>
      </c>
      <c r="E443" s="97" t="str">
        <f>_xlfn.XLOOKUP(A443,[1]CPD_SOP_new!$A:$A,[1]CPD_SOP_new!$K:$K,"not found",0 )</f>
        <v>3R</v>
      </c>
      <c r="F443" s="137" t="s">
        <v>27</v>
      </c>
      <c r="G443" s="137" t="s">
        <v>27</v>
      </c>
      <c r="H443" s="137" t="s">
        <v>27</v>
      </c>
      <c r="I443" s="137" t="s">
        <v>27</v>
      </c>
      <c r="J443" s="137" t="s">
        <v>544</v>
      </c>
      <c r="K443" s="85" t="str">
        <f t="shared" si="6"/>
        <v>/mnt/measurements/07_CANape/Mitsubishi/5K45/MMC4.1.2/Validation/2025_11_28/orderedByTargetType/child/Sleep/TC_71_Try3.MF4.xz,detection is deatcivated in mea (CpdFuncActive =5),RadarFC_Master,detection is deatcivated in mea (CpdFuncActive =5) (ncap3),CPD,dummy</v>
      </c>
      <c r="L443" s="85" t="s">
        <v>3520</v>
      </c>
      <c r="M443" s="137" t="s">
        <v>897</v>
      </c>
      <c r="N443" s="134" t="s">
        <v>853</v>
      </c>
    </row>
    <row r="444" spans="1:14">
      <c r="A444" s="77">
        <v>68</v>
      </c>
      <c r="B444" t="s">
        <v>124</v>
      </c>
      <c r="C444" t="s">
        <v>253</v>
      </c>
      <c r="D444" s="97" t="e">
        <f>_xlfn.XLOOKUP(A444,[1]CPD_SOP_new!$A:$A,[1]CPD_SOP_new!#REF!,"not found",0 )</f>
        <v>#REF!</v>
      </c>
      <c r="E444" s="97" t="str">
        <f>_xlfn.XLOOKUP(A444,[1]CPD_SOP_new!$A:$A,[1]CPD_SOP_new!$K:$K,"not found",0 )</f>
        <v>2L</v>
      </c>
      <c r="F444" t="s">
        <v>27</v>
      </c>
      <c r="G444" t="s">
        <v>28</v>
      </c>
      <c r="H444" t="s">
        <v>28</v>
      </c>
      <c r="I444" t="s">
        <v>28</v>
      </c>
      <c r="J444" t="s">
        <v>124</v>
      </c>
      <c r="K444" s="85" t="str">
        <f t="shared" si="6"/>
        <v>/mnt/measurements/07_CANape/Mitsubishi/5K45/MMC5.0.0_RC3_with_resetfix/CPD/TC68_Try_2.MF4.xz,child,RadarFC_Master,child (ncap3),CPD,dummy</v>
      </c>
      <c r="L444" s="85" t="s">
        <v>3521</v>
      </c>
      <c r="M444" s="132" t="s">
        <v>596</v>
      </c>
      <c r="N444" s="132" t="s">
        <v>475</v>
      </c>
    </row>
    <row r="445" spans="1:14">
      <c r="A445" s="77">
        <v>68</v>
      </c>
      <c r="B445" t="s">
        <v>124</v>
      </c>
      <c r="C445" t="s">
        <v>253</v>
      </c>
      <c r="D445" s="97" t="e">
        <f>_xlfn.XLOOKUP(A445,[1]CPD_SOP_new!$A:$A,[1]CPD_SOP_new!#REF!,"not found",0 )</f>
        <v>#REF!</v>
      </c>
      <c r="E445" s="97" t="str">
        <f>_xlfn.XLOOKUP(A445,[1]CPD_SOP_new!$A:$A,[1]CPD_SOP_new!$K:$K,"not found",0 )</f>
        <v>2L</v>
      </c>
      <c r="F445" t="s">
        <v>27</v>
      </c>
      <c r="G445" t="s">
        <v>28</v>
      </c>
      <c r="H445" t="s">
        <v>28</v>
      </c>
      <c r="I445" t="s">
        <v>28</v>
      </c>
      <c r="J445" t="s">
        <v>124</v>
      </c>
      <c r="K445" s="85" t="str">
        <f t="shared" si="6"/>
        <v>/mnt/measurements/07_CANape/Mitsubishi/5K45/MMC5.0.0_RC3_with_resetfix/CPD/TC68_Try_3.MF4.xz,child,RadarFC_Master,child (ncap3),CPD,dummy</v>
      </c>
      <c r="L445" s="85" t="s">
        <v>3522</v>
      </c>
      <c r="M445" s="132" t="s">
        <v>597</v>
      </c>
      <c r="N445" s="132" t="s">
        <v>475</v>
      </c>
    </row>
    <row r="446" spans="1:14">
      <c r="A446" s="77">
        <v>68</v>
      </c>
      <c r="B446" t="s">
        <v>124</v>
      </c>
      <c r="C446" t="s">
        <v>253</v>
      </c>
      <c r="D446" s="97" t="e">
        <f>_xlfn.XLOOKUP(A446,[1]CPD_SOP_new!$A:$A,[1]CPD_SOP_new!#REF!,"not found",0 )</f>
        <v>#REF!</v>
      </c>
      <c r="E446" s="97" t="str">
        <f>_xlfn.XLOOKUP(A446,[1]CPD_SOP_new!$A:$A,[1]CPD_SOP_new!$K:$K,"not found",0 )</f>
        <v>2L</v>
      </c>
      <c r="F446" t="s">
        <v>27</v>
      </c>
      <c r="G446" t="s">
        <v>28</v>
      </c>
      <c r="H446" t="s">
        <v>28</v>
      </c>
      <c r="I446" t="s">
        <v>28</v>
      </c>
      <c r="J446" t="s">
        <v>124</v>
      </c>
      <c r="K446" s="85" t="str">
        <f t="shared" si="6"/>
        <v>/mnt/measurements/07_CANape/Mitsubishi/5K45/MMC5.0.2/5K457MG57/SmokeTest/SmokeTest_CPD_TC68.MF4.xz,child,RadarFC_Master,child (ncap3),CPD,dummy</v>
      </c>
      <c r="L446" s="85" t="s">
        <v>3523</v>
      </c>
      <c r="M446" s="132" t="s">
        <v>598</v>
      </c>
      <c r="N446" s="132" t="s">
        <v>64</v>
      </c>
    </row>
    <row r="447" spans="1:14" s="137" customFormat="1" hidden="1">
      <c r="A447" s="79">
        <v>72</v>
      </c>
      <c r="B447" s="137" t="s">
        <v>124</v>
      </c>
      <c r="C447" s="137" t="s">
        <v>253</v>
      </c>
      <c r="D447" s="97" t="e">
        <f>_xlfn.XLOOKUP(A447,[1]CPD_SOP_new!$A:$A,[1]CPD_SOP_new!#REF!,"not found",0 )</f>
        <v>#REF!</v>
      </c>
      <c r="E447" s="97" t="str">
        <f>_xlfn.XLOOKUP(A447,[1]CPD_SOP_new!$A:$A,[1]CPD_SOP_new!$K:$K,"not found",0 )</f>
        <v>3R</v>
      </c>
      <c r="F447" s="137" t="s">
        <v>27</v>
      </c>
      <c r="G447" s="137" t="s">
        <v>27</v>
      </c>
      <c r="H447" s="137" t="s">
        <v>27</v>
      </c>
      <c r="I447" s="137" t="s">
        <v>27</v>
      </c>
      <c r="J447" s="137" t="s">
        <v>544</v>
      </c>
      <c r="K447" s="85" t="str">
        <f t="shared" si="6"/>
        <v>/mnt/measurements/07_CANape/Mitsubishi/5K45/MMC4.1.2/Validation/2025_11_28/orderedByTargetType/child/Sleep/TC_72_Try1.MF4.xz,detection is deatcivated in mea (CpdFuncActive =5),RadarFC_Master,detection is deatcivated in mea (CpdFuncActive =5) (ncap3),CPD,dummy</v>
      </c>
      <c r="L447" s="85" t="s">
        <v>3524</v>
      </c>
      <c r="M447" s="137" t="s">
        <v>946</v>
      </c>
      <c r="N447" s="134" t="s">
        <v>853</v>
      </c>
    </row>
    <row r="448" spans="1:14" s="137" customFormat="1" hidden="1">
      <c r="A448" s="79">
        <v>72</v>
      </c>
      <c r="B448" s="137" t="s">
        <v>124</v>
      </c>
      <c r="C448" s="137" t="s">
        <v>253</v>
      </c>
      <c r="D448" s="97" t="e">
        <f>_xlfn.XLOOKUP(A448,[1]CPD_SOP_new!$A:$A,[1]CPD_SOP_new!#REF!,"not found",0 )</f>
        <v>#REF!</v>
      </c>
      <c r="E448" s="97" t="str">
        <f>_xlfn.XLOOKUP(A448,[1]CPD_SOP_new!$A:$A,[1]CPD_SOP_new!$K:$K,"not found",0 )</f>
        <v>3R</v>
      </c>
      <c r="F448" s="137" t="s">
        <v>27</v>
      </c>
      <c r="G448" s="137" t="s">
        <v>27</v>
      </c>
      <c r="H448" s="137" t="s">
        <v>27</v>
      </c>
      <c r="I448" s="137" t="s">
        <v>27</v>
      </c>
      <c r="J448" s="137" t="s">
        <v>544</v>
      </c>
      <c r="K448" s="85" t="str">
        <f t="shared" si="6"/>
        <v>/mnt/measurements/07_CANape/Mitsubishi/5K45/MMC4.1.2/Validation/2025_11_28/orderedByTargetType/child/Sleep/TC_72_Try2.MF4.xz,detection is deatcivated in mea (CpdFuncActive =5),RadarFC_Master,detection is deatcivated in mea (CpdFuncActive =5) (ncap3),CPD,dummy</v>
      </c>
      <c r="L448" s="85" t="s">
        <v>3525</v>
      </c>
      <c r="M448" s="137" t="s">
        <v>957</v>
      </c>
      <c r="N448" s="134" t="s">
        <v>853</v>
      </c>
    </row>
    <row r="449" spans="1:14" s="137" customFormat="1" hidden="1">
      <c r="A449" s="79">
        <v>72</v>
      </c>
      <c r="B449" s="137" t="s">
        <v>124</v>
      </c>
      <c r="C449" s="137" t="s">
        <v>253</v>
      </c>
      <c r="D449" s="97" t="e">
        <f>_xlfn.XLOOKUP(A449,[1]CPD_SOP_new!$A:$A,[1]CPD_SOP_new!#REF!,"not found",0 )</f>
        <v>#REF!</v>
      </c>
      <c r="E449" s="97" t="str">
        <f>_xlfn.XLOOKUP(A449,[1]CPD_SOP_new!$A:$A,[1]CPD_SOP_new!$K:$K,"not found",0 )</f>
        <v>3R</v>
      </c>
      <c r="F449" s="137" t="s">
        <v>27</v>
      </c>
      <c r="G449" s="137" t="s">
        <v>27</v>
      </c>
      <c r="H449" s="137" t="s">
        <v>27</v>
      </c>
      <c r="I449" s="137" t="s">
        <v>27</v>
      </c>
      <c r="J449" s="137" t="s">
        <v>544</v>
      </c>
      <c r="K449" s="85" t="str">
        <f t="shared" si="6"/>
        <v>/mnt/measurements/07_CANape/Mitsubishi/5K45/MMC4.1.2/Validation/2025_11_28/orderedByTargetType/child/Sleep/TC_72_Try3.MF4.xz,detection is deatcivated in mea (CpdFuncActive =5),RadarFC_Master,detection is deatcivated in mea (CpdFuncActive =5) (ncap3),CPD,dummy</v>
      </c>
      <c r="L449" s="85" t="s">
        <v>3526</v>
      </c>
      <c r="M449" s="137" t="s">
        <v>964</v>
      </c>
      <c r="N449" s="134" t="s">
        <v>853</v>
      </c>
    </row>
    <row r="450" spans="1:14">
      <c r="A450" s="77">
        <v>68</v>
      </c>
      <c r="B450" t="s">
        <v>124</v>
      </c>
      <c r="C450" t="s">
        <v>253</v>
      </c>
      <c r="D450" s="97" t="e">
        <f>_xlfn.XLOOKUP(A450,[1]CPD_SOP_new!$A:$A,[1]CPD_SOP_new!#REF!,"not found",0 )</f>
        <v>#REF!</v>
      </c>
      <c r="E450" s="97" t="str">
        <f>_xlfn.XLOOKUP(A450,[1]CPD_SOP_new!$A:$A,[1]CPD_SOP_new!$K:$K,"not found",0 )</f>
        <v>2L</v>
      </c>
      <c r="F450" t="s">
        <v>27</v>
      </c>
      <c r="G450" t="s">
        <v>28</v>
      </c>
      <c r="H450" t="s">
        <v>28</v>
      </c>
      <c r="I450" t="s">
        <v>28</v>
      </c>
      <c r="J450" t="s">
        <v>124</v>
      </c>
      <c r="K450" s="85" t="str">
        <f t="shared" ref="K450:K513" si="7">N450&amp;"/"&amp;M450&amp;","&amp;IF(J450="ncap3","child",J450)&amp;",RadarFC_Master,"&amp;IF(J450="ncap3","child",J450)&amp;IF(B450="ncap1,2"," ("&amp;B450&amp;")","")&amp;IF(B450="ncap3"," ("&amp;B450&amp;")","")&amp;IF(B450="multiple children"," (ncap1,2)","")&amp;IF(B450="NB awake"," (ncap1,2)","")&amp;",CPD,"&amp;IF(F450="Y","realchild","dummy")</f>
        <v>/mnt/measurements/07_CANape/Mitsubishi/5K45/MMC5.1.1/5K457EG11/Smoke Tests/CSR_XCP_Signals_Recorder_2025-12-22_14-49-08_TC68_CPD.MF4.xz,child,RadarFC_Master,child (ncap3),CPD,dummy</v>
      </c>
      <c r="L450" s="85" t="s">
        <v>3527</v>
      </c>
      <c r="M450" s="132" t="s">
        <v>600</v>
      </c>
      <c r="N450" s="132" t="s">
        <v>53</v>
      </c>
    </row>
    <row r="451" spans="1:14">
      <c r="A451" s="77">
        <v>69</v>
      </c>
      <c r="B451" t="s">
        <v>124</v>
      </c>
      <c r="C451" t="s">
        <v>253</v>
      </c>
      <c r="D451" s="97" t="e">
        <f>_xlfn.XLOOKUP(A451,[1]CPD_SOP_new!$A:$A,[1]CPD_SOP_new!#REF!,"not found",0 )</f>
        <v>#REF!</v>
      </c>
      <c r="E451" s="97" t="str">
        <f>_xlfn.XLOOKUP(A451,[1]CPD_SOP_new!$A:$A,[1]CPD_SOP_new!$K:$K,"not found",0 )</f>
        <v>2L</v>
      </c>
      <c r="F451" t="s">
        <v>28</v>
      </c>
      <c r="G451" t="s">
        <v>28</v>
      </c>
      <c r="H451" t="s">
        <v>28</v>
      </c>
      <c r="I451" t="s">
        <v>28</v>
      </c>
      <c r="J451" t="s">
        <v>124</v>
      </c>
      <c r="K451" s="85" t="str">
        <f t="shared" si="7"/>
        <v>/mnt/measurements/07_CANape/Mitsubishi/5K45/MMC5.0.0_RC3/Real_Child_Tests/CSR_XCP_Signals_Recorder_2025-12-11_10-43-38_TC69_6YO_2L_CPD.MF4.xz,child,RadarFC_Master,child (ncap3),CPD,realchild</v>
      </c>
      <c r="L451" s="85" t="s">
        <v>3528</v>
      </c>
      <c r="M451" t="s">
        <v>601</v>
      </c>
      <c r="N451" s="1" t="s">
        <v>217</v>
      </c>
    </row>
    <row r="452" spans="1:14">
      <c r="A452" s="77">
        <v>69</v>
      </c>
      <c r="B452" t="s">
        <v>124</v>
      </c>
      <c r="C452" t="s">
        <v>253</v>
      </c>
      <c r="D452" s="97" t="e">
        <f>_xlfn.XLOOKUP(A452,[1]CPD_SOP_new!$A:$A,[1]CPD_SOP_new!#REF!,"not found",0 )</f>
        <v>#REF!</v>
      </c>
      <c r="E452" s="97" t="str">
        <f>_xlfn.XLOOKUP(A452,[1]CPD_SOP_new!$A:$A,[1]CPD_SOP_new!$K:$K,"not found",0 )</f>
        <v>2L</v>
      </c>
      <c r="F452" t="s">
        <v>28</v>
      </c>
      <c r="G452" t="s">
        <v>28</v>
      </c>
      <c r="H452" t="s">
        <v>28</v>
      </c>
      <c r="I452" t="s">
        <v>28</v>
      </c>
      <c r="J452" t="s">
        <v>124</v>
      </c>
      <c r="K452" s="85" t="str">
        <f t="shared" si="7"/>
        <v>/mnt/measurements/07_CANape/Mitsubishi/5K45/MMC5.0.0_RC3/Real_Child_Tests/CSR_XCP_Signals_Recorder_2025-12-11_10-46-04_TC69_6YO_2L_CPD.MF4.xz,child,RadarFC_Master,child (ncap3),CPD,realchild</v>
      </c>
      <c r="L452" s="85" t="s">
        <v>3529</v>
      </c>
      <c r="M452" t="s">
        <v>603</v>
      </c>
      <c r="N452" s="1" t="s">
        <v>217</v>
      </c>
    </row>
    <row r="453" spans="1:14">
      <c r="A453" s="77">
        <v>69</v>
      </c>
      <c r="B453" t="s">
        <v>124</v>
      </c>
      <c r="C453" t="s">
        <v>253</v>
      </c>
      <c r="D453" s="97" t="e">
        <f>_xlfn.XLOOKUP(A453,[1]CPD_SOP_new!$A:$A,[1]CPD_SOP_new!#REF!,"not found",0 )</f>
        <v>#REF!</v>
      </c>
      <c r="E453" s="97" t="str">
        <f>_xlfn.XLOOKUP(A453,[1]CPD_SOP_new!$A:$A,[1]CPD_SOP_new!$K:$K,"not found",0 )</f>
        <v>2L</v>
      </c>
      <c r="F453" t="s">
        <v>28</v>
      </c>
      <c r="G453" t="s">
        <v>28</v>
      </c>
      <c r="H453" t="s">
        <v>28</v>
      </c>
      <c r="I453" t="s">
        <v>28</v>
      </c>
      <c r="J453" t="s">
        <v>124</v>
      </c>
      <c r="K453" s="85" t="str">
        <f t="shared" si="7"/>
        <v>/mnt/measurements/07_CANape/Mitsubishi/5K45/MMC5.0.0_RC3/Real_Child_Tests/CSR_XCP_Signals_Recorder_2025-12-11_10-47-30_TC69_6YO_2L_CPD.MF4.xz,child,RadarFC_Master,child (ncap3),CPD,realchild</v>
      </c>
      <c r="L453" s="85" t="s">
        <v>3530</v>
      </c>
      <c r="M453" t="s">
        <v>604</v>
      </c>
      <c r="N453" s="1" t="s">
        <v>217</v>
      </c>
    </row>
    <row r="454" spans="1:14">
      <c r="A454" s="77">
        <v>69</v>
      </c>
      <c r="B454" t="s">
        <v>124</v>
      </c>
      <c r="C454" t="s">
        <v>253</v>
      </c>
      <c r="D454" s="97" t="e">
        <f>_xlfn.XLOOKUP(A454,[1]CPD_SOP_new!$A:$A,[1]CPD_SOP_new!#REF!,"not found",0 )</f>
        <v>#REF!</v>
      </c>
      <c r="E454" s="97" t="str">
        <f>_xlfn.XLOOKUP(A454,[1]CPD_SOP_new!$A:$A,[1]CPD_SOP_new!$K:$K,"not found",0 )</f>
        <v>2L</v>
      </c>
      <c r="F454" t="s">
        <v>28</v>
      </c>
      <c r="G454" t="s">
        <v>28</v>
      </c>
      <c r="H454" t="s">
        <v>28</v>
      </c>
      <c r="I454" t="s">
        <v>28</v>
      </c>
      <c r="J454" t="s">
        <v>124</v>
      </c>
      <c r="K454" s="85" t="str">
        <f t="shared" si="7"/>
        <v>/mnt/measurements/07_CANape/Mitsubishi/5K45/MMC5.0.0_RC3/Real_Child_Tests/CSR_XCP_Signals_Recorder_2025-12-11_10-49-08_TC69_6YO_2L_CPD.MF4.xz,child,RadarFC_Master,child (ncap3),CPD,realchild</v>
      </c>
      <c r="L454" s="85" t="s">
        <v>3531</v>
      </c>
      <c r="M454" t="s">
        <v>605</v>
      </c>
      <c r="N454" s="1" t="s">
        <v>217</v>
      </c>
    </row>
    <row r="455" spans="1:14">
      <c r="A455" s="77">
        <v>69</v>
      </c>
      <c r="B455" t="s">
        <v>124</v>
      </c>
      <c r="C455" t="s">
        <v>253</v>
      </c>
      <c r="D455" s="97" t="e">
        <f>_xlfn.XLOOKUP(A455,[1]CPD_SOP_new!$A:$A,[1]CPD_SOP_new!#REF!,"not found",0 )</f>
        <v>#REF!</v>
      </c>
      <c r="E455" s="97" t="str">
        <f>_xlfn.XLOOKUP(A455,[1]CPD_SOP_new!$A:$A,[1]CPD_SOP_new!$K:$K,"not found",0 )</f>
        <v>2L</v>
      </c>
      <c r="F455" t="s">
        <v>28</v>
      </c>
      <c r="G455" t="s">
        <v>28</v>
      </c>
      <c r="H455" t="s">
        <v>28</v>
      </c>
      <c r="I455" t="s">
        <v>28</v>
      </c>
      <c r="J455" t="s">
        <v>124</v>
      </c>
      <c r="K455" s="85" t="str">
        <f t="shared" si="7"/>
        <v>/mnt/measurements/07_CANape/Mitsubishi/5K45/MMC5.0.0_RC3/Real_Child_Tests/CSR_XCP_Signals_Recorder_2025-12-11_10-41-39_TC69_6YO_2L_CPD.MF4.xz,child,RadarFC_Master,child (ncap3),CPD,realchild</v>
      </c>
      <c r="L455" s="85" t="s">
        <v>3532</v>
      </c>
      <c r="M455" s="11" t="s">
        <v>606</v>
      </c>
      <c r="N455" s="1" t="s">
        <v>217</v>
      </c>
    </row>
    <row r="456" spans="1:14">
      <c r="A456" s="77">
        <v>70</v>
      </c>
      <c r="B456" t="s">
        <v>124</v>
      </c>
      <c r="C456" t="s">
        <v>253</v>
      </c>
      <c r="D456" s="97" t="e">
        <f>_xlfn.XLOOKUP(A456,[1]CPD_SOP_new!$A:$A,[1]CPD_SOP_new!#REF!,"not found",0 )</f>
        <v>#REF!</v>
      </c>
      <c r="E456" s="97" t="str">
        <f>_xlfn.XLOOKUP(A456,[1]CPD_SOP_new!$A:$A,[1]CPD_SOP_new!$K:$K,"not found",0 )</f>
        <v>2C</v>
      </c>
      <c r="F456" t="s">
        <v>28</v>
      </c>
      <c r="G456" t="s">
        <v>28</v>
      </c>
      <c r="H456" t="s">
        <v>28</v>
      </c>
      <c r="I456" t="s">
        <v>28</v>
      </c>
      <c r="J456" t="s">
        <v>124</v>
      </c>
      <c r="K456" s="85" t="str">
        <f t="shared" si="7"/>
        <v>/mnt/measurements/07_CANape/Mitsubishi/5K45/MMC5.1.0/5K457EG11/CSR_XCP_Signals_Recorder_2025-12-18_16-42-47_TC70_CPD.MF4.xz,child,RadarFC_Master,child (ncap3),CPD,realchild</v>
      </c>
      <c r="L456" s="85" t="s">
        <v>3533</v>
      </c>
      <c r="M456" s="11" t="s">
        <v>621</v>
      </c>
      <c r="N456" s="1" t="s">
        <v>202</v>
      </c>
    </row>
    <row r="457" spans="1:14">
      <c r="A457" s="77">
        <v>70</v>
      </c>
      <c r="B457" t="s">
        <v>124</v>
      </c>
      <c r="C457" t="s">
        <v>253</v>
      </c>
      <c r="D457" s="97" t="e">
        <f>_xlfn.XLOOKUP(A457,[1]CPD_SOP_new!$A:$A,[1]CPD_SOP_new!#REF!,"not found",0 )</f>
        <v>#REF!</v>
      </c>
      <c r="E457" s="97" t="str">
        <f>_xlfn.XLOOKUP(A457,[1]CPD_SOP_new!$A:$A,[1]CPD_SOP_new!$K:$K,"not found",0 )</f>
        <v>2C</v>
      </c>
      <c r="F457" t="s">
        <v>28</v>
      </c>
      <c r="G457" t="s">
        <v>28</v>
      </c>
      <c r="H457" t="s">
        <v>28</v>
      </c>
      <c r="I457" t="s">
        <v>28</v>
      </c>
      <c r="J457" t="s">
        <v>124</v>
      </c>
      <c r="K457" s="85" t="str">
        <f t="shared" si="7"/>
        <v>/mnt/measurements/07_CANape/Mitsubishi/5K45/MMC5.1.0/5K457EG11/CSR_XCP_Signals_Recorder_2025-12-18_16-44-24_TC70_CPD.MF4.xz,child,RadarFC_Master,child (ncap3),CPD,realchild</v>
      </c>
      <c r="L457" s="85" t="s">
        <v>3534</v>
      </c>
      <c r="M457" s="11" t="s">
        <v>623</v>
      </c>
      <c r="N457" s="1" t="s">
        <v>202</v>
      </c>
    </row>
    <row r="458" spans="1:14">
      <c r="A458" s="77">
        <v>70</v>
      </c>
      <c r="B458" t="s">
        <v>124</v>
      </c>
      <c r="C458" t="s">
        <v>253</v>
      </c>
      <c r="D458" s="97" t="e">
        <f>_xlfn.XLOOKUP(A458,[1]CPD_SOP_new!$A:$A,[1]CPD_SOP_new!#REF!,"not found",0 )</f>
        <v>#REF!</v>
      </c>
      <c r="E458" s="97" t="str">
        <f>_xlfn.XLOOKUP(A458,[1]CPD_SOP_new!$A:$A,[1]CPD_SOP_new!$K:$K,"not found",0 )</f>
        <v>2C</v>
      </c>
      <c r="F458" t="s">
        <v>28</v>
      </c>
      <c r="G458" t="s">
        <v>28</v>
      </c>
      <c r="H458" t="s">
        <v>28</v>
      </c>
      <c r="I458" t="s">
        <v>28</v>
      </c>
      <c r="J458" t="s">
        <v>124</v>
      </c>
      <c r="K458" s="85" t="str">
        <f t="shared" si="7"/>
        <v>/mnt/measurements/07_CANape/Mitsubishi/5K45/MMC5.1.0/5K457EG11/CSR_XCP_Signals_Recorder_2025-12-18_16-45-59_TC70_CPD.MF4.xz,child,RadarFC_Master,child (ncap3),CPD,realchild</v>
      </c>
      <c r="L458" s="85" t="s">
        <v>3535</v>
      </c>
      <c r="M458" s="132" t="s">
        <v>624</v>
      </c>
      <c r="N458" s="1" t="s">
        <v>202</v>
      </c>
    </row>
    <row r="459" spans="1:14">
      <c r="A459" s="77">
        <v>70</v>
      </c>
      <c r="B459" t="s">
        <v>124</v>
      </c>
      <c r="C459" t="s">
        <v>253</v>
      </c>
      <c r="D459" s="97" t="e">
        <f>_xlfn.XLOOKUP(A459,[1]CPD_SOP_new!$A:$A,[1]CPD_SOP_new!#REF!,"not found",0 )</f>
        <v>#REF!</v>
      </c>
      <c r="E459" s="97" t="str">
        <f>_xlfn.XLOOKUP(A459,[1]CPD_SOP_new!$A:$A,[1]CPD_SOP_new!$K:$K,"not found",0 )</f>
        <v>2C</v>
      </c>
      <c r="F459" t="s">
        <v>28</v>
      </c>
      <c r="G459" t="s">
        <v>28</v>
      </c>
      <c r="H459" t="s">
        <v>28</v>
      </c>
      <c r="I459" t="s">
        <v>28</v>
      </c>
      <c r="J459" t="s">
        <v>124</v>
      </c>
      <c r="K459" s="85" t="str">
        <f t="shared" si="7"/>
        <v>/mnt/measurements/07_CANape/Mitsubishi/5K45/MMC5.1.0/5K457EG11/CSR_XCP_Signals_Recorder_2025-12-18_16-47-35_TC70_CPD.MF4.xz,child,RadarFC_Master,child (ncap3),CPD,realchild</v>
      </c>
      <c r="L459" s="85" t="s">
        <v>3536</v>
      </c>
      <c r="M459" s="132" t="s">
        <v>625</v>
      </c>
      <c r="N459" s="1" t="s">
        <v>202</v>
      </c>
    </row>
    <row r="460" spans="1:14">
      <c r="A460" s="77">
        <v>70</v>
      </c>
      <c r="B460" t="s">
        <v>124</v>
      </c>
      <c r="C460" t="s">
        <v>253</v>
      </c>
      <c r="D460" s="97" t="e">
        <f>_xlfn.XLOOKUP(A460,[1]CPD_SOP_new!$A:$A,[1]CPD_SOP_new!#REF!,"not found",0 )</f>
        <v>#REF!</v>
      </c>
      <c r="E460" s="97" t="str">
        <f>_xlfn.XLOOKUP(A460,[1]CPD_SOP_new!$A:$A,[1]CPD_SOP_new!$K:$K,"not found",0 )</f>
        <v>2C</v>
      </c>
      <c r="F460" t="s">
        <v>28</v>
      </c>
      <c r="G460" t="s">
        <v>28</v>
      </c>
      <c r="H460" t="s">
        <v>28</v>
      </c>
      <c r="I460" t="s">
        <v>28</v>
      </c>
      <c r="J460" t="s">
        <v>124</v>
      </c>
      <c r="K460" s="85" t="str">
        <f t="shared" si="7"/>
        <v>/mnt/measurements/07_CANape/Mitsubishi/5K45/MMC5.1.0/5K457EG11/CSR_XCP_Signals_Recorder_2025-12-18_16-49-09_TC70_CPD.MF4.xz,child,RadarFC_Master,child (ncap3),CPD,realchild</v>
      </c>
      <c r="L460" s="85" t="s">
        <v>3537</v>
      </c>
      <c r="M460" s="132" t="s">
        <v>626</v>
      </c>
      <c r="N460" s="1" t="s">
        <v>202</v>
      </c>
    </row>
    <row r="461" spans="1:14">
      <c r="A461" s="77">
        <v>70</v>
      </c>
      <c r="B461" t="s">
        <v>124</v>
      </c>
      <c r="C461" t="s">
        <v>253</v>
      </c>
      <c r="D461" s="97" t="e">
        <f>_xlfn.XLOOKUP(A461,[1]CPD_SOP_new!$A:$A,[1]CPD_SOP_new!#REF!,"not found",0 )</f>
        <v>#REF!</v>
      </c>
      <c r="E461" s="97" t="str">
        <f>_xlfn.XLOOKUP(A461,[1]CPD_SOP_new!$A:$A,[1]CPD_SOP_new!$K:$K,"not found",0 )</f>
        <v>2C</v>
      </c>
      <c r="F461" t="s">
        <v>28</v>
      </c>
      <c r="G461" t="s">
        <v>28</v>
      </c>
      <c r="H461" t="s">
        <v>28</v>
      </c>
      <c r="I461" t="s">
        <v>28</v>
      </c>
      <c r="J461" t="s">
        <v>124</v>
      </c>
      <c r="K461" s="85" t="str">
        <f t="shared" si="7"/>
        <v>/mnt/measurements/07_CANape/Mitsubishi/5K45/MMC5.0.2/5K457EG11/RealChild/CSR_XCP_Signals_Recorder_2026-01-20_16-07-49_CPD_TC70_Try5.MF4.xz,child,RadarFC_Master,child (ncap3),CPD,realchild</v>
      </c>
      <c r="L461" s="85" t="s">
        <v>3538</v>
      </c>
      <c r="M461" s="60" t="s">
        <v>627</v>
      </c>
      <c r="N461" t="s">
        <v>86</v>
      </c>
    </row>
    <row r="462" spans="1:14">
      <c r="A462" s="77">
        <v>70</v>
      </c>
      <c r="B462" t="s">
        <v>124</v>
      </c>
      <c r="C462" t="s">
        <v>253</v>
      </c>
      <c r="D462" s="97" t="e">
        <f>_xlfn.XLOOKUP(A462,[1]CPD_SOP_new!$A:$A,[1]CPD_SOP_new!#REF!,"not found",0 )</f>
        <v>#REF!</v>
      </c>
      <c r="E462" s="97" t="str">
        <f>_xlfn.XLOOKUP(A462,[1]CPD_SOP_new!$A:$A,[1]CPD_SOP_new!$K:$K,"not found",0 )</f>
        <v>2C</v>
      </c>
      <c r="F462" t="s">
        <v>28</v>
      </c>
      <c r="G462" t="s">
        <v>28</v>
      </c>
      <c r="H462" t="s">
        <v>28</v>
      </c>
      <c r="I462" t="s">
        <v>28</v>
      </c>
      <c r="J462" t="s">
        <v>124</v>
      </c>
      <c r="K462" s="85" t="str">
        <f t="shared" si="7"/>
        <v>/mnt/measurements/07_CANape/Mitsubishi/5K45/MMC5.0.2/5K457EG11/RealChild/CSR_XCP_Signals_Recorder_2026-01-20_16-01-58_CPD_TC70_Try1.MF4.xz,child,RadarFC_Master,child (ncap3),CPD,realchild</v>
      </c>
      <c r="L462" s="85" t="s">
        <v>3539</v>
      </c>
      <c r="M462" s="60" t="s">
        <v>629</v>
      </c>
      <c r="N462" t="s">
        <v>86</v>
      </c>
    </row>
    <row r="463" spans="1:14">
      <c r="A463" s="77">
        <v>70</v>
      </c>
      <c r="B463" t="s">
        <v>124</v>
      </c>
      <c r="C463" t="s">
        <v>253</v>
      </c>
      <c r="D463" s="97" t="e">
        <f>_xlfn.XLOOKUP(A463,[1]CPD_SOP_new!$A:$A,[1]CPD_SOP_new!#REF!,"not found",0 )</f>
        <v>#REF!</v>
      </c>
      <c r="E463" s="97" t="str">
        <f>_xlfn.XLOOKUP(A463,[1]CPD_SOP_new!$A:$A,[1]CPD_SOP_new!$K:$K,"not found",0 )</f>
        <v>2C</v>
      </c>
      <c r="F463" t="s">
        <v>28</v>
      </c>
      <c r="G463" t="s">
        <v>28</v>
      </c>
      <c r="H463" t="s">
        <v>28</v>
      </c>
      <c r="I463" t="s">
        <v>28</v>
      </c>
      <c r="J463" t="s">
        <v>124</v>
      </c>
      <c r="K463" s="85" t="str">
        <f t="shared" si="7"/>
        <v>/mnt/measurements/07_CANape/Mitsubishi/5K45/MMC5.0.2/5K457EG11/RealChild/CSR_XCP_Signals_Recorder_2026-01-20_16-03-21_CPD_TC70_Try2.MF4.xz,child,RadarFC_Master,child (ncap3),CPD,realchild</v>
      </c>
      <c r="L463" s="85" t="s">
        <v>3540</v>
      </c>
      <c r="M463" t="s">
        <v>630</v>
      </c>
      <c r="N463" t="s">
        <v>86</v>
      </c>
    </row>
    <row r="464" spans="1:14">
      <c r="A464" s="77">
        <v>70</v>
      </c>
      <c r="B464" t="s">
        <v>124</v>
      </c>
      <c r="C464" t="s">
        <v>253</v>
      </c>
      <c r="D464" s="97" t="e">
        <f>_xlfn.XLOOKUP(A464,[1]CPD_SOP_new!$A:$A,[1]CPD_SOP_new!#REF!,"not found",0 )</f>
        <v>#REF!</v>
      </c>
      <c r="E464" s="97" t="str">
        <f>_xlfn.XLOOKUP(A464,[1]CPD_SOP_new!$A:$A,[1]CPD_SOP_new!$K:$K,"not found",0 )</f>
        <v>2C</v>
      </c>
      <c r="F464" t="s">
        <v>28</v>
      </c>
      <c r="G464" t="s">
        <v>28</v>
      </c>
      <c r="H464" t="s">
        <v>28</v>
      </c>
      <c r="I464" t="s">
        <v>28</v>
      </c>
      <c r="J464" t="s">
        <v>124</v>
      </c>
      <c r="K464" s="85" t="str">
        <f t="shared" si="7"/>
        <v>/mnt/measurements/07_CANape/Mitsubishi/5K45/MMC5.0.2/5K457EG11/RealChild/CSR_XCP_Signals_Recorder_2026-01-20_16-04-50_CPD_TC70_Try3.MF4.xz,child,RadarFC_Master,child (ncap3),CPD,realchild</v>
      </c>
      <c r="L464" s="85" t="s">
        <v>3541</v>
      </c>
      <c r="M464" t="s">
        <v>631</v>
      </c>
      <c r="N464" t="s">
        <v>86</v>
      </c>
    </row>
    <row r="465" spans="1:21">
      <c r="A465" s="77">
        <v>70</v>
      </c>
      <c r="B465" t="s">
        <v>124</v>
      </c>
      <c r="C465" t="s">
        <v>253</v>
      </c>
      <c r="D465" s="97" t="e">
        <f>_xlfn.XLOOKUP(A465,[1]CPD_SOP_new!$A:$A,[1]CPD_SOP_new!#REF!,"not found",0 )</f>
        <v>#REF!</v>
      </c>
      <c r="E465" s="97" t="str">
        <f>_xlfn.XLOOKUP(A465,[1]CPD_SOP_new!$A:$A,[1]CPD_SOP_new!$K:$K,"not found",0 )</f>
        <v>2C</v>
      </c>
      <c r="F465" t="s">
        <v>28</v>
      </c>
      <c r="G465" t="s">
        <v>28</v>
      </c>
      <c r="H465" t="s">
        <v>28</v>
      </c>
      <c r="I465" t="s">
        <v>28</v>
      </c>
      <c r="J465" t="s">
        <v>124</v>
      </c>
      <c r="K465" s="85" t="str">
        <f t="shared" si="7"/>
        <v>/mnt/measurements/07_CANape/Mitsubishi/5K45/MMC5.0.2/5K457EG11/RealChild/CSR_XCP_Signals_Recorder_2026-01-20_16-06-19_CPD_TC70_Try4.MF4.xz,child,RadarFC_Master,child (ncap3),CPD,realchild</v>
      </c>
      <c r="L465" s="85" t="s">
        <v>3542</v>
      </c>
      <c r="M465" t="s">
        <v>632</v>
      </c>
      <c r="N465" t="s">
        <v>86</v>
      </c>
    </row>
    <row r="466" spans="1:21">
      <c r="A466" s="77">
        <v>70</v>
      </c>
      <c r="B466" t="s">
        <v>124</v>
      </c>
      <c r="C466" t="s">
        <v>253</v>
      </c>
      <c r="D466" s="97" t="e">
        <f>_xlfn.XLOOKUP(A466,[1]CPD_SOP_new!$A:$A,[1]CPD_SOP_new!#REF!,"not found",0 )</f>
        <v>#REF!</v>
      </c>
      <c r="E466" s="97" t="str">
        <f>_xlfn.XLOOKUP(A466,[1]CPD_SOP_new!$A:$A,[1]CPD_SOP_new!$K:$K,"not found",0 )</f>
        <v>2C</v>
      </c>
      <c r="F466" t="s">
        <v>28</v>
      </c>
      <c r="G466" t="s">
        <v>28</v>
      </c>
      <c r="H466" t="s">
        <v>28</v>
      </c>
      <c r="I466" t="s">
        <v>28</v>
      </c>
      <c r="J466" t="s">
        <v>124</v>
      </c>
      <c r="K466" s="85" t="str">
        <f t="shared" si="7"/>
        <v>/mnt/measurements/07_CANape/Mitsubishi/5K45/5.3.0_RC6/Customer_Testing/Real_Child_Measurements/6YO/CSR_XCP_Signals_Recorder_2026-01-30_14-20-11_TC70.MF4.xz,child,RadarFC_Master,child (ncap3),CPD,realchild</v>
      </c>
      <c r="L466" s="85" t="s">
        <v>3543</v>
      </c>
      <c r="M466" t="s">
        <v>633</v>
      </c>
      <c r="N466" t="s">
        <v>271</v>
      </c>
      <c r="O466" t="s">
        <v>124</v>
      </c>
      <c r="P466" t="s">
        <v>29</v>
      </c>
      <c r="Q466">
        <v>1</v>
      </c>
      <c r="T466">
        <v>0</v>
      </c>
      <c r="U466">
        <v>0</v>
      </c>
    </row>
    <row r="467" spans="1:21">
      <c r="A467" s="77">
        <v>70</v>
      </c>
      <c r="B467" t="s">
        <v>124</v>
      </c>
      <c r="C467" t="s">
        <v>253</v>
      </c>
      <c r="D467" s="97" t="e">
        <f>_xlfn.XLOOKUP(A467,[1]CPD_SOP_new!$A:$A,[1]CPD_SOP_new!#REF!,"not found",0 )</f>
        <v>#REF!</v>
      </c>
      <c r="E467" s="97" t="str">
        <f>_xlfn.XLOOKUP(A467,[1]CPD_SOP_new!$A:$A,[1]CPD_SOP_new!$K:$K,"not found",0 )</f>
        <v>2C</v>
      </c>
      <c r="F467" t="s">
        <v>28</v>
      </c>
      <c r="G467" t="s">
        <v>28</v>
      </c>
      <c r="H467" t="s">
        <v>28</v>
      </c>
      <c r="I467" t="s">
        <v>28</v>
      </c>
      <c r="J467" t="s">
        <v>124</v>
      </c>
      <c r="K467" s="85" t="str">
        <f t="shared" si="7"/>
        <v>/mnt/measurements/07_CANape/Mitsubishi/5K45/5.3.0_RC6/Customer_Testing/Real_Child_Measurements/6YO/CSR_XCP_Signals_Recorder_2026-01-30_14-21-46_TC70.MF4.xz,child,RadarFC_Master,child (ncap3),CPD,realchild</v>
      </c>
      <c r="L467" s="85" t="s">
        <v>3544</v>
      </c>
      <c r="M467" t="s">
        <v>634</v>
      </c>
      <c r="N467" t="s">
        <v>271</v>
      </c>
      <c r="O467" t="s">
        <v>124</v>
      </c>
      <c r="P467" t="s">
        <v>29</v>
      </c>
      <c r="Q467">
        <v>1</v>
      </c>
      <c r="T467">
        <v>0</v>
      </c>
      <c r="U467">
        <v>0</v>
      </c>
    </row>
    <row r="468" spans="1:21">
      <c r="A468" s="77">
        <v>70</v>
      </c>
      <c r="B468" t="s">
        <v>124</v>
      </c>
      <c r="C468" t="s">
        <v>253</v>
      </c>
      <c r="D468" s="97" t="e">
        <f>_xlfn.XLOOKUP(A468,[1]CPD_SOP_new!$A:$A,[1]CPD_SOP_new!#REF!,"not found",0 )</f>
        <v>#REF!</v>
      </c>
      <c r="E468" s="97" t="str">
        <f>_xlfn.XLOOKUP(A468,[1]CPD_SOP_new!$A:$A,[1]CPD_SOP_new!$K:$K,"not found",0 )</f>
        <v>2C</v>
      </c>
      <c r="F468" t="s">
        <v>28</v>
      </c>
      <c r="G468" t="s">
        <v>28</v>
      </c>
      <c r="H468" t="s">
        <v>28</v>
      </c>
      <c r="I468" t="s">
        <v>28</v>
      </c>
      <c r="J468" t="s">
        <v>124</v>
      </c>
      <c r="K468" s="85" t="str">
        <f t="shared" si="7"/>
        <v>/mnt/measurements/07_CANape/Mitsubishi/5K45/5.3.0_RC6/Customer_Testing/Real_Child_Measurements/6YO/CSR_XCP_Signals_Recorder_2026-01-30_14-23-14_TC70.MF4.xz,child,RadarFC_Master,child (ncap3),CPD,realchild</v>
      </c>
      <c r="L468" s="85" t="s">
        <v>3545</v>
      </c>
      <c r="M468" t="s">
        <v>635</v>
      </c>
      <c r="N468" t="s">
        <v>271</v>
      </c>
      <c r="O468" t="s">
        <v>124</v>
      </c>
      <c r="P468" t="s">
        <v>29</v>
      </c>
      <c r="Q468">
        <v>1</v>
      </c>
      <c r="T468">
        <v>0</v>
      </c>
      <c r="U468">
        <v>0</v>
      </c>
    </row>
    <row r="469" spans="1:21">
      <c r="A469" s="38">
        <v>71</v>
      </c>
      <c r="B469" t="s">
        <v>124</v>
      </c>
      <c r="C469" t="s">
        <v>253</v>
      </c>
      <c r="D469" s="97" t="e">
        <f>_xlfn.XLOOKUP(A469,[1]CPD_SOP_new!$A:$A,[1]CPD_SOP_new!#REF!,"not found",0 )</f>
        <v>#REF!</v>
      </c>
      <c r="E469" s="97" t="str">
        <f>_xlfn.XLOOKUP(A469,[1]CPD_SOP_new!$A:$A,[1]CPD_SOP_new!$K:$K,"not found",0 )</f>
        <v>3R</v>
      </c>
      <c r="F469" t="s">
        <v>27</v>
      </c>
      <c r="G469" t="s">
        <v>27</v>
      </c>
      <c r="H469" t="s">
        <v>27</v>
      </c>
      <c r="I469" t="s">
        <v>28</v>
      </c>
      <c r="J469" t="s">
        <v>124</v>
      </c>
      <c r="K469" s="85" t="str">
        <f t="shared" si="7"/>
        <v>/mnt/measurements/07_CANape/Mitsubishi/5K45/MMC5.0.0_RC3_with_resetfix/CPD/TC71_Try_1.MF4.xz,child,RadarFC_Master,child (ncap3),CPD,dummy</v>
      </c>
      <c r="L469" s="85" t="s">
        <v>3546</v>
      </c>
      <c r="M469" t="s">
        <v>640</v>
      </c>
      <c r="N469" s="134" t="s">
        <v>475</v>
      </c>
    </row>
    <row r="470" spans="1:21">
      <c r="A470" s="38">
        <v>71</v>
      </c>
      <c r="B470" t="s">
        <v>124</v>
      </c>
      <c r="C470" t="s">
        <v>253</v>
      </c>
      <c r="D470" s="97" t="e">
        <f>_xlfn.XLOOKUP(A470,[1]CPD_SOP_new!$A:$A,[1]CPD_SOP_new!#REF!,"not found",0 )</f>
        <v>#REF!</v>
      </c>
      <c r="E470" s="97" t="str">
        <f>_xlfn.XLOOKUP(A470,[1]CPD_SOP_new!$A:$A,[1]CPD_SOP_new!$K:$K,"not found",0 )</f>
        <v>3R</v>
      </c>
      <c r="F470" t="s">
        <v>27</v>
      </c>
      <c r="G470" t="s">
        <v>27</v>
      </c>
      <c r="H470" t="s">
        <v>27</v>
      </c>
      <c r="I470" t="s">
        <v>28</v>
      </c>
      <c r="J470" t="s">
        <v>124</v>
      </c>
      <c r="K470" s="85" t="str">
        <f t="shared" si="7"/>
        <v>/mnt/measurements/07_CANape/Mitsubishi/5K45/MMC5.0.0_RC3_with_resetfix/CPD/TC71_Try_2.MF4.xz,child,RadarFC_Master,child (ncap3),CPD,dummy</v>
      </c>
      <c r="L470" s="85" t="s">
        <v>3547</v>
      </c>
      <c r="M470" t="s">
        <v>642</v>
      </c>
      <c r="N470" s="129" t="s">
        <v>475</v>
      </c>
    </row>
    <row r="471" spans="1:21">
      <c r="A471" s="38">
        <v>71</v>
      </c>
      <c r="B471" t="s">
        <v>124</v>
      </c>
      <c r="C471" t="s">
        <v>253</v>
      </c>
      <c r="D471" s="97" t="e">
        <f>_xlfn.XLOOKUP(A471,[1]CPD_SOP_new!$A:$A,[1]CPD_SOP_new!#REF!,"not found",0 )</f>
        <v>#REF!</v>
      </c>
      <c r="E471" s="97" t="str">
        <f>_xlfn.XLOOKUP(A471,[1]CPD_SOP_new!$A:$A,[1]CPD_SOP_new!$K:$K,"not found",0 )</f>
        <v>3R</v>
      </c>
      <c r="F471" t="s">
        <v>27</v>
      </c>
      <c r="G471" t="s">
        <v>27</v>
      </c>
      <c r="H471" t="s">
        <v>27</v>
      </c>
      <c r="I471" t="s">
        <v>28</v>
      </c>
      <c r="J471" t="s">
        <v>124</v>
      </c>
      <c r="K471" s="85" t="str">
        <f t="shared" si="7"/>
        <v>/mnt/measurements/07_CANape/Mitsubishi/5K45/MMC5.0.0_RC3_with_resetfix/CPD/TC71_Try_3.MF4.xz,child,RadarFC_Master,child (ncap3),CPD,dummy</v>
      </c>
      <c r="L471" s="85" t="s">
        <v>3548</v>
      </c>
      <c r="M471" t="s">
        <v>643</v>
      </c>
      <c r="N471" s="129" t="s">
        <v>475</v>
      </c>
    </row>
    <row r="472" spans="1:21">
      <c r="A472" s="38">
        <v>72</v>
      </c>
      <c r="B472" t="s">
        <v>124</v>
      </c>
      <c r="C472" t="s">
        <v>253</v>
      </c>
      <c r="D472" s="97" t="e">
        <f>_xlfn.XLOOKUP(A472,[1]CPD_SOP_new!$A:$A,[1]CPD_SOP_new!#REF!,"not found",0 )</f>
        <v>#REF!</v>
      </c>
      <c r="E472" s="97" t="str">
        <f>_xlfn.XLOOKUP(A472,[1]CPD_SOP_new!$A:$A,[1]CPD_SOP_new!$K:$K,"not found",0 )</f>
        <v>3R</v>
      </c>
      <c r="F472" t="s">
        <v>27</v>
      </c>
      <c r="G472" t="s">
        <v>27</v>
      </c>
      <c r="H472" t="s">
        <v>27</v>
      </c>
      <c r="I472" t="s">
        <v>28</v>
      </c>
      <c r="J472" t="s">
        <v>124</v>
      </c>
      <c r="K472" s="85" t="str">
        <f t="shared" si="7"/>
        <v>/mnt/measurements/07_CANape/Mitsubishi/5K45/MMC5.0.0_RC3_with_resetfix/CPD/TC72_Try_1.MF4.xz,child,RadarFC_Master,child (ncap3),CPD,dummy</v>
      </c>
      <c r="L472" s="85" t="s">
        <v>3549</v>
      </c>
      <c r="M472" t="s">
        <v>648</v>
      </c>
      <c r="N472" s="129" t="s">
        <v>475</v>
      </c>
    </row>
    <row r="473" spans="1:21">
      <c r="A473" s="38">
        <v>72</v>
      </c>
      <c r="B473" t="s">
        <v>124</v>
      </c>
      <c r="C473" t="s">
        <v>253</v>
      </c>
      <c r="D473" s="97" t="e">
        <f>_xlfn.XLOOKUP(A473,[1]CPD_SOP_new!$A:$A,[1]CPD_SOP_new!#REF!,"not found",0 )</f>
        <v>#REF!</v>
      </c>
      <c r="E473" s="97" t="str">
        <f>_xlfn.XLOOKUP(A473,[1]CPD_SOP_new!$A:$A,[1]CPD_SOP_new!$K:$K,"not found",0 )</f>
        <v>3R</v>
      </c>
      <c r="F473" t="s">
        <v>27</v>
      </c>
      <c r="G473" t="s">
        <v>27</v>
      </c>
      <c r="H473" t="s">
        <v>27</v>
      </c>
      <c r="I473" t="s">
        <v>28</v>
      </c>
      <c r="J473" t="s">
        <v>124</v>
      </c>
      <c r="K473" s="85" t="str">
        <f t="shared" si="7"/>
        <v>/mnt/measurements/07_CANape/Mitsubishi/5K45/MMC5.0.0_RC3_with_resetfix/CPD/TC72_Try_2.MF4.xz,child,RadarFC_Master,child (ncap3),CPD,dummy</v>
      </c>
      <c r="L473" s="85" t="s">
        <v>3550</v>
      </c>
      <c r="M473" t="s">
        <v>649</v>
      </c>
      <c r="N473" s="129" t="s">
        <v>475</v>
      </c>
    </row>
    <row r="474" spans="1:21">
      <c r="A474" s="38">
        <v>72</v>
      </c>
      <c r="B474" t="s">
        <v>124</v>
      </c>
      <c r="C474" t="s">
        <v>253</v>
      </c>
      <c r="D474" s="97" t="e">
        <f>_xlfn.XLOOKUP(A474,[1]CPD_SOP_new!$A:$A,[1]CPD_SOP_new!#REF!,"not found",0 )</f>
        <v>#REF!</v>
      </c>
      <c r="E474" s="97" t="str">
        <f>_xlfn.XLOOKUP(A474,[1]CPD_SOP_new!$A:$A,[1]CPD_SOP_new!$K:$K,"not found",0 )</f>
        <v>3R</v>
      </c>
      <c r="F474" t="s">
        <v>27</v>
      </c>
      <c r="G474" t="s">
        <v>27</v>
      </c>
      <c r="H474" t="s">
        <v>27</v>
      </c>
      <c r="I474" t="s">
        <v>28</v>
      </c>
      <c r="J474" t="s">
        <v>124</v>
      </c>
      <c r="K474" s="85" t="str">
        <f t="shared" si="7"/>
        <v>/mnt/measurements/07_CANape/Mitsubishi/5K45/MMC5.0.0_RC3_with_resetfix/CPD/TC72_Try_3.MF4.xz,child,RadarFC_Master,child (ncap3),CPD,dummy</v>
      </c>
      <c r="L474" s="85" t="s">
        <v>3551</v>
      </c>
      <c r="M474" t="s">
        <v>650</v>
      </c>
      <c r="N474" s="129" t="s">
        <v>475</v>
      </c>
    </row>
    <row r="475" spans="1:21">
      <c r="A475" s="77">
        <v>73</v>
      </c>
      <c r="B475" t="s">
        <v>124</v>
      </c>
      <c r="C475" t="s">
        <v>253</v>
      </c>
      <c r="D475" s="97" t="e">
        <f>_xlfn.XLOOKUP(A475,[1]CPD_SOP_new!$A:$A,[1]CPD_SOP_new!#REF!,"not found",0 )</f>
        <v>#REF!</v>
      </c>
      <c r="E475" s="97" t="str">
        <f>_xlfn.XLOOKUP(A475,[1]CPD_SOP_new!$A:$A,[1]CPD_SOP_new!$K:$K,"not found",0 )</f>
        <v>3R</v>
      </c>
      <c r="F475" t="s">
        <v>28</v>
      </c>
      <c r="G475" t="s">
        <v>28</v>
      </c>
      <c r="H475" t="s">
        <v>27</v>
      </c>
      <c r="I475" t="s">
        <v>28</v>
      </c>
      <c r="J475" t="s">
        <v>124</v>
      </c>
      <c r="K475" s="85" t="str">
        <f t="shared" si="7"/>
        <v>/mnt/measurements/07_CANape/Mitsubishi/5K45/MMC5.0.0_RC3/Real_Child_Tests/CSR_XCP_Signals_Recorder_2025-12-10_17-36-32_TC73_6YO3RR_CPD.MF4.xz,child,RadarFC_Master,child (ncap3),CPD,realchild</v>
      </c>
      <c r="L475" s="85" t="s">
        <v>3552</v>
      </c>
      <c r="M475" t="s">
        <v>651</v>
      </c>
      <c r="N475" s="132" t="s">
        <v>217</v>
      </c>
    </row>
    <row r="476" spans="1:21">
      <c r="A476" s="77">
        <v>73</v>
      </c>
      <c r="B476" t="s">
        <v>124</v>
      </c>
      <c r="C476" t="s">
        <v>253</v>
      </c>
      <c r="D476" s="97" t="e">
        <f>_xlfn.XLOOKUP(A476,[1]CPD_SOP_new!$A:$A,[1]CPD_SOP_new!#REF!,"not found",0 )</f>
        <v>#REF!</v>
      </c>
      <c r="E476" s="97" t="str">
        <f>_xlfn.XLOOKUP(A476,[1]CPD_SOP_new!$A:$A,[1]CPD_SOP_new!$K:$K,"not found",0 )</f>
        <v>3R</v>
      </c>
      <c r="F476" t="s">
        <v>28</v>
      </c>
      <c r="G476" t="s">
        <v>28</v>
      </c>
      <c r="H476" t="s">
        <v>27</v>
      </c>
      <c r="I476" t="s">
        <v>28</v>
      </c>
      <c r="J476" t="s">
        <v>124</v>
      </c>
      <c r="K476" s="85" t="str">
        <f t="shared" si="7"/>
        <v>/mnt/measurements/07_CANape/Mitsubishi/5K45/MMC5.0.0_RC3/Real_Child_Tests/CSR_XCP_Signals_Recorder_2025-12-10_17-47-06_TC73_6YO3RR_CPD.MF4.xz,child,RadarFC_Master,child (ncap3),CPD,realchild</v>
      </c>
      <c r="L476" s="85" t="s">
        <v>3553</v>
      </c>
      <c r="M476" t="s">
        <v>653</v>
      </c>
      <c r="N476" s="132" t="s">
        <v>217</v>
      </c>
    </row>
    <row r="477" spans="1:21">
      <c r="A477" s="77">
        <v>73</v>
      </c>
      <c r="B477" t="s">
        <v>124</v>
      </c>
      <c r="C477" t="s">
        <v>253</v>
      </c>
      <c r="D477" s="97" t="e">
        <f>_xlfn.XLOOKUP(A477,[1]CPD_SOP_new!$A:$A,[1]CPD_SOP_new!#REF!,"not found",0 )</f>
        <v>#REF!</v>
      </c>
      <c r="E477" s="97" t="str">
        <f>_xlfn.XLOOKUP(A477,[1]CPD_SOP_new!$A:$A,[1]CPD_SOP_new!$K:$K,"not found",0 )</f>
        <v>3R</v>
      </c>
      <c r="F477" t="s">
        <v>28</v>
      </c>
      <c r="G477" t="s">
        <v>28</v>
      </c>
      <c r="H477" t="s">
        <v>27</v>
      </c>
      <c r="I477" t="s">
        <v>28</v>
      </c>
      <c r="J477" t="s">
        <v>124</v>
      </c>
      <c r="K477" s="85" t="str">
        <f t="shared" si="7"/>
        <v>/mnt/measurements/07_CANape/Mitsubishi/5K45/MMC5.0.0_RC3/Real_Child_Tests/CSR_XCP_Signals_Recorder_2025-12-10_17-50-41_TC73_6YO3RR_CPD.MF4.xz,child,RadarFC_Master,child (ncap3),CPD,realchild</v>
      </c>
      <c r="L477" s="85" t="s">
        <v>3554</v>
      </c>
      <c r="M477" t="s">
        <v>654</v>
      </c>
      <c r="N477" s="132" t="s">
        <v>217</v>
      </c>
    </row>
    <row r="478" spans="1:21">
      <c r="A478" s="77">
        <v>73</v>
      </c>
      <c r="B478" t="s">
        <v>124</v>
      </c>
      <c r="C478" t="s">
        <v>253</v>
      </c>
      <c r="D478" s="97" t="e">
        <f>_xlfn.XLOOKUP(A478,[1]CPD_SOP_new!$A:$A,[1]CPD_SOP_new!#REF!,"not found",0 )</f>
        <v>#REF!</v>
      </c>
      <c r="E478" s="97" t="str">
        <f>_xlfn.XLOOKUP(A478,[1]CPD_SOP_new!$A:$A,[1]CPD_SOP_new!$K:$K,"not found",0 )</f>
        <v>3R</v>
      </c>
      <c r="F478" t="s">
        <v>28</v>
      </c>
      <c r="G478" t="s">
        <v>28</v>
      </c>
      <c r="H478" t="s">
        <v>27</v>
      </c>
      <c r="I478" t="s">
        <v>28</v>
      </c>
      <c r="J478" t="s">
        <v>124</v>
      </c>
      <c r="K478" s="85" t="str">
        <f t="shared" si="7"/>
        <v>/mnt/measurements/07_CANape/Mitsubishi/5K45/MMC5.0.0_RC3/Real_Child_Tests/CSR_XCP_Signals_Recorder_2025-12-10_17-54-19_TC73_6YO3RR_CPD.MF4.xz,child,RadarFC_Master,child (ncap3),CPD,realchild</v>
      </c>
      <c r="L478" s="85" t="s">
        <v>3555</v>
      </c>
      <c r="M478" t="s">
        <v>655</v>
      </c>
      <c r="N478" s="132" t="s">
        <v>217</v>
      </c>
    </row>
    <row r="479" spans="1:21">
      <c r="A479" s="77">
        <v>73</v>
      </c>
      <c r="B479" t="s">
        <v>124</v>
      </c>
      <c r="C479" t="s">
        <v>253</v>
      </c>
      <c r="D479" s="97" t="e">
        <f>_xlfn.XLOOKUP(A479,[1]CPD_SOP_new!$A:$A,[1]CPD_SOP_new!#REF!,"not found",0 )</f>
        <v>#REF!</v>
      </c>
      <c r="E479" s="97" t="str">
        <f>_xlfn.XLOOKUP(A479,[1]CPD_SOP_new!$A:$A,[1]CPD_SOP_new!$K:$K,"not found",0 )</f>
        <v>3R</v>
      </c>
      <c r="F479" t="s">
        <v>28</v>
      </c>
      <c r="G479" t="s">
        <v>28</v>
      </c>
      <c r="H479" t="s">
        <v>27</v>
      </c>
      <c r="I479" t="s">
        <v>28</v>
      </c>
      <c r="J479" t="s">
        <v>124</v>
      </c>
      <c r="K479" s="85" t="str">
        <f t="shared" si="7"/>
        <v>/mnt/measurements/07_CANape/Mitsubishi/5K45/MMC5.0.0_RC3/Real_Child_Tests/CSR_XCP_Signals_Recorder_2025-12-10_17-57-35_TC73_6YO3RR_CPD.MF4.xz,child,RadarFC_Master,child (ncap3),CPD,realchild</v>
      </c>
      <c r="L479" s="85" t="s">
        <v>3556</v>
      </c>
      <c r="M479" t="s">
        <v>656</v>
      </c>
      <c r="N479" s="132" t="s">
        <v>217</v>
      </c>
    </row>
    <row r="480" spans="1:21">
      <c r="A480" s="38">
        <v>74</v>
      </c>
      <c r="B480" t="s">
        <v>124</v>
      </c>
      <c r="C480" t="s">
        <v>253</v>
      </c>
      <c r="D480" s="97" t="e">
        <f>_xlfn.XLOOKUP(A480,[1]CPD_SOP_new!$A:$A,[1]CPD_SOP_new!#REF!,"not found",0 )</f>
        <v>#REF!</v>
      </c>
      <c r="E480" s="97" t="str">
        <f>_xlfn.XLOOKUP(A480,[1]CPD_SOP_new!$A:$A,[1]CPD_SOP_new!$K:$K,"not found",0 )</f>
        <v>3L</v>
      </c>
      <c r="F480" t="s">
        <v>27</v>
      </c>
      <c r="G480" t="s">
        <v>27</v>
      </c>
      <c r="H480" t="s">
        <v>27</v>
      </c>
      <c r="I480" t="s">
        <v>28</v>
      </c>
      <c r="J480" t="s">
        <v>124</v>
      </c>
      <c r="K480" s="85" t="str">
        <f t="shared" si="7"/>
        <v>/mnt/measurements/07_CANape/Mitsubishi/5K45/MMC5.0.0_RC3_with_resetfix/CPD/TC74_Try_1.MF4.xz,child,RadarFC_Master,child (ncap3),CPD,dummy</v>
      </c>
      <c r="L480" s="85" t="s">
        <v>3557</v>
      </c>
      <c r="M480" t="s">
        <v>657</v>
      </c>
      <c r="N480" s="129" t="s">
        <v>475</v>
      </c>
    </row>
    <row r="481" spans="1:14">
      <c r="A481" s="38">
        <v>74</v>
      </c>
      <c r="B481" t="s">
        <v>124</v>
      </c>
      <c r="C481" t="s">
        <v>253</v>
      </c>
      <c r="D481" s="97" t="e">
        <f>_xlfn.XLOOKUP(A481,[1]CPD_SOP_new!$A:$A,[1]CPD_SOP_new!#REF!,"not found",0 )</f>
        <v>#REF!</v>
      </c>
      <c r="E481" s="97" t="str">
        <f>_xlfn.XLOOKUP(A481,[1]CPD_SOP_new!$A:$A,[1]CPD_SOP_new!$K:$K,"not found",0 )</f>
        <v>3L</v>
      </c>
      <c r="F481" t="s">
        <v>27</v>
      </c>
      <c r="G481" t="s">
        <v>27</v>
      </c>
      <c r="H481" t="s">
        <v>27</v>
      </c>
      <c r="I481" t="s">
        <v>28</v>
      </c>
      <c r="J481" t="s">
        <v>124</v>
      </c>
      <c r="K481" s="85" t="str">
        <f t="shared" si="7"/>
        <v>/mnt/measurements/07_CANape/Mitsubishi/5K45/MMC5.0.0_RC3_with_resetfix/CPD/TC74_Try_2.MF4.xz,child,RadarFC_Master,child (ncap3),CPD,dummy</v>
      </c>
      <c r="L481" s="85" t="s">
        <v>3558</v>
      </c>
      <c r="M481" t="s">
        <v>658</v>
      </c>
      <c r="N481" s="129" t="s">
        <v>475</v>
      </c>
    </row>
    <row r="482" spans="1:14">
      <c r="A482" s="38">
        <v>74</v>
      </c>
      <c r="B482" t="s">
        <v>124</v>
      </c>
      <c r="C482" t="s">
        <v>253</v>
      </c>
      <c r="D482" s="97" t="e">
        <f>_xlfn.XLOOKUP(A482,[1]CPD_SOP_new!$A:$A,[1]CPD_SOP_new!#REF!,"not found",0 )</f>
        <v>#REF!</v>
      </c>
      <c r="E482" s="97" t="str">
        <f>_xlfn.XLOOKUP(A482,[1]CPD_SOP_new!$A:$A,[1]CPD_SOP_new!$K:$K,"not found",0 )</f>
        <v>3L</v>
      </c>
      <c r="F482" t="s">
        <v>27</v>
      </c>
      <c r="G482" t="s">
        <v>27</v>
      </c>
      <c r="H482" t="s">
        <v>27</v>
      </c>
      <c r="I482" t="s">
        <v>28</v>
      </c>
      <c r="J482" t="s">
        <v>124</v>
      </c>
      <c r="K482" s="85" t="str">
        <f t="shared" si="7"/>
        <v>/mnt/measurements/07_CANape/Mitsubishi/5K45/MMC5.0.0_RC3_with_resetfix/CPD/TC74_Try_3.MF4.xz,child,RadarFC_Master,child (ncap3),CPD,dummy</v>
      </c>
      <c r="L482" s="85" t="s">
        <v>3559</v>
      </c>
      <c r="M482" t="s">
        <v>659</v>
      </c>
      <c r="N482" s="129" t="s">
        <v>475</v>
      </c>
    </row>
    <row r="483" spans="1:14">
      <c r="A483" s="77">
        <v>84</v>
      </c>
      <c r="B483" t="s">
        <v>613</v>
      </c>
      <c r="C483" t="s">
        <v>66</v>
      </c>
      <c r="D483" s="97" t="e">
        <f>_xlfn.XLOOKUP(A483,[1]CPD_SOP_new!$A:$A,[1]CPD_SOP_new!#REF!,"not found",0 )</f>
        <v>#REF!</v>
      </c>
      <c r="E483" s="97" t="str">
        <f>_xlfn.XLOOKUP(A483,[1]CPD_SOP_new!$A:$A,[1]CPD_SOP_new!$K:$K,"not found",0 )</f>
        <v>1D+2L</v>
      </c>
      <c r="F483" t="s">
        <v>28</v>
      </c>
      <c r="G483" t="s">
        <v>28</v>
      </c>
      <c r="H483" t="s">
        <v>27</v>
      </c>
      <c r="I483" t="s">
        <v>28</v>
      </c>
      <c r="J483" t="s">
        <v>113</v>
      </c>
      <c r="K483" s="85" t="str">
        <f t="shared" si="7"/>
        <v>/mnt/measurements/07_CANape/Mitsubishi/5K45/MMC5.0.0_RC3/Real_Child_Tests/CSR_XCP_Signals_Recorder_2025-12-10_16-42-25_TC84_AF05D_3YORL2_CPD.MF4.xz,adult,RadarFC_Master,adult,CPD,realchild</v>
      </c>
      <c r="L483" s="85" t="s">
        <v>3560</v>
      </c>
      <c r="M483" t="s">
        <v>661</v>
      </c>
      <c r="N483" s="129" t="s">
        <v>217</v>
      </c>
    </row>
    <row r="484" spans="1:14">
      <c r="A484" s="77">
        <v>84</v>
      </c>
      <c r="B484" t="s">
        <v>613</v>
      </c>
      <c r="C484" t="s">
        <v>66</v>
      </c>
      <c r="D484" s="97" t="e">
        <f>_xlfn.XLOOKUP(A484,[1]CPD_SOP_new!$A:$A,[1]CPD_SOP_new!#REF!,"not found",0 )</f>
        <v>#REF!</v>
      </c>
      <c r="E484" s="97" t="str">
        <f>_xlfn.XLOOKUP(A484,[1]CPD_SOP_new!$A:$A,[1]CPD_SOP_new!$K:$K,"not found",0 )</f>
        <v>1D+2L</v>
      </c>
      <c r="F484" t="s">
        <v>28</v>
      </c>
      <c r="G484" t="s">
        <v>28</v>
      </c>
      <c r="H484" t="s">
        <v>27</v>
      </c>
      <c r="I484" t="s">
        <v>28</v>
      </c>
      <c r="J484" t="s">
        <v>113</v>
      </c>
      <c r="K484" s="85" t="str">
        <f t="shared" si="7"/>
        <v>/mnt/measurements/07_CANape/Mitsubishi/5K45/MMC5.0.0_RC3/Real_Child_Tests/CSR_XCP_Signals_Recorder_2025-12-10_16-44-09_TC84_AF05D_3YORL2_CPD.MF4.xz,adult,RadarFC_Master,adult,CPD,realchild</v>
      </c>
      <c r="L484" s="85" t="s">
        <v>3561</v>
      </c>
      <c r="M484" t="s">
        <v>663</v>
      </c>
      <c r="N484" s="129" t="s">
        <v>217</v>
      </c>
    </row>
    <row r="485" spans="1:14">
      <c r="A485" s="77">
        <v>84</v>
      </c>
      <c r="B485" t="s">
        <v>613</v>
      </c>
      <c r="C485" t="s">
        <v>66</v>
      </c>
      <c r="D485" s="97" t="e">
        <f>_xlfn.XLOOKUP(A485,[1]CPD_SOP_new!$A:$A,[1]CPD_SOP_new!#REF!,"not found",0 )</f>
        <v>#REF!</v>
      </c>
      <c r="E485" s="97" t="str">
        <f>_xlfn.XLOOKUP(A485,[1]CPD_SOP_new!$A:$A,[1]CPD_SOP_new!$K:$K,"not found",0 )</f>
        <v>1D+2L</v>
      </c>
      <c r="F485" t="s">
        <v>28</v>
      </c>
      <c r="G485" t="s">
        <v>28</v>
      </c>
      <c r="H485" t="s">
        <v>27</v>
      </c>
      <c r="I485" t="s">
        <v>28</v>
      </c>
      <c r="J485" t="s">
        <v>113</v>
      </c>
      <c r="K485" s="85" t="str">
        <f t="shared" si="7"/>
        <v>/mnt/measurements/07_CANape/Mitsubishi/5K45/MMC5.0.0_RC3/Real_Child_Tests/CSR_XCP_Signals_Recorder_2025-12-10_16-45-46_TC84_AF05D_3YORL2_CPD.MF4.xz,adult,RadarFC_Master,adult,CPD,realchild</v>
      </c>
      <c r="L485" s="85" t="s">
        <v>3562</v>
      </c>
      <c r="M485" t="s">
        <v>665</v>
      </c>
      <c r="N485" s="129" t="s">
        <v>217</v>
      </c>
    </row>
    <row r="486" spans="1:14">
      <c r="A486" s="77">
        <v>84</v>
      </c>
      <c r="B486" t="s">
        <v>613</v>
      </c>
      <c r="C486" t="s">
        <v>66</v>
      </c>
      <c r="D486" s="97" t="e">
        <f>_xlfn.XLOOKUP(A486,[1]CPD_SOP_new!$A:$A,[1]CPD_SOP_new!#REF!,"not found",0 )</f>
        <v>#REF!</v>
      </c>
      <c r="E486" s="97" t="str">
        <f>_xlfn.XLOOKUP(A486,[1]CPD_SOP_new!$A:$A,[1]CPD_SOP_new!$K:$K,"not found",0 )</f>
        <v>1D+2L</v>
      </c>
      <c r="F486" t="s">
        <v>28</v>
      </c>
      <c r="G486" t="s">
        <v>28</v>
      </c>
      <c r="H486" t="s">
        <v>27</v>
      </c>
      <c r="I486" t="s">
        <v>28</v>
      </c>
      <c r="J486" t="s">
        <v>113</v>
      </c>
      <c r="K486" s="85" t="str">
        <f t="shared" si="7"/>
        <v>/mnt/measurements/07_CANape/Mitsubishi/5K45/MMC5.0.0_RC3/Real_Child_Tests/CSR_XCP_Signals_Recorder_2025-12-10_16-47-21_TC84_AF05D_3YORL2_CPD.MF4.xz,adult,RadarFC_Master,adult,CPD,realchild</v>
      </c>
      <c r="L486" s="85" t="s">
        <v>3563</v>
      </c>
      <c r="M486" t="s">
        <v>666</v>
      </c>
      <c r="N486" s="129" t="s">
        <v>217</v>
      </c>
    </row>
    <row r="487" spans="1:14">
      <c r="A487" s="77">
        <v>84</v>
      </c>
      <c r="B487" t="s">
        <v>613</v>
      </c>
      <c r="C487" t="s">
        <v>66</v>
      </c>
      <c r="D487" s="97" t="e">
        <f>_xlfn.XLOOKUP(A487,[1]CPD_SOP_new!$A:$A,[1]CPD_SOP_new!#REF!,"not found",0 )</f>
        <v>#REF!</v>
      </c>
      <c r="E487" s="97" t="str">
        <f>_xlfn.XLOOKUP(A487,[1]CPD_SOP_new!$A:$A,[1]CPD_SOP_new!$K:$K,"not found",0 )</f>
        <v>1D+2L</v>
      </c>
      <c r="F487" t="s">
        <v>28</v>
      </c>
      <c r="G487" t="s">
        <v>28</v>
      </c>
      <c r="H487" t="s">
        <v>27</v>
      </c>
      <c r="I487" t="s">
        <v>28</v>
      </c>
      <c r="J487" t="s">
        <v>113</v>
      </c>
      <c r="K487" s="85" t="str">
        <f t="shared" si="7"/>
        <v>/mnt/measurements/07_CANape/Mitsubishi/5K45/MMC5.0.0_RC3/Real_Child_Tests/CSR_XCP_Signals_Recorder_2025-12-10_16-48-54_TC84_AF05D_3YORL2_CPD.MF4.xz,adult,RadarFC_Master,adult,CPD,realchild</v>
      </c>
      <c r="L487" s="85" t="s">
        <v>3564</v>
      </c>
      <c r="M487" t="s">
        <v>667</v>
      </c>
      <c r="N487" s="129" t="s">
        <v>217</v>
      </c>
    </row>
    <row r="488" spans="1:14">
      <c r="A488" s="38">
        <v>85</v>
      </c>
      <c r="B488" t="s">
        <v>613</v>
      </c>
      <c r="C488" t="s">
        <v>66</v>
      </c>
      <c r="D488" s="97" t="e">
        <f>_xlfn.XLOOKUP(A488,[1]CPD_SOP_new!$A:$A,[1]CPD_SOP_new!#REF!,"not found",0 )</f>
        <v>#REF!</v>
      </c>
      <c r="E488" s="97" t="str">
        <f>_xlfn.XLOOKUP(A488,[1]CPD_SOP_new!$A:$A,[1]CPD_SOP_new!$K:$K,"not found",0 )</f>
        <v>1D+3R</v>
      </c>
      <c r="F488" t="s">
        <v>27</v>
      </c>
      <c r="G488" t="s">
        <v>27</v>
      </c>
      <c r="H488" t="s">
        <v>27</v>
      </c>
      <c r="I488" t="s">
        <v>28</v>
      </c>
      <c r="J488" t="s">
        <v>113</v>
      </c>
      <c r="K488" s="85" t="str">
        <f t="shared" si="7"/>
        <v>/mnt/measurements/07_CANape/Mitsubishi/5K45/MMC4.1.2/Validation/2025_11_28/orderedByTargetType/adult/TC_85_Try1.MF4.xz,adult,RadarFC_Master,adult,CPD,dummy</v>
      </c>
      <c r="L488" s="85" t="s">
        <v>3565</v>
      </c>
      <c r="M488" t="s">
        <v>670</v>
      </c>
      <c r="N488" s="134" t="s">
        <v>671</v>
      </c>
    </row>
    <row r="489" spans="1:14">
      <c r="A489" s="38">
        <v>85</v>
      </c>
      <c r="B489" t="s">
        <v>613</v>
      </c>
      <c r="C489" t="s">
        <v>66</v>
      </c>
      <c r="D489" s="97" t="e">
        <f>_xlfn.XLOOKUP(A489,[1]CPD_SOP_new!$A:$A,[1]CPD_SOP_new!#REF!,"not found",0 )</f>
        <v>#REF!</v>
      </c>
      <c r="E489" s="97" t="str">
        <f>_xlfn.XLOOKUP(A489,[1]CPD_SOP_new!$A:$A,[1]CPD_SOP_new!$K:$K,"not found",0 )</f>
        <v>1D+3R</v>
      </c>
      <c r="F489" t="s">
        <v>27</v>
      </c>
      <c r="G489" t="s">
        <v>27</v>
      </c>
      <c r="H489" t="s">
        <v>27</v>
      </c>
      <c r="I489" t="s">
        <v>28</v>
      </c>
      <c r="J489" t="s">
        <v>113</v>
      </c>
      <c r="K489" s="85" t="str">
        <f t="shared" si="7"/>
        <v>/mnt/measurements/07_CANape/Mitsubishi/5K45/MMC4.1.2/Validation/2025_11_28/orderedByTargetType/adult/TC_85_Try2.MF4.xz,adult,RadarFC_Master,adult,CPD,dummy</v>
      </c>
      <c r="L489" s="85" t="s">
        <v>3566</v>
      </c>
      <c r="M489" t="s">
        <v>673</v>
      </c>
      <c r="N489" s="134" t="s">
        <v>671</v>
      </c>
    </row>
    <row r="490" spans="1:14">
      <c r="A490" s="38">
        <v>85</v>
      </c>
      <c r="B490" t="s">
        <v>613</v>
      </c>
      <c r="C490" t="s">
        <v>66</v>
      </c>
      <c r="D490" s="97" t="e">
        <f>_xlfn.XLOOKUP(A490,[1]CPD_SOP_new!$A:$A,[1]CPD_SOP_new!#REF!,"not found",0 )</f>
        <v>#REF!</v>
      </c>
      <c r="E490" s="97" t="str">
        <f>_xlfn.XLOOKUP(A490,[1]CPD_SOP_new!$A:$A,[1]CPD_SOP_new!$K:$K,"not found",0 )</f>
        <v>1D+3R</v>
      </c>
      <c r="F490" t="s">
        <v>27</v>
      </c>
      <c r="G490" t="s">
        <v>27</v>
      </c>
      <c r="H490" t="s">
        <v>27</v>
      </c>
      <c r="I490" t="s">
        <v>28</v>
      </c>
      <c r="J490" t="s">
        <v>113</v>
      </c>
      <c r="K490" s="85" t="str">
        <f t="shared" si="7"/>
        <v>/mnt/measurements/07_CANape/Mitsubishi/5K45/MMC4.1.2/Validation/2025_11_28/orderedByTargetType/adult/TC_85_Try3.MF4.xz,adult,RadarFC_Master,adult,CPD,dummy</v>
      </c>
      <c r="L490" s="85" t="s">
        <v>3567</v>
      </c>
      <c r="M490" s="60" t="s">
        <v>674</v>
      </c>
      <c r="N490" s="106" t="s">
        <v>671</v>
      </c>
    </row>
    <row r="491" spans="1:14">
      <c r="A491" s="38">
        <v>86</v>
      </c>
      <c r="B491" t="s">
        <v>613</v>
      </c>
      <c r="C491" t="s">
        <v>66</v>
      </c>
      <c r="D491" s="97" t="e">
        <f>_xlfn.XLOOKUP(A491,[1]CPD_SOP_new!$A:$A,[1]CPD_SOP_new!#REF!,"not found",0 )</f>
        <v>#REF!</v>
      </c>
      <c r="E491" s="97" t="str">
        <f>_xlfn.XLOOKUP(A491,[1]CPD_SOP_new!$A:$A,[1]CPD_SOP_new!$K:$K,"not found",0 )</f>
        <v>1D+3L</v>
      </c>
      <c r="F491" t="s">
        <v>27</v>
      </c>
      <c r="G491" t="s">
        <v>27</v>
      </c>
      <c r="H491" t="s">
        <v>27</v>
      </c>
      <c r="I491" t="s">
        <v>28</v>
      </c>
      <c r="J491" t="s">
        <v>113</v>
      </c>
      <c r="K491" s="85" t="str">
        <f t="shared" si="7"/>
        <v>/mnt/measurements/07_CANape/Mitsubishi/5K45/MMC4.1.2/Validation/2025_11_28/orderedByTargetType/adult/TC_86_Try1.MF4.xz,adult,RadarFC_Master,adult,CPD,dummy</v>
      </c>
      <c r="L491" s="85" t="s">
        <v>3568</v>
      </c>
      <c r="M491" s="60" t="s">
        <v>676</v>
      </c>
      <c r="N491" s="106" t="s">
        <v>671</v>
      </c>
    </row>
    <row r="492" spans="1:14">
      <c r="A492" s="38">
        <v>86</v>
      </c>
      <c r="B492" t="s">
        <v>613</v>
      </c>
      <c r="C492" t="s">
        <v>66</v>
      </c>
      <c r="D492" s="97" t="e">
        <f>_xlfn.XLOOKUP(A492,[1]CPD_SOP_new!$A:$A,[1]CPD_SOP_new!#REF!,"not found",0 )</f>
        <v>#REF!</v>
      </c>
      <c r="E492" s="97" t="str">
        <f>_xlfn.XLOOKUP(A492,[1]CPD_SOP_new!$A:$A,[1]CPD_SOP_new!$K:$K,"not found",0 )</f>
        <v>1D+3L</v>
      </c>
      <c r="F492" t="s">
        <v>27</v>
      </c>
      <c r="G492" t="s">
        <v>27</v>
      </c>
      <c r="H492" t="s">
        <v>27</v>
      </c>
      <c r="I492" t="s">
        <v>28</v>
      </c>
      <c r="J492" t="s">
        <v>113</v>
      </c>
      <c r="K492" s="85" t="str">
        <f t="shared" si="7"/>
        <v>/mnt/measurements/07_CANape/Mitsubishi/5K45/MMC4.1.2/Validation/2025_11_28/orderedByTargetType/adult/TC_86_Try2.MF4.xz,adult,RadarFC_Master,adult,CPD,dummy</v>
      </c>
      <c r="L492" s="85" t="s">
        <v>3569</v>
      </c>
      <c r="M492" t="s">
        <v>678</v>
      </c>
      <c r="N492" s="134" t="s">
        <v>671</v>
      </c>
    </row>
    <row r="493" spans="1:14">
      <c r="A493" s="38">
        <v>86</v>
      </c>
      <c r="B493" t="s">
        <v>613</v>
      </c>
      <c r="C493" t="s">
        <v>66</v>
      </c>
      <c r="D493" s="97" t="e">
        <f>_xlfn.XLOOKUP(A493,[1]CPD_SOP_new!$A:$A,[1]CPD_SOP_new!#REF!,"not found",0 )</f>
        <v>#REF!</v>
      </c>
      <c r="E493" s="97" t="str">
        <f>_xlfn.XLOOKUP(A493,[1]CPD_SOP_new!$A:$A,[1]CPD_SOP_new!$K:$K,"not found",0 )</f>
        <v>1D+3L</v>
      </c>
      <c r="F493" t="s">
        <v>27</v>
      </c>
      <c r="G493" t="s">
        <v>27</v>
      </c>
      <c r="H493" t="s">
        <v>27</v>
      </c>
      <c r="I493" t="s">
        <v>28</v>
      </c>
      <c r="J493" t="s">
        <v>113</v>
      </c>
      <c r="K493" s="85" t="str">
        <f t="shared" si="7"/>
        <v>/mnt/measurements/07_CANape/Mitsubishi/5K45/MMC4.1.2/Validation/2025_11_28/orderedByTargetType/adult/TC_86_Try3.MF4.xz,adult,RadarFC_Master,adult,CPD,dummy</v>
      </c>
      <c r="L493" s="85" t="s">
        <v>3570</v>
      </c>
      <c r="M493" t="s">
        <v>679</v>
      </c>
      <c r="N493" s="134" t="s">
        <v>671</v>
      </c>
    </row>
    <row r="494" spans="1:14">
      <c r="A494" s="38">
        <v>90</v>
      </c>
      <c r="B494" t="s">
        <v>613</v>
      </c>
      <c r="C494" t="s">
        <v>253</v>
      </c>
      <c r="D494" s="97" t="e">
        <f>_xlfn.XLOOKUP(A494,[1]CPD_SOP_new!$A:$A,[1]CPD_SOP_new!#REF!,"not found",0 )</f>
        <v>#REF!</v>
      </c>
      <c r="E494" s="97" t="str">
        <f>_xlfn.XLOOKUP(A494,[1]CPD_SOP_new!$A:$A,[1]CPD_SOP_new!$K:$K,"not found",0 )</f>
        <v>1D+2L</v>
      </c>
      <c r="F494" t="s">
        <v>27</v>
      </c>
      <c r="G494" t="s">
        <v>27</v>
      </c>
      <c r="H494" t="s">
        <v>27</v>
      </c>
      <c r="I494" t="s">
        <v>28</v>
      </c>
      <c r="J494" t="s">
        <v>113</v>
      </c>
      <c r="K494" s="85" t="str">
        <f t="shared" si="7"/>
        <v>/mnt/measurements/07_CANape/Mitsubishi/5K45/MMC4.1.2/Validation/2025_11_29/adult/TC_90_Try1.MF4.xz,adult,RadarFC_Master,adult,CPD,dummy</v>
      </c>
      <c r="L494" s="85" t="s">
        <v>3571</v>
      </c>
      <c r="M494" t="s">
        <v>680</v>
      </c>
      <c r="N494" s="134" t="s">
        <v>681</v>
      </c>
    </row>
    <row r="495" spans="1:14" s="130" customFormat="1" hidden="1">
      <c r="A495" s="78">
        <v>97</v>
      </c>
      <c r="B495" s="130" t="s">
        <v>613</v>
      </c>
      <c r="C495" s="130" t="s">
        <v>253</v>
      </c>
      <c r="D495" s="97" t="e">
        <f>_xlfn.XLOOKUP(A495,[1]CPD_SOP_new!$A:$A,[1]CPD_SOP_new!#REF!,"not found",0 )</f>
        <v>#REF!</v>
      </c>
      <c r="E495" s="97" t="str">
        <f>_xlfn.XLOOKUP(A495,[1]CPD_SOP_new!$A:$A,[1]CPD_SOP_new!$K:$K,"not found",0 )</f>
        <v>1P+2L</v>
      </c>
      <c r="F495" s="130" t="s">
        <v>28</v>
      </c>
      <c r="G495" s="130" t="s">
        <v>28</v>
      </c>
      <c r="H495" s="130" t="s">
        <v>27</v>
      </c>
      <c r="I495" s="130" t="s">
        <v>616</v>
      </c>
      <c r="J495" s="130" t="s">
        <v>237</v>
      </c>
      <c r="K495" s="85" t="str">
        <f t="shared" si="7"/>
        <v>/mnt/measurements/07_CANape/Mitsubishi/5K45/MMC5.0.1/5K457EG-11/Real_Child_Measurements/CSR_XCP_Signals_Recorder_2025-12-15_16-50-58_TC97_6YO1R_AM502L_CPD.MF4.xz,NCAP3 long,RadarFC_Master,NCAP3 long,CPD,realchild</v>
      </c>
      <c r="L495" s="85" t="s">
        <v>3572</v>
      </c>
      <c r="M495" s="61" t="s">
        <v>617</v>
      </c>
      <c r="N495" s="67" t="s">
        <v>102</v>
      </c>
    </row>
    <row r="496" spans="1:14" s="130" customFormat="1" hidden="1">
      <c r="A496" s="78">
        <v>97</v>
      </c>
      <c r="B496" s="130" t="s">
        <v>613</v>
      </c>
      <c r="C496" s="130" t="s">
        <v>253</v>
      </c>
      <c r="D496" s="97" t="e">
        <f>_xlfn.XLOOKUP(A496,[1]CPD_SOP_new!$A:$A,[1]CPD_SOP_new!#REF!,"not found",0 )</f>
        <v>#REF!</v>
      </c>
      <c r="E496" s="97" t="str">
        <f>_xlfn.XLOOKUP(A496,[1]CPD_SOP_new!$A:$A,[1]CPD_SOP_new!$K:$K,"not found",0 )</f>
        <v>1P+2L</v>
      </c>
      <c r="F496" s="130" t="s">
        <v>28</v>
      </c>
      <c r="G496" s="130" t="s">
        <v>28</v>
      </c>
      <c r="H496" s="130" t="s">
        <v>27</v>
      </c>
      <c r="I496" s="130" t="s">
        <v>616</v>
      </c>
      <c r="J496" s="130" t="s">
        <v>237</v>
      </c>
      <c r="K496" s="85" t="str">
        <f t="shared" si="7"/>
        <v>/mnt/measurements/07_CANape/Mitsubishi/5K45/MMC5.0.1/5K457EG-11/Real_Child_Measurements/CSR_XCP_Signals_Recorder_2025-12-15_16-54-07_TC97_6YO1R_AM502L_CPD.MF4.xz,NCAP3 long,RadarFC_Master,NCAP3 long,CPD,realchild</v>
      </c>
      <c r="L496" s="85" t="s">
        <v>3573</v>
      </c>
      <c r="M496" s="61" t="s">
        <v>618</v>
      </c>
      <c r="N496" s="67" t="s">
        <v>102</v>
      </c>
    </row>
    <row r="497" spans="1:14" s="130" customFormat="1" hidden="1">
      <c r="A497" s="78">
        <v>97</v>
      </c>
      <c r="B497" s="130" t="s">
        <v>613</v>
      </c>
      <c r="C497" s="130" t="s">
        <v>253</v>
      </c>
      <c r="D497" s="97" t="e">
        <f>_xlfn.XLOOKUP(A497,[1]CPD_SOP_new!$A:$A,[1]CPD_SOP_new!#REF!,"not found",0 )</f>
        <v>#REF!</v>
      </c>
      <c r="E497" s="97" t="str">
        <f>_xlfn.XLOOKUP(A497,[1]CPD_SOP_new!$A:$A,[1]CPD_SOP_new!$K:$K,"not found",0 )</f>
        <v>1P+2L</v>
      </c>
      <c r="F497" s="130" t="s">
        <v>28</v>
      </c>
      <c r="G497" s="130" t="s">
        <v>28</v>
      </c>
      <c r="H497" s="130" t="s">
        <v>27</v>
      </c>
      <c r="I497" s="130" t="s">
        <v>616</v>
      </c>
      <c r="J497" s="130" t="s">
        <v>237</v>
      </c>
      <c r="K497" s="85" t="str">
        <f t="shared" si="7"/>
        <v>/mnt/measurements/07_CANape/Mitsubishi/5K45/MMC5.0.1/5K457EG-11/Real_Child_Measurements/CSR_XCP_Signals_Recorder_2025-12-15_16-55-41_TC97_6YO1R_AM502L_CPD.MF4.xz,NCAP3 long,RadarFC_Master,NCAP3 long,CPD,realchild</v>
      </c>
      <c r="L497" s="85" t="s">
        <v>3574</v>
      </c>
      <c r="M497" s="61" t="s">
        <v>619</v>
      </c>
      <c r="N497" s="67" t="s">
        <v>102</v>
      </c>
    </row>
    <row r="498" spans="1:14" s="130" customFormat="1" hidden="1">
      <c r="A498" s="78">
        <v>97</v>
      </c>
      <c r="B498" s="130" t="s">
        <v>613</v>
      </c>
      <c r="C498" s="130" t="s">
        <v>253</v>
      </c>
      <c r="D498" s="97" t="e">
        <f>_xlfn.XLOOKUP(A498,[1]CPD_SOP_new!$A:$A,[1]CPD_SOP_new!#REF!,"not found",0 )</f>
        <v>#REF!</v>
      </c>
      <c r="E498" s="97" t="str">
        <f>_xlfn.XLOOKUP(A498,[1]CPD_SOP_new!$A:$A,[1]CPD_SOP_new!$K:$K,"not found",0 )</f>
        <v>1P+2L</v>
      </c>
      <c r="F498" s="130" t="s">
        <v>28</v>
      </c>
      <c r="G498" s="130" t="s">
        <v>28</v>
      </c>
      <c r="H498" s="130" t="s">
        <v>27</v>
      </c>
      <c r="I498" s="130" t="s">
        <v>616</v>
      </c>
      <c r="J498" s="130" t="s">
        <v>237</v>
      </c>
      <c r="K498" s="85" t="str">
        <f t="shared" si="7"/>
        <v>/mnt/measurements/07_CANape/Mitsubishi/5K45/MMC5.0.1/5K457EG-11/Real_Child_Measurements/CSR_XCP_Signals_Recorder_2025-12-15_16-57-16_TC97_6YO1R_AM502L_CPD.MF4.xz,NCAP3 long,RadarFC_Master,NCAP3 long,CPD,realchild</v>
      </c>
      <c r="L498" s="85" t="s">
        <v>3575</v>
      </c>
      <c r="M498" s="130" t="s">
        <v>620</v>
      </c>
      <c r="N498" s="131" t="s">
        <v>102</v>
      </c>
    </row>
    <row r="499" spans="1:14" s="130" customFormat="1" hidden="1">
      <c r="A499" s="78">
        <v>98</v>
      </c>
      <c r="B499" s="130" t="s">
        <v>613</v>
      </c>
      <c r="C499" s="130" t="s">
        <v>253</v>
      </c>
      <c r="D499" s="97" t="e">
        <f>_xlfn.XLOOKUP(A499,[1]CPD_SOP_new!$A:$A,[1]CPD_SOP_new!#REF!,"not found",0 )</f>
        <v>#REF!</v>
      </c>
      <c r="E499" s="97" t="str">
        <f>_xlfn.XLOOKUP(A499,[1]CPD_SOP_new!$A:$A,[1]CPD_SOP_new!$K:$K,"not found",0 )</f>
        <v>2L+3R</v>
      </c>
      <c r="F499" s="130" t="s">
        <v>27</v>
      </c>
      <c r="G499" s="130" t="s">
        <v>27</v>
      </c>
      <c r="H499" s="130" t="s">
        <v>27</v>
      </c>
      <c r="I499" s="130" t="s">
        <v>616</v>
      </c>
      <c r="J499" s="130" t="s">
        <v>237</v>
      </c>
      <c r="K499" s="85" t="str">
        <f t="shared" si="7"/>
        <v>/mnt/measurements/07_CANape/Mitsubishi/5K45/MMC5.1.0/5K457EG11/CSR_XCP_Signals_Recorder_2025-12-19_10-06-58_TC98_CPD.MF4.xz,NCAP3 long,RadarFC_Master,NCAP3 long,CPD,dummy</v>
      </c>
      <c r="L499" s="85" t="s">
        <v>3576</v>
      </c>
      <c r="M499" s="130" t="s">
        <v>727</v>
      </c>
      <c r="N499" s="63" t="s">
        <v>202</v>
      </c>
    </row>
    <row r="500" spans="1:14" s="130" customFormat="1" hidden="1">
      <c r="A500" s="78">
        <v>98</v>
      </c>
      <c r="B500" s="130" t="s">
        <v>613</v>
      </c>
      <c r="C500" s="130" t="s">
        <v>253</v>
      </c>
      <c r="D500" s="97" t="e">
        <f>_xlfn.XLOOKUP(A500,[1]CPD_SOP_new!$A:$A,[1]CPD_SOP_new!#REF!,"not found",0 )</f>
        <v>#REF!</v>
      </c>
      <c r="E500" s="97" t="str">
        <f>_xlfn.XLOOKUP(A500,[1]CPD_SOP_new!$A:$A,[1]CPD_SOP_new!$K:$K,"not found",0 )</f>
        <v>2L+3R</v>
      </c>
      <c r="F500" s="130" t="s">
        <v>27</v>
      </c>
      <c r="G500" s="130" t="s">
        <v>27</v>
      </c>
      <c r="H500" s="130" t="s">
        <v>27</v>
      </c>
      <c r="I500" s="130" t="s">
        <v>616</v>
      </c>
      <c r="J500" s="130" t="s">
        <v>237</v>
      </c>
      <c r="K500" s="85" t="str">
        <f t="shared" si="7"/>
        <v>/mnt/measurements/07_CANape/Mitsubishi/5K45/MMC5.1.0/5K457EG11/CSR_XCP_Signals_Recorder_2025-12-19_10-08-51_TC98_CPD.MF4.xz,NCAP3 long,RadarFC_Master,NCAP3 long,CPD,dummy</v>
      </c>
      <c r="L500" s="85" t="s">
        <v>3577</v>
      </c>
      <c r="M500" s="130" t="s">
        <v>728</v>
      </c>
      <c r="N500" s="63" t="s">
        <v>202</v>
      </c>
    </row>
    <row r="501" spans="1:14" s="130" customFormat="1" hidden="1">
      <c r="A501" s="78">
        <v>98</v>
      </c>
      <c r="B501" s="130" t="s">
        <v>613</v>
      </c>
      <c r="C501" s="130" t="s">
        <v>253</v>
      </c>
      <c r="D501" s="97" t="e">
        <f>_xlfn.XLOOKUP(A501,[1]CPD_SOP_new!$A:$A,[1]CPD_SOP_new!#REF!,"not found",0 )</f>
        <v>#REF!</v>
      </c>
      <c r="E501" s="97" t="str">
        <f>_xlfn.XLOOKUP(A501,[1]CPD_SOP_new!$A:$A,[1]CPD_SOP_new!$K:$K,"not found",0 )</f>
        <v>2L+3R</v>
      </c>
      <c r="F501" s="130" t="s">
        <v>27</v>
      </c>
      <c r="G501" s="130" t="s">
        <v>27</v>
      </c>
      <c r="H501" s="130" t="s">
        <v>27</v>
      </c>
      <c r="I501" s="130" t="s">
        <v>616</v>
      </c>
      <c r="J501" s="130" t="s">
        <v>237</v>
      </c>
      <c r="K501" s="85" t="str">
        <f t="shared" si="7"/>
        <v>/mnt/measurements/07_CANape/Mitsubishi/5K45/MMC5.1.0/5K457EG11/CSR_XCP_Signals_Recorder_2025-12-19_10-11-20_TC98_CPD.MF4.xz,NCAP3 long,RadarFC_Master,NCAP3 long,CPD,dummy</v>
      </c>
      <c r="L501" s="85" t="s">
        <v>3578</v>
      </c>
      <c r="M501" s="130" t="s">
        <v>729</v>
      </c>
      <c r="N501" s="63" t="s">
        <v>202</v>
      </c>
    </row>
    <row r="502" spans="1:14" s="130" customFormat="1">
      <c r="A502" s="38">
        <v>90</v>
      </c>
      <c r="B502" t="s">
        <v>613</v>
      </c>
      <c r="C502" t="s">
        <v>253</v>
      </c>
      <c r="D502" s="97" t="e">
        <f>_xlfn.XLOOKUP(A502,[1]CPD_SOP_new!$A:$A,[1]CPD_SOP_new!#REF!,"not found",0 )</f>
        <v>#REF!</v>
      </c>
      <c r="E502" s="97" t="str">
        <f>_xlfn.XLOOKUP(A502,[1]CPD_SOP_new!$A:$A,[1]CPD_SOP_new!$K:$K,"not found",0 )</f>
        <v>1D+2L</v>
      </c>
      <c r="F502" t="s">
        <v>27</v>
      </c>
      <c r="G502" t="s">
        <v>27</v>
      </c>
      <c r="H502" t="s">
        <v>27</v>
      </c>
      <c r="I502" t="s">
        <v>28</v>
      </c>
      <c r="J502" t="s">
        <v>113</v>
      </c>
      <c r="K502" s="85" t="str">
        <f t="shared" si="7"/>
        <v>/mnt/measurements/07_CANape/Mitsubishi/5K45/MMC4.1.2/Validation/2025_11_29/adult/TC_90_Try2.MF4.xz,adult,RadarFC_Master,adult,CPD,dummy</v>
      </c>
      <c r="L502" s="85" t="s">
        <v>3579</v>
      </c>
      <c r="M502" t="s">
        <v>683</v>
      </c>
      <c r="N502" s="134" t="s">
        <v>681</v>
      </c>
    </row>
    <row r="503" spans="1:14" s="130" customFormat="1">
      <c r="A503" s="38">
        <v>90</v>
      </c>
      <c r="B503" t="s">
        <v>613</v>
      </c>
      <c r="C503" t="s">
        <v>253</v>
      </c>
      <c r="D503" s="97" t="e">
        <f>_xlfn.XLOOKUP(A503,[1]CPD_SOP_new!$A:$A,[1]CPD_SOP_new!#REF!,"not found",0 )</f>
        <v>#REF!</v>
      </c>
      <c r="E503" s="97" t="str">
        <f>_xlfn.XLOOKUP(A503,[1]CPD_SOP_new!$A:$A,[1]CPD_SOP_new!$K:$K,"not found",0 )</f>
        <v>1D+2L</v>
      </c>
      <c r="F503" t="s">
        <v>27</v>
      </c>
      <c r="G503" t="s">
        <v>27</v>
      </c>
      <c r="H503" t="s">
        <v>27</v>
      </c>
      <c r="I503" t="s">
        <v>28</v>
      </c>
      <c r="J503" t="s">
        <v>113</v>
      </c>
      <c r="K503" s="85" t="str">
        <f t="shared" si="7"/>
        <v>/mnt/measurements/07_CANape/Mitsubishi/5K45/MMC4.1.2/Validation/2025_11_29/adult/TC_90_Try3.MF4.xz,adult,RadarFC_Master,adult,CPD,dummy</v>
      </c>
      <c r="L503" s="85" t="s">
        <v>3580</v>
      </c>
      <c r="M503" t="s">
        <v>684</v>
      </c>
      <c r="N503" s="134" t="s">
        <v>681</v>
      </c>
    </row>
    <row r="504" spans="1:14" s="130" customFormat="1">
      <c r="A504" s="38">
        <v>91</v>
      </c>
      <c r="B504" t="s">
        <v>613</v>
      </c>
      <c r="C504" t="s">
        <v>253</v>
      </c>
      <c r="D504" s="97" t="e">
        <f>_xlfn.XLOOKUP(A504,[1]CPD_SOP_new!$A:$A,[1]CPD_SOP_new!#REF!,"not found",0 )</f>
        <v>#REF!</v>
      </c>
      <c r="E504" s="97" t="str">
        <f>_xlfn.XLOOKUP(A504,[1]CPD_SOP_new!$A:$A,[1]CPD_SOP_new!$K:$K,"not found",0 )</f>
        <v>1D+3L</v>
      </c>
      <c r="F504" t="s">
        <v>27</v>
      </c>
      <c r="G504" t="s">
        <v>27</v>
      </c>
      <c r="H504" t="s">
        <v>27</v>
      </c>
      <c r="I504" t="s">
        <v>28</v>
      </c>
      <c r="J504" t="s">
        <v>113</v>
      </c>
      <c r="K504" s="85" t="str">
        <f t="shared" si="7"/>
        <v>/mnt/measurements/07_CANape/Mitsubishi/5K45/MMC4.1.2/Validation/2025_11_29/adult/TC_91_Try1.MF4.xz,adult,RadarFC_Master,adult,CPD,dummy</v>
      </c>
      <c r="L504" s="85" t="s">
        <v>3581</v>
      </c>
      <c r="M504" t="s">
        <v>685</v>
      </c>
      <c r="N504" s="134" t="s">
        <v>681</v>
      </c>
    </row>
    <row r="505" spans="1:14" s="130" customFormat="1">
      <c r="A505" s="38">
        <v>91</v>
      </c>
      <c r="B505" t="s">
        <v>613</v>
      </c>
      <c r="C505" t="s">
        <v>253</v>
      </c>
      <c r="D505" s="97" t="e">
        <f>_xlfn.XLOOKUP(A505,[1]CPD_SOP_new!$A:$A,[1]CPD_SOP_new!#REF!,"not found",0 )</f>
        <v>#REF!</v>
      </c>
      <c r="E505" s="97" t="str">
        <f>_xlfn.XLOOKUP(A505,[1]CPD_SOP_new!$A:$A,[1]CPD_SOP_new!$K:$K,"not found",0 )</f>
        <v>1D+3L</v>
      </c>
      <c r="F505" t="s">
        <v>27</v>
      </c>
      <c r="G505" t="s">
        <v>27</v>
      </c>
      <c r="H505" t="s">
        <v>27</v>
      </c>
      <c r="I505" t="s">
        <v>28</v>
      </c>
      <c r="J505" t="s">
        <v>113</v>
      </c>
      <c r="K505" s="85" t="str">
        <f t="shared" si="7"/>
        <v>/mnt/measurements/07_CANape/Mitsubishi/5K45/MMC4.1.2/Validation/2025_11_29/adult/TC_91_Try2.MF4.xz,adult,RadarFC_Master,adult,CPD,dummy</v>
      </c>
      <c r="L505" s="85" t="s">
        <v>3582</v>
      </c>
      <c r="M505" t="s">
        <v>687</v>
      </c>
      <c r="N505" s="134" t="s">
        <v>681</v>
      </c>
    </row>
    <row r="506" spans="1:14" s="130" customFormat="1">
      <c r="A506" s="38">
        <v>91</v>
      </c>
      <c r="B506" t="s">
        <v>613</v>
      </c>
      <c r="C506" t="s">
        <v>253</v>
      </c>
      <c r="D506" s="97" t="e">
        <f>_xlfn.XLOOKUP(A506,[1]CPD_SOP_new!$A:$A,[1]CPD_SOP_new!#REF!,"not found",0 )</f>
        <v>#REF!</v>
      </c>
      <c r="E506" s="97" t="str">
        <f>_xlfn.XLOOKUP(A506,[1]CPD_SOP_new!$A:$A,[1]CPD_SOP_new!$K:$K,"not found",0 )</f>
        <v>1D+3L</v>
      </c>
      <c r="F506" t="s">
        <v>27</v>
      </c>
      <c r="G506" t="s">
        <v>27</v>
      </c>
      <c r="H506" t="s">
        <v>27</v>
      </c>
      <c r="I506" t="s">
        <v>28</v>
      </c>
      <c r="J506" t="s">
        <v>113</v>
      </c>
      <c r="K506" s="85" t="str">
        <f t="shared" si="7"/>
        <v>/mnt/measurements/07_CANape/Mitsubishi/5K45/MMC4.1.2/Validation/2025_11_29/adult/TC_91_Try3.MF4.xz,adult,RadarFC_Master,adult,CPD,dummy</v>
      </c>
      <c r="L506" s="85" t="s">
        <v>3583</v>
      </c>
      <c r="M506" t="s">
        <v>688</v>
      </c>
      <c r="N506" s="134" t="s">
        <v>681</v>
      </c>
    </row>
    <row r="507" spans="1:14">
      <c r="A507" s="38">
        <v>92</v>
      </c>
      <c r="B507" t="s">
        <v>613</v>
      </c>
      <c r="C507" t="s">
        <v>66</v>
      </c>
      <c r="D507" s="97" t="e">
        <f>_xlfn.XLOOKUP(A507,[1]CPD_SOP_new!$A:$A,[1]CPD_SOP_new!#REF!,"not found",0 )</f>
        <v>#REF!</v>
      </c>
      <c r="E507" s="97" t="str">
        <f>_xlfn.XLOOKUP(A507,[1]CPD_SOP_new!$A:$A,[1]CPD_SOP_new!$K:$K,"not found",0 )</f>
        <v>1D+F2R</v>
      </c>
      <c r="F507" t="s">
        <v>27</v>
      </c>
      <c r="G507" t="s">
        <v>27</v>
      </c>
      <c r="H507" t="s">
        <v>27</v>
      </c>
      <c r="I507" t="s">
        <v>28</v>
      </c>
      <c r="J507" t="s">
        <v>113</v>
      </c>
      <c r="K507" s="85" t="str">
        <f t="shared" si="7"/>
        <v>/mnt/measurements/07_CANape/Mitsubishi/5K45/MMC4.1.2/Validation/2025_11_28/orderedByTargetType/adult/TC_92_Try1.MF4.xz,adult,RadarFC_Master,adult,CPD,dummy</v>
      </c>
      <c r="L507" s="85" t="s">
        <v>3584</v>
      </c>
      <c r="M507" t="s">
        <v>692</v>
      </c>
      <c r="N507" s="134" t="s">
        <v>671</v>
      </c>
    </row>
    <row r="508" spans="1:14">
      <c r="A508" s="38">
        <v>92</v>
      </c>
      <c r="B508" t="s">
        <v>613</v>
      </c>
      <c r="C508" t="s">
        <v>66</v>
      </c>
      <c r="D508" s="97" t="e">
        <f>_xlfn.XLOOKUP(A508,[1]CPD_SOP_new!$A:$A,[1]CPD_SOP_new!#REF!,"not found",0 )</f>
        <v>#REF!</v>
      </c>
      <c r="E508" s="97" t="str">
        <f>_xlfn.XLOOKUP(A508,[1]CPD_SOP_new!$A:$A,[1]CPD_SOP_new!$K:$K,"not found",0 )</f>
        <v>1D+F2R</v>
      </c>
      <c r="F508" t="s">
        <v>27</v>
      </c>
      <c r="G508" t="s">
        <v>27</v>
      </c>
      <c r="H508" t="s">
        <v>27</v>
      </c>
      <c r="I508" t="s">
        <v>28</v>
      </c>
      <c r="J508" t="s">
        <v>113</v>
      </c>
      <c r="K508" s="85" t="str">
        <f t="shared" si="7"/>
        <v>/mnt/measurements/07_CANape/Mitsubishi/5K45/MMC4.1.2/Validation/2025_11_28/orderedByTargetType/adult/TC_92_Try2.MF4.xz,adult,RadarFC_Master,adult,CPD,dummy</v>
      </c>
      <c r="L508" s="85" t="s">
        <v>3585</v>
      </c>
      <c r="M508" t="s">
        <v>694</v>
      </c>
      <c r="N508" s="134" t="s">
        <v>671</v>
      </c>
    </row>
    <row r="509" spans="1:14" s="130" customFormat="1" hidden="1">
      <c r="A509" s="78">
        <v>102</v>
      </c>
      <c r="B509" t="s">
        <v>111</v>
      </c>
      <c r="D509" s="97" t="e">
        <f>_xlfn.XLOOKUP(A509,[1]CPD_SOP_new!$A:$A,[1]CPD_SOP_new!#REF!,"not found",0 )</f>
        <v>#REF!</v>
      </c>
      <c r="E509" s="97" t="s">
        <v>112</v>
      </c>
      <c r="F509" s="130" t="s">
        <v>27</v>
      </c>
      <c r="G509" s="130" t="s">
        <v>28</v>
      </c>
      <c r="H509" s="130" t="s">
        <v>27</v>
      </c>
      <c r="I509" s="130" t="s">
        <v>27</v>
      </c>
      <c r="J509" s="130" t="s">
        <v>113</v>
      </c>
      <c r="K509" s="85" t="str">
        <f t="shared" si="7"/>
        <v>/mnt/measurements/07_CANape/Mitsubishi/5K45/MMC5.0.2/5K457MG57/SmokeTest/SmokeTest_CPD_TC102.MF4.xz,adult,RadarFC_Master,adult,CPD,dummy</v>
      </c>
      <c r="L509" s="85" t="s">
        <v>3586</v>
      </c>
      <c r="M509" s="136" t="s">
        <v>114</v>
      </c>
      <c r="N509" s="136" t="s">
        <v>64</v>
      </c>
    </row>
    <row r="510" spans="1:14" s="130" customFormat="1" hidden="1">
      <c r="A510" s="78">
        <v>102</v>
      </c>
      <c r="B510" t="s">
        <v>111</v>
      </c>
      <c r="D510" s="97" t="e">
        <f>_xlfn.XLOOKUP(A510,[1]CPD_SOP_new!$A:$A,[1]CPD_SOP_new!#REF!,"not found",0 )</f>
        <v>#REF!</v>
      </c>
      <c r="E510" s="97" t="s">
        <v>112</v>
      </c>
      <c r="F510" s="130" t="s">
        <v>27</v>
      </c>
      <c r="G510" s="130" t="s">
        <v>28</v>
      </c>
      <c r="H510" s="130" t="s">
        <v>27</v>
      </c>
      <c r="I510" s="130" t="s">
        <v>27</v>
      </c>
      <c r="J510" s="130" t="s">
        <v>113</v>
      </c>
      <c r="K510" s="85" t="str">
        <f t="shared" si="7"/>
        <v>/mnt/measurements/07_CANape/Mitsubishi/5K45/MMC5.1.0/5K457MG47/SmokeTest/CPD_SmokeTest_TS102.MF4.xz,adult,RadarFC_Master,adult,CPD,dummy</v>
      </c>
      <c r="L510" s="85" t="s">
        <v>3587</v>
      </c>
      <c r="M510" s="130" t="s">
        <v>742</v>
      </c>
      <c r="N510" s="136" t="s">
        <v>130</v>
      </c>
    </row>
    <row r="511" spans="1:14">
      <c r="A511" s="38">
        <v>92</v>
      </c>
      <c r="B511" t="s">
        <v>613</v>
      </c>
      <c r="C511" t="s">
        <v>66</v>
      </c>
      <c r="D511" s="97" t="e">
        <f>_xlfn.XLOOKUP(A511,[1]CPD_SOP_new!$A:$A,[1]CPD_SOP_new!#REF!,"not found",0 )</f>
        <v>#REF!</v>
      </c>
      <c r="E511" s="97" t="str">
        <f>_xlfn.XLOOKUP(A511,[1]CPD_SOP_new!$A:$A,[1]CPD_SOP_new!$K:$K,"not found",0 )</f>
        <v>1D+F2R</v>
      </c>
      <c r="F511" t="s">
        <v>27</v>
      </c>
      <c r="G511" t="s">
        <v>27</v>
      </c>
      <c r="H511" t="s">
        <v>27</v>
      </c>
      <c r="I511" t="s">
        <v>28</v>
      </c>
      <c r="J511" t="s">
        <v>113</v>
      </c>
      <c r="K511" s="85" t="str">
        <f t="shared" si="7"/>
        <v>/mnt/measurements/07_CANape/Mitsubishi/5K45/MMC4.1.2/Validation/2025_11_28/orderedByTargetType/adult/TC_92_Try3.MF4.xz,adult,RadarFC_Master,adult,CPD,dummy</v>
      </c>
      <c r="L511" s="85" t="s">
        <v>3588</v>
      </c>
      <c r="M511" t="s">
        <v>695</v>
      </c>
      <c r="N511" s="134" t="s">
        <v>671</v>
      </c>
    </row>
    <row r="512" spans="1:14">
      <c r="A512" s="38">
        <v>93</v>
      </c>
      <c r="B512" t="s">
        <v>613</v>
      </c>
      <c r="C512" t="s">
        <v>66</v>
      </c>
      <c r="D512" s="97" t="e">
        <f>_xlfn.XLOOKUP(A512,[1]CPD_SOP_new!$A:$A,[1]CPD_SOP_new!#REF!,"not found",0 )</f>
        <v>#REF!</v>
      </c>
      <c r="E512" s="97" t="str">
        <f>_xlfn.XLOOKUP(A512,[1]CPD_SOP_new!$A:$A,[1]CPD_SOP_new!$K:$K,"not found",0 )</f>
        <v>1D+F3L</v>
      </c>
      <c r="F512" t="s">
        <v>27</v>
      </c>
      <c r="G512" t="s">
        <v>27</v>
      </c>
      <c r="H512" t="s">
        <v>27</v>
      </c>
      <c r="I512" t="s">
        <v>28</v>
      </c>
      <c r="J512" t="s">
        <v>113</v>
      </c>
      <c r="K512" s="85" t="str">
        <f t="shared" si="7"/>
        <v>/mnt/measurements/07_CANape/Mitsubishi/5K45/MMC4.1.2/Validation/2025_11_28/orderedByTargetType/adult/TC_93_Try1.MF4.xz,adult,RadarFC_Master,adult,CPD,dummy</v>
      </c>
      <c r="L512" s="85" t="s">
        <v>3589</v>
      </c>
      <c r="M512" t="s">
        <v>698</v>
      </c>
      <c r="N512" s="134" t="s">
        <v>671</v>
      </c>
    </row>
    <row r="513" spans="1:21">
      <c r="A513" s="38">
        <v>93</v>
      </c>
      <c r="B513" t="s">
        <v>613</v>
      </c>
      <c r="C513" t="s">
        <v>66</v>
      </c>
      <c r="D513" s="97" t="e">
        <f>_xlfn.XLOOKUP(A513,[1]CPD_SOP_new!$A:$A,[1]CPD_SOP_new!#REF!,"not found",0 )</f>
        <v>#REF!</v>
      </c>
      <c r="E513" s="97" t="str">
        <f>_xlfn.XLOOKUP(A513,[1]CPD_SOP_new!$A:$A,[1]CPD_SOP_new!$K:$K,"not found",0 )</f>
        <v>1D+F3L</v>
      </c>
      <c r="F513" t="s">
        <v>27</v>
      </c>
      <c r="G513" t="s">
        <v>27</v>
      </c>
      <c r="H513" t="s">
        <v>27</v>
      </c>
      <c r="I513" t="s">
        <v>28</v>
      </c>
      <c r="J513" t="s">
        <v>113</v>
      </c>
      <c r="K513" s="85" t="str">
        <f t="shared" si="7"/>
        <v>/mnt/measurements/07_CANape/Mitsubishi/5K45/MMC4.1.2/Validation/2025_11_28/orderedByTargetType/adult/TC_93_Try2.MF4.xz,adult,RadarFC_Master,adult,CPD,dummy</v>
      </c>
      <c r="L513" s="85" t="s">
        <v>3590</v>
      </c>
      <c r="M513" s="60" t="s">
        <v>700</v>
      </c>
      <c r="N513" s="134" t="s">
        <v>671</v>
      </c>
    </row>
    <row r="514" spans="1:21">
      <c r="A514" s="38">
        <v>93</v>
      </c>
      <c r="B514" t="s">
        <v>613</v>
      </c>
      <c r="C514" t="s">
        <v>66</v>
      </c>
      <c r="D514" s="97" t="e">
        <f>_xlfn.XLOOKUP(A514,[1]CPD_SOP_new!$A:$A,[1]CPD_SOP_new!#REF!,"not found",0 )</f>
        <v>#REF!</v>
      </c>
      <c r="E514" s="97" t="str">
        <f>_xlfn.XLOOKUP(A514,[1]CPD_SOP_new!$A:$A,[1]CPD_SOP_new!$K:$K,"not found",0 )</f>
        <v>1D+F3L</v>
      </c>
      <c r="F514" t="s">
        <v>27</v>
      </c>
      <c r="G514" t="s">
        <v>27</v>
      </c>
      <c r="H514" t="s">
        <v>27</v>
      </c>
      <c r="I514" t="s">
        <v>28</v>
      </c>
      <c r="J514" t="s">
        <v>113</v>
      </c>
      <c r="K514" s="85" t="str">
        <f t="shared" ref="K514:K577" si="8">N514&amp;"/"&amp;M514&amp;","&amp;IF(J514="ncap3","child",J514)&amp;",RadarFC_Master,"&amp;IF(J514="ncap3","child",J514)&amp;IF(B514="ncap1,2"," ("&amp;B514&amp;")","")&amp;IF(B514="ncap3"," ("&amp;B514&amp;")","")&amp;IF(B514="multiple children"," (ncap1,2)","")&amp;IF(B514="NB awake"," (ncap1,2)","")&amp;",CPD,"&amp;IF(F514="Y","realchild","dummy")</f>
        <v>/mnt/measurements/07_CANape/Mitsubishi/5K45/MMC4.1.2/Validation/2025_11_28/orderedByTargetType/adult/TC_93_Try3.MF4.xz,adult,RadarFC_Master,adult,CPD,dummy</v>
      </c>
      <c r="L514" s="85" t="s">
        <v>3591</v>
      </c>
      <c r="M514" s="60" t="s">
        <v>701</v>
      </c>
      <c r="N514" s="134" t="s">
        <v>671</v>
      </c>
    </row>
    <row r="515" spans="1:21" s="130" customFormat="1" hidden="1">
      <c r="A515" s="78">
        <v>103</v>
      </c>
      <c r="B515" s="130" t="s">
        <v>111</v>
      </c>
      <c r="D515" s="97" t="e">
        <f>_xlfn.XLOOKUP(A515,[1]CPD_SOP_new!$A:$A,[1]CPD_SOP_new!#REF!,"not found",0 )</f>
        <v>#REF!</v>
      </c>
      <c r="E515" s="97" t="s">
        <v>26</v>
      </c>
      <c r="F515" s="130" t="s">
        <v>27</v>
      </c>
      <c r="G515" s="130" t="s">
        <v>28</v>
      </c>
      <c r="H515" s="130" t="s">
        <v>28</v>
      </c>
      <c r="I515" s="130" t="s">
        <v>27</v>
      </c>
      <c r="J515" s="130" t="s">
        <v>237</v>
      </c>
      <c r="K515" s="85" t="str">
        <f t="shared" si="8"/>
        <v>/mnt/measurements/07_CANape/Mitsubishi/5K45/5.3.0_RC6/Customer_Testing/CSR_XCP_Signals_Recorder_2026-01-29_15-48-12_TC103_NCAP_3.MF4.xz,NCAP3 long,RadarFC_Master,NCAP3 long,CPD,dummy</v>
      </c>
      <c r="L515" s="85" t="s">
        <v>3592</v>
      </c>
      <c r="M515" s="61" t="s">
        <v>1033</v>
      </c>
      <c r="N515" s="130" t="s">
        <v>353</v>
      </c>
      <c r="O515" s="130" t="s">
        <v>113</v>
      </c>
      <c r="P515" s="130" t="s">
        <v>113</v>
      </c>
      <c r="Q515" s="130">
        <v>1</v>
      </c>
      <c r="T515" s="130">
        <v>0</v>
      </c>
      <c r="U515" s="130">
        <v>0</v>
      </c>
    </row>
    <row r="516" spans="1:21" s="130" customFormat="1" hidden="1">
      <c r="A516" s="78">
        <v>103</v>
      </c>
      <c r="B516" s="130" t="s">
        <v>111</v>
      </c>
      <c r="D516" s="97" t="e">
        <f>_xlfn.XLOOKUP(A516,[1]CPD_SOP_new!$A:$A,[1]CPD_SOP_new!#REF!,"not found",0 )</f>
        <v>#REF!</v>
      </c>
      <c r="E516" s="97" t="s">
        <v>26</v>
      </c>
      <c r="F516" s="130" t="s">
        <v>27</v>
      </c>
      <c r="G516" s="130" t="s">
        <v>28</v>
      </c>
      <c r="H516" s="130" t="s">
        <v>28</v>
      </c>
      <c r="I516" s="130" t="s">
        <v>27</v>
      </c>
      <c r="J516" s="130" t="s">
        <v>237</v>
      </c>
      <c r="K516" s="85" t="str">
        <f t="shared" si="8"/>
        <v>/mnt/measurements/07_CANape/Mitsubishi/5K45/5.3.0_RC6/Customer_Testing/CSR_XCP_Signals_Recorder_2026-01-29_15-49-51_TC103_NCAP_3.MF4.xz,NCAP3 long,RadarFC_Master,NCAP3 long,CPD,dummy</v>
      </c>
      <c r="L516" s="85" t="s">
        <v>3593</v>
      </c>
      <c r="M516" s="61" t="s">
        <v>1040</v>
      </c>
      <c r="N516" s="130" t="s">
        <v>353</v>
      </c>
      <c r="O516" s="130" t="s">
        <v>113</v>
      </c>
      <c r="P516" s="130" t="s">
        <v>113</v>
      </c>
      <c r="Q516" s="130">
        <v>1</v>
      </c>
      <c r="T516" s="130">
        <v>0</v>
      </c>
      <c r="U516" s="130">
        <v>0</v>
      </c>
    </row>
    <row r="517" spans="1:21" s="130" customFormat="1" hidden="1">
      <c r="A517" s="78">
        <v>103</v>
      </c>
      <c r="B517" s="130" t="s">
        <v>111</v>
      </c>
      <c r="D517" s="97" t="e">
        <f>_xlfn.XLOOKUP(A517,[1]CPD_SOP_new!$A:$A,[1]CPD_SOP_new!#REF!,"not found",0 )</f>
        <v>#REF!</v>
      </c>
      <c r="E517" s="97" t="s">
        <v>26</v>
      </c>
      <c r="F517" s="130" t="s">
        <v>27</v>
      </c>
      <c r="G517" s="130" t="s">
        <v>28</v>
      </c>
      <c r="H517" s="130" t="s">
        <v>28</v>
      </c>
      <c r="I517" s="130" t="s">
        <v>27</v>
      </c>
      <c r="J517" s="130" t="s">
        <v>237</v>
      </c>
      <c r="K517" s="85" t="str">
        <f t="shared" si="8"/>
        <v>/mnt/measurements/07_CANape/Mitsubishi/5K45/5.3.0_RC6/Customer_Testing/CSR_XCP_Signals_Recorder_2026-01-29_15-51-35_TC103_NCAP_3.MF4.xz,NCAP3 long,RadarFC_Master,NCAP3 long,CPD,dummy</v>
      </c>
      <c r="L517" s="85" t="s">
        <v>3594</v>
      </c>
      <c r="M517" s="61" t="s">
        <v>1041</v>
      </c>
      <c r="N517" s="130" t="s">
        <v>353</v>
      </c>
      <c r="O517" s="130" t="s">
        <v>113</v>
      </c>
      <c r="P517" s="130" t="s">
        <v>113</v>
      </c>
      <c r="Q517" s="130">
        <v>1</v>
      </c>
      <c r="T517" s="130">
        <v>0</v>
      </c>
      <c r="U517" s="130">
        <v>0</v>
      </c>
    </row>
    <row r="518" spans="1:21" hidden="1">
      <c r="A518" s="78">
        <v>103</v>
      </c>
      <c r="B518" s="137" t="s">
        <v>105</v>
      </c>
      <c r="C518" s="137"/>
      <c r="D518" s="97" t="e">
        <f>_xlfn.XLOOKUP(A518,[1]CPD_SOP_new!$A:$A,[1]CPD_SOP_new!#REF!,"not found",0 )</f>
        <v>#REF!</v>
      </c>
      <c r="E518" s="97" t="s">
        <v>26</v>
      </c>
      <c r="F518" s="137" t="s">
        <v>27</v>
      </c>
      <c r="G518" t="s">
        <v>28</v>
      </c>
      <c r="H518" t="s">
        <v>28</v>
      </c>
      <c r="I518" s="137" t="s">
        <v>27</v>
      </c>
      <c r="J518" s="137" t="s">
        <v>105</v>
      </c>
      <c r="K518" s="85" t="str">
        <f t="shared" si="8"/>
        <v>/mnt/measurements/07_CANape/Mitsubishi/5K45/5.3.0_RC6/Customer_Testing/CSR_XCP_Signals_Recorder_2026-01-29_15-53-18_TC103_NCAP_1_2.MF4.xz,error,RadarFC_Master,error,CPD,dummy</v>
      </c>
      <c r="L518" s="85" t="s">
        <v>3595</v>
      </c>
      <c r="M518" s="68" t="s">
        <v>755</v>
      </c>
      <c r="N518" s="137" t="s">
        <v>353</v>
      </c>
      <c r="O518" s="137" t="s">
        <v>105</v>
      </c>
      <c r="P518" s="137" t="s">
        <v>105</v>
      </c>
      <c r="Q518" s="137" t="s">
        <v>105</v>
      </c>
      <c r="R518" s="137"/>
      <c r="S518" s="137"/>
      <c r="T518" s="137" t="s">
        <v>105</v>
      </c>
      <c r="U518" s="137" t="s">
        <v>105</v>
      </c>
    </row>
    <row r="519" spans="1:21">
      <c r="A519" s="77">
        <v>94</v>
      </c>
      <c r="B519" t="s">
        <v>613</v>
      </c>
      <c r="C519" t="s">
        <v>43</v>
      </c>
      <c r="D519" s="97" t="e">
        <f>_xlfn.XLOOKUP(A519,[1]CPD_SOP_new!$A:$A,[1]CPD_SOP_new!#REF!,"not found",0 )</f>
        <v>#REF!</v>
      </c>
      <c r="E519" s="97" t="str">
        <f>_xlfn.XLOOKUP(A519,[1]CPD_SOP_new!$A:$A,[1]CPD_SOP_new!$K:$K,"not found",0 )</f>
        <v>1D+1P</v>
      </c>
      <c r="F519" t="s">
        <v>27</v>
      </c>
      <c r="G519" t="s">
        <v>28</v>
      </c>
      <c r="H519" t="s">
        <v>27</v>
      </c>
      <c r="I519" t="s">
        <v>28</v>
      </c>
      <c r="J519" t="s">
        <v>113</v>
      </c>
      <c r="K519" s="85" t="str">
        <f t="shared" si="8"/>
        <v>/mnt/measurements/07_CANape/Mitsubishi/5K45/MMC4.1.2/Validation/2025_11_28/orderedByTargetType/adult/TC_94_Try1.MF4.xz,adult,RadarFC_Master,adult,CPD,dummy</v>
      </c>
      <c r="L519" s="85" t="s">
        <v>3596</v>
      </c>
      <c r="M519" s="60" t="s">
        <v>703</v>
      </c>
      <c r="N519" s="132" t="s">
        <v>671</v>
      </c>
    </row>
    <row r="520" spans="1:21" hidden="1">
      <c r="A520" s="78">
        <v>103</v>
      </c>
      <c r="B520" s="137" t="s">
        <v>105</v>
      </c>
      <c r="C520" s="137"/>
      <c r="D520" s="97" t="e">
        <f>_xlfn.XLOOKUP(A520,[1]CPD_SOP_new!$A:$A,[1]CPD_SOP_new!#REF!,"not found",0 )</f>
        <v>#REF!</v>
      </c>
      <c r="E520" s="97" t="s">
        <v>26</v>
      </c>
      <c r="F520" s="137" t="s">
        <v>27</v>
      </c>
      <c r="G520" t="s">
        <v>28</v>
      </c>
      <c r="H520" t="s">
        <v>28</v>
      </c>
      <c r="I520" s="137" t="s">
        <v>27</v>
      </c>
      <c r="J520" s="137" t="s">
        <v>105</v>
      </c>
      <c r="K520" s="85" t="str">
        <f t="shared" si="8"/>
        <v>/mnt/measurements/07_CANape/Mitsubishi/5K45/5.3.0_RC6/Customer_Testing/CSR_XCP_Signals_Recorder_2026-01-29_15-58-36_TC103_NCAP_1_2.MF4.xz,error,RadarFC_Master,error,CPD,dummy</v>
      </c>
      <c r="L520" s="85" t="s">
        <v>3597</v>
      </c>
      <c r="M520" s="68" t="s">
        <v>757</v>
      </c>
      <c r="N520" s="137" t="s">
        <v>353</v>
      </c>
      <c r="O520" s="137" t="s">
        <v>105</v>
      </c>
      <c r="P520" s="137" t="s">
        <v>105</v>
      </c>
      <c r="Q520" s="137" t="s">
        <v>105</v>
      </c>
      <c r="R520" s="137"/>
      <c r="S520" s="137"/>
      <c r="T520" s="137" t="s">
        <v>105</v>
      </c>
      <c r="U520" s="137" t="s">
        <v>105</v>
      </c>
    </row>
    <row r="521" spans="1:21">
      <c r="A521" s="77">
        <v>94</v>
      </c>
      <c r="B521" t="s">
        <v>613</v>
      </c>
      <c r="C521" t="s">
        <v>43</v>
      </c>
      <c r="D521" s="97" t="e">
        <f>_xlfn.XLOOKUP(A521,[1]CPD_SOP_new!$A:$A,[1]CPD_SOP_new!#REF!,"not found",0 )</f>
        <v>#REF!</v>
      </c>
      <c r="E521" s="97" t="str">
        <f>_xlfn.XLOOKUP(A521,[1]CPD_SOP_new!$A:$A,[1]CPD_SOP_new!$K:$K,"not found",0 )</f>
        <v>1D+1P</v>
      </c>
      <c r="F521" t="s">
        <v>27</v>
      </c>
      <c r="G521" t="s">
        <v>28</v>
      </c>
      <c r="H521" t="s">
        <v>27</v>
      </c>
      <c r="I521" t="s">
        <v>28</v>
      </c>
      <c r="J521" t="s">
        <v>113</v>
      </c>
      <c r="K521" s="85" t="str">
        <f t="shared" si="8"/>
        <v>/mnt/measurements/07_CANape/Mitsubishi/5K45/MMC4.1.2/Validation/2025_11_28/orderedByTargetType/adult/TC_94_Try2.MF4.xz,adult,RadarFC_Master,adult,CPD,dummy</v>
      </c>
      <c r="L521" s="85" t="s">
        <v>3598</v>
      </c>
      <c r="M521" s="60" t="s">
        <v>705</v>
      </c>
      <c r="N521" s="132" t="s">
        <v>671</v>
      </c>
    </row>
    <row r="522" spans="1:21">
      <c r="A522" s="77">
        <v>94</v>
      </c>
      <c r="B522" t="s">
        <v>613</v>
      </c>
      <c r="C522" t="s">
        <v>43</v>
      </c>
      <c r="D522" s="97" t="e">
        <f>_xlfn.XLOOKUP(A522,[1]CPD_SOP_new!$A:$A,[1]CPD_SOP_new!#REF!,"not found",0 )</f>
        <v>#REF!</v>
      </c>
      <c r="E522" s="97" t="str">
        <f>_xlfn.XLOOKUP(A522,[1]CPD_SOP_new!$A:$A,[1]CPD_SOP_new!$K:$K,"not found",0 )</f>
        <v>1D+1P</v>
      </c>
      <c r="F522" t="s">
        <v>27</v>
      </c>
      <c r="G522" t="s">
        <v>28</v>
      </c>
      <c r="H522" t="s">
        <v>27</v>
      </c>
      <c r="I522" t="s">
        <v>28</v>
      </c>
      <c r="J522" t="s">
        <v>113</v>
      </c>
      <c r="K522" s="85" t="str">
        <f t="shared" si="8"/>
        <v>/mnt/measurements/07_CANape/Mitsubishi/5K45/MMC4.1.2/Validation/2025_11_28/orderedByTargetType/adult/TC_94_Try3.MF4.xz,adult,RadarFC_Master,adult,CPD,dummy</v>
      </c>
      <c r="L522" s="85" t="s">
        <v>3599</v>
      </c>
      <c r="M522" t="s">
        <v>706</v>
      </c>
      <c r="N522" s="132" t="s">
        <v>671</v>
      </c>
    </row>
    <row r="523" spans="1:21">
      <c r="A523" s="77">
        <v>95</v>
      </c>
      <c r="B523" t="s">
        <v>613</v>
      </c>
      <c r="C523" t="s">
        <v>66</v>
      </c>
      <c r="D523" s="97" t="e">
        <f>_xlfn.XLOOKUP(A523,[1]CPD_SOP_new!$A:$A,[1]CPD_SOP_new!#REF!,"not found",0 )</f>
        <v>#REF!</v>
      </c>
      <c r="E523" s="97" t="str">
        <f>_xlfn.XLOOKUP(A523,[1]CPD_SOP_new!$A:$A,[1]CPD_SOP_new!$K:$K,"not found",0 )</f>
        <v>1D+2R</v>
      </c>
      <c r="F523" t="s">
        <v>28</v>
      </c>
      <c r="G523" t="s">
        <v>28</v>
      </c>
      <c r="H523" t="s">
        <v>27</v>
      </c>
      <c r="I523" t="s">
        <v>28</v>
      </c>
      <c r="J523" t="s">
        <v>113</v>
      </c>
      <c r="K523" s="85" t="str">
        <f t="shared" si="8"/>
        <v>/mnt/measurements/07_CANape/Mitsubishi/5K45/MMC5.0.0_RC3/Real_Child_Tests/CSR_XCP_Signals_Recorder_2025-12-10_16-53-14_TC95_AF05D_3YORR2_CPD.MF4.xz,adult,RadarFC_Master,adult,CPD,realchild</v>
      </c>
      <c r="L523" s="85" t="s">
        <v>3600</v>
      </c>
      <c r="M523" t="s">
        <v>708</v>
      </c>
      <c r="N523" s="129" t="s">
        <v>217</v>
      </c>
    </row>
    <row r="524" spans="1:21">
      <c r="A524" s="77">
        <v>95</v>
      </c>
      <c r="B524" t="s">
        <v>613</v>
      </c>
      <c r="C524" t="s">
        <v>66</v>
      </c>
      <c r="D524" s="97" t="e">
        <f>_xlfn.XLOOKUP(A524,[1]CPD_SOP_new!$A:$A,[1]CPD_SOP_new!#REF!,"not found",0 )</f>
        <v>#REF!</v>
      </c>
      <c r="E524" s="97" t="str">
        <f>_xlfn.XLOOKUP(A524,[1]CPD_SOP_new!$A:$A,[1]CPD_SOP_new!$K:$K,"not found",0 )</f>
        <v>1D+2R</v>
      </c>
      <c r="F524" t="s">
        <v>28</v>
      </c>
      <c r="G524" t="s">
        <v>28</v>
      </c>
      <c r="H524" t="s">
        <v>27</v>
      </c>
      <c r="I524" t="s">
        <v>28</v>
      </c>
      <c r="J524" t="s">
        <v>113</v>
      </c>
      <c r="K524" s="85" t="str">
        <f t="shared" si="8"/>
        <v>/mnt/measurements/07_CANape/Mitsubishi/5K45/MMC5.0.0_RC3/Real_Child_Tests/CSR_XCP_Signals_Recorder_2025-12-10_16-54-43_TC95_AF05D_3YORR2_CPD.MF4.xz,adult,RadarFC_Master,adult,CPD,realchild</v>
      </c>
      <c r="L524" s="85" t="s">
        <v>3601</v>
      </c>
      <c r="M524" t="s">
        <v>710</v>
      </c>
      <c r="N524" s="129" t="s">
        <v>217</v>
      </c>
    </row>
    <row r="525" spans="1:21">
      <c r="A525" s="77">
        <v>95</v>
      </c>
      <c r="B525" t="s">
        <v>613</v>
      </c>
      <c r="C525" t="s">
        <v>66</v>
      </c>
      <c r="D525" s="97" t="e">
        <f>_xlfn.XLOOKUP(A525,[1]CPD_SOP_new!$A:$A,[1]CPD_SOP_new!#REF!,"not found",0 )</f>
        <v>#REF!</v>
      </c>
      <c r="E525" s="97" t="str">
        <f>_xlfn.XLOOKUP(A525,[1]CPD_SOP_new!$A:$A,[1]CPD_SOP_new!$K:$K,"not found",0 )</f>
        <v>1D+2R</v>
      </c>
      <c r="F525" t="s">
        <v>28</v>
      </c>
      <c r="G525" t="s">
        <v>28</v>
      </c>
      <c r="H525" t="s">
        <v>27</v>
      </c>
      <c r="I525" t="s">
        <v>28</v>
      </c>
      <c r="J525" t="s">
        <v>113</v>
      </c>
      <c r="K525" s="85" t="str">
        <f t="shared" si="8"/>
        <v>/mnt/measurements/07_CANape/Mitsubishi/5K45/MMC5.0.0_RC3/Real_Child_Tests/CSR_XCP_Signals_Recorder_2025-12-10_16-56-11_TC95_AF05D_3YORR2_CPD.MF4.xz,adult,RadarFC_Master,adult,CPD,realchild</v>
      </c>
      <c r="L525" s="85" t="s">
        <v>3602</v>
      </c>
      <c r="M525" t="s">
        <v>711</v>
      </c>
      <c r="N525" s="129" t="s">
        <v>217</v>
      </c>
    </row>
    <row r="526" spans="1:21">
      <c r="A526" s="77">
        <v>95</v>
      </c>
      <c r="B526" t="s">
        <v>613</v>
      </c>
      <c r="C526" t="s">
        <v>66</v>
      </c>
      <c r="D526" s="97" t="e">
        <f>_xlfn.XLOOKUP(A526,[1]CPD_SOP_new!$A:$A,[1]CPD_SOP_new!#REF!,"not found",0 )</f>
        <v>#REF!</v>
      </c>
      <c r="E526" s="97" t="str">
        <f>_xlfn.XLOOKUP(A526,[1]CPD_SOP_new!$A:$A,[1]CPD_SOP_new!$K:$K,"not found",0 )</f>
        <v>1D+2R</v>
      </c>
      <c r="F526" t="s">
        <v>28</v>
      </c>
      <c r="G526" t="s">
        <v>28</v>
      </c>
      <c r="H526" t="s">
        <v>27</v>
      </c>
      <c r="I526" t="s">
        <v>28</v>
      </c>
      <c r="J526" t="s">
        <v>113</v>
      </c>
      <c r="K526" s="85" t="str">
        <f t="shared" si="8"/>
        <v>/mnt/measurements/07_CANape/Mitsubishi/5K45/MMC5.0.0_RC3/Real_Child_Tests/CSR_XCP_Signals_Recorder_2025-12-10_16-57-41_TC95_AF05D_3YORR2_CPD.MF4.xz,adult,RadarFC_Master,adult,CPD,realchild</v>
      </c>
      <c r="L526" s="85" t="s">
        <v>3603</v>
      </c>
      <c r="M526" t="s">
        <v>712</v>
      </c>
      <c r="N526" s="129" t="s">
        <v>217</v>
      </c>
    </row>
    <row r="527" spans="1:21">
      <c r="A527" s="77">
        <v>95</v>
      </c>
      <c r="B527" t="s">
        <v>613</v>
      </c>
      <c r="C527" t="s">
        <v>66</v>
      </c>
      <c r="D527" s="97" t="e">
        <f>_xlfn.XLOOKUP(A527,[1]CPD_SOP_new!$A:$A,[1]CPD_SOP_new!#REF!,"not found",0 )</f>
        <v>#REF!</v>
      </c>
      <c r="E527" s="97" t="str">
        <f>_xlfn.XLOOKUP(A527,[1]CPD_SOP_new!$A:$A,[1]CPD_SOP_new!$K:$K,"not found",0 )</f>
        <v>1D+2R</v>
      </c>
      <c r="F527" t="s">
        <v>28</v>
      </c>
      <c r="G527" t="s">
        <v>28</v>
      </c>
      <c r="H527" t="s">
        <v>27</v>
      </c>
      <c r="I527" t="s">
        <v>28</v>
      </c>
      <c r="J527" t="s">
        <v>113</v>
      </c>
      <c r="K527" s="85" t="str">
        <f t="shared" si="8"/>
        <v>/mnt/measurements/07_CANape/Mitsubishi/5K45/MMC5.0.0_RC3/Real_Child_Tests/CSR_XCP_Signals_Recorder_2025-12-10_16-59-10_TC95_AF05D_3YORR2_CPD.MF4.xz,adult,RadarFC_Master,adult,CPD,realchild</v>
      </c>
      <c r="L527" s="85" t="s">
        <v>3604</v>
      </c>
      <c r="M527" t="s">
        <v>713</v>
      </c>
      <c r="N527" s="129" t="s">
        <v>217</v>
      </c>
    </row>
    <row r="528" spans="1:21">
      <c r="A528" s="38">
        <v>96</v>
      </c>
      <c r="B528" t="s">
        <v>613</v>
      </c>
      <c r="C528" t="s">
        <v>253</v>
      </c>
      <c r="D528" s="97" t="e">
        <f>_xlfn.XLOOKUP(A528,[1]CPD_SOP_new!$A:$A,[1]CPD_SOP_new!#REF!,"not found",0 )</f>
        <v>#REF!</v>
      </c>
      <c r="E528" s="97" t="str">
        <f>_xlfn.XLOOKUP(A528,[1]CPD_SOP_new!$A:$A,[1]CPD_SOP_new!$K:$K,"not found",0 )</f>
        <v>1D+2C</v>
      </c>
      <c r="F528" t="s">
        <v>27</v>
      </c>
      <c r="G528" t="s">
        <v>27</v>
      </c>
      <c r="H528" t="s">
        <v>27</v>
      </c>
      <c r="I528" t="s">
        <v>28</v>
      </c>
      <c r="J528" t="s">
        <v>113</v>
      </c>
      <c r="K528" s="85" t="str">
        <f t="shared" si="8"/>
        <v>/mnt/measurements/07_CANape/Mitsubishi/5K45/MMC4.1.2/Validation/2025_11_28/orderedByTargetType/adult/TC_96_Try_1.MF4.xz,adult,RadarFC_Master,adult,CPD,dummy</v>
      </c>
      <c r="L528" s="85" t="s">
        <v>3605</v>
      </c>
      <c r="M528" t="s">
        <v>715</v>
      </c>
      <c r="N528" s="134" t="s">
        <v>671</v>
      </c>
    </row>
    <row r="529" spans="1:21">
      <c r="A529" s="38">
        <v>96</v>
      </c>
      <c r="B529" t="s">
        <v>613</v>
      </c>
      <c r="C529" t="s">
        <v>253</v>
      </c>
      <c r="D529" s="97" t="e">
        <f>_xlfn.XLOOKUP(A529,[1]CPD_SOP_new!$A:$A,[1]CPD_SOP_new!#REF!,"not found",0 )</f>
        <v>#REF!</v>
      </c>
      <c r="E529" s="97" t="str">
        <f>_xlfn.XLOOKUP(A529,[1]CPD_SOP_new!$A:$A,[1]CPD_SOP_new!$K:$K,"not found",0 )</f>
        <v>1D+2C</v>
      </c>
      <c r="F529" t="s">
        <v>27</v>
      </c>
      <c r="G529" t="s">
        <v>27</v>
      </c>
      <c r="H529" t="s">
        <v>27</v>
      </c>
      <c r="I529" t="s">
        <v>28</v>
      </c>
      <c r="J529" t="s">
        <v>113</v>
      </c>
      <c r="K529" s="85" t="str">
        <f t="shared" si="8"/>
        <v>/mnt/measurements/07_CANape/Mitsubishi/5K45/MMC4.1.2/Validation/2025_11_28/orderedByTargetType/adult/TC_96_Try2.MF4.xz,adult,RadarFC_Master,adult,CPD,dummy</v>
      </c>
      <c r="L529" s="85" t="s">
        <v>3606</v>
      </c>
      <c r="M529" t="s">
        <v>717</v>
      </c>
      <c r="N529" s="134" t="s">
        <v>671</v>
      </c>
    </row>
    <row r="530" spans="1:21">
      <c r="A530" s="38">
        <v>96</v>
      </c>
      <c r="B530" t="s">
        <v>613</v>
      </c>
      <c r="C530" t="s">
        <v>253</v>
      </c>
      <c r="D530" s="97" t="e">
        <f>_xlfn.XLOOKUP(A530,[1]CPD_SOP_new!$A:$A,[1]CPD_SOP_new!#REF!,"not found",0 )</f>
        <v>#REF!</v>
      </c>
      <c r="E530" s="97" t="str">
        <f>_xlfn.XLOOKUP(A530,[1]CPD_SOP_new!$A:$A,[1]CPD_SOP_new!$K:$K,"not found",0 )</f>
        <v>1D+2C</v>
      </c>
      <c r="F530" t="s">
        <v>27</v>
      </c>
      <c r="G530" t="s">
        <v>27</v>
      </c>
      <c r="H530" t="s">
        <v>27</v>
      </c>
      <c r="I530" t="s">
        <v>28</v>
      </c>
      <c r="J530" t="s">
        <v>113</v>
      </c>
      <c r="K530" s="85" t="str">
        <f t="shared" si="8"/>
        <v>/mnt/measurements/07_CANape/Mitsubishi/5K45/MMC4.1.2/Validation/2025_11_28/orderedByTargetType/adult/TC_96_Try3.MF4.xz,adult,RadarFC_Master,adult,CPD,dummy</v>
      </c>
      <c r="L530" s="85" t="s">
        <v>3607</v>
      </c>
      <c r="M530" t="s">
        <v>718</v>
      </c>
      <c r="N530" s="134" t="s">
        <v>671</v>
      </c>
    </row>
    <row r="531" spans="1:21">
      <c r="A531" s="38">
        <v>99</v>
      </c>
      <c r="B531" t="s">
        <v>613</v>
      </c>
      <c r="C531" t="s">
        <v>66</v>
      </c>
      <c r="D531" s="97" t="e">
        <f>_xlfn.XLOOKUP(A531,[1]CPD_SOP_new!$A:$A,[1]CPD_SOP_new!#REF!,"not found",0 )</f>
        <v>#REF!</v>
      </c>
      <c r="E531" s="97" t="str">
        <f>_xlfn.XLOOKUP(A531,[1]CPD_SOP_new!$A:$A,[1]CPD_SOP_new!$K:$K,"not found",0 )</f>
        <v>1P+3L</v>
      </c>
      <c r="F531" t="s">
        <v>27</v>
      </c>
      <c r="G531" t="s">
        <v>27</v>
      </c>
      <c r="H531" t="s">
        <v>27</v>
      </c>
      <c r="I531" t="s">
        <v>28</v>
      </c>
      <c r="J531" t="s">
        <v>113</v>
      </c>
      <c r="K531" s="85" t="str">
        <f t="shared" si="8"/>
        <v>/mnt/measurements/07_CANape/Mitsubishi/5K45/MMC4.1.2/Validation/2025_11_28/orderedByTargetType/adult/TC_99_Try1.MF4.xz,adult,RadarFC_Master,adult,CPD,dummy</v>
      </c>
      <c r="L531" s="85" t="s">
        <v>3608</v>
      </c>
      <c r="M531" t="s">
        <v>731</v>
      </c>
      <c r="N531" s="134" t="s">
        <v>671</v>
      </c>
    </row>
    <row r="532" spans="1:21">
      <c r="A532" s="38">
        <v>99</v>
      </c>
      <c r="B532" t="s">
        <v>613</v>
      </c>
      <c r="C532" t="s">
        <v>66</v>
      </c>
      <c r="D532" s="97" t="e">
        <f>_xlfn.XLOOKUP(A532,[1]CPD_SOP_new!$A:$A,[1]CPD_SOP_new!#REF!,"not found",0 )</f>
        <v>#REF!</v>
      </c>
      <c r="E532" s="97" t="str">
        <f>_xlfn.XLOOKUP(A532,[1]CPD_SOP_new!$A:$A,[1]CPD_SOP_new!$K:$K,"not found",0 )</f>
        <v>1P+3L</v>
      </c>
      <c r="F532" t="s">
        <v>27</v>
      </c>
      <c r="G532" t="s">
        <v>27</v>
      </c>
      <c r="H532" t="s">
        <v>27</v>
      </c>
      <c r="I532" t="s">
        <v>28</v>
      </c>
      <c r="J532" t="s">
        <v>113</v>
      </c>
      <c r="K532" s="85" t="str">
        <f t="shared" si="8"/>
        <v>/mnt/measurements/07_CANape/Mitsubishi/5K45/MMC4.1.2/Validation/2025_11_28/orderedByTargetType/adult/TC_99_Try2.MF4.xz,adult,RadarFC_Master,adult,CPD,dummy</v>
      </c>
      <c r="L532" s="85" t="s">
        <v>3609</v>
      </c>
      <c r="M532" t="s">
        <v>734</v>
      </c>
      <c r="N532" s="134" t="s">
        <v>671</v>
      </c>
    </row>
    <row r="533" spans="1:21" s="130" customFormat="1" hidden="1">
      <c r="A533" s="78">
        <v>108</v>
      </c>
      <c r="B533" s="130" t="s">
        <v>111</v>
      </c>
      <c r="D533" s="97" t="e">
        <f>_xlfn.XLOOKUP(A533,[1]CPD_SOP_new!$A:$A,[1]CPD_SOP_new!#REF!,"not found",0 )</f>
        <v>#REF!</v>
      </c>
      <c r="E533" s="97" t="str">
        <f>_xlfn.XLOOKUP(A533,[1]CPD_SOP_new!$A:$A,[1]CPD_SOP_new!$K:$K,"not found",0 )</f>
        <v>F3R</v>
      </c>
      <c r="F533" s="130" t="s">
        <v>27</v>
      </c>
      <c r="G533" s="130" t="s">
        <v>28</v>
      </c>
      <c r="H533" s="130" t="s">
        <v>27</v>
      </c>
      <c r="I533" s="130" t="s">
        <v>27</v>
      </c>
      <c r="J533" s="130" t="s">
        <v>978</v>
      </c>
      <c r="K533" s="85" t="str">
        <f t="shared" si="8"/>
        <v>/mnt/measurements/07_CANape/Mitsubishi/5K45/MMC4.1.2/Validation/2025_11_28/orderedByTargetType/adult/TC_108_Try1.MF4.xz,Input signal CpdFuncActive is always 4,RadarFC_Master,Input signal CpdFuncActive is always 4,CPD,dummy</v>
      </c>
      <c r="L533" s="85" t="s">
        <v>3610</v>
      </c>
      <c r="M533" s="130" t="s">
        <v>979</v>
      </c>
      <c r="N533" s="136" t="s">
        <v>671</v>
      </c>
    </row>
    <row r="534" spans="1:21">
      <c r="A534" s="38">
        <v>99</v>
      </c>
      <c r="B534" t="s">
        <v>613</v>
      </c>
      <c r="C534" t="s">
        <v>66</v>
      </c>
      <c r="D534" s="97" t="e">
        <f>_xlfn.XLOOKUP(A534,[1]CPD_SOP_new!$A:$A,[1]CPD_SOP_new!#REF!,"not found",0 )</f>
        <v>#REF!</v>
      </c>
      <c r="E534" s="97" t="str">
        <f>_xlfn.XLOOKUP(A534,[1]CPD_SOP_new!$A:$A,[1]CPD_SOP_new!$K:$K,"not found",0 )</f>
        <v>1P+3L</v>
      </c>
      <c r="F534" t="s">
        <v>27</v>
      </c>
      <c r="G534" t="s">
        <v>27</v>
      </c>
      <c r="H534" t="s">
        <v>27</v>
      </c>
      <c r="I534" t="s">
        <v>28</v>
      </c>
      <c r="J534" t="s">
        <v>113</v>
      </c>
      <c r="K534" s="85" t="str">
        <f t="shared" si="8"/>
        <v>/mnt/measurements/07_CANape/Mitsubishi/5K45/MMC4.1.2/Validation/2025_11_28/orderedByTargetType/adult/TC_99_Try3.MF4.xz,adult,RadarFC_Master,adult,CPD,dummy</v>
      </c>
      <c r="L534" s="85" t="s">
        <v>3611</v>
      </c>
      <c r="M534" t="s">
        <v>735</v>
      </c>
      <c r="N534" s="134" t="s">
        <v>671</v>
      </c>
    </row>
    <row r="535" spans="1:21">
      <c r="A535" s="77">
        <v>102</v>
      </c>
      <c r="B535" t="s">
        <v>111</v>
      </c>
      <c r="D535" s="97" t="e">
        <f>_xlfn.XLOOKUP(A535,[1]CPD_SOP_new!$A:$A,[1]CPD_SOP_new!#REF!,"not found",0 )</f>
        <v>#REF!</v>
      </c>
      <c r="E535" s="97" t="s">
        <v>112</v>
      </c>
      <c r="F535" t="s">
        <v>27</v>
      </c>
      <c r="G535" t="s">
        <v>28</v>
      </c>
      <c r="H535" t="s">
        <v>27</v>
      </c>
      <c r="I535" t="s">
        <v>28</v>
      </c>
      <c r="J535" t="s">
        <v>113</v>
      </c>
      <c r="K535" s="85" t="str">
        <f t="shared" si="8"/>
        <v>/mnt/measurements/07_CANape/Mitsubishi/5K45/MMC4.1.2/Validation/2025_11_28/orderedByTargetType/adult/TC_102_Try1.MF4.xz,adult,RadarFC_Master,adult,CPD,dummy</v>
      </c>
      <c r="L535" s="85" t="s">
        <v>3612</v>
      </c>
      <c r="M535" t="s">
        <v>736</v>
      </c>
      <c r="N535" s="132" t="s">
        <v>671</v>
      </c>
    </row>
    <row r="536" spans="1:21">
      <c r="A536" s="77">
        <v>102</v>
      </c>
      <c r="B536" t="s">
        <v>111</v>
      </c>
      <c r="D536" s="97" t="e">
        <f>_xlfn.XLOOKUP(A536,[1]CPD_SOP_new!$A:$A,[1]CPD_SOP_new!#REF!,"not found",0 )</f>
        <v>#REF!</v>
      </c>
      <c r="E536" s="97" t="s">
        <v>112</v>
      </c>
      <c r="F536" t="s">
        <v>27</v>
      </c>
      <c r="G536" t="s">
        <v>28</v>
      </c>
      <c r="H536" t="s">
        <v>27</v>
      </c>
      <c r="I536" t="s">
        <v>28</v>
      </c>
      <c r="J536" t="s">
        <v>113</v>
      </c>
      <c r="K536" s="85" t="str">
        <f t="shared" si="8"/>
        <v>/mnt/measurements/07_CANape/Mitsubishi/5K45/MMC4.1.2/Validation/2025_11_28/orderedByTargetType/adult/TC_102_Try2.MF4.xz,adult,RadarFC_Master,adult,CPD,dummy</v>
      </c>
      <c r="L536" s="85" t="s">
        <v>3613</v>
      </c>
      <c r="M536" t="s">
        <v>738</v>
      </c>
      <c r="N536" s="132" t="s">
        <v>671</v>
      </c>
    </row>
    <row r="537" spans="1:21">
      <c r="A537" s="77">
        <v>102</v>
      </c>
      <c r="B537" t="s">
        <v>111</v>
      </c>
      <c r="D537" s="97" t="e">
        <f>_xlfn.XLOOKUP(A537,[1]CPD_SOP_new!$A:$A,[1]CPD_SOP_new!#REF!,"not found",0 )</f>
        <v>#REF!</v>
      </c>
      <c r="E537" s="97" t="s">
        <v>112</v>
      </c>
      <c r="F537" t="s">
        <v>27</v>
      </c>
      <c r="G537" t="s">
        <v>28</v>
      </c>
      <c r="H537" t="s">
        <v>27</v>
      </c>
      <c r="I537" t="s">
        <v>28</v>
      </c>
      <c r="J537" t="s">
        <v>113</v>
      </c>
      <c r="K537" s="85" t="str">
        <f t="shared" si="8"/>
        <v>/mnt/measurements/07_CANape/Mitsubishi/5K45/MMC4.1.2/Validation/2025_11_28/orderedByTargetType/adult/TC_102_Try3.MF4.xz,adult,RadarFC_Master,adult,CPD,dummy</v>
      </c>
      <c r="L537" s="85" t="s">
        <v>3614</v>
      </c>
      <c r="M537" t="s">
        <v>739</v>
      </c>
      <c r="N537" s="132" t="s">
        <v>671</v>
      </c>
    </row>
    <row r="538" spans="1:21">
      <c r="A538" s="77">
        <v>102</v>
      </c>
      <c r="B538" t="s">
        <v>111</v>
      </c>
      <c r="D538" s="97" t="e">
        <f>_xlfn.XLOOKUP(A538,[1]CPD_SOP_new!$A:$A,[1]CPD_SOP_new!#REF!,"not found",0 )</f>
        <v>#REF!</v>
      </c>
      <c r="E538" s="97" t="s">
        <v>112</v>
      </c>
      <c r="F538" t="s">
        <v>27</v>
      </c>
      <c r="G538" t="s">
        <v>28</v>
      </c>
      <c r="H538" t="s">
        <v>27</v>
      </c>
      <c r="I538" t="s">
        <v>28</v>
      </c>
      <c r="J538" t="s">
        <v>113</v>
      </c>
      <c r="K538" s="85" t="str">
        <f t="shared" si="8"/>
        <v>/mnt/measurements/07_CANape/Mitsubishi/5K45/MMC5.1.1/5K457EG11/Smoke Tests/CSR_XCP_Signals_Recorder_2025-12-22_15-21-33_TC102_CPD.MF4.xz,adult,RadarFC_Master,adult,CPD,dummy</v>
      </c>
      <c r="L538" s="85" t="s">
        <v>3615</v>
      </c>
      <c r="M538" s="132" t="s">
        <v>740</v>
      </c>
      <c r="N538" s="132" t="s">
        <v>53</v>
      </c>
    </row>
    <row r="539" spans="1:21">
      <c r="A539" s="77">
        <v>103</v>
      </c>
      <c r="B539" t="s">
        <v>111</v>
      </c>
      <c r="D539" s="97" t="e">
        <f>_xlfn.XLOOKUP(A539,[1]CPD_SOP_new!$A:$A,[1]CPD_SOP_new!#REF!,"not found",0 )</f>
        <v>#REF!</v>
      </c>
      <c r="E539" s="97" t="s">
        <v>26</v>
      </c>
      <c r="F539" t="s">
        <v>27</v>
      </c>
      <c r="G539" t="s">
        <v>28</v>
      </c>
      <c r="H539" t="s">
        <v>28</v>
      </c>
      <c r="I539" t="s">
        <v>28</v>
      </c>
      <c r="J539" t="s">
        <v>113</v>
      </c>
      <c r="K539" s="85" t="str">
        <f t="shared" si="8"/>
        <v>/mnt/measurements/07_CANape/Mitsubishi/5K45/MMC4.1.2/Validation/2025_11_28/TC_103_Try1.MF4.xz/TC_103_Try1.MF4.xz,adult,RadarFC_Master,adult,CPD,dummy</v>
      </c>
      <c r="L539" s="85" t="s">
        <v>3616</v>
      </c>
      <c r="M539" t="s">
        <v>743</v>
      </c>
      <c r="N539" s="129" t="s">
        <v>2542</v>
      </c>
    </row>
    <row r="540" spans="1:21">
      <c r="A540" s="77">
        <v>103</v>
      </c>
      <c r="B540" t="s">
        <v>111</v>
      </c>
      <c r="D540" s="97" t="e">
        <f>_xlfn.XLOOKUP(A540,[1]CPD_SOP_new!$A:$A,[1]CPD_SOP_new!#REF!,"not found",0 )</f>
        <v>#REF!</v>
      </c>
      <c r="E540" s="97" t="s">
        <v>26</v>
      </c>
      <c r="F540" t="s">
        <v>27</v>
      </c>
      <c r="G540" t="s">
        <v>28</v>
      </c>
      <c r="H540" t="s">
        <v>28</v>
      </c>
      <c r="I540" t="s">
        <v>28</v>
      </c>
      <c r="J540" t="s">
        <v>113</v>
      </c>
      <c r="K540" s="85" t="str">
        <f t="shared" si="8"/>
        <v>/mnt/measurements/07_CANape/Mitsubishi/5K45/MMC4.1.2/Validation/2025_11_28/TC_103_Try2.MF4.xz/TC_103_Try2.MF4.xz,adult,RadarFC_Master,adult,CPD,dummy</v>
      </c>
      <c r="L540" s="85" t="s">
        <v>3617</v>
      </c>
      <c r="M540" t="s">
        <v>746</v>
      </c>
      <c r="N540" s="129" t="s">
        <v>2544</v>
      </c>
    </row>
    <row r="541" spans="1:21">
      <c r="A541" s="77">
        <v>103</v>
      </c>
      <c r="B541" t="s">
        <v>111</v>
      </c>
      <c r="D541" s="97" t="e">
        <f>_xlfn.XLOOKUP(A541,[1]CPD_SOP_new!$A:$A,[1]CPD_SOP_new!#REF!,"not found",0 )</f>
        <v>#REF!</v>
      </c>
      <c r="E541" s="97" t="s">
        <v>26</v>
      </c>
      <c r="F541" t="s">
        <v>27</v>
      </c>
      <c r="G541" t="s">
        <v>28</v>
      </c>
      <c r="H541" t="s">
        <v>28</v>
      </c>
      <c r="I541" t="s">
        <v>28</v>
      </c>
      <c r="J541" t="s">
        <v>113</v>
      </c>
      <c r="K541" s="85" t="str">
        <f t="shared" si="8"/>
        <v>/mnt/measurements/07_CANape/Mitsubishi/5K45/MMC4.1.2/Validation/2025_11_28/TC_103_Try3.MF4.xz/TC_103_Try3.MF4.xz,adult,RadarFC_Master,adult,CPD,dummy</v>
      </c>
      <c r="L541" s="85" t="s">
        <v>3618</v>
      </c>
      <c r="M541" t="s">
        <v>748</v>
      </c>
      <c r="N541" s="129" t="s">
        <v>2546</v>
      </c>
    </row>
    <row r="542" spans="1:21">
      <c r="A542" s="77">
        <v>103</v>
      </c>
      <c r="B542" t="s">
        <v>111</v>
      </c>
      <c r="D542" s="97" t="e">
        <f>_xlfn.XLOOKUP(A542,[1]CPD_SOP_new!$A:$A,[1]CPD_SOP_new!#REF!,"not found",0 )</f>
        <v>#REF!</v>
      </c>
      <c r="E542" s="97" t="s">
        <v>26</v>
      </c>
      <c r="F542" t="s">
        <v>27</v>
      </c>
      <c r="G542" t="s">
        <v>28</v>
      </c>
      <c r="H542" t="s">
        <v>28</v>
      </c>
      <c r="I542" t="s">
        <v>28</v>
      </c>
      <c r="J542" t="s">
        <v>113</v>
      </c>
      <c r="K542" s="85" t="str">
        <f t="shared" si="8"/>
        <v>/mnt/measurements/07_CANape/Mitsubishi/5K45/MMC4.1.2/Validation/2025_11_28/TC_103_Try3_Retry.MF4.xz/TC_103_Try3_Retry.MF4.xz,adult,RadarFC_Master,adult,CPD,dummy</v>
      </c>
      <c r="L542" s="85" t="s">
        <v>3619</v>
      </c>
      <c r="M542" t="s">
        <v>749</v>
      </c>
      <c r="N542" s="129" t="s">
        <v>2548</v>
      </c>
    </row>
    <row r="543" spans="1:21">
      <c r="A543" s="77">
        <v>103</v>
      </c>
      <c r="B543" t="s">
        <v>111</v>
      </c>
      <c r="D543" s="97" t="e">
        <f>_xlfn.XLOOKUP(A543,[1]CPD_SOP_new!$A:$A,[1]CPD_SOP_new!#REF!,"not found",0 )</f>
        <v>#REF!</v>
      </c>
      <c r="E543" s="97" t="s">
        <v>26</v>
      </c>
      <c r="F543" t="s">
        <v>27</v>
      </c>
      <c r="G543" t="s">
        <v>28</v>
      </c>
      <c r="H543" t="s">
        <v>28</v>
      </c>
      <c r="I543" t="s">
        <v>28</v>
      </c>
      <c r="J543" t="s">
        <v>113</v>
      </c>
      <c r="K543" s="85" t="str">
        <f t="shared" si="8"/>
        <v>/mnt/measurements/07_CANape/Mitsubishi/5K45/5.3.0_RC6/Customer_Testing/CSR_XCP_Signals_Recorder_2026-01-29_15-55-58_TC103_NCAP_1_2.MF4.xz,adult,RadarFC_Master,adult,CPD,dummy</v>
      </c>
      <c r="L543" s="85" t="s">
        <v>3620</v>
      </c>
      <c r="M543" t="s">
        <v>756</v>
      </c>
      <c r="N543" t="s">
        <v>353</v>
      </c>
      <c r="O543" t="s">
        <v>113</v>
      </c>
      <c r="P543" t="s">
        <v>113</v>
      </c>
      <c r="Q543">
        <v>1</v>
      </c>
      <c r="T543">
        <v>0</v>
      </c>
      <c r="U543">
        <v>0</v>
      </c>
    </row>
    <row r="544" spans="1:21">
      <c r="A544" s="77">
        <v>104</v>
      </c>
      <c r="B544" t="s">
        <v>111</v>
      </c>
      <c r="D544" s="97" t="e">
        <f>_xlfn.XLOOKUP(A544,[1]CPD_SOP_new!$A:$A,[1]CPD_SOP_new!#REF!,"not found",0 )</f>
        <v>#REF!</v>
      </c>
      <c r="E544" s="97" t="str">
        <f>_xlfn.XLOOKUP(A544,[1]CPD_SOP_new!$A:$A,[1]CPD_SOP_new!$K:$K,"not found",0 )</f>
        <v>2R</v>
      </c>
      <c r="F544" t="s">
        <v>27</v>
      </c>
      <c r="G544" t="s">
        <v>28</v>
      </c>
      <c r="H544" t="s">
        <v>27</v>
      </c>
      <c r="I544" t="s">
        <v>28</v>
      </c>
      <c r="J544" t="s">
        <v>113</v>
      </c>
      <c r="K544" s="85" t="str">
        <f t="shared" si="8"/>
        <v>/mnt/measurements/07_CANape/Mitsubishi/5K45/MMC4.1.2/Validation/2025_11_28/orderedByTargetType/adult/TC_104_Try1.MF4.xz,adult,RadarFC_Master,adult,CPD,dummy</v>
      </c>
      <c r="L544" s="85" t="s">
        <v>3621</v>
      </c>
      <c r="M544" t="s">
        <v>759</v>
      </c>
      <c r="N544" s="132" t="s">
        <v>671</v>
      </c>
    </row>
    <row r="545" spans="1:14">
      <c r="A545" s="77">
        <v>104</v>
      </c>
      <c r="B545" t="s">
        <v>111</v>
      </c>
      <c r="D545" s="97" t="e">
        <f>_xlfn.XLOOKUP(A545,[1]CPD_SOP_new!$A:$A,[1]CPD_SOP_new!#REF!,"not found",0 )</f>
        <v>#REF!</v>
      </c>
      <c r="E545" s="97" t="str">
        <f>_xlfn.XLOOKUP(A545,[1]CPD_SOP_new!$A:$A,[1]CPD_SOP_new!$K:$K,"not found",0 )</f>
        <v>2R</v>
      </c>
      <c r="F545" t="s">
        <v>27</v>
      </c>
      <c r="G545" t="s">
        <v>28</v>
      </c>
      <c r="H545" t="s">
        <v>27</v>
      </c>
      <c r="I545" t="s">
        <v>28</v>
      </c>
      <c r="J545" t="s">
        <v>113</v>
      </c>
      <c r="K545" s="85" t="str">
        <f t="shared" si="8"/>
        <v>/mnt/measurements/07_CANape/Mitsubishi/5K45/MMC4.1.2/Validation/2025_11_28/orderedByTargetType/adult/TC_104_Try2.MF4.xz,adult,RadarFC_Master,adult,CPD,dummy</v>
      </c>
      <c r="L545" s="85" t="s">
        <v>3622</v>
      </c>
      <c r="M545" t="s">
        <v>761</v>
      </c>
      <c r="N545" s="132" t="s">
        <v>671</v>
      </c>
    </row>
    <row r="546" spans="1:14">
      <c r="A546" s="77">
        <v>104</v>
      </c>
      <c r="B546" t="s">
        <v>111</v>
      </c>
      <c r="D546" s="97" t="e">
        <f>_xlfn.XLOOKUP(A546,[1]CPD_SOP_new!$A:$A,[1]CPD_SOP_new!#REF!,"not found",0 )</f>
        <v>#REF!</v>
      </c>
      <c r="E546" s="97" t="str">
        <f>_xlfn.XLOOKUP(A546,[1]CPD_SOP_new!$A:$A,[1]CPD_SOP_new!$K:$K,"not found",0 )</f>
        <v>2R</v>
      </c>
      <c r="F546" t="s">
        <v>27</v>
      </c>
      <c r="G546" t="s">
        <v>28</v>
      </c>
      <c r="H546" t="s">
        <v>27</v>
      </c>
      <c r="I546" t="s">
        <v>28</v>
      </c>
      <c r="J546" t="s">
        <v>113</v>
      </c>
      <c r="K546" s="85" t="str">
        <f t="shared" si="8"/>
        <v>/mnt/measurements/07_CANape/Mitsubishi/5K45/MMC4.1.2/Validation/2025_11_28/orderedByTargetType/adult/TC_104_Try3.MF4.xz,adult,RadarFC_Master,adult,CPD,dummy</v>
      </c>
      <c r="L546" s="85" t="s">
        <v>3623</v>
      </c>
      <c r="M546" t="s">
        <v>762</v>
      </c>
      <c r="N546" s="132" t="s">
        <v>671</v>
      </c>
    </row>
    <row r="547" spans="1:14">
      <c r="A547" s="59">
        <v>104</v>
      </c>
      <c r="B547" t="s">
        <v>111</v>
      </c>
      <c r="D547" s="97" t="e">
        <f>_xlfn.XLOOKUP(A547,[1]CPD_SOP_new!$A:$A,[1]CPD_SOP_new!#REF!,"not found",0 )</f>
        <v>#REF!</v>
      </c>
      <c r="E547" s="97" t="str">
        <f>_xlfn.XLOOKUP(A547,[1]CPD_SOP_new!$A:$A,[1]CPD_SOP_new!$K:$K,"not found",0 )</f>
        <v>2R</v>
      </c>
      <c r="F547" t="s">
        <v>27</v>
      </c>
      <c r="G547" t="s">
        <v>27</v>
      </c>
      <c r="H547" t="s">
        <v>28</v>
      </c>
      <c r="I547" s="81" t="s">
        <v>28</v>
      </c>
      <c r="J547" s="85" t="s">
        <v>113</v>
      </c>
      <c r="K547" s="85" t="str">
        <f t="shared" si="8"/>
        <v>/mnt/measurements/07_CANape/Mitsubishi/5K45/5.3.0_RC6.2/5K457EG11/FP_Test_Cases_Renamed/CSR_XCP_Signals_Recorder_2026-02-03_15-05-58_TC104_AF95_NCAP1_2.MF4.xz,adult,RadarFC_Master,adult,CPD,dummy</v>
      </c>
      <c r="L547" s="85" t="s">
        <v>3624</v>
      </c>
      <c r="M547" t="s">
        <v>768</v>
      </c>
      <c r="N547" t="s">
        <v>767</v>
      </c>
    </row>
    <row r="548" spans="1:14">
      <c r="A548" s="59">
        <v>104</v>
      </c>
      <c r="B548" t="s">
        <v>111</v>
      </c>
      <c r="D548" s="97" t="e">
        <f>_xlfn.XLOOKUP(A548,[1]CPD_SOP_new!$A:$A,[1]CPD_SOP_new!#REF!,"not found",0 )</f>
        <v>#REF!</v>
      </c>
      <c r="E548" s="97" t="str">
        <f>_xlfn.XLOOKUP(A548,[1]CPD_SOP_new!$A:$A,[1]CPD_SOP_new!$K:$K,"not found",0 )</f>
        <v>2R</v>
      </c>
      <c r="F548" t="s">
        <v>27</v>
      </c>
      <c r="G548" t="s">
        <v>27</v>
      </c>
      <c r="H548" t="s">
        <v>28</v>
      </c>
      <c r="I548" s="81" t="s">
        <v>28</v>
      </c>
      <c r="J548" s="85" t="s">
        <v>113</v>
      </c>
      <c r="K548" s="85" t="str">
        <f t="shared" si="8"/>
        <v>/mnt/measurements/07_CANape/Mitsubishi/5K45/5.3.0_RC6.2/5K457EG11/FP_Test_Cases_Renamed/CSR_XCP_Signals_Recorder_2026-02-03_15-06-57_TC104_AF95_NCAP1_2.MF4.xz,adult,RadarFC_Master,adult,CPD,dummy</v>
      </c>
      <c r="L548" s="85" t="s">
        <v>3625</v>
      </c>
      <c r="M548" t="s">
        <v>769</v>
      </c>
      <c r="N548" t="s">
        <v>767</v>
      </c>
    </row>
    <row r="549" spans="1:14">
      <c r="A549" s="59">
        <v>104</v>
      </c>
      <c r="B549" t="s">
        <v>111</v>
      </c>
      <c r="D549" s="97" t="e">
        <f>_xlfn.XLOOKUP(A549,[1]CPD_SOP_new!$A:$A,[1]CPD_SOP_new!#REF!,"not found",0 )</f>
        <v>#REF!</v>
      </c>
      <c r="E549" s="97" t="str">
        <f>_xlfn.XLOOKUP(A549,[1]CPD_SOP_new!$A:$A,[1]CPD_SOP_new!$K:$K,"not found",0 )</f>
        <v>2R</v>
      </c>
      <c r="F549" t="s">
        <v>27</v>
      </c>
      <c r="G549" t="s">
        <v>27</v>
      </c>
      <c r="H549" t="s">
        <v>28</v>
      </c>
      <c r="I549" s="81" t="s">
        <v>28</v>
      </c>
      <c r="J549" s="85" t="s">
        <v>113</v>
      </c>
      <c r="K549" s="85" t="str">
        <f t="shared" si="8"/>
        <v>/mnt/measurements/07_CANape/Mitsubishi/5K45/5.3.0_RC6.2/5K457EG11/FP_Test_Cases_Renamed/CSR_XCP_Signals_Recorder_2026-02-03_15-07-43_TC104_AF95_NCAP1_2.MF4.xz,adult,RadarFC_Master,adult,CPD,dummy</v>
      </c>
      <c r="L549" s="85" t="s">
        <v>3626</v>
      </c>
      <c r="M549" t="s">
        <v>770</v>
      </c>
      <c r="N549" t="s">
        <v>767</v>
      </c>
    </row>
    <row r="550" spans="1:14">
      <c r="A550" s="77">
        <v>105</v>
      </c>
      <c r="B550" t="s">
        <v>111</v>
      </c>
      <c r="D550" s="97" t="e">
        <f>_xlfn.XLOOKUP(A550,[1]CPD_SOP_new!$A:$A,[1]CPD_SOP_new!#REF!,"not found",0 )</f>
        <v>#REF!</v>
      </c>
      <c r="E550" s="97" t="str">
        <f>_xlfn.XLOOKUP(A550,[1]CPD_SOP_new!$A:$A,[1]CPD_SOP_new!$K:$K,"not found",0 )</f>
        <v>2C</v>
      </c>
      <c r="F550" t="s">
        <v>27</v>
      </c>
      <c r="G550" t="s">
        <v>28</v>
      </c>
      <c r="H550" t="s">
        <v>27</v>
      </c>
      <c r="I550" t="s">
        <v>28</v>
      </c>
      <c r="J550" t="s">
        <v>113</v>
      </c>
      <c r="K550" s="85" t="str">
        <f t="shared" si="8"/>
        <v>/mnt/measurements/07_CANape/Mitsubishi/5K45/MMC4.1.2/Validation/2025_11_28/orderedByTargetType/adult/TC_105_Try1.MF4.xz,adult,RadarFC_Master,adult,CPD,dummy</v>
      </c>
      <c r="L550" s="85" t="s">
        <v>3627</v>
      </c>
      <c r="M550" t="s">
        <v>771</v>
      </c>
      <c r="N550" s="132" t="s">
        <v>671</v>
      </c>
    </row>
    <row r="551" spans="1:14">
      <c r="A551" s="77">
        <v>105</v>
      </c>
      <c r="B551" t="s">
        <v>111</v>
      </c>
      <c r="D551" s="97" t="e">
        <f>_xlfn.XLOOKUP(A551,[1]CPD_SOP_new!$A:$A,[1]CPD_SOP_new!#REF!,"not found",0 )</f>
        <v>#REF!</v>
      </c>
      <c r="E551" s="97" t="str">
        <f>_xlfn.XLOOKUP(A551,[1]CPD_SOP_new!$A:$A,[1]CPD_SOP_new!$K:$K,"not found",0 )</f>
        <v>2C</v>
      </c>
      <c r="F551" t="s">
        <v>27</v>
      </c>
      <c r="G551" t="s">
        <v>28</v>
      </c>
      <c r="H551" t="s">
        <v>27</v>
      </c>
      <c r="I551" t="s">
        <v>28</v>
      </c>
      <c r="J551" t="s">
        <v>113</v>
      </c>
      <c r="K551" s="85" t="str">
        <f t="shared" si="8"/>
        <v>/mnt/measurements/07_CANape/Mitsubishi/5K45/MMC4.1.2/Validation/2025_11_28/orderedByTargetType/adult/TC_105_Try2.MF4.xz,adult,RadarFC_Master,adult,CPD,dummy</v>
      </c>
      <c r="L551" s="85" t="s">
        <v>3628</v>
      </c>
      <c r="M551" t="s">
        <v>773</v>
      </c>
      <c r="N551" s="132" t="s">
        <v>671</v>
      </c>
    </row>
    <row r="552" spans="1:14">
      <c r="A552" s="77">
        <v>105</v>
      </c>
      <c r="B552" t="s">
        <v>111</v>
      </c>
      <c r="D552" s="97" t="e">
        <f>_xlfn.XLOOKUP(A552,[1]CPD_SOP_new!$A:$A,[1]CPD_SOP_new!#REF!,"not found",0 )</f>
        <v>#REF!</v>
      </c>
      <c r="E552" s="97" t="str">
        <f>_xlfn.XLOOKUP(A552,[1]CPD_SOP_new!$A:$A,[1]CPD_SOP_new!$K:$K,"not found",0 )</f>
        <v>2C</v>
      </c>
      <c r="F552" t="s">
        <v>27</v>
      </c>
      <c r="G552" t="s">
        <v>28</v>
      </c>
      <c r="H552" t="s">
        <v>27</v>
      </c>
      <c r="I552" t="s">
        <v>28</v>
      </c>
      <c r="J552" t="s">
        <v>113</v>
      </c>
      <c r="K552" s="85" t="str">
        <f t="shared" si="8"/>
        <v>/mnt/measurements/07_CANape/Mitsubishi/5K45/MMC4.1.2/Validation/2025_11_28/orderedByTargetType/adult/TC_105_Try3.MF4.xz,adult,RadarFC_Master,adult,CPD,dummy</v>
      </c>
      <c r="L552" s="85" t="s">
        <v>3629</v>
      </c>
      <c r="M552" t="s">
        <v>774</v>
      </c>
      <c r="N552" s="132" t="s">
        <v>671</v>
      </c>
    </row>
    <row r="553" spans="1:14">
      <c r="A553" s="77">
        <v>106</v>
      </c>
      <c r="B553" t="s">
        <v>111</v>
      </c>
      <c r="D553" s="97" t="e">
        <f>_xlfn.XLOOKUP(A553,[1]CPD_SOP_new!$A:$A,[1]CPD_SOP_new!#REF!,"not found",0 )</f>
        <v>#REF!</v>
      </c>
      <c r="E553" s="97" t="str">
        <f>_xlfn.XLOOKUP(A553,[1]CPD_SOP_new!$A:$A,[1]CPD_SOP_new!$K:$K,"not found",0 )</f>
        <v>1P+2L</v>
      </c>
      <c r="F553" t="s">
        <v>27</v>
      </c>
      <c r="G553" t="s">
        <v>28</v>
      </c>
      <c r="H553" t="s">
        <v>28</v>
      </c>
      <c r="I553" t="s">
        <v>28</v>
      </c>
      <c r="J553" t="s">
        <v>113</v>
      </c>
      <c r="K553" s="85" t="str">
        <f t="shared" si="8"/>
        <v>/mnt/measurements/07_CANape/Mitsubishi/5K45/MMC4.1.2/Validation/2025_11_29/adult/TC_106_Try1.MF4.xz,adult,RadarFC_Master,adult,CPD,dummy</v>
      </c>
      <c r="L553" s="85" t="s">
        <v>3630</v>
      </c>
      <c r="M553" t="s">
        <v>775</v>
      </c>
      <c r="N553" s="134" t="s">
        <v>681</v>
      </c>
    </row>
    <row r="554" spans="1:14">
      <c r="A554" s="77">
        <v>106</v>
      </c>
      <c r="B554" t="s">
        <v>111</v>
      </c>
      <c r="D554" s="97" t="e">
        <f>_xlfn.XLOOKUP(A554,[1]CPD_SOP_new!$A:$A,[1]CPD_SOP_new!#REF!,"not found",0 )</f>
        <v>#REF!</v>
      </c>
      <c r="E554" s="97" t="str">
        <f>_xlfn.XLOOKUP(A554,[1]CPD_SOP_new!$A:$A,[1]CPD_SOP_new!$K:$K,"not found",0 )</f>
        <v>1P+2L</v>
      </c>
      <c r="F554" t="s">
        <v>27</v>
      </c>
      <c r="G554" t="s">
        <v>28</v>
      </c>
      <c r="H554" t="s">
        <v>28</v>
      </c>
      <c r="I554" t="s">
        <v>28</v>
      </c>
      <c r="J554" t="s">
        <v>113</v>
      </c>
      <c r="K554" s="85" t="str">
        <f t="shared" si="8"/>
        <v>/mnt/measurements/07_CANape/Mitsubishi/5K45/MMC4.1.2/Validation/2025_11_29/adult/TC_106_Try2.MF4.xz,adult,RadarFC_Master,adult,CPD,dummy</v>
      </c>
      <c r="L554" s="85" t="s">
        <v>3631</v>
      </c>
      <c r="M554" t="s">
        <v>777</v>
      </c>
      <c r="N554" s="134" t="s">
        <v>681</v>
      </c>
    </row>
    <row r="555" spans="1:14">
      <c r="A555" s="77">
        <v>106</v>
      </c>
      <c r="B555" t="s">
        <v>111</v>
      </c>
      <c r="D555" s="97" t="e">
        <f>_xlfn.XLOOKUP(A555,[1]CPD_SOP_new!$A:$A,[1]CPD_SOP_new!#REF!,"not found",0 )</f>
        <v>#REF!</v>
      </c>
      <c r="E555" s="97" t="str">
        <f>_xlfn.XLOOKUP(A555,[1]CPD_SOP_new!$A:$A,[1]CPD_SOP_new!$K:$K,"not found",0 )</f>
        <v>1P+2L</v>
      </c>
      <c r="F555" t="s">
        <v>27</v>
      </c>
      <c r="G555" t="s">
        <v>28</v>
      </c>
      <c r="H555" t="s">
        <v>28</v>
      </c>
      <c r="I555" t="s">
        <v>28</v>
      </c>
      <c r="J555" t="s">
        <v>113</v>
      </c>
      <c r="K555" s="85" t="str">
        <f t="shared" si="8"/>
        <v>/mnt/measurements/07_CANape/Mitsubishi/5K45/MMC4.1.2/Validation/2025_11_29/adult/TC_106_Try3.MF4.xz,adult,RadarFC_Master,adult,CPD,dummy</v>
      </c>
      <c r="L555" s="85" t="s">
        <v>3632</v>
      </c>
      <c r="M555" t="s">
        <v>778</v>
      </c>
      <c r="N555" s="134" t="s">
        <v>681</v>
      </c>
    </row>
    <row r="556" spans="1:14">
      <c r="A556" s="77">
        <v>107</v>
      </c>
      <c r="B556" t="s">
        <v>111</v>
      </c>
      <c r="D556" s="97" t="e">
        <f>_xlfn.XLOOKUP(A556,[1]CPD_SOP_new!$A:$A,[1]CPD_SOP_new!#REF!,"not found",0 )</f>
        <v>#REF!</v>
      </c>
      <c r="E556" s="97" t="str">
        <f>_xlfn.XLOOKUP(A556,[1]CPD_SOP_new!$A:$A,[1]CPD_SOP_new!$K:$K,"not found",0 )</f>
        <v>F2L</v>
      </c>
      <c r="F556" t="s">
        <v>27</v>
      </c>
      <c r="G556" t="s">
        <v>28</v>
      </c>
      <c r="H556" t="s">
        <v>27</v>
      </c>
      <c r="I556" t="s">
        <v>28</v>
      </c>
      <c r="J556" t="s">
        <v>113</v>
      </c>
      <c r="K556" s="85" t="str">
        <f t="shared" si="8"/>
        <v>/mnt/measurements/07_CANape/Mitsubishi/5K45/MMC4.1.2/Validation/2025_11_28/orderedByTargetType/adult/TC_107_Try1.MF4.xz,adult,RadarFC_Master,adult,CPD,dummy</v>
      </c>
      <c r="L556" s="85" t="s">
        <v>3633</v>
      </c>
      <c r="M556" t="s">
        <v>780</v>
      </c>
      <c r="N556" s="132" t="s">
        <v>671</v>
      </c>
    </row>
    <row r="557" spans="1:14">
      <c r="A557" s="77">
        <v>107</v>
      </c>
      <c r="B557" t="s">
        <v>111</v>
      </c>
      <c r="D557" s="97" t="e">
        <f>_xlfn.XLOOKUP(A557,[1]CPD_SOP_new!$A:$A,[1]CPD_SOP_new!#REF!,"not found",0 )</f>
        <v>#REF!</v>
      </c>
      <c r="E557" s="97" t="str">
        <f>_xlfn.XLOOKUP(A557,[1]CPD_SOP_new!$A:$A,[1]CPD_SOP_new!$K:$K,"not found",0 )</f>
        <v>F2L</v>
      </c>
      <c r="F557" t="s">
        <v>27</v>
      </c>
      <c r="G557" t="s">
        <v>28</v>
      </c>
      <c r="H557" t="s">
        <v>27</v>
      </c>
      <c r="I557" t="s">
        <v>28</v>
      </c>
      <c r="J557" t="s">
        <v>113</v>
      </c>
      <c r="K557" s="85" t="str">
        <f t="shared" si="8"/>
        <v>/mnt/measurements/07_CANape/Mitsubishi/5K45/MMC4.1.2/Validation/2025_11_28/orderedByTargetType/adult/TC_107_Try2.MF4.xz,adult,RadarFC_Master,adult,CPD,dummy</v>
      </c>
      <c r="L557" s="85" t="s">
        <v>3634</v>
      </c>
      <c r="M557" t="s">
        <v>782</v>
      </c>
      <c r="N557" s="132" t="s">
        <v>671</v>
      </c>
    </row>
    <row r="558" spans="1:14">
      <c r="A558" s="77">
        <v>107</v>
      </c>
      <c r="B558" t="s">
        <v>111</v>
      </c>
      <c r="D558" s="97" t="e">
        <f>_xlfn.XLOOKUP(A558,[1]CPD_SOP_new!$A:$A,[1]CPD_SOP_new!#REF!,"not found",0 )</f>
        <v>#REF!</v>
      </c>
      <c r="E558" s="97" t="str">
        <f>_xlfn.XLOOKUP(A558,[1]CPD_SOP_new!$A:$A,[1]CPD_SOP_new!$K:$K,"not found",0 )</f>
        <v>F2L</v>
      </c>
      <c r="F558" t="s">
        <v>27</v>
      </c>
      <c r="G558" t="s">
        <v>28</v>
      </c>
      <c r="H558" t="s">
        <v>27</v>
      </c>
      <c r="I558" t="s">
        <v>28</v>
      </c>
      <c r="J558" t="s">
        <v>113</v>
      </c>
      <c r="K558" s="85" t="str">
        <f t="shared" si="8"/>
        <v>/mnt/measurements/07_CANape/Mitsubishi/5K45/MMC4.1.2/Validation/2025_11_28/orderedByTargetType/adult/TC_107_Try3.MF4.xz,adult,RadarFC_Master,adult,CPD,dummy</v>
      </c>
      <c r="L558" s="85" t="s">
        <v>3635</v>
      </c>
      <c r="M558" t="s">
        <v>783</v>
      </c>
      <c r="N558" s="132" t="s">
        <v>671</v>
      </c>
    </row>
    <row r="559" spans="1:14">
      <c r="A559" s="77">
        <v>108</v>
      </c>
      <c r="B559" t="s">
        <v>111</v>
      </c>
      <c r="D559" s="97" t="e">
        <f>_xlfn.XLOOKUP(A559,[1]CPD_SOP_new!$A:$A,[1]CPD_SOP_new!#REF!,"not found",0 )</f>
        <v>#REF!</v>
      </c>
      <c r="E559" s="97" t="str">
        <f>_xlfn.XLOOKUP(A559,[1]CPD_SOP_new!$A:$A,[1]CPD_SOP_new!$K:$K,"not found",0 )</f>
        <v>F3R</v>
      </c>
      <c r="F559" t="s">
        <v>27</v>
      </c>
      <c r="G559" t="s">
        <v>28</v>
      </c>
      <c r="H559" t="s">
        <v>27</v>
      </c>
      <c r="I559" t="s">
        <v>28</v>
      </c>
      <c r="J559" t="s">
        <v>113</v>
      </c>
      <c r="K559" s="85" t="str">
        <f t="shared" si="8"/>
        <v>/mnt/measurements/07_CANape/Mitsubishi/5K45/MMC4.1.2/Validation/2025_11_28/orderedByTargetType/adult/TC_108_Try2.MF4.xz,adult,RadarFC_Master,adult,CPD,dummy</v>
      </c>
      <c r="L559" s="85" t="s">
        <v>3636</v>
      </c>
      <c r="M559" t="s">
        <v>785</v>
      </c>
      <c r="N559" s="132" t="s">
        <v>671</v>
      </c>
    </row>
    <row r="560" spans="1:14">
      <c r="A560" s="77">
        <v>108</v>
      </c>
      <c r="B560" t="s">
        <v>111</v>
      </c>
      <c r="D560" s="97" t="e">
        <f>_xlfn.XLOOKUP(A560,[1]CPD_SOP_new!$A:$A,[1]CPD_SOP_new!#REF!,"not found",0 )</f>
        <v>#REF!</v>
      </c>
      <c r="E560" s="97" t="str">
        <f>_xlfn.XLOOKUP(A560,[1]CPD_SOP_new!$A:$A,[1]CPD_SOP_new!$K:$K,"not found",0 )</f>
        <v>F3R</v>
      </c>
      <c r="F560" t="s">
        <v>27</v>
      </c>
      <c r="G560" t="s">
        <v>28</v>
      </c>
      <c r="H560" t="s">
        <v>27</v>
      </c>
      <c r="I560" t="s">
        <v>28</v>
      </c>
      <c r="J560" t="s">
        <v>113</v>
      </c>
      <c r="K560" s="85" t="str">
        <f t="shared" si="8"/>
        <v>/mnt/measurements/07_CANape/Mitsubishi/5K45/MMC4.1.2/Validation/2025_11_28/orderedByTargetType/adult/TC_108_Try3.MF4.xz,adult,RadarFC_Master,adult,CPD,dummy</v>
      </c>
      <c r="L560" s="85" t="s">
        <v>3637</v>
      </c>
      <c r="M560" t="s">
        <v>787</v>
      </c>
      <c r="N560" s="132" t="s">
        <v>671</v>
      </c>
    </row>
    <row r="561" spans="1:14" hidden="1">
      <c r="A561" s="38">
        <v>132</v>
      </c>
      <c r="B561" t="s">
        <v>234</v>
      </c>
      <c r="D561" s="97" t="e">
        <f>_xlfn.XLOOKUP(A561,[1]CPD_SOP_new!$A:$A,[1]CPD_SOP_new!#REF!,"not found",0 )</f>
        <v>#REF!</v>
      </c>
      <c r="E561" s="97" t="str">
        <f>_xlfn.XLOOKUP(A561,[1]CPD_SOP_new!$A:$A,[1]CPD_SOP_new!$K:$K,"not found",0 )</f>
        <v>1D+F1P</v>
      </c>
      <c r="F561" t="s">
        <v>27</v>
      </c>
      <c r="G561" t="s">
        <v>27</v>
      </c>
      <c r="H561" t="s">
        <v>27</v>
      </c>
      <c r="I561" s="137" t="s">
        <v>27</v>
      </c>
      <c r="J561" s="130" t="s">
        <v>237</v>
      </c>
      <c r="K561" s="85" t="str">
        <f t="shared" si="8"/>
        <v>/mnt/measurements/07_CANape/Mitsubishi/5K45/MMC5.0.0_RC3_with_resetfix/CPD/TC132_Try_1.MF4.xz,NCAP3 long,RadarFC_Master,NCAP3 long,CPD,dummy</v>
      </c>
      <c r="L561" s="85" t="s">
        <v>3638</v>
      </c>
      <c r="M561" t="s">
        <v>824</v>
      </c>
      <c r="N561" s="134" t="s">
        <v>475</v>
      </c>
    </row>
    <row r="562" spans="1:14" hidden="1">
      <c r="A562" s="38">
        <v>132</v>
      </c>
      <c r="B562" t="s">
        <v>234</v>
      </c>
      <c r="D562" s="97" t="e">
        <f>_xlfn.XLOOKUP(A562,[1]CPD_SOP_new!$A:$A,[1]CPD_SOP_new!#REF!,"not found",0 )</f>
        <v>#REF!</v>
      </c>
      <c r="E562" s="97" t="str">
        <f>_xlfn.XLOOKUP(A562,[1]CPD_SOP_new!$A:$A,[1]CPD_SOP_new!$K:$K,"not found",0 )</f>
        <v>1D+F1P</v>
      </c>
      <c r="F562" t="s">
        <v>27</v>
      </c>
      <c r="G562" t="s">
        <v>27</v>
      </c>
      <c r="H562" t="s">
        <v>27</v>
      </c>
      <c r="I562" s="137" t="s">
        <v>27</v>
      </c>
      <c r="J562" s="130" t="s">
        <v>237</v>
      </c>
      <c r="K562" s="85" t="str">
        <f t="shared" si="8"/>
        <v>/mnt/measurements/07_CANape/Mitsubishi/5K45/MMC5.0.0_RC3_with_resetfix/CPD/TC132_Try_2.MF4.xz,NCAP3 long,RadarFC_Master,NCAP3 long,CPD,dummy</v>
      </c>
      <c r="L562" s="85" t="s">
        <v>3639</v>
      </c>
      <c r="M562" t="s">
        <v>825</v>
      </c>
      <c r="N562" s="134" t="s">
        <v>475</v>
      </c>
    </row>
    <row r="563" spans="1:14" hidden="1">
      <c r="A563" s="38">
        <v>132</v>
      </c>
      <c r="B563" t="s">
        <v>234</v>
      </c>
      <c r="D563" s="97" t="e">
        <f>_xlfn.XLOOKUP(A563,[1]CPD_SOP_new!$A:$A,[1]CPD_SOP_new!#REF!,"not found",0 )</f>
        <v>#REF!</v>
      </c>
      <c r="E563" s="97" t="str">
        <f>_xlfn.XLOOKUP(A563,[1]CPD_SOP_new!$A:$A,[1]CPD_SOP_new!$K:$K,"not found",0 )</f>
        <v>1D+F1P</v>
      </c>
      <c r="F563" t="s">
        <v>27</v>
      </c>
      <c r="G563" t="s">
        <v>27</v>
      </c>
      <c r="H563" t="s">
        <v>27</v>
      </c>
      <c r="I563" s="137" t="s">
        <v>27</v>
      </c>
      <c r="J563" s="130" t="s">
        <v>237</v>
      </c>
      <c r="K563" s="85" t="str">
        <f t="shared" si="8"/>
        <v>/mnt/measurements/07_CANape/Mitsubishi/5K45/MMC5.0.0_RC3_with_resetfix/CPD/TC132_Try_3.MF4.xz,NCAP3 long,RadarFC_Master,NCAP3 long,CPD,dummy</v>
      </c>
      <c r="L563" s="85" t="s">
        <v>3640</v>
      </c>
      <c r="M563" t="s">
        <v>826</v>
      </c>
      <c r="N563" s="134" t="s">
        <v>475</v>
      </c>
    </row>
    <row r="564" spans="1:14" hidden="1">
      <c r="A564" s="38">
        <v>133</v>
      </c>
      <c r="B564" t="s">
        <v>234</v>
      </c>
      <c r="D564" s="97" t="e">
        <f>_xlfn.XLOOKUP(A564,[1]CPD_SOP_new!$A:$A,[1]CPD_SOP_new!#REF!,"not found",0 )</f>
        <v>#REF!</v>
      </c>
      <c r="E564" s="97" t="str">
        <f>_xlfn.XLOOKUP(A564,[1]CPD_SOP_new!$A:$A,[1]CPD_SOP_new!$K:$K,"not found",0 )</f>
        <v>1P+F2R</v>
      </c>
      <c r="F564" t="s">
        <v>27</v>
      </c>
      <c r="G564" t="s">
        <v>27</v>
      </c>
      <c r="H564" t="s">
        <v>27</v>
      </c>
      <c r="I564" s="137" t="s">
        <v>27</v>
      </c>
      <c r="J564" s="130" t="s">
        <v>237</v>
      </c>
      <c r="K564" s="85" t="str">
        <f t="shared" si="8"/>
        <v>/mnt/measurements/07_CANape/Mitsubishi/5K45/MMC5.0.0_RC3_with_resetfix/CPD/TC133_Try_1.MF4.xz,NCAP3 long,RadarFC_Master,NCAP3 long,CPD,dummy</v>
      </c>
      <c r="L564" s="85" t="s">
        <v>3641</v>
      </c>
      <c r="M564" t="s">
        <v>838</v>
      </c>
      <c r="N564" s="134" t="s">
        <v>475</v>
      </c>
    </row>
    <row r="565" spans="1:14" hidden="1">
      <c r="A565" s="38">
        <v>133</v>
      </c>
      <c r="B565" t="s">
        <v>234</v>
      </c>
      <c r="D565" s="97" t="e">
        <f>_xlfn.XLOOKUP(A565,[1]CPD_SOP_new!$A:$A,[1]CPD_SOP_new!#REF!,"not found",0 )</f>
        <v>#REF!</v>
      </c>
      <c r="E565" s="97" t="str">
        <f>_xlfn.XLOOKUP(A565,[1]CPD_SOP_new!$A:$A,[1]CPD_SOP_new!$K:$K,"not found",0 )</f>
        <v>1P+F2R</v>
      </c>
      <c r="F565" t="s">
        <v>27</v>
      </c>
      <c r="G565" t="s">
        <v>27</v>
      </c>
      <c r="H565" t="s">
        <v>27</v>
      </c>
      <c r="I565" s="137" t="s">
        <v>27</v>
      </c>
      <c r="J565" s="130" t="s">
        <v>237</v>
      </c>
      <c r="K565" s="85" t="str">
        <f t="shared" si="8"/>
        <v>/mnt/measurements/07_CANape/Mitsubishi/5K45/MMC5.0.0_RC3_with_resetfix/CPD/TC133_Try_3.MF4.xz,NCAP3 long,RadarFC_Master,NCAP3 long,CPD,dummy</v>
      </c>
      <c r="L565" s="85" t="s">
        <v>3642</v>
      </c>
      <c r="M565" t="s">
        <v>840</v>
      </c>
      <c r="N565" s="134" t="s">
        <v>475</v>
      </c>
    </row>
    <row r="566" spans="1:14">
      <c r="A566" s="77">
        <v>108</v>
      </c>
      <c r="B566" t="s">
        <v>111</v>
      </c>
      <c r="D566" s="97" t="e">
        <f>_xlfn.XLOOKUP(A566,[1]CPD_SOP_new!$A:$A,[1]CPD_SOP_new!#REF!,"not found",0 )</f>
        <v>#REF!</v>
      </c>
      <c r="E566" s="97" t="str">
        <f>_xlfn.XLOOKUP(A566,[1]CPD_SOP_new!$A:$A,[1]CPD_SOP_new!$K:$K,"not found",0 )</f>
        <v>F3R</v>
      </c>
      <c r="F566" t="s">
        <v>27</v>
      </c>
      <c r="G566" t="s">
        <v>28</v>
      </c>
      <c r="H566" t="s">
        <v>27</v>
      </c>
      <c r="I566" t="s">
        <v>28</v>
      </c>
      <c r="J566" t="s">
        <v>113</v>
      </c>
      <c r="K566" s="85" t="str">
        <f t="shared" si="8"/>
        <v>/mnt/measurements/07_CANape/Mitsubishi/5K45/MMC5.0.2/5K457EG11/CPD//CSR_XCP_Signals_Recorder_2026-01-27_13-57-58_CPD_TC108_Try5.MF4.xz,adult,RadarFC_Master,adult,CPD,dummy</v>
      </c>
      <c r="L566" s="85" t="s">
        <v>3643</v>
      </c>
      <c r="M566" t="s">
        <v>788</v>
      </c>
      <c r="N566" t="s">
        <v>173</v>
      </c>
    </row>
    <row r="567" spans="1:14">
      <c r="A567" s="77">
        <v>108</v>
      </c>
      <c r="B567" t="s">
        <v>111</v>
      </c>
      <c r="D567" s="97" t="e">
        <f>_xlfn.XLOOKUP(A567,[1]CPD_SOP_new!$A:$A,[1]CPD_SOP_new!#REF!,"not found",0 )</f>
        <v>#REF!</v>
      </c>
      <c r="E567" s="97" t="str">
        <f>_xlfn.XLOOKUP(A567,[1]CPD_SOP_new!$A:$A,[1]CPD_SOP_new!$K:$K,"not found",0 )</f>
        <v>F3R</v>
      </c>
      <c r="F567" t="s">
        <v>27</v>
      </c>
      <c r="G567" t="s">
        <v>28</v>
      </c>
      <c r="H567" t="s">
        <v>27</v>
      </c>
      <c r="I567" t="s">
        <v>28</v>
      </c>
      <c r="J567" t="s">
        <v>113</v>
      </c>
      <c r="K567" s="85" t="str">
        <f t="shared" si="8"/>
        <v>/mnt/measurements/07_CANape/Mitsubishi/5K45/MMC5.0.2/5K457EG11/CPD//CSR_XCP_Signals_Recorder_2026-01-27_13-52-01_CPD_TC108_Try1.MF4.xz,adult,RadarFC_Master,adult,CPD,dummy</v>
      </c>
      <c r="L567" s="85" t="s">
        <v>3644</v>
      </c>
      <c r="M567" t="s">
        <v>790</v>
      </c>
      <c r="N567" t="s">
        <v>173</v>
      </c>
    </row>
    <row r="568" spans="1:14">
      <c r="A568" s="77">
        <v>108</v>
      </c>
      <c r="B568" t="s">
        <v>111</v>
      </c>
      <c r="D568" s="97" t="e">
        <f>_xlfn.XLOOKUP(A568,[1]CPD_SOP_new!$A:$A,[1]CPD_SOP_new!#REF!,"not found",0 )</f>
        <v>#REF!</v>
      </c>
      <c r="E568" s="97" t="str">
        <f>_xlfn.XLOOKUP(A568,[1]CPD_SOP_new!$A:$A,[1]CPD_SOP_new!$K:$K,"not found",0 )</f>
        <v>F3R</v>
      </c>
      <c r="F568" t="s">
        <v>27</v>
      </c>
      <c r="G568" t="s">
        <v>28</v>
      </c>
      <c r="H568" t="s">
        <v>27</v>
      </c>
      <c r="I568" t="s">
        <v>28</v>
      </c>
      <c r="J568" t="s">
        <v>113</v>
      </c>
      <c r="K568" s="85" t="str">
        <f t="shared" si="8"/>
        <v>/mnt/measurements/07_CANape/Mitsubishi/5K45/MMC5.0.2/5K457EG11/CPD//CSR_XCP_Signals_Recorder_2026-01-27_13-53-34_CPD_TC108_Try2.MF4.xz,adult,RadarFC_Master,adult,CPD,dummy</v>
      </c>
      <c r="L568" s="85" t="s">
        <v>3645</v>
      </c>
      <c r="M568" t="s">
        <v>791</v>
      </c>
      <c r="N568" t="s">
        <v>173</v>
      </c>
    </row>
    <row r="569" spans="1:14" hidden="1">
      <c r="A569" s="77">
        <v>134</v>
      </c>
      <c r="B569" t="s">
        <v>234</v>
      </c>
      <c r="D569" s="97" t="e">
        <f>_xlfn.XLOOKUP(A569,[1]CPD_SOP_new!$A:$A,[1]CPD_SOP_new!#REF!,"not found",0 )</f>
        <v>#REF!</v>
      </c>
      <c r="E569" s="97" t="str">
        <f>_xlfn.XLOOKUP(A569,[1]CPD_SOP_new!$A:$A,[1]CPD_SOP_new!$K:$K,"not found",0 )</f>
        <v>2R+F2L</v>
      </c>
      <c r="F569" t="s">
        <v>27</v>
      </c>
      <c r="G569" t="s">
        <v>28</v>
      </c>
      <c r="H569" t="s">
        <v>28</v>
      </c>
      <c r="I569" s="137" t="s">
        <v>27</v>
      </c>
      <c r="J569" s="130" t="s">
        <v>237</v>
      </c>
      <c r="K569" s="85" t="str">
        <f t="shared" si="8"/>
        <v>/mnt/measurements/07_CANape/Mitsubishi/5K45/MMC5.0.0_RC3_with_resetfix/CPD/TC134_Try_1.MF4.xz,NCAP3 long,RadarFC_Master,NCAP3 long,CPD,dummy</v>
      </c>
      <c r="L569" s="85" t="s">
        <v>3646</v>
      </c>
      <c r="M569" t="s">
        <v>637</v>
      </c>
      <c r="N569" t="s">
        <v>475</v>
      </c>
    </row>
    <row r="570" spans="1:14" hidden="1">
      <c r="A570" s="77">
        <v>134</v>
      </c>
      <c r="B570" t="s">
        <v>234</v>
      </c>
      <c r="D570" s="97" t="e">
        <f>_xlfn.XLOOKUP(A570,[1]CPD_SOP_new!$A:$A,[1]CPD_SOP_new!#REF!,"not found",0 )</f>
        <v>#REF!</v>
      </c>
      <c r="E570" s="97" t="str">
        <f>_xlfn.XLOOKUP(A570,[1]CPD_SOP_new!$A:$A,[1]CPD_SOP_new!$K:$K,"not found",0 )</f>
        <v>2R+F2L</v>
      </c>
      <c r="F570" t="s">
        <v>27</v>
      </c>
      <c r="G570" t="s">
        <v>28</v>
      </c>
      <c r="H570" t="s">
        <v>28</v>
      </c>
      <c r="I570" s="137" t="s">
        <v>27</v>
      </c>
      <c r="J570" s="130" t="s">
        <v>237</v>
      </c>
      <c r="K570" s="85" t="str">
        <f t="shared" si="8"/>
        <v>/mnt/measurements/07_CANape/Mitsubishi/5K45/MMC5.0.0_RC3_with_resetfix/CPD/TC134_Try_2.MF4.xz,NCAP3 long,RadarFC_Master,NCAP3 long,CPD,dummy</v>
      </c>
      <c r="L570" s="85" t="s">
        <v>3647</v>
      </c>
      <c r="M570" t="s">
        <v>638</v>
      </c>
      <c r="N570" t="s">
        <v>475</v>
      </c>
    </row>
    <row r="571" spans="1:14" hidden="1">
      <c r="A571" s="77">
        <v>134</v>
      </c>
      <c r="B571" t="s">
        <v>234</v>
      </c>
      <c r="D571" s="97" t="e">
        <f>_xlfn.XLOOKUP(A571,[1]CPD_SOP_new!$A:$A,[1]CPD_SOP_new!#REF!,"not found",0 )</f>
        <v>#REF!</v>
      </c>
      <c r="E571" s="97" t="str">
        <f>_xlfn.XLOOKUP(A571,[1]CPD_SOP_new!$A:$A,[1]CPD_SOP_new!$K:$K,"not found",0 )</f>
        <v>2R+F2L</v>
      </c>
      <c r="F571" t="s">
        <v>27</v>
      </c>
      <c r="G571" t="s">
        <v>28</v>
      </c>
      <c r="H571" t="s">
        <v>28</v>
      </c>
      <c r="I571" s="137" t="s">
        <v>27</v>
      </c>
      <c r="J571" s="130" t="s">
        <v>237</v>
      </c>
      <c r="K571" s="85" t="str">
        <f t="shared" si="8"/>
        <v>/mnt/measurements/07_CANape/Mitsubishi/5K45/MMC5.0.0_RC3_with_resetfix/CPD/TC134_Try_3.MF4.xz,NCAP3 long,RadarFC_Master,NCAP3 long,CPD,dummy</v>
      </c>
      <c r="L571" s="85" t="s">
        <v>3648</v>
      </c>
      <c r="M571" t="s">
        <v>639</v>
      </c>
      <c r="N571" t="s">
        <v>475</v>
      </c>
    </row>
    <row r="572" spans="1:14" hidden="1">
      <c r="A572" s="38">
        <v>135</v>
      </c>
      <c r="B572" t="s">
        <v>234</v>
      </c>
      <c r="D572" s="97" t="e">
        <f>_xlfn.XLOOKUP(A572,[1]CPD_SOP_new!$A:$A,[1]CPD_SOP_new!#REF!,"not found",0 )</f>
        <v>#REF!</v>
      </c>
      <c r="E572" s="97" t="str">
        <f>_xlfn.XLOOKUP(A572,[1]CPD_SOP_new!$A:$A,[1]CPD_SOP_new!$K:$K,"not found",0 )</f>
        <v>2L+F2C</v>
      </c>
      <c r="F572" t="s">
        <v>27</v>
      </c>
      <c r="G572" t="s">
        <v>27</v>
      </c>
      <c r="H572" t="s">
        <v>27</v>
      </c>
      <c r="I572" s="137" t="s">
        <v>27</v>
      </c>
      <c r="J572" s="130" t="s">
        <v>237</v>
      </c>
      <c r="K572" s="85" t="str">
        <f t="shared" si="8"/>
        <v>/mnt/measurements/07_CANape/Mitsubishi/5K45/MMC5.0.0_RC3_with_resetfix/CPD/TC135_Try_1.MF4.xz,NCAP3 long,RadarFC_Master,NCAP3 long,CPD,dummy</v>
      </c>
      <c r="L572" s="85" t="s">
        <v>3649</v>
      </c>
      <c r="M572" t="s">
        <v>861</v>
      </c>
      <c r="N572" s="134" t="s">
        <v>475</v>
      </c>
    </row>
    <row r="573" spans="1:14" hidden="1">
      <c r="A573" s="38">
        <v>135</v>
      </c>
      <c r="B573" t="s">
        <v>234</v>
      </c>
      <c r="D573" s="97" t="e">
        <f>_xlfn.XLOOKUP(A573,[1]CPD_SOP_new!$A:$A,[1]CPD_SOP_new!#REF!,"not found",0 )</f>
        <v>#REF!</v>
      </c>
      <c r="E573" s="97" t="str">
        <f>_xlfn.XLOOKUP(A573,[1]CPD_SOP_new!$A:$A,[1]CPD_SOP_new!$K:$K,"not found",0 )</f>
        <v>2L+F2C</v>
      </c>
      <c r="F573" t="s">
        <v>27</v>
      </c>
      <c r="G573" t="s">
        <v>27</v>
      </c>
      <c r="H573" t="s">
        <v>27</v>
      </c>
      <c r="I573" s="137" t="s">
        <v>27</v>
      </c>
      <c r="J573" s="130" t="s">
        <v>237</v>
      </c>
      <c r="K573" s="85" t="str">
        <f t="shared" si="8"/>
        <v>/mnt/measurements/07_CANape/Mitsubishi/5K45/MMC5.0.0_RC3_with_resetfix/CPD/TC135_Try_2.MF4.xz,NCAP3 long,RadarFC_Master,NCAP3 long,CPD,dummy</v>
      </c>
      <c r="L573" s="85" t="s">
        <v>3650</v>
      </c>
      <c r="M573" t="s">
        <v>862</v>
      </c>
      <c r="N573" s="134" t="s">
        <v>475</v>
      </c>
    </row>
    <row r="574" spans="1:14" hidden="1">
      <c r="A574" s="38">
        <v>135</v>
      </c>
      <c r="B574" t="s">
        <v>234</v>
      </c>
      <c r="D574" s="97" t="e">
        <f>_xlfn.XLOOKUP(A574,[1]CPD_SOP_new!$A:$A,[1]CPD_SOP_new!#REF!,"not found",0 )</f>
        <v>#REF!</v>
      </c>
      <c r="E574" s="97" t="str">
        <f>_xlfn.XLOOKUP(A574,[1]CPD_SOP_new!$A:$A,[1]CPD_SOP_new!$K:$K,"not found",0 )</f>
        <v>2L+F2C</v>
      </c>
      <c r="F574" t="s">
        <v>27</v>
      </c>
      <c r="G574" t="s">
        <v>27</v>
      </c>
      <c r="H574" t="s">
        <v>27</v>
      </c>
      <c r="I574" s="137" t="s">
        <v>27</v>
      </c>
      <c r="J574" s="130" t="s">
        <v>237</v>
      </c>
      <c r="K574" s="85" t="str">
        <f t="shared" si="8"/>
        <v>/mnt/measurements/07_CANape/Mitsubishi/5K45/MMC5.0.0_RC3_with_resetfix/CPD/TC135_Try_3.MF4.xz,NCAP3 long,RadarFC_Master,NCAP3 long,CPD,dummy</v>
      </c>
      <c r="L574" s="85" t="s">
        <v>3651</v>
      </c>
      <c r="M574" t="s">
        <v>863</v>
      </c>
      <c r="N574" s="134" t="s">
        <v>475</v>
      </c>
    </row>
    <row r="575" spans="1:14" hidden="1">
      <c r="A575" s="38">
        <v>136</v>
      </c>
      <c r="B575" t="s">
        <v>234</v>
      </c>
      <c r="D575" s="97" t="e">
        <f>_xlfn.XLOOKUP(A575,[1]CPD_SOP_new!$A:$A,[1]CPD_SOP_new!#REF!,"not found",0 )</f>
        <v>#REF!</v>
      </c>
      <c r="E575" s="97" t="str">
        <f>_xlfn.XLOOKUP(A575,[1]CPD_SOP_new!$A:$A,[1]CPD_SOP_new!$K:$K,"not found",0 )</f>
        <v>2C+F3R</v>
      </c>
      <c r="F575" t="s">
        <v>27</v>
      </c>
      <c r="G575" t="s">
        <v>27</v>
      </c>
      <c r="H575" t="s">
        <v>27</v>
      </c>
      <c r="I575" s="137" t="s">
        <v>27</v>
      </c>
      <c r="J575" s="130" t="s">
        <v>237</v>
      </c>
      <c r="K575" s="85" t="str">
        <f t="shared" si="8"/>
        <v>/mnt/measurements/07_CANape/Mitsubishi/5K45/MMC5.0.0_RC3_with_resetfix/CPD/TC136_Try_1.MF4.xz,NCAP3 long,RadarFC_Master,NCAP3 long,CPD,dummy</v>
      </c>
      <c r="L575" s="85" t="s">
        <v>3652</v>
      </c>
      <c r="M575" t="s">
        <v>871</v>
      </c>
      <c r="N575" s="134" t="s">
        <v>475</v>
      </c>
    </row>
    <row r="576" spans="1:14" hidden="1">
      <c r="A576" s="38">
        <v>136</v>
      </c>
      <c r="B576" t="s">
        <v>234</v>
      </c>
      <c r="D576" s="97" t="e">
        <f>_xlfn.XLOOKUP(A576,[1]CPD_SOP_new!$A:$A,[1]CPD_SOP_new!#REF!,"not found",0 )</f>
        <v>#REF!</v>
      </c>
      <c r="E576" s="97" t="str">
        <f>_xlfn.XLOOKUP(A576,[1]CPD_SOP_new!$A:$A,[1]CPD_SOP_new!$K:$K,"not found",0 )</f>
        <v>2C+F3R</v>
      </c>
      <c r="F576" t="s">
        <v>27</v>
      </c>
      <c r="G576" t="s">
        <v>27</v>
      </c>
      <c r="H576" t="s">
        <v>27</v>
      </c>
      <c r="I576" s="137" t="s">
        <v>27</v>
      </c>
      <c r="J576" s="130" t="s">
        <v>237</v>
      </c>
      <c r="K576" s="85" t="str">
        <f t="shared" si="8"/>
        <v>/mnt/measurements/07_CANape/Mitsubishi/5K45/MMC5.0.0_RC3_with_resetfix/CPD/TC136_Try_2.MF4.xz,NCAP3 long,RadarFC_Master,NCAP3 long,CPD,dummy</v>
      </c>
      <c r="L576" s="85" t="s">
        <v>3653</v>
      </c>
      <c r="M576" t="s">
        <v>872</v>
      </c>
      <c r="N576" s="134" t="s">
        <v>475</v>
      </c>
    </row>
    <row r="577" spans="1:14" hidden="1">
      <c r="A577" s="38">
        <v>136</v>
      </c>
      <c r="B577" t="s">
        <v>234</v>
      </c>
      <c r="D577" s="97" t="e">
        <f>_xlfn.XLOOKUP(A577,[1]CPD_SOP_new!$A:$A,[1]CPD_SOP_new!#REF!,"not found",0 )</f>
        <v>#REF!</v>
      </c>
      <c r="E577" s="97" t="str">
        <f>_xlfn.XLOOKUP(A577,[1]CPD_SOP_new!$A:$A,[1]CPD_SOP_new!$K:$K,"not found",0 )</f>
        <v>2C+F3R</v>
      </c>
      <c r="F577" t="s">
        <v>27</v>
      </c>
      <c r="G577" t="s">
        <v>27</v>
      </c>
      <c r="H577" t="s">
        <v>27</v>
      </c>
      <c r="I577" s="137" t="s">
        <v>27</v>
      </c>
      <c r="J577" s="130" t="s">
        <v>237</v>
      </c>
      <c r="K577" s="85" t="str">
        <f t="shared" si="8"/>
        <v>/mnt/measurements/07_CANape/Mitsubishi/5K45/MMC5.0.0_RC3_with_resetfix/CPD/TC136_Try_3.MF4.xz,NCAP3 long,RadarFC_Master,NCAP3 long,CPD,dummy</v>
      </c>
      <c r="L577" s="85" t="s">
        <v>3654</v>
      </c>
      <c r="M577" t="s">
        <v>873</v>
      </c>
      <c r="N577" s="134" t="s">
        <v>475</v>
      </c>
    </row>
    <row r="578" spans="1:14" hidden="1">
      <c r="A578" s="38">
        <v>137</v>
      </c>
      <c r="B578" t="s">
        <v>234</v>
      </c>
      <c r="D578" s="97" t="e">
        <f>_xlfn.XLOOKUP(A578,[1]CPD_SOP_new!$A:$A,[1]CPD_SOP_new!#REF!,"not found",0 )</f>
        <v>#REF!</v>
      </c>
      <c r="E578" s="97" t="str">
        <f>_xlfn.XLOOKUP(A578,[1]CPD_SOP_new!$A:$A,[1]CPD_SOP_new!$K:$K,"not found",0 )</f>
        <v>3R+F3L</v>
      </c>
      <c r="F578" t="s">
        <v>27</v>
      </c>
      <c r="G578" t="s">
        <v>27</v>
      </c>
      <c r="H578" t="s">
        <v>27</v>
      </c>
      <c r="I578" s="137" t="s">
        <v>27</v>
      </c>
      <c r="J578" s="130" t="s">
        <v>237</v>
      </c>
      <c r="K578" s="85" t="str">
        <f t="shared" ref="K578:K641" si="9">N578&amp;"/"&amp;M578&amp;","&amp;IF(J578="ncap3","child",J578)&amp;",RadarFC_Master,"&amp;IF(J578="ncap3","child",J578)&amp;IF(B578="ncap1,2"," ("&amp;B578&amp;")","")&amp;IF(B578="ncap3"," ("&amp;B578&amp;")","")&amp;IF(B578="multiple children"," (ncap1,2)","")&amp;IF(B578="NB awake"," (ncap1,2)","")&amp;",CPD,"&amp;IF(F578="Y","realchild","dummy")</f>
        <v>/mnt/measurements/07_CANape/Mitsubishi/5K45/MMC5.0.0_RC3_with_resetfix/CPD/TC137_Try_1.MF4.xz,NCAP3 long,RadarFC_Master,NCAP3 long,CPD,dummy</v>
      </c>
      <c r="L578" s="85" t="s">
        <v>3655</v>
      </c>
      <c r="M578" t="s">
        <v>881</v>
      </c>
      <c r="N578" s="134" t="s">
        <v>475</v>
      </c>
    </row>
    <row r="579" spans="1:14" hidden="1">
      <c r="A579" s="38">
        <v>137</v>
      </c>
      <c r="B579" t="s">
        <v>234</v>
      </c>
      <c r="D579" s="97" t="e">
        <f>_xlfn.XLOOKUP(A579,[1]CPD_SOP_new!$A:$A,[1]CPD_SOP_new!#REF!,"not found",0 )</f>
        <v>#REF!</v>
      </c>
      <c r="E579" s="97" t="str">
        <f>_xlfn.XLOOKUP(A579,[1]CPD_SOP_new!$A:$A,[1]CPD_SOP_new!$K:$K,"not found",0 )</f>
        <v>3R+F3L</v>
      </c>
      <c r="F579" t="s">
        <v>27</v>
      </c>
      <c r="G579" t="s">
        <v>27</v>
      </c>
      <c r="H579" t="s">
        <v>27</v>
      </c>
      <c r="I579" s="137" t="s">
        <v>27</v>
      </c>
      <c r="J579" s="130" t="s">
        <v>237</v>
      </c>
      <c r="K579" s="85" t="str">
        <f t="shared" si="9"/>
        <v>/mnt/measurements/07_CANape/Mitsubishi/5K45/MMC5.0.0_RC3_with_resetfix/CPD/TC137_Try_2.MF4.xz,NCAP3 long,RadarFC_Master,NCAP3 long,CPD,dummy</v>
      </c>
      <c r="L579" s="85" t="s">
        <v>3656</v>
      </c>
      <c r="M579" t="s">
        <v>882</v>
      </c>
      <c r="N579" s="134" t="s">
        <v>475</v>
      </c>
    </row>
    <row r="580" spans="1:14" hidden="1">
      <c r="A580" s="38">
        <v>137</v>
      </c>
      <c r="B580" t="s">
        <v>234</v>
      </c>
      <c r="D580" s="97" t="e">
        <f>_xlfn.XLOOKUP(A580,[1]CPD_SOP_new!$A:$A,[1]CPD_SOP_new!#REF!,"not found",0 )</f>
        <v>#REF!</v>
      </c>
      <c r="E580" s="97" t="str">
        <f>_xlfn.XLOOKUP(A580,[1]CPD_SOP_new!$A:$A,[1]CPD_SOP_new!$K:$K,"not found",0 )</f>
        <v>3R+F3L</v>
      </c>
      <c r="F580" t="s">
        <v>27</v>
      </c>
      <c r="G580" t="s">
        <v>27</v>
      </c>
      <c r="H580" t="s">
        <v>27</v>
      </c>
      <c r="I580" s="137" t="s">
        <v>27</v>
      </c>
      <c r="J580" s="130" t="s">
        <v>237</v>
      </c>
      <c r="K580" s="85" t="str">
        <f t="shared" si="9"/>
        <v>/mnt/measurements/07_CANape/Mitsubishi/5K45/MMC5.0.0_RC3_with_resetfix/CPD/TC137_Try_3.MF4.xz,NCAP3 long,RadarFC_Master,NCAP3 long,CPD,dummy</v>
      </c>
      <c r="L580" s="85" t="s">
        <v>3657</v>
      </c>
      <c r="M580" t="s">
        <v>883</v>
      </c>
      <c r="N580" s="134" t="s">
        <v>475</v>
      </c>
    </row>
    <row r="581" spans="1:14" hidden="1">
      <c r="A581" s="38">
        <v>138</v>
      </c>
      <c r="B581" t="s">
        <v>234</v>
      </c>
      <c r="D581" s="97" t="e">
        <f>_xlfn.XLOOKUP(A581,[1]CPD_SOP_new!$A:$A,[1]CPD_SOP_new!#REF!,"not found",0 )</f>
        <v>#REF!</v>
      </c>
      <c r="E581" s="97" t="str">
        <f>_xlfn.XLOOKUP(A581,[1]CPD_SOP_new!$A:$A,[1]CPD_SOP_new!$K:$K,"not found",0 )</f>
        <v>3L+F1D</v>
      </c>
      <c r="F581" t="s">
        <v>27</v>
      </c>
      <c r="G581" t="s">
        <v>27</v>
      </c>
      <c r="H581" t="s">
        <v>27</v>
      </c>
      <c r="I581" s="137" t="s">
        <v>27</v>
      </c>
      <c r="J581" s="130" t="s">
        <v>237</v>
      </c>
      <c r="K581" s="85" t="str">
        <f t="shared" si="9"/>
        <v>/mnt/measurements/07_CANape/Mitsubishi/5K45/MMC5.0.0_RC3_with_resetfix/CPD/TC138_Try_1.MF4.xz,NCAP3 long,RadarFC_Master,NCAP3 long,CPD,dummy</v>
      </c>
      <c r="L581" s="85" t="s">
        <v>3658</v>
      </c>
      <c r="M581" t="s">
        <v>892</v>
      </c>
      <c r="N581" s="134" t="s">
        <v>475</v>
      </c>
    </row>
    <row r="582" spans="1:14" hidden="1">
      <c r="A582" s="38">
        <v>138</v>
      </c>
      <c r="B582" t="s">
        <v>234</v>
      </c>
      <c r="D582" s="97" t="e">
        <f>_xlfn.XLOOKUP(A582,[1]CPD_SOP_new!$A:$A,[1]CPD_SOP_new!#REF!,"not found",0 )</f>
        <v>#REF!</v>
      </c>
      <c r="E582" s="97" t="str">
        <f>_xlfn.XLOOKUP(A582,[1]CPD_SOP_new!$A:$A,[1]CPD_SOP_new!$K:$K,"not found",0 )</f>
        <v>3L+F1D</v>
      </c>
      <c r="F582" t="s">
        <v>27</v>
      </c>
      <c r="G582" t="s">
        <v>27</v>
      </c>
      <c r="H582" t="s">
        <v>27</v>
      </c>
      <c r="I582" s="137" t="s">
        <v>27</v>
      </c>
      <c r="J582" s="130" t="s">
        <v>237</v>
      </c>
      <c r="K582" s="85" t="str">
        <f t="shared" si="9"/>
        <v>/mnt/measurements/07_CANape/Mitsubishi/5K45/MMC5.0.0_RC3_with_resetfix/CPD/TC138_Try_2.MF4.xz,NCAP3 long,RadarFC_Master,NCAP3 long,CPD,dummy</v>
      </c>
      <c r="L582" s="85" t="s">
        <v>3659</v>
      </c>
      <c r="M582" t="s">
        <v>893</v>
      </c>
      <c r="N582" s="134" t="s">
        <v>475</v>
      </c>
    </row>
    <row r="583" spans="1:14" hidden="1">
      <c r="A583" s="38">
        <v>138</v>
      </c>
      <c r="B583" t="s">
        <v>234</v>
      </c>
      <c r="D583" s="97" t="e">
        <f>_xlfn.XLOOKUP(A583,[1]CPD_SOP_new!$A:$A,[1]CPD_SOP_new!#REF!,"not found",0 )</f>
        <v>#REF!</v>
      </c>
      <c r="E583" s="97" t="str">
        <f>_xlfn.XLOOKUP(A583,[1]CPD_SOP_new!$A:$A,[1]CPD_SOP_new!$K:$K,"not found",0 )</f>
        <v>3L+F1D</v>
      </c>
      <c r="F583" t="s">
        <v>27</v>
      </c>
      <c r="G583" t="s">
        <v>27</v>
      </c>
      <c r="H583" t="s">
        <v>27</v>
      </c>
      <c r="I583" s="137" t="s">
        <v>27</v>
      </c>
      <c r="J583" s="130" t="s">
        <v>237</v>
      </c>
      <c r="K583" s="85" t="str">
        <f t="shared" si="9"/>
        <v>/mnt/measurements/07_CANape/Mitsubishi/5K45/MMC5.0.0_RC3_with_resetfix/CPD/TC138_Try_3.MF4.xz,NCAP3 long,RadarFC_Master,NCAP3 long,CPD,dummy</v>
      </c>
      <c r="L583" s="85" t="s">
        <v>3660</v>
      </c>
      <c r="M583" t="s">
        <v>894</v>
      </c>
      <c r="N583" s="134" t="s">
        <v>475</v>
      </c>
    </row>
    <row r="584" spans="1:14" hidden="1">
      <c r="A584" s="38">
        <v>139</v>
      </c>
      <c r="B584" t="s">
        <v>234</v>
      </c>
      <c r="D584" s="97" t="e">
        <f>_xlfn.XLOOKUP(A584,[1]CPD_SOP_new!$A:$A,[1]CPD_SOP_new!#REF!,"not found",0 )</f>
        <v>#REF!</v>
      </c>
      <c r="E584" s="97" t="str">
        <f>_xlfn.XLOOKUP(A584,[1]CPD_SOP_new!$A:$A,[1]CPD_SOP_new!$K:$K,"not found",0 )</f>
        <v>1P+F1D</v>
      </c>
      <c r="F584" t="s">
        <v>27</v>
      </c>
      <c r="G584" t="s">
        <v>236</v>
      </c>
      <c r="H584" t="s">
        <v>236</v>
      </c>
      <c r="I584" s="137" t="s">
        <v>27</v>
      </c>
      <c r="J584" s="130" t="s">
        <v>237</v>
      </c>
      <c r="K584" s="85" t="str">
        <f t="shared" si="9"/>
        <v>/mnt/measurements/07_CANape/Mitsubishi/5K45/MMC5.0.1/5K457MG-47/CPD/TC139_Try_1.MF4.xz,NCAP3 long,RadarFC_Master,NCAP3 long,CPD,dummy</v>
      </c>
      <c r="L584" s="85" t="s">
        <v>3661</v>
      </c>
      <c r="M584" t="s">
        <v>238</v>
      </c>
      <c r="N584" s="134" t="s">
        <v>239</v>
      </c>
    </row>
    <row r="585" spans="1:14" hidden="1">
      <c r="A585" s="38">
        <v>139</v>
      </c>
      <c r="B585" t="s">
        <v>234</v>
      </c>
      <c r="D585" s="97" t="e">
        <f>_xlfn.XLOOKUP(A585,[1]CPD_SOP_new!$A:$A,[1]CPD_SOP_new!#REF!,"not found",0 )</f>
        <v>#REF!</v>
      </c>
      <c r="E585" s="97" t="str">
        <f>_xlfn.XLOOKUP(A585,[1]CPD_SOP_new!$A:$A,[1]CPD_SOP_new!$K:$K,"not found",0 )</f>
        <v>1P+F1D</v>
      </c>
      <c r="F585" t="s">
        <v>27</v>
      </c>
      <c r="G585" t="s">
        <v>236</v>
      </c>
      <c r="H585" t="s">
        <v>236</v>
      </c>
      <c r="I585" s="137" t="s">
        <v>27</v>
      </c>
      <c r="J585" s="130" t="s">
        <v>237</v>
      </c>
      <c r="K585" s="85" t="str">
        <f t="shared" si="9"/>
        <v>/mnt/measurements/07_CANape/Mitsubishi/5K45/MMC5.0.1/5K457MG-47/CPD/TC139_Try_2.MF4.xz,NCAP3 long,RadarFC_Master,NCAP3 long,CPD,dummy</v>
      </c>
      <c r="L585" s="85" t="s">
        <v>3662</v>
      </c>
      <c r="M585" t="s">
        <v>309</v>
      </c>
      <c r="N585" s="134" t="s">
        <v>239</v>
      </c>
    </row>
    <row r="586" spans="1:14" hidden="1">
      <c r="A586" s="38">
        <v>139</v>
      </c>
      <c r="B586" t="s">
        <v>234</v>
      </c>
      <c r="D586" s="97" t="e">
        <f>_xlfn.XLOOKUP(A586,[1]CPD_SOP_new!$A:$A,[1]CPD_SOP_new!#REF!,"not found",0 )</f>
        <v>#REF!</v>
      </c>
      <c r="E586" s="97" t="str">
        <f>_xlfn.XLOOKUP(A586,[1]CPD_SOP_new!$A:$A,[1]CPD_SOP_new!$K:$K,"not found",0 )</f>
        <v>1P+F1D</v>
      </c>
      <c r="F586" t="s">
        <v>27</v>
      </c>
      <c r="G586" t="s">
        <v>236</v>
      </c>
      <c r="H586" t="s">
        <v>236</v>
      </c>
      <c r="I586" s="137" t="s">
        <v>27</v>
      </c>
      <c r="J586" s="130" t="s">
        <v>237</v>
      </c>
      <c r="K586" s="85" t="str">
        <f t="shared" si="9"/>
        <v>/mnt/measurements/07_CANape/Mitsubishi/5K45/MMC5.0.1/5K457MG-47/CPD/TC139_Try_3.MF4.xz,NCAP3 long,RadarFC_Master,NCAP3 long,CPD,dummy</v>
      </c>
      <c r="L586" s="85" t="s">
        <v>3663</v>
      </c>
      <c r="M586" t="s">
        <v>317</v>
      </c>
      <c r="N586" s="134" t="s">
        <v>239</v>
      </c>
    </row>
    <row r="587" spans="1:14" hidden="1">
      <c r="A587" s="38">
        <v>140</v>
      </c>
      <c r="B587" t="s">
        <v>234</v>
      </c>
      <c r="D587" s="97" t="e">
        <f>_xlfn.XLOOKUP(A587,[1]CPD_SOP_new!$A:$A,[1]CPD_SOP_new!#REF!,"not found",0 )</f>
        <v>#REF!</v>
      </c>
      <c r="E587" s="97" t="str">
        <f>_xlfn.XLOOKUP(A587,[1]CPD_SOP_new!$A:$A,[1]CPD_SOP_new!$K:$K,"not found",0 )</f>
        <v>2R+F1P</v>
      </c>
      <c r="F587" t="s">
        <v>27</v>
      </c>
      <c r="G587" t="s">
        <v>27</v>
      </c>
      <c r="H587" t="s">
        <v>27</v>
      </c>
      <c r="I587" s="137" t="s">
        <v>27</v>
      </c>
      <c r="J587" s="130" t="s">
        <v>237</v>
      </c>
      <c r="K587" s="85" t="str">
        <f t="shared" si="9"/>
        <v>/mnt/measurements/07_CANape/Mitsubishi/5K45/MMC5.0.1/5K457MG-47/CPD/TC140_Try_1.MF4.xz,NCAP3 long,RadarFC_Master,NCAP3 long,CPD,dummy</v>
      </c>
      <c r="L587" s="85" t="s">
        <v>3664</v>
      </c>
      <c r="M587" t="s">
        <v>899</v>
      </c>
      <c r="N587" s="134" t="s">
        <v>239</v>
      </c>
    </row>
    <row r="588" spans="1:14" hidden="1">
      <c r="A588" s="38">
        <v>140</v>
      </c>
      <c r="B588" t="s">
        <v>234</v>
      </c>
      <c r="D588" s="97" t="e">
        <f>_xlfn.XLOOKUP(A588,[1]CPD_SOP_new!$A:$A,[1]CPD_SOP_new!#REF!,"not found",0 )</f>
        <v>#REF!</v>
      </c>
      <c r="E588" s="97" t="str">
        <f>_xlfn.XLOOKUP(A588,[1]CPD_SOP_new!$A:$A,[1]CPD_SOP_new!$K:$K,"not found",0 )</f>
        <v>2R+F1P</v>
      </c>
      <c r="F588" t="s">
        <v>27</v>
      </c>
      <c r="G588" t="s">
        <v>27</v>
      </c>
      <c r="H588" t="s">
        <v>27</v>
      </c>
      <c r="I588" s="137" t="s">
        <v>27</v>
      </c>
      <c r="J588" s="130" t="s">
        <v>237</v>
      </c>
      <c r="K588" s="85" t="str">
        <f t="shared" si="9"/>
        <v>/mnt/measurements/07_CANape/Mitsubishi/5K45/MMC5.0.1/5K457MG-47/CPD/TC140_Try_2.MF4.xz,NCAP3 long,RadarFC_Master,NCAP3 long,CPD,dummy</v>
      </c>
      <c r="L588" s="85" t="s">
        <v>3665</v>
      </c>
      <c r="M588" t="s">
        <v>900</v>
      </c>
      <c r="N588" s="134" t="s">
        <v>239</v>
      </c>
    </row>
    <row r="589" spans="1:14" hidden="1">
      <c r="A589" s="38">
        <v>140</v>
      </c>
      <c r="B589" t="s">
        <v>234</v>
      </c>
      <c r="D589" s="97" t="e">
        <f>_xlfn.XLOOKUP(A589,[1]CPD_SOP_new!$A:$A,[1]CPD_SOP_new!#REF!,"not found",0 )</f>
        <v>#REF!</v>
      </c>
      <c r="E589" s="97" t="str">
        <f>_xlfn.XLOOKUP(A589,[1]CPD_SOP_new!$A:$A,[1]CPD_SOP_new!$K:$K,"not found",0 )</f>
        <v>2R+F1P</v>
      </c>
      <c r="F589" t="s">
        <v>27</v>
      </c>
      <c r="G589" t="s">
        <v>27</v>
      </c>
      <c r="H589" t="s">
        <v>27</v>
      </c>
      <c r="I589" s="137" t="s">
        <v>27</v>
      </c>
      <c r="J589" s="130" t="s">
        <v>237</v>
      </c>
      <c r="K589" s="85" t="str">
        <f t="shared" si="9"/>
        <v>/mnt/measurements/07_CANape/Mitsubishi/5K45/MMC5.0.1/5K457MG-47/CPD/TC140_Try_3.MF4.xz,NCAP3 long,RadarFC_Master,NCAP3 long,CPD,dummy</v>
      </c>
      <c r="L589" s="85" t="s">
        <v>3666</v>
      </c>
      <c r="M589" t="s">
        <v>901</v>
      </c>
      <c r="N589" s="134" t="s">
        <v>239</v>
      </c>
    </row>
    <row r="590" spans="1:14" hidden="1">
      <c r="A590" s="38">
        <v>141</v>
      </c>
      <c r="B590" t="s">
        <v>234</v>
      </c>
      <c r="D590" s="97" t="e">
        <f>_xlfn.XLOOKUP(A590,[1]CPD_SOP_new!$A:$A,[1]CPD_SOP_new!#REF!,"not found",0 )</f>
        <v>#REF!</v>
      </c>
      <c r="E590" s="97" t="str">
        <f>_xlfn.XLOOKUP(A590,[1]CPD_SOP_new!$A:$A,[1]CPD_SOP_new!$K:$K,"not found",0 )</f>
        <v>2L+F2R</v>
      </c>
      <c r="F590" t="s">
        <v>27</v>
      </c>
      <c r="G590" t="s">
        <v>27</v>
      </c>
      <c r="H590" t="s">
        <v>27</v>
      </c>
      <c r="I590" s="137" t="s">
        <v>27</v>
      </c>
      <c r="J590" s="130" t="s">
        <v>237</v>
      </c>
      <c r="K590" s="85" t="str">
        <f t="shared" si="9"/>
        <v>/mnt/measurements/07_CANape/Mitsubishi/5K45/MMC5.0.1/5K457MG-47/CPD/TC141_Try_1.MF4.xz,NCAP3 long,RadarFC_Master,NCAP3 long,CPD,dummy</v>
      </c>
      <c r="L590" s="85" t="s">
        <v>3667</v>
      </c>
      <c r="M590" t="s">
        <v>910</v>
      </c>
      <c r="N590" s="134" t="s">
        <v>239</v>
      </c>
    </row>
    <row r="591" spans="1:14" hidden="1">
      <c r="A591" s="38">
        <v>141</v>
      </c>
      <c r="B591" t="s">
        <v>234</v>
      </c>
      <c r="D591" s="97" t="e">
        <f>_xlfn.XLOOKUP(A591,[1]CPD_SOP_new!$A:$A,[1]CPD_SOP_new!#REF!,"not found",0 )</f>
        <v>#REF!</v>
      </c>
      <c r="E591" s="97" t="str">
        <f>_xlfn.XLOOKUP(A591,[1]CPD_SOP_new!$A:$A,[1]CPD_SOP_new!$K:$K,"not found",0 )</f>
        <v>2L+F2R</v>
      </c>
      <c r="F591" t="s">
        <v>27</v>
      </c>
      <c r="G591" t="s">
        <v>27</v>
      </c>
      <c r="H591" t="s">
        <v>27</v>
      </c>
      <c r="I591" s="137" t="s">
        <v>27</v>
      </c>
      <c r="J591" s="130" t="s">
        <v>237</v>
      </c>
      <c r="K591" s="85" t="str">
        <f t="shared" si="9"/>
        <v>/mnt/measurements/07_CANape/Mitsubishi/5K45/MMC5.0.1/5K457MG-47/CPD/TC141_Try_2.MF4.xz,NCAP3 long,RadarFC_Master,NCAP3 long,CPD,dummy</v>
      </c>
      <c r="L591" s="85" t="s">
        <v>3668</v>
      </c>
      <c r="M591" t="s">
        <v>911</v>
      </c>
      <c r="N591" s="134" t="s">
        <v>239</v>
      </c>
    </row>
    <row r="592" spans="1:14" hidden="1">
      <c r="A592" s="38">
        <v>141</v>
      </c>
      <c r="B592" t="s">
        <v>234</v>
      </c>
      <c r="D592" s="97" t="e">
        <f>_xlfn.XLOOKUP(A592,[1]CPD_SOP_new!$A:$A,[1]CPD_SOP_new!#REF!,"not found",0 )</f>
        <v>#REF!</v>
      </c>
      <c r="E592" s="97" t="str">
        <f>_xlfn.XLOOKUP(A592,[1]CPD_SOP_new!$A:$A,[1]CPD_SOP_new!$K:$K,"not found",0 )</f>
        <v>2L+F2R</v>
      </c>
      <c r="F592" t="s">
        <v>27</v>
      </c>
      <c r="G592" t="s">
        <v>27</v>
      </c>
      <c r="H592" t="s">
        <v>27</v>
      </c>
      <c r="I592" s="137" t="s">
        <v>27</v>
      </c>
      <c r="J592" s="130" t="s">
        <v>237</v>
      </c>
      <c r="K592" s="85" t="str">
        <f t="shared" si="9"/>
        <v>/mnt/measurements/07_CANape/Mitsubishi/5K45/MMC5.0.1/5K457MG-47/CPD/TC141_Try_3.MF4.xz,NCAP3 long,RadarFC_Master,NCAP3 long,CPD,dummy</v>
      </c>
      <c r="L592" s="85" t="s">
        <v>3669</v>
      </c>
      <c r="M592" t="s">
        <v>912</v>
      </c>
      <c r="N592" s="134" t="s">
        <v>239</v>
      </c>
    </row>
    <row r="593" spans="1:14" hidden="1">
      <c r="A593" s="38">
        <v>142</v>
      </c>
      <c r="B593" t="s">
        <v>234</v>
      </c>
      <c r="D593" s="97" t="e">
        <f>_xlfn.XLOOKUP(A593,[1]CPD_SOP_new!$A:$A,[1]CPD_SOP_new!#REF!,"not found",0 )</f>
        <v>#REF!</v>
      </c>
      <c r="E593" s="97" t="str">
        <f>_xlfn.XLOOKUP(A593,[1]CPD_SOP_new!$A:$A,[1]CPD_SOP_new!$K:$K,"not found",0 )</f>
        <v>2C+F2L</v>
      </c>
      <c r="F593" t="s">
        <v>27</v>
      </c>
      <c r="G593" t="s">
        <v>27</v>
      </c>
      <c r="H593" t="s">
        <v>27</v>
      </c>
      <c r="I593" s="137" t="s">
        <v>27</v>
      </c>
      <c r="J593" s="130" t="s">
        <v>237</v>
      </c>
      <c r="K593" s="85" t="str">
        <f t="shared" si="9"/>
        <v>/mnt/measurements/07_CANape/Mitsubishi/5K45/MMC5.0.1/5K457MG-47/CPD/TC142_Try_1.MF4.xz,NCAP3 long,RadarFC_Master,NCAP3 long,CPD,dummy</v>
      </c>
      <c r="L593" s="85" t="s">
        <v>3670</v>
      </c>
      <c r="M593" t="s">
        <v>914</v>
      </c>
      <c r="N593" s="134" t="s">
        <v>239</v>
      </c>
    </row>
    <row r="594" spans="1:14" hidden="1">
      <c r="A594" s="38">
        <v>142</v>
      </c>
      <c r="B594" t="s">
        <v>234</v>
      </c>
      <c r="D594" s="97" t="e">
        <f>_xlfn.XLOOKUP(A594,[1]CPD_SOP_new!$A:$A,[1]CPD_SOP_new!#REF!,"not found",0 )</f>
        <v>#REF!</v>
      </c>
      <c r="E594" s="97" t="str">
        <f>_xlfn.XLOOKUP(A594,[1]CPD_SOP_new!$A:$A,[1]CPD_SOP_new!$K:$K,"not found",0 )</f>
        <v>2C+F2L</v>
      </c>
      <c r="F594" t="s">
        <v>27</v>
      </c>
      <c r="G594" t="s">
        <v>27</v>
      </c>
      <c r="H594" t="s">
        <v>27</v>
      </c>
      <c r="I594" s="137" t="s">
        <v>27</v>
      </c>
      <c r="J594" s="130" t="s">
        <v>237</v>
      </c>
      <c r="K594" s="85" t="str">
        <f t="shared" si="9"/>
        <v>/mnt/measurements/07_CANape/Mitsubishi/5K45/MMC5.0.1/5K457MG-47/CPD/TC142_Try_2.MF4.xz,NCAP3 long,RadarFC_Master,NCAP3 long,CPD,dummy</v>
      </c>
      <c r="L594" s="85" t="s">
        <v>3671</v>
      </c>
      <c r="M594" t="s">
        <v>915</v>
      </c>
      <c r="N594" s="134" t="s">
        <v>239</v>
      </c>
    </row>
    <row r="595" spans="1:14" hidden="1">
      <c r="A595" s="38">
        <v>142</v>
      </c>
      <c r="B595" t="s">
        <v>234</v>
      </c>
      <c r="D595" s="97" t="e">
        <f>_xlfn.XLOOKUP(A595,[1]CPD_SOP_new!$A:$A,[1]CPD_SOP_new!#REF!,"not found",0 )</f>
        <v>#REF!</v>
      </c>
      <c r="E595" s="97" t="str">
        <f>_xlfn.XLOOKUP(A595,[1]CPD_SOP_new!$A:$A,[1]CPD_SOP_new!$K:$K,"not found",0 )</f>
        <v>2C+F2L</v>
      </c>
      <c r="F595" t="s">
        <v>27</v>
      </c>
      <c r="G595" t="s">
        <v>27</v>
      </c>
      <c r="H595" t="s">
        <v>27</v>
      </c>
      <c r="I595" s="137" t="s">
        <v>27</v>
      </c>
      <c r="J595" s="130" t="s">
        <v>237</v>
      </c>
      <c r="K595" s="85" t="str">
        <f t="shared" si="9"/>
        <v>/mnt/measurements/07_CANape/Mitsubishi/5K45/MMC5.0.1/5K457MG-47/CPD/TC142_Try_3.MF4.xz,NCAP3 long,RadarFC_Master,NCAP3 long,CPD,dummy</v>
      </c>
      <c r="L595" s="85" t="s">
        <v>3672</v>
      </c>
      <c r="M595" t="s">
        <v>916</v>
      </c>
      <c r="N595" s="134" t="s">
        <v>239</v>
      </c>
    </row>
    <row r="596" spans="1:14" hidden="1">
      <c r="A596" s="38">
        <v>143</v>
      </c>
      <c r="B596" t="s">
        <v>234</v>
      </c>
      <c r="D596" s="97" t="e">
        <f>_xlfn.XLOOKUP(A596,[1]CPD_SOP_new!$A:$A,[1]CPD_SOP_new!#REF!,"not found",0 )</f>
        <v>#REF!</v>
      </c>
      <c r="E596" s="97" t="str">
        <f>_xlfn.XLOOKUP(A596,[1]CPD_SOP_new!$A:$A,[1]CPD_SOP_new!$K:$K,"not found",0 )</f>
        <v>3R+F2C</v>
      </c>
      <c r="F596" t="s">
        <v>27</v>
      </c>
      <c r="G596" t="s">
        <v>27</v>
      </c>
      <c r="H596" t="s">
        <v>27</v>
      </c>
      <c r="I596" s="137" t="s">
        <v>27</v>
      </c>
      <c r="J596" s="130" t="s">
        <v>237</v>
      </c>
      <c r="K596" s="85" t="str">
        <f t="shared" si="9"/>
        <v>/mnt/measurements/07_CANape/Mitsubishi/5K45/MMC5.0.1/5K457MG-47/CPD/TC143_Try_1.MF4.xz,NCAP3 long,RadarFC_Master,NCAP3 long,CPD,dummy</v>
      </c>
      <c r="L596" s="85" t="s">
        <v>3673</v>
      </c>
      <c r="M596" t="s">
        <v>924</v>
      </c>
      <c r="N596" s="134" t="s">
        <v>239</v>
      </c>
    </row>
    <row r="597" spans="1:14" hidden="1">
      <c r="A597" s="38">
        <v>143</v>
      </c>
      <c r="B597" t="s">
        <v>234</v>
      </c>
      <c r="D597" s="97" t="e">
        <f>_xlfn.XLOOKUP(A597,[1]CPD_SOP_new!$A:$A,[1]CPD_SOP_new!#REF!,"not found",0 )</f>
        <v>#REF!</v>
      </c>
      <c r="E597" s="97" t="str">
        <f>_xlfn.XLOOKUP(A597,[1]CPD_SOP_new!$A:$A,[1]CPD_SOP_new!$K:$K,"not found",0 )</f>
        <v>3R+F2C</v>
      </c>
      <c r="F597" t="s">
        <v>27</v>
      </c>
      <c r="G597" t="s">
        <v>27</v>
      </c>
      <c r="H597" t="s">
        <v>27</v>
      </c>
      <c r="I597" s="137" t="s">
        <v>27</v>
      </c>
      <c r="J597" s="130" t="s">
        <v>237</v>
      </c>
      <c r="K597" s="85" t="str">
        <f t="shared" si="9"/>
        <v>/mnt/measurements/07_CANape/Mitsubishi/5K45/MMC5.0.1/5K457MG-47/CPD/TC143_Try_2.MF4.xz,NCAP3 long,RadarFC_Master,NCAP3 long,CPD,dummy</v>
      </c>
      <c r="L597" s="85" t="s">
        <v>3674</v>
      </c>
      <c r="M597" t="s">
        <v>925</v>
      </c>
      <c r="N597" s="134" t="s">
        <v>239</v>
      </c>
    </row>
    <row r="598" spans="1:14" hidden="1">
      <c r="A598" s="38">
        <v>143</v>
      </c>
      <c r="B598" t="s">
        <v>234</v>
      </c>
      <c r="D598" s="97" t="e">
        <f>_xlfn.XLOOKUP(A598,[1]CPD_SOP_new!$A:$A,[1]CPD_SOP_new!#REF!,"not found",0 )</f>
        <v>#REF!</v>
      </c>
      <c r="E598" s="97" t="str">
        <f>_xlfn.XLOOKUP(A598,[1]CPD_SOP_new!$A:$A,[1]CPD_SOP_new!$K:$K,"not found",0 )</f>
        <v>3R+F2C</v>
      </c>
      <c r="F598" t="s">
        <v>27</v>
      </c>
      <c r="G598" t="s">
        <v>27</v>
      </c>
      <c r="H598" t="s">
        <v>27</v>
      </c>
      <c r="I598" s="137" t="s">
        <v>27</v>
      </c>
      <c r="J598" s="130" t="s">
        <v>237</v>
      </c>
      <c r="K598" s="85" t="str">
        <f t="shared" si="9"/>
        <v>/mnt/measurements/07_CANape/Mitsubishi/5K45/MMC5.0.1/5K457MG-47/CPD/TC143_Try_3.MF4.xz,NCAP3 long,RadarFC_Master,NCAP3 long,CPD,dummy</v>
      </c>
      <c r="L598" s="85" t="s">
        <v>3675</v>
      </c>
      <c r="M598" t="s">
        <v>926</v>
      </c>
      <c r="N598" s="134" t="s">
        <v>239</v>
      </c>
    </row>
    <row r="599" spans="1:14" hidden="1">
      <c r="A599" s="38">
        <v>144</v>
      </c>
      <c r="B599" t="s">
        <v>234</v>
      </c>
      <c r="D599" s="97" t="e">
        <f>_xlfn.XLOOKUP(A599,[1]CPD_SOP_new!$A:$A,[1]CPD_SOP_new!#REF!,"not found",0 )</f>
        <v>#REF!</v>
      </c>
      <c r="E599" s="97" t="str">
        <f>_xlfn.XLOOKUP(A599,[1]CPD_SOP_new!$A:$A,[1]CPD_SOP_new!$K:$K,"not found",0 )</f>
        <v>3L+F3R</v>
      </c>
      <c r="F599" t="s">
        <v>27</v>
      </c>
      <c r="G599" t="s">
        <v>27</v>
      </c>
      <c r="H599" t="s">
        <v>27</v>
      </c>
      <c r="I599" s="137" t="s">
        <v>27</v>
      </c>
      <c r="J599" s="130" t="s">
        <v>237</v>
      </c>
      <c r="K599" s="85" t="str">
        <f t="shared" si="9"/>
        <v>/mnt/measurements/07_CANape/Mitsubishi/5K45/MMC5.0.1/5K457MG-47/CPD/TC144_Try_1.MF4.xz,NCAP3 long,RadarFC_Master,NCAP3 long,CPD,dummy</v>
      </c>
      <c r="L599" s="85" t="s">
        <v>3676</v>
      </c>
      <c r="M599" t="s">
        <v>928</v>
      </c>
      <c r="N599" s="134" t="s">
        <v>239</v>
      </c>
    </row>
    <row r="600" spans="1:14" hidden="1">
      <c r="A600" s="38">
        <v>144</v>
      </c>
      <c r="B600" t="s">
        <v>234</v>
      </c>
      <c r="D600" s="97" t="e">
        <f>_xlfn.XLOOKUP(A600,[1]CPD_SOP_new!$A:$A,[1]CPD_SOP_new!#REF!,"not found",0 )</f>
        <v>#REF!</v>
      </c>
      <c r="E600" s="97" t="str">
        <f>_xlfn.XLOOKUP(A600,[1]CPD_SOP_new!$A:$A,[1]CPD_SOP_new!$K:$K,"not found",0 )</f>
        <v>3L+F3R</v>
      </c>
      <c r="F600" t="s">
        <v>27</v>
      </c>
      <c r="G600" t="s">
        <v>27</v>
      </c>
      <c r="H600" t="s">
        <v>27</v>
      </c>
      <c r="I600" s="137" t="s">
        <v>27</v>
      </c>
      <c r="J600" s="130" t="s">
        <v>237</v>
      </c>
      <c r="K600" s="85" t="str">
        <f t="shared" si="9"/>
        <v>/mnt/measurements/07_CANape/Mitsubishi/5K45/MMC5.0.1/5K457MG-47/CPD/TC144_Try_2.MF4.xz,NCAP3 long,RadarFC_Master,NCAP3 long,CPD,dummy</v>
      </c>
      <c r="L600" s="85" t="s">
        <v>3677</v>
      </c>
      <c r="M600" t="s">
        <v>929</v>
      </c>
      <c r="N600" s="134" t="s">
        <v>239</v>
      </c>
    </row>
    <row r="601" spans="1:14" hidden="1">
      <c r="A601" s="38">
        <v>144</v>
      </c>
      <c r="B601" t="s">
        <v>234</v>
      </c>
      <c r="D601" s="97" t="e">
        <f>_xlfn.XLOOKUP(A601,[1]CPD_SOP_new!$A:$A,[1]CPD_SOP_new!#REF!,"not found",0 )</f>
        <v>#REF!</v>
      </c>
      <c r="E601" s="97" t="str">
        <f>_xlfn.XLOOKUP(A601,[1]CPD_SOP_new!$A:$A,[1]CPD_SOP_new!$K:$K,"not found",0 )</f>
        <v>3L+F3R</v>
      </c>
      <c r="F601" t="s">
        <v>27</v>
      </c>
      <c r="G601" t="s">
        <v>27</v>
      </c>
      <c r="H601" t="s">
        <v>27</v>
      </c>
      <c r="I601" s="137" t="s">
        <v>27</v>
      </c>
      <c r="J601" s="130" t="s">
        <v>237</v>
      </c>
      <c r="K601" s="85" t="str">
        <f t="shared" si="9"/>
        <v>/mnt/measurements/07_CANape/Mitsubishi/5K45/MMC5.0.1/5K457MG-47/CPD/TC144_Try_3.MF4.xz,NCAP3 long,RadarFC_Master,NCAP3 long,CPD,dummy</v>
      </c>
      <c r="L601" s="85" t="s">
        <v>3678</v>
      </c>
      <c r="M601" t="s">
        <v>930</v>
      </c>
      <c r="N601" s="134" t="s">
        <v>239</v>
      </c>
    </row>
    <row r="602" spans="1:14" hidden="1">
      <c r="A602" s="38">
        <v>145</v>
      </c>
      <c r="B602" t="s">
        <v>234</v>
      </c>
      <c r="D602" s="97" t="e">
        <f>_xlfn.XLOOKUP(A602,[1]CPD_SOP_new!$A:$A,[1]CPD_SOP_new!#REF!,"not found",0 )</f>
        <v>#REF!</v>
      </c>
      <c r="E602" s="97" t="str">
        <f>_xlfn.XLOOKUP(A602,[1]CPD_SOP_new!$A:$A,[1]CPD_SOP_new!$K:$K,"not found",0 )</f>
        <v>1D+F3L</v>
      </c>
      <c r="F602" t="s">
        <v>27</v>
      </c>
      <c r="G602" t="s">
        <v>27</v>
      </c>
      <c r="H602" t="s">
        <v>27</v>
      </c>
      <c r="I602" s="137" t="s">
        <v>27</v>
      </c>
      <c r="J602" s="130" t="s">
        <v>237</v>
      </c>
      <c r="K602" s="85" t="str">
        <f t="shared" si="9"/>
        <v>/mnt/measurements/07_CANape/Mitsubishi/5K45/MMC5.0.1/5K457MG-47/CPD/TC145_Try_1.MF4.xz,NCAP3 long,RadarFC_Master,NCAP3 long,CPD,dummy</v>
      </c>
      <c r="L602" s="85" t="s">
        <v>3679</v>
      </c>
      <c r="M602" t="s">
        <v>937</v>
      </c>
      <c r="N602" s="134" t="s">
        <v>239</v>
      </c>
    </row>
    <row r="603" spans="1:14" hidden="1">
      <c r="A603" s="38">
        <v>145</v>
      </c>
      <c r="B603" t="s">
        <v>234</v>
      </c>
      <c r="D603" s="97" t="e">
        <f>_xlfn.XLOOKUP(A603,[1]CPD_SOP_new!$A:$A,[1]CPD_SOP_new!#REF!,"not found",0 )</f>
        <v>#REF!</v>
      </c>
      <c r="E603" s="97" t="str">
        <f>_xlfn.XLOOKUP(A603,[1]CPD_SOP_new!$A:$A,[1]CPD_SOP_new!$K:$K,"not found",0 )</f>
        <v>1D+F3L</v>
      </c>
      <c r="F603" t="s">
        <v>27</v>
      </c>
      <c r="G603" t="s">
        <v>27</v>
      </c>
      <c r="H603" t="s">
        <v>27</v>
      </c>
      <c r="I603" s="137" t="s">
        <v>27</v>
      </c>
      <c r="J603" s="130" t="s">
        <v>237</v>
      </c>
      <c r="K603" s="85" t="str">
        <f t="shared" si="9"/>
        <v>/mnt/measurements/07_CANape/Mitsubishi/5K45/MMC5.0.1/5K457MG-47/CPD/TC145_Try_2.MF4.xz,NCAP3 long,RadarFC_Master,NCAP3 long,CPD,dummy</v>
      </c>
      <c r="L603" s="85" t="s">
        <v>3680</v>
      </c>
      <c r="M603" t="s">
        <v>938</v>
      </c>
      <c r="N603" s="134" t="s">
        <v>239</v>
      </c>
    </row>
    <row r="604" spans="1:14" hidden="1">
      <c r="A604" s="38">
        <v>145</v>
      </c>
      <c r="B604" t="s">
        <v>234</v>
      </c>
      <c r="D604" s="97" t="e">
        <f>_xlfn.XLOOKUP(A604,[1]CPD_SOP_new!$A:$A,[1]CPD_SOP_new!#REF!,"not found",0 )</f>
        <v>#REF!</v>
      </c>
      <c r="E604" s="97" t="str">
        <f>_xlfn.XLOOKUP(A604,[1]CPD_SOP_new!$A:$A,[1]CPD_SOP_new!$K:$K,"not found",0 )</f>
        <v>1D+F3L</v>
      </c>
      <c r="F604" t="s">
        <v>27</v>
      </c>
      <c r="G604" t="s">
        <v>27</v>
      </c>
      <c r="H604" t="s">
        <v>27</v>
      </c>
      <c r="I604" s="137" t="s">
        <v>27</v>
      </c>
      <c r="J604" s="130" t="s">
        <v>237</v>
      </c>
      <c r="K604" s="85" t="str">
        <f t="shared" si="9"/>
        <v>/mnt/measurements/07_CANape/Mitsubishi/5K45/MMC5.0.1/5K457MG-47/CPD/TC145_Try_3.MF4.xz,NCAP3 long,RadarFC_Master,NCAP3 long,CPD,dummy</v>
      </c>
      <c r="L604" s="85" t="s">
        <v>3681</v>
      </c>
      <c r="M604" t="s">
        <v>939</v>
      </c>
      <c r="N604" s="134" t="s">
        <v>239</v>
      </c>
    </row>
    <row r="605" spans="1:14">
      <c r="A605" s="77">
        <v>108</v>
      </c>
      <c r="B605" s="105" t="s">
        <v>111</v>
      </c>
      <c r="D605" s="97" t="e">
        <f>_xlfn.XLOOKUP(A605,[1]CPD_SOP_new!$A:$A,[1]CPD_SOP_new!#REF!,"not found",0 )</f>
        <v>#REF!</v>
      </c>
      <c r="E605" s="97" t="str">
        <f>_xlfn.XLOOKUP(A605,[1]CPD_SOP_new!$A:$A,[1]CPD_SOP_new!$K:$K,"not found",0 )</f>
        <v>F3R</v>
      </c>
      <c r="F605" t="s">
        <v>27</v>
      </c>
      <c r="G605" t="s">
        <v>28</v>
      </c>
      <c r="H605" t="s">
        <v>27</v>
      </c>
      <c r="I605" t="s">
        <v>28</v>
      </c>
      <c r="J605" t="s">
        <v>113</v>
      </c>
      <c r="K605" s="85" t="str">
        <f t="shared" si="9"/>
        <v>/mnt/measurements/07_CANape/Mitsubishi/5K45/MMC5.0.2/5K457EG11/CPD//CSR_XCP_Signals_Recorder_2026-01-27_13-55-02_CPD_TC108_Try3.MF4.xz,adult,RadarFC_Master,adult,CPD,dummy</v>
      </c>
      <c r="L605" s="85" t="s">
        <v>3682</v>
      </c>
      <c r="M605" t="s">
        <v>792</v>
      </c>
      <c r="N605" t="s">
        <v>173</v>
      </c>
    </row>
    <row r="606" spans="1:14">
      <c r="A606" s="77">
        <v>108</v>
      </c>
      <c r="B606" s="105" t="s">
        <v>111</v>
      </c>
      <c r="D606" s="97" t="e">
        <f>_xlfn.XLOOKUP(A606,[1]CPD_SOP_new!$A:$A,[1]CPD_SOP_new!#REF!,"not found",0 )</f>
        <v>#REF!</v>
      </c>
      <c r="E606" s="97" t="str">
        <f>_xlfn.XLOOKUP(A606,[1]CPD_SOP_new!$A:$A,[1]CPD_SOP_new!$K:$K,"not found",0 )</f>
        <v>F3R</v>
      </c>
      <c r="F606" t="s">
        <v>27</v>
      </c>
      <c r="G606" t="s">
        <v>28</v>
      </c>
      <c r="H606" t="s">
        <v>27</v>
      </c>
      <c r="I606" t="s">
        <v>28</v>
      </c>
      <c r="J606" t="s">
        <v>113</v>
      </c>
      <c r="K606" s="85" t="str">
        <f t="shared" si="9"/>
        <v>/mnt/measurements/07_CANape/Mitsubishi/5K45/MMC5.0.2/5K457EG11/CPD//CSR_XCP_Signals_Recorder_2026-01-27_13-56-28_CPD_TC108_Try4.MF4.xz,adult,RadarFC_Master,adult,CPD,dummy</v>
      </c>
      <c r="L606" s="85" t="s">
        <v>3683</v>
      </c>
      <c r="M606" t="s">
        <v>793</v>
      </c>
      <c r="N606" t="s">
        <v>173</v>
      </c>
    </row>
    <row r="607" spans="1:14">
      <c r="A607" s="77">
        <v>109</v>
      </c>
      <c r="B607" s="105" t="s">
        <v>111</v>
      </c>
      <c r="D607" s="97" t="e">
        <f>_xlfn.XLOOKUP(A607,[1]CPD_SOP_new!$A:$A,[1]CPD_SOP_new!#REF!,"not found",0 )</f>
        <v>#REF!</v>
      </c>
      <c r="E607" s="97" t="str">
        <f>_xlfn.XLOOKUP(A607,[1]CPD_SOP_new!$A:$A,[1]CPD_SOP_new!$K:$K,"not found",0 )</f>
        <v>3R</v>
      </c>
      <c r="F607" t="s">
        <v>27</v>
      </c>
      <c r="G607" t="s">
        <v>28</v>
      </c>
      <c r="H607" t="s">
        <v>27</v>
      </c>
      <c r="I607" t="s">
        <v>28</v>
      </c>
      <c r="J607" t="s">
        <v>113</v>
      </c>
      <c r="K607" s="85" t="str">
        <f t="shared" si="9"/>
        <v>/mnt/measurements/07_CANape/Mitsubishi/5K45/MMC4.1.2/Validation/2025_11_28/orderedByTargetType/adult/TC_109_Try1.MF4.xz,adult,RadarFC_Master,adult,CPD,dummy</v>
      </c>
      <c r="L607" s="85" t="s">
        <v>3684</v>
      </c>
      <c r="M607" t="s">
        <v>794</v>
      </c>
      <c r="N607" s="132" t="s">
        <v>671</v>
      </c>
    </row>
    <row r="608" spans="1:14">
      <c r="A608" s="77">
        <v>109</v>
      </c>
      <c r="B608" s="105" t="s">
        <v>111</v>
      </c>
      <c r="D608" s="97" t="e">
        <f>_xlfn.XLOOKUP(A608,[1]CPD_SOP_new!$A:$A,[1]CPD_SOP_new!#REF!,"not found",0 )</f>
        <v>#REF!</v>
      </c>
      <c r="E608" s="97" t="str">
        <f>_xlfn.XLOOKUP(A608,[1]CPD_SOP_new!$A:$A,[1]CPD_SOP_new!$K:$K,"not found",0 )</f>
        <v>3R</v>
      </c>
      <c r="F608" t="s">
        <v>27</v>
      </c>
      <c r="G608" t="s">
        <v>28</v>
      </c>
      <c r="H608" t="s">
        <v>27</v>
      </c>
      <c r="I608" t="s">
        <v>28</v>
      </c>
      <c r="J608" t="s">
        <v>113</v>
      </c>
      <c r="K608" s="85" t="str">
        <f t="shared" si="9"/>
        <v>/mnt/measurements/07_CANape/Mitsubishi/5K45/MMC4.1.2/Validation/2025_11_28/orderedByTargetType/adult/TC_109_Try2.MF4.xz,adult,RadarFC_Master,adult,CPD,dummy</v>
      </c>
      <c r="L608" s="85" t="s">
        <v>3685</v>
      </c>
      <c r="M608" t="s">
        <v>796</v>
      </c>
      <c r="N608" s="132" t="s">
        <v>671</v>
      </c>
    </row>
    <row r="609" spans="1:21">
      <c r="A609" s="77">
        <v>109</v>
      </c>
      <c r="B609" s="105" t="s">
        <v>111</v>
      </c>
      <c r="D609" s="97" t="e">
        <f>_xlfn.XLOOKUP(A609,[1]CPD_SOP_new!$A:$A,[1]CPD_SOP_new!#REF!,"not found",0 )</f>
        <v>#REF!</v>
      </c>
      <c r="E609" s="97" t="str">
        <f>_xlfn.XLOOKUP(A609,[1]CPD_SOP_new!$A:$A,[1]CPD_SOP_new!$K:$K,"not found",0 )</f>
        <v>3R</v>
      </c>
      <c r="F609" t="s">
        <v>27</v>
      </c>
      <c r="G609" t="s">
        <v>28</v>
      </c>
      <c r="H609" t="s">
        <v>27</v>
      </c>
      <c r="I609" t="s">
        <v>28</v>
      </c>
      <c r="J609" t="s">
        <v>113</v>
      </c>
      <c r="K609" s="85" t="str">
        <f t="shared" si="9"/>
        <v>/mnt/measurements/07_CANape/Mitsubishi/5K45/MMC4.1.2/Validation/2025_11_28/orderedByTargetType/adult/TC_109_Try3.MF4.xz,adult,RadarFC_Master,adult,CPD,dummy</v>
      </c>
      <c r="L609" s="85" t="s">
        <v>3686</v>
      </c>
      <c r="M609" t="s">
        <v>797</v>
      </c>
      <c r="N609" s="132" t="s">
        <v>671</v>
      </c>
    </row>
    <row r="610" spans="1:21">
      <c r="A610" s="77">
        <v>110</v>
      </c>
      <c r="B610" s="105" t="s">
        <v>111</v>
      </c>
      <c r="D610" s="97" t="e">
        <f>_xlfn.XLOOKUP(A610,[1]CPD_SOP_new!$A:$A,[1]CPD_SOP_new!#REF!,"not found",0 )</f>
        <v>#REF!</v>
      </c>
      <c r="E610" s="97" t="str">
        <f>_xlfn.XLOOKUP(A610,[1]CPD_SOP_new!$A:$A,[1]CPD_SOP_new!$K:$K,"not found",0 )</f>
        <v>3L</v>
      </c>
      <c r="F610" t="s">
        <v>27</v>
      </c>
      <c r="G610" t="s">
        <v>28</v>
      </c>
      <c r="H610" t="s">
        <v>27</v>
      </c>
      <c r="I610" t="s">
        <v>28</v>
      </c>
      <c r="J610" t="s">
        <v>113</v>
      </c>
      <c r="K610" s="85" t="str">
        <f t="shared" si="9"/>
        <v>/mnt/measurements/07_CANape/Mitsubishi/5K45/MMC4.1.2/Validation/2025_11_28/orderedByTargetType/adult/TC_110_Try1.MF4.xz,adult,RadarFC_Master,adult,CPD,dummy</v>
      </c>
      <c r="L610" s="85" t="s">
        <v>3687</v>
      </c>
      <c r="M610" t="s">
        <v>798</v>
      </c>
      <c r="N610" s="132" t="s">
        <v>671</v>
      </c>
    </row>
    <row r="611" spans="1:21">
      <c r="A611" s="77">
        <v>110</v>
      </c>
      <c r="B611" s="105" t="s">
        <v>111</v>
      </c>
      <c r="D611" s="97" t="e">
        <f>_xlfn.XLOOKUP(A611,[1]CPD_SOP_new!$A:$A,[1]CPD_SOP_new!#REF!,"not found",0 )</f>
        <v>#REF!</v>
      </c>
      <c r="E611" s="97" t="str">
        <f>_xlfn.XLOOKUP(A611,[1]CPD_SOP_new!$A:$A,[1]CPD_SOP_new!$K:$K,"not found",0 )</f>
        <v>3L</v>
      </c>
      <c r="F611" t="s">
        <v>27</v>
      </c>
      <c r="G611" t="s">
        <v>28</v>
      </c>
      <c r="H611" t="s">
        <v>27</v>
      </c>
      <c r="I611" t="s">
        <v>28</v>
      </c>
      <c r="J611" t="s">
        <v>113</v>
      </c>
      <c r="K611" s="85" t="str">
        <f t="shared" si="9"/>
        <v>/mnt/measurements/07_CANape/Mitsubishi/5K45/MMC4.1.2/Validation/2025_11_28/orderedByTargetType/adult/TC_110_Try2.MF4.xz,adult,RadarFC_Master,adult,CPD,dummy</v>
      </c>
      <c r="L611" s="85" t="s">
        <v>3688</v>
      </c>
      <c r="M611" t="s">
        <v>800</v>
      </c>
      <c r="N611" s="132" t="s">
        <v>671</v>
      </c>
    </row>
    <row r="612" spans="1:21">
      <c r="A612" s="77">
        <v>110</v>
      </c>
      <c r="B612" s="105" t="s">
        <v>111</v>
      </c>
      <c r="D612" s="97" t="e">
        <f>_xlfn.XLOOKUP(A612,[1]CPD_SOP_new!$A:$A,[1]CPD_SOP_new!#REF!,"not found",0 )</f>
        <v>#REF!</v>
      </c>
      <c r="E612" s="97" t="str">
        <f>_xlfn.XLOOKUP(A612,[1]CPD_SOP_new!$A:$A,[1]CPD_SOP_new!$K:$K,"not found",0 )</f>
        <v>3L</v>
      </c>
      <c r="F612" t="s">
        <v>27</v>
      </c>
      <c r="G612" t="s">
        <v>28</v>
      </c>
      <c r="H612" t="s">
        <v>27</v>
      </c>
      <c r="I612" t="s">
        <v>28</v>
      </c>
      <c r="J612" t="s">
        <v>113</v>
      </c>
      <c r="K612" s="85" t="str">
        <f t="shared" si="9"/>
        <v>/mnt/measurements/07_CANape/Mitsubishi/5K45/MMC4.1.2/Validation/2025_11_28/orderedByTargetType/adult/TC_110_Try3.MF4.xz,adult,RadarFC_Master,adult,CPD,dummy</v>
      </c>
      <c r="L612" s="85" t="s">
        <v>3689</v>
      </c>
      <c r="M612" t="s">
        <v>801</v>
      </c>
      <c r="N612" s="132" t="s">
        <v>671</v>
      </c>
    </row>
    <row r="613" spans="1:21">
      <c r="A613" s="38">
        <v>126</v>
      </c>
      <c r="B613" s="104" t="s">
        <v>359</v>
      </c>
      <c r="D613" s="97" t="e">
        <f>_xlfn.XLOOKUP(A613,[1]CPD_SOP_new!$A:$A,[1]CPD_SOP_new!#REF!,"not found",0 )</f>
        <v>#REF!</v>
      </c>
      <c r="E613" s="97" t="str">
        <f>_xlfn.XLOOKUP(A613,[1]CPD_SOP_new!$A:$A,[1]CPD_SOP_new!$K:$K,"not found",0 )</f>
        <v>2R+3L</v>
      </c>
      <c r="F613" t="s">
        <v>27</v>
      </c>
      <c r="G613" t="s">
        <v>27</v>
      </c>
      <c r="H613" t="s">
        <v>27</v>
      </c>
      <c r="I613" t="s">
        <v>28</v>
      </c>
      <c r="J613" t="s">
        <v>29</v>
      </c>
      <c r="K613" s="85" t="str">
        <f t="shared" si="9"/>
        <v>/mnt/measurements/07_CANape/Mitsubishi/5K45/MMC5.0.2/5K457MG57/CPD/TC126_Try1.MF4.xz,child,RadarFC_Master,child (ncap1,2),CPD,dummy</v>
      </c>
      <c r="L613" s="85" t="s">
        <v>3690</v>
      </c>
      <c r="M613" t="s">
        <v>803</v>
      </c>
      <c r="N613" s="132" t="s">
        <v>804</v>
      </c>
    </row>
    <row r="614" spans="1:21">
      <c r="A614" s="38">
        <v>126</v>
      </c>
      <c r="B614" s="104" t="s">
        <v>359</v>
      </c>
      <c r="D614" s="97" t="e">
        <f>_xlfn.XLOOKUP(A614,[1]CPD_SOP_new!$A:$A,[1]CPD_SOP_new!#REF!,"not found",0 )</f>
        <v>#REF!</v>
      </c>
      <c r="E614" s="97" t="str">
        <f>_xlfn.XLOOKUP(A614,[1]CPD_SOP_new!$A:$A,[1]CPD_SOP_new!$K:$K,"not found",0 )</f>
        <v>2R+3L</v>
      </c>
      <c r="F614" t="s">
        <v>27</v>
      </c>
      <c r="G614" t="s">
        <v>27</v>
      </c>
      <c r="H614" t="s">
        <v>27</v>
      </c>
      <c r="I614" t="s">
        <v>28</v>
      </c>
      <c r="J614" t="s">
        <v>29</v>
      </c>
      <c r="K614" s="85" t="str">
        <f t="shared" si="9"/>
        <v>/mnt/measurements/07_CANape/Mitsubishi/5K45/MMC5.0.2/5K457MG57/CPD/TC126_Try2.MF4.xz,child,RadarFC_Master,child (ncap1,2),CPD,dummy</v>
      </c>
      <c r="L614" s="85" t="s">
        <v>3691</v>
      </c>
      <c r="M614" t="s">
        <v>806</v>
      </c>
      <c r="N614" s="132" t="s">
        <v>804</v>
      </c>
    </row>
    <row r="615" spans="1:21">
      <c r="A615" s="38">
        <v>126</v>
      </c>
      <c r="B615" s="104" t="s">
        <v>359</v>
      </c>
      <c r="D615" s="97" t="e">
        <f>_xlfn.XLOOKUP(A615,[1]CPD_SOP_new!$A:$A,[1]CPD_SOP_new!#REF!,"not found",0 )</f>
        <v>#REF!</v>
      </c>
      <c r="E615" s="97" t="str">
        <f>_xlfn.XLOOKUP(A615,[1]CPD_SOP_new!$A:$A,[1]CPD_SOP_new!$K:$K,"not found",0 )</f>
        <v>2R+3L</v>
      </c>
      <c r="F615" t="s">
        <v>27</v>
      </c>
      <c r="G615" t="s">
        <v>27</v>
      </c>
      <c r="H615" t="s">
        <v>27</v>
      </c>
      <c r="I615" t="s">
        <v>28</v>
      </c>
      <c r="J615" t="s">
        <v>29</v>
      </c>
      <c r="K615" s="85" t="str">
        <f t="shared" si="9"/>
        <v>/mnt/measurements/07_CANape/Mitsubishi/5K45/MMC5.0.2/5K457MG57/CPD/TC126_Try3.MF4.xz,child,RadarFC_Master,child (ncap1,2),CPD,dummy</v>
      </c>
      <c r="L615" s="85" t="s">
        <v>3692</v>
      </c>
      <c r="M615" t="s">
        <v>807</v>
      </c>
      <c r="N615" s="132" t="s">
        <v>804</v>
      </c>
    </row>
    <row r="616" spans="1:21">
      <c r="A616" s="38">
        <v>129</v>
      </c>
      <c r="B616" s="104" t="s">
        <v>359</v>
      </c>
      <c r="D616" s="97" t="e">
        <f>_xlfn.XLOOKUP(A616,[1]CPD_SOP_new!$A:$A,[1]CPD_SOP_new!#REF!,"not found",0 )</f>
        <v>#REF!</v>
      </c>
      <c r="E616" s="97" t="str">
        <f>_xlfn.XLOOKUP(A616,[1]CPD_SOP_new!$A:$A,[1]CPD_SOP_new!$K:$K,"not found",0 )</f>
        <v>1P+2R</v>
      </c>
      <c r="F616" t="s">
        <v>28</v>
      </c>
      <c r="G616" t="s">
        <v>27</v>
      </c>
      <c r="H616" t="s">
        <v>27</v>
      </c>
      <c r="I616" t="s">
        <v>28</v>
      </c>
      <c r="J616" t="s">
        <v>29</v>
      </c>
      <c r="K616" s="85" t="str">
        <f t="shared" si="9"/>
        <v>/mnt/measurements/07_CANape/Mitsubishi/5K45/MMC5.0.0_RC3/Real_Child_Tests/CSR_XCP_Signals_Recorder_2025-12-10_16-15-07_TC129_3yoPS_6YORR_CPD.MF4.xz,child,RadarFC_Master,child (ncap1,2),CPD,realchild</v>
      </c>
      <c r="L616" s="85" t="s">
        <v>3693</v>
      </c>
      <c r="M616" t="s">
        <v>809</v>
      </c>
      <c r="N616" s="132" t="s">
        <v>217</v>
      </c>
    </row>
    <row r="617" spans="1:21">
      <c r="A617" s="38">
        <v>129</v>
      </c>
      <c r="B617" s="104" t="s">
        <v>359</v>
      </c>
      <c r="D617" s="97" t="e">
        <f>_xlfn.XLOOKUP(A617,[1]CPD_SOP_new!$A:$A,[1]CPD_SOP_new!#REF!,"not found",0 )</f>
        <v>#REF!</v>
      </c>
      <c r="E617" s="97" t="str">
        <f>_xlfn.XLOOKUP(A617,[1]CPD_SOP_new!$A:$A,[1]CPD_SOP_new!$K:$K,"not found",0 )</f>
        <v>1P+2R</v>
      </c>
      <c r="F617" t="s">
        <v>28</v>
      </c>
      <c r="G617" t="s">
        <v>27</v>
      </c>
      <c r="H617" t="s">
        <v>27</v>
      </c>
      <c r="I617" t="s">
        <v>28</v>
      </c>
      <c r="J617" t="s">
        <v>29</v>
      </c>
      <c r="K617" s="85" t="str">
        <f t="shared" si="9"/>
        <v>/mnt/measurements/07_CANape/Mitsubishi/5K45/MMC5.0.0_RC3/Real_Child_Tests/CSR_XCP_Signals_Recorder_2025-12-10_16-20-17_TC129_3yoPS_6YORR_CPD.MF4.xz,child,RadarFC_Master,child (ncap1,2),CPD,realchild</v>
      </c>
      <c r="L617" s="85" t="s">
        <v>3694</v>
      </c>
      <c r="M617" t="s">
        <v>811</v>
      </c>
      <c r="N617" s="132" t="s">
        <v>217</v>
      </c>
    </row>
    <row r="618" spans="1:21">
      <c r="A618" s="38">
        <v>129</v>
      </c>
      <c r="B618" s="104" t="s">
        <v>359</v>
      </c>
      <c r="D618" s="97" t="e">
        <f>_xlfn.XLOOKUP(A618,[1]CPD_SOP_new!$A:$A,[1]CPD_SOP_new!#REF!,"not found",0 )</f>
        <v>#REF!</v>
      </c>
      <c r="E618" s="97" t="str">
        <f>_xlfn.XLOOKUP(A618,[1]CPD_SOP_new!$A:$A,[1]CPD_SOP_new!$K:$K,"not found",0 )</f>
        <v>1P+2R</v>
      </c>
      <c r="F618" t="s">
        <v>28</v>
      </c>
      <c r="G618" t="s">
        <v>27</v>
      </c>
      <c r="H618" t="s">
        <v>27</v>
      </c>
      <c r="I618" t="s">
        <v>28</v>
      </c>
      <c r="J618" t="s">
        <v>29</v>
      </c>
      <c r="K618" s="85" t="str">
        <f t="shared" si="9"/>
        <v>/mnt/measurements/07_CANape/Mitsubishi/5K45/MMC5.0.0_RC3/Real_Child_Tests/CSR_XCP_Signals_Recorder_2025-12-10_16-24-33_TC129_3yoPS_6YORR_CPD.MF4.xz,child,RadarFC_Master,child (ncap1,2),CPD,realchild</v>
      </c>
      <c r="L618" s="85" t="s">
        <v>3695</v>
      </c>
      <c r="M618" t="s">
        <v>812</v>
      </c>
      <c r="N618" s="132" t="s">
        <v>217</v>
      </c>
    </row>
    <row r="619" spans="1:21">
      <c r="A619" s="38">
        <v>129</v>
      </c>
      <c r="B619" s="104" t="s">
        <v>359</v>
      </c>
      <c r="D619" s="97" t="e">
        <f>_xlfn.XLOOKUP(A619,[1]CPD_SOP_new!$A:$A,[1]CPD_SOP_new!#REF!,"not found",0 )</f>
        <v>#REF!</v>
      </c>
      <c r="E619" s="97" t="str">
        <f>_xlfn.XLOOKUP(A619,[1]CPD_SOP_new!$A:$A,[1]CPD_SOP_new!$K:$K,"not found",0 )</f>
        <v>1P+2R</v>
      </c>
      <c r="F619" t="s">
        <v>28</v>
      </c>
      <c r="G619" t="s">
        <v>27</v>
      </c>
      <c r="H619" t="s">
        <v>27</v>
      </c>
      <c r="I619" t="s">
        <v>28</v>
      </c>
      <c r="J619" t="s">
        <v>29</v>
      </c>
      <c r="K619" s="85" t="str">
        <f t="shared" si="9"/>
        <v>/mnt/measurements/07_CANape/Mitsubishi/5K45/MMC5.0.0_RC3/Real_Child_Tests/CSR_XCP_Signals_Recorder_2025-12-10_16-32-14_TC129_3yoPS_6YORR_CPD.MF4.xz,child,RadarFC_Master,child (ncap1,2),CPD,realchild</v>
      </c>
      <c r="L619" s="85" t="s">
        <v>3696</v>
      </c>
      <c r="M619" t="s">
        <v>813</v>
      </c>
      <c r="N619" s="132" t="s">
        <v>217</v>
      </c>
    </row>
    <row r="620" spans="1:21" s="130" customFormat="1" hidden="1">
      <c r="A620" s="78">
        <v>150</v>
      </c>
      <c r="B620" s="93" t="s">
        <v>940</v>
      </c>
      <c r="D620" s="97" t="e">
        <f>_xlfn.XLOOKUP(A620,[1]CPD_SOP_new!$A:$A,[1]CPD_SOP_new!#REF!,"not found",0 )</f>
        <v>#REF!</v>
      </c>
      <c r="E620" s="97" t="str">
        <f>_xlfn.XLOOKUP(A620,[1]CPD_SOP_new!$A:$A,[1]CPD_SOP_new!$K:$K,"not found",0 )</f>
        <v>2C</v>
      </c>
      <c r="F620" s="130" t="s">
        <v>27</v>
      </c>
      <c r="G620" s="130" t="s">
        <v>27</v>
      </c>
      <c r="H620" s="130" t="s">
        <v>27</v>
      </c>
      <c r="I620" s="130" t="s">
        <v>27</v>
      </c>
      <c r="J620" s="130" t="s">
        <v>237</v>
      </c>
      <c r="K620" s="85" t="str">
        <f t="shared" si="9"/>
        <v>/mnt/measurements/07_CANape/Mitsubishi/5K45/5.3.0_RC6/Customer_Testing/CSR_XCP_Signals_Recorder_2026-01-29_15-42-19_TC150_NCAP_3.MF4.xz,NCAP3 long,RadarFC_Master,NCAP3 long,CPD,dummy</v>
      </c>
      <c r="L620" s="85" t="s">
        <v>3697</v>
      </c>
      <c r="M620" s="130" t="s">
        <v>1042</v>
      </c>
      <c r="N620" s="130" t="s">
        <v>353</v>
      </c>
      <c r="O620" s="130" t="s">
        <v>828</v>
      </c>
      <c r="P620" s="130" t="s">
        <v>828</v>
      </c>
      <c r="Q620" s="130">
        <v>0</v>
      </c>
      <c r="T620" s="130">
        <v>0</v>
      </c>
      <c r="U620" s="130">
        <v>0</v>
      </c>
    </row>
    <row r="621" spans="1:21" s="130" customFormat="1" hidden="1">
      <c r="A621" s="78">
        <v>150</v>
      </c>
      <c r="B621" s="93" t="s">
        <v>940</v>
      </c>
      <c r="D621" s="97" t="e">
        <f>_xlfn.XLOOKUP(A621,[1]CPD_SOP_new!$A:$A,[1]CPD_SOP_new!#REF!,"not found",0 )</f>
        <v>#REF!</v>
      </c>
      <c r="E621" s="97" t="str">
        <f>_xlfn.XLOOKUP(A621,[1]CPD_SOP_new!$A:$A,[1]CPD_SOP_new!$K:$K,"not found",0 )</f>
        <v>2C</v>
      </c>
      <c r="F621" s="130" t="s">
        <v>27</v>
      </c>
      <c r="G621" s="130" t="s">
        <v>27</v>
      </c>
      <c r="H621" s="130" t="s">
        <v>27</v>
      </c>
      <c r="I621" s="130" t="s">
        <v>27</v>
      </c>
      <c r="J621" s="130" t="s">
        <v>237</v>
      </c>
      <c r="K621" s="85" t="str">
        <f t="shared" si="9"/>
        <v>/mnt/measurements/07_CANape/Mitsubishi/5K45/5.3.0_RC6/Customer_Testing/CSR_XCP_Signals_Recorder_2026-01-29_15-44-29_TC150_NCAP_3.MF4.xz,NCAP3 long,RadarFC_Master,NCAP3 long,CPD,dummy</v>
      </c>
      <c r="L621" s="85" t="s">
        <v>3698</v>
      </c>
      <c r="M621" s="130" t="s">
        <v>1049</v>
      </c>
      <c r="N621" s="130" t="s">
        <v>353</v>
      </c>
      <c r="O621" s="130" t="s">
        <v>828</v>
      </c>
      <c r="P621" s="130" t="s">
        <v>828</v>
      </c>
      <c r="Q621" s="130">
        <v>0</v>
      </c>
      <c r="T621" s="130">
        <v>0</v>
      </c>
      <c r="U621" s="130">
        <v>0</v>
      </c>
    </row>
    <row r="622" spans="1:21" s="130" customFormat="1" hidden="1">
      <c r="A622" s="78">
        <v>150</v>
      </c>
      <c r="B622" s="93" t="s">
        <v>940</v>
      </c>
      <c r="D622" s="97" t="e">
        <f>_xlfn.XLOOKUP(A622,[1]CPD_SOP_new!$A:$A,[1]CPD_SOP_new!#REF!,"not found",0 )</f>
        <v>#REF!</v>
      </c>
      <c r="E622" s="97" t="str">
        <f>_xlfn.XLOOKUP(A622,[1]CPD_SOP_new!$A:$A,[1]CPD_SOP_new!$K:$K,"not found",0 )</f>
        <v>2C</v>
      </c>
      <c r="F622" s="130" t="s">
        <v>27</v>
      </c>
      <c r="G622" s="130" t="s">
        <v>27</v>
      </c>
      <c r="H622" s="130" t="s">
        <v>27</v>
      </c>
      <c r="I622" s="130" t="s">
        <v>27</v>
      </c>
      <c r="J622" s="130" t="s">
        <v>237</v>
      </c>
      <c r="K622" s="85" t="str">
        <f t="shared" si="9"/>
        <v>/mnt/measurements/07_CANape/Mitsubishi/5K45/5.3.0_RC6/Customer_Testing/CSR_XCP_Signals_Recorder_2026-01-29_15-46-04_TC150_NCAP_3.MF4.xz,NCAP3 long,RadarFC_Master,NCAP3 long,CPD,dummy</v>
      </c>
      <c r="L622" s="85" t="s">
        <v>3699</v>
      </c>
      <c r="M622" s="130" t="s">
        <v>1050</v>
      </c>
      <c r="N622" s="130" t="s">
        <v>353</v>
      </c>
      <c r="O622" s="130" t="s">
        <v>828</v>
      </c>
      <c r="P622" s="130" t="s">
        <v>828</v>
      </c>
      <c r="Q622" s="130">
        <v>0</v>
      </c>
      <c r="T622" s="130">
        <v>0</v>
      </c>
      <c r="U622" s="130">
        <v>0</v>
      </c>
    </row>
    <row r="623" spans="1:21" s="130" customFormat="1" hidden="1">
      <c r="A623" s="78">
        <v>151</v>
      </c>
      <c r="B623" s="93" t="s">
        <v>940</v>
      </c>
      <c r="D623" s="97" t="e">
        <f>_xlfn.XLOOKUP(A623,[1]CPD_SOP_new!$A:$A,[1]CPD_SOP_new!#REF!,"not found",0 )</f>
        <v>#REF!</v>
      </c>
      <c r="E623" s="97" t="str">
        <f>_xlfn.XLOOKUP(A623,[1]CPD_SOP_new!$A:$A,[1]CPD_SOP_new!$K:$K,"not found",0 )</f>
        <v>3R</v>
      </c>
      <c r="F623" s="130" t="s">
        <v>27</v>
      </c>
      <c r="G623" s="130" t="s">
        <v>27</v>
      </c>
      <c r="H623" s="130" t="s">
        <v>27</v>
      </c>
      <c r="I623" s="130" t="s">
        <v>27</v>
      </c>
      <c r="J623" s="130" t="s">
        <v>237</v>
      </c>
      <c r="K623" s="85" t="str">
        <f t="shared" si="9"/>
        <v>/mnt/measurements/07_CANape/Mitsubishi/5K45/MMC5.0.0_RC3/CPD_Test_Cases/CSR_XCP_Signals_Recorder_2025-12-11_15-02-06_TC151_Liquid3R_CPD.MF4.xz,NCAP3 long,RadarFC_Master,NCAP3 long,CPD,dummy</v>
      </c>
      <c r="L623" s="85" t="s">
        <v>3700</v>
      </c>
      <c r="M623" s="130" t="s">
        <v>974</v>
      </c>
      <c r="N623" s="130" t="s">
        <v>975</v>
      </c>
    </row>
    <row r="624" spans="1:21" s="130" customFormat="1" hidden="1">
      <c r="A624" s="78">
        <v>151</v>
      </c>
      <c r="B624" s="93" t="s">
        <v>940</v>
      </c>
      <c r="D624" s="97" t="e">
        <f>_xlfn.XLOOKUP(A624,[1]CPD_SOP_new!$A:$A,[1]CPD_SOP_new!#REF!,"not found",0 )</f>
        <v>#REF!</v>
      </c>
      <c r="E624" s="97" t="str">
        <f>_xlfn.XLOOKUP(A624,[1]CPD_SOP_new!$A:$A,[1]CPD_SOP_new!$K:$K,"not found",0 )</f>
        <v>3R</v>
      </c>
      <c r="F624" s="130" t="s">
        <v>27</v>
      </c>
      <c r="G624" s="130" t="s">
        <v>27</v>
      </c>
      <c r="H624" s="130" t="s">
        <v>27</v>
      </c>
      <c r="I624" s="130" t="s">
        <v>27</v>
      </c>
      <c r="J624" s="130" t="s">
        <v>237</v>
      </c>
      <c r="K624" s="85" t="str">
        <f t="shared" si="9"/>
        <v>/mnt/measurements/07_CANape/Mitsubishi/5K45/MMC5.0.0_RC3/CPD_Test_Cases/CSR_XCP_Signals_Recorder_2025-12-11_15-03-44_TC151_Liquid3R_CPD.MF4.xz,NCAP3 long,RadarFC_Master,NCAP3 long,CPD,dummy</v>
      </c>
      <c r="L624" s="85" t="s">
        <v>3701</v>
      </c>
      <c r="M624" s="130" t="s">
        <v>976</v>
      </c>
      <c r="N624" s="130" t="s">
        <v>975</v>
      </c>
    </row>
    <row r="625" spans="1:14" s="130" customFormat="1" hidden="1">
      <c r="A625" s="78">
        <v>151</v>
      </c>
      <c r="B625" s="93" t="s">
        <v>940</v>
      </c>
      <c r="D625" s="97" t="e">
        <f>_xlfn.XLOOKUP(A625,[1]CPD_SOP_new!$A:$A,[1]CPD_SOP_new!#REF!,"not found",0 )</f>
        <v>#REF!</v>
      </c>
      <c r="E625" s="97" t="str">
        <f>_xlfn.XLOOKUP(A625,[1]CPD_SOP_new!$A:$A,[1]CPD_SOP_new!$K:$K,"not found",0 )</f>
        <v>3R</v>
      </c>
      <c r="F625" s="130" t="s">
        <v>27</v>
      </c>
      <c r="G625" s="130" t="s">
        <v>27</v>
      </c>
      <c r="H625" s="130" t="s">
        <v>27</v>
      </c>
      <c r="I625" s="130" t="s">
        <v>27</v>
      </c>
      <c r="J625" s="130" t="s">
        <v>237</v>
      </c>
      <c r="K625" s="85" t="str">
        <f t="shared" si="9"/>
        <v>/mnt/measurements/07_CANape/Mitsubishi/5K45/MMC5.0.0_RC3/CPD_Test_Cases/CSR_XCP_Signals_Recorder_2025-12-11_15-05-26_TC151_Liquid3R_CPD.MF4.xz,NCAP3 long,RadarFC_Master,NCAP3 long,CPD,dummy</v>
      </c>
      <c r="L625" s="85" t="s">
        <v>3702</v>
      </c>
      <c r="M625" s="130" t="s">
        <v>977</v>
      </c>
      <c r="N625" s="130" t="s">
        <v>975</v>
      </c>
    </row>
    <row r="626" spans="1:14" s="130" customFormat="1" hidden="1">
      <c r="A626" s="78">
        <v>152</v>
      </c>
      <c r="B626" s="93" t="s">
        <v>940</v>
      </c>
      <c r="D626" s="97" t="e">
        <f>_xlfn.XLOOKUP(A626,[1]CPD_SOP_new!$A:$A,[1]CPD_SOP_new!#REF!,"not found",0 )</f>
        <v>#REF!</v>
      </c>
      <c r="E626" s="97" t="str">
        <f>_xlfn.XLOOKUP(A626,[1]CPD_SOP_new!$A:$A,[1]CPD_SOP_new!$K:$K,"not found",0 )</f>
        <v>3L</v>
      </c>
      <c r="F626" s="130" t="s">
        <v>27</v>
      </c>
      <c r="G626" s="130" t="s">
        <v>27</v>
      </c>
      <c r="H626" s="130" t="s">
        <v>27</v>
      </c>
      <c r="I626" s="130" t="s">
        <v>27</v>
      </c>
      <c r="J626" s="130" t="s">
        <v>237</v>
      </c>
      <c r="K626" s="85" t="str">
        <f t="shared" si="9"/>
        <v>/mnt/measurements/07_CANape/Mitsubishi/5K45/MMC5.0.0_RC3/CPD_Test_Cases/CSR_XCP_Signals_Recorder_2025-12-11_15-08-35_TC152_Liquid3L_CPD.MF4.xz,NCAP3 long,RadarFC_Master,NCAP3 long,CPD,dummy</v>
      </c>
      <c r="L626" s="85" t="s">
        <v>3703</v>
      </c>
      <c r="M626" s="130" t="s">
        <v>986</v>
      </c>
      <c r="N626" s="130" t="s">
        <v>975</v>
      </c>
    </row>
    <row r="627" spans="1:14" s="130" customFormat="1" hidden="1">
      <c r="A627" s="78">
        <v>152</v>
      </c>
      <c r="B627" s="93" t="s">
        <v>940</v>
      </c>
      <c r="D627" s="97" t="e">
        <f>_xlfn.XLOOKUP(A627,[1]CPD_SOP_new!$A:$A,[1]CPD_SOP_new!#REF!,"not found",0 )</f>
        <v>#REF!</v>
      </c>
      <c r="E627" s="97" t="str">
        <f>_xlfn.XLOOKUP(A627,[1]CPD_SOP_new!$A:$A,[1]CPD_SOP_new!$K:$K,"not found",0 )</f>
        <v>3L</v>
      </c>
      <c r="F627" s="130" t="s">
        <v>27</v>
      </c>
      <c r="G627" s="130" t="s">
        <v>27</v>
      </c>
      <c r="H627" s="130" t="s">
        <v>27</v>
      </c>
      <c r="I627" s="130" t="s">
        <v>27</v>
      </c>
      <c r="J627" s="130" t="s">
        <v>237</v>
      </c>
      <c r="K627" s="85" t="str">
        <f t="shared" si="9"/>
        <v>/mnt/measurements/07_CANape/Mitsubishi/5K45/MMC5.0.0_RC3/CPD_Test_Cases/CSR_XCP_Signals_Recorder_2025-12-11_15-10-38_TC152_Liquid3L_CPD.MF4.xz,NCAP3 long,RadarFC_Master,NCAP3 long,CPD,dummy</v>
      </c>
      <c r="L627" s="85" t="s">
        <v>3704</v>
      </c>
      <c r="M627" s="130" t="s">
        <v>987</v>
      </c>
      <c r="N627" s="130" t="s">
        <v>975</v>
      </c>
    </row>
    <row r="628" spans="1:14" s="130" customFormat="1" hidden="1">
      <c r="A628" s="78">
        <v>152</v>
      </c>
      <c r="B628" s="93" t="s">
        <v>940</v>
      </c>
      <c r="D628" s="97" t="e">
        <f>_xlfn.XLOOKUP(A628,[1]CPD_SOP_new!$A:$A,[1]CPD_SOP_new!#REF!,"not found",0 )</f>
        <v>#REF!</v>
      </c>
      <c r="E628" s="97" t="str">
        <f>_xlfn.XLOOKUP(A628,[1]CPD_SOP_new!$A:$A,[1]CPD_SOP_new!$K:$K,"not found",0 )</f>
        <v>3L</v>
      </c>
      <c r="F628" s="130" t="s">
        <v>27</v>
      </c>
      <c r="G628" s="130" t="s">
        <v>27</v>
      </c>
      <c r="H628" s="130" t="s">
        <v>27</v>
      </c>
      <c r="I628" s="130" t="s">
        <v>27</v>
      </c>
      <c r="J628" s="130" t="s">
        <v>237</v>
      </c>
      <c r="K628" s="85" t="str">
        <f t="shared" si="9"/>
        <v>/mnt/measurements/07_CANape/Mitsubishi/5K45/MMC5.0.0_RC3/CPD_Test_Cases/CSR_XCP_Signals_Recorder_2025-12-11_15-12-46_TC152_Liquid3L_CPD.MF4.xz,NCAP3 long,RadarFC_Master,NCAP3 long,CPD,dummy</v>
      </c>
      <c r="L628" s="85" t="s">
        <v>3705</v>
      </c>
      <c r="M628" s="130" t="s">
        <v>988</v>
      </c>
      <c r="N628" s="130" t="s">
        <v>975</v>
      </c>
    </row>
    <row r="629" spans="1:14">
      <c r="A629" s="38">
        <v>129</v>
      </c>
      <c r="B629" s="104" t="s">
        <v>359</v>
      </c>
      <c r="D629" s="97" t="e">
        <f>_xlfn.XLOOKUP(A629,[1]CPD_SOP_new!$A:$A,[1]CPD_SOP_new!#REF!,"not found",0 )</f>
        <v>#REF!</v>
      </c>
      <c r="E629" s="97" t="str">
        <f>_xlfn.XLOOKUP(A629,[1]CPD_SOP_new!$A:$A,[1]CPD_SOP_new!$K:$K,"not found",0 )</f>
        <v>1P+2R</v>
      </c>
      <c r="F629" t="s">
        <v>28</v>
      </c>
      <c r="G629" t="s">
        <v>27</v>
      </c>
      <c r="H629" t="s">
        <v>27</v>
      </c>
      <c r="I629" t="s">
        <v>28</v>
      </c>
      <c r="J629" t="s">
        <v>29</v>
      </c>
      <c r="K629" s="85" t="str">
        <f t="shared" si="9"/>
        <v>/mnt/measurements/07_CANape/Mitsubishi/5K45/MMC5.0.0_RC3/Real_Child_Tests/CSR_XCP_Signals_Recorder_2025-12-10_16-35-59_TC129_3yoPS_6YORR_CPD.MF4.xz,child,RadarFC_Master,child (ncap1,2),CPD,realchild</v>
      </c>
      <c r="L629" s="85" t="s">
        <v>3706</v>
      </c>
      <c r="M629" t="s">
        <v>814</v>
      </c>
      <c r="N629" s="132" t="s">
        <v>217</v>
      </c>
    </row>
    <row r="630" spans="1:14">
      <c r="A630" s="38">
        <v>130</v>
      </c>
      <c r="B630" s="104" t="s">
        <v>359</v>
      </c>
      <c r="D630" s="97" t="e">
        <f>_xlfn.XLOOKUP(A630,[1]CPD_SOP_new!$A:$A,[1]CPD_SOP_new!#REF!,"not found",0 )</f>
        <v>#REF!</v>
      </c>
      <c r="E630" s="97" t="str">
        <f>_xlfn.XLOOKUP(A630,[1]CPD_SOP_new!$A:$A,[1]CPD_SOP_new!$K:$K,"not found",0 )</f>
        <v>2R+3R</v>
      </c>
      <c r="F630" t="s">
        <v>27</v>
      </c>
      <c r="G630" t="s">
        <v>27</v>
      </c>
      <c r="H630" t="s">
        <v>27</v>
      </c>
      <c r="I630" t="s">
        <v>28</v>
      </c>
      <c r="J630" t="s">
        <v>29</v>
      </c>
      <c r="K630" s="85" t="str">
        <f t="shared" si="9"/>
        <v>/mnt/measurements/07_CANape/Mitsubishi/5K45/MMC5.1.0/5K457EG11/CSR_XCP_Signals_Recorder_2025-12-19_10-23-25_TC130_CPD.MF4.xz,child,RadarFC_Master,child (ncap1,2),CPD,dummy</v>
      </c>
      <c r="L630" s="85" t="s">
        <v>3707</v>
      </c>
      <c r="M630" t="s">
        <v>815</v>
      </c>
      <c r="N630" s="1" t="s">
        <v>202</v>
      </c>
    </row>
    <row r="631" spans="1:14">
      <c r="A631" s="38">
        <v>130</v>
      </c>
      <c r="B631" s="104" t="s">
        <v>359</v>
      </c>
      <c r="D631" s="97" t="e">
        <f>_xlfn.XLOOKUP(A631,[1]CPD_SOP_new!$A:$A,[1]CPD_SOP_new!#REF!,"not found",0 )</f>
        <v>#REF!</v>
      </c>
      <c r="E631" s="97" t="str">
        <f>_xlfn.XLOOKUP(A631,[1]CPD_SOP_new!$A:$A,[1]CPD_SOP_new!$K:$K,"not found",0 )</f>
        <v>2R+3R</v>
      </c>
      <c r="F631" t="s">
        <v>27</v>
      </c>
      <c r="G631" t="s">
        <v>27</v>
      </c>
      <c r="H631" t="s">
        <v>27</v>
      </c>
      <c r="I631" t="s">
        <v>28</v>
      </c>
      <c r="J631" t="s">
        <v>29</v>
      </c>
      <c r="K631" s="85" t="str">
        <f t="shared" si="9"/>
        <v>/mnt/measurements/07_CANape/Mitsubishi/5K45/MMC5.1.0/5K457EG11/CSR_XCP_Signals_Recorder_2025-12-19_10-26-04_TC130_CPD.MF4.xz,child,RadarFC_Master,child (ncap1,2),CPD,dummy</v>
      </c>
      <c r="L631" s="85" t="s">
        <v>3708</v>
      </c>
      <c r="M631" t="s">
        <v>817</v>
      </c>
      <c r="N631" s="1" t="s">
        <v>202</v>
      </c>
    </row>
    <row r="632" spans="1:14">
      <c r="A632" s="38">
        <v>130</v>
      </c>
      <c r="B632" s="104" t="s">
        <v>359</v>
      </c>
      <c r="D632" s="97" t="e">
        <f>_xlfn.XLOOKUP(A632,[1]CPD_SOP_new!$A:$A,[1]CPD_SOP_new!#REF!,"not found",0 )</f>
        <v>#REF!</v>
      </c>
      <c r="E632" s="97" t="str">
        <f>_xlfn.XLOOKUP(A632,[1]CPD_SOP_new!$A:$A,[1]CPD_SOP_new!$K:$K,"not found",0 )</f>
        <v>2R+3R</v>
      </c>
      <c r="F632" t="s">
        <v>27</v>
      </c>
      <c r="G632" t="s">
        <v>27</v>
      </c>
      <c r="H632" t="s">
        <v>27</v>
      </c>
      <c r="I632" t="s">
        <v>28</v>
      </c>
      <c r="J632" t="s">
        <v>29</v>
      </c>
      <c r="K632" s="85" t="str">
        <f t="shared" si="9"/>
        <v>/mnt/measurements/07_CANape/Mitsubishi/5K45/MMC5.1.0/5K457EG11/CSR_XCP_Signals_Recorder_2025-12-19_10-28-39_TC130_CPD.MF4.xz,child,RadarFC_Master,child (ncap1,2),CPD,dummy</v>
      </c>
      <c r="L632" s="85" t="s">
        <v>3709</v>
      </c>
      <c r="M632" t="s">
        <v>818</v>
      </c>
      <c r="N632" s="1" t="s">
        <v>202</v>
      </c>
    </row>
    <row r="633" spans="1:14">
      <c r="A633" s="38">
        <v>131</v>
      </c>
      <c r="B633" s="104" t="s">
        <v>359</v>
      </c>
      <c r="D633" s="97" t="e">
        <f>_xlfn.XLOOKUP(A633,[1]CPD_SOP_new!$A:$A,[1]CPD_SOP_new!#REF!,"not found",0 )</f>
        <v>#REF!</v>
      </c>
      <c r="E633" s="97" t="str">
        <f>_xlfn.XLOOKUP(A633,[1]CPD_SOP_new!$A:$A,[1]CPD_SOP_new!$K:$K,"not found",0 )</f>
        <v>1P+2L</v>
      </c>
      <c r="F633" t="s">
        <v>27</v>
      </c>
      <c r="G633" t="s">
        <v>27</v>
      </c>
      <c r="H633" t="s">
        <v>27</v>
      </c>
      <c r="I633" t="s">
        <v>28</v>
      </c>
      <c r="J633" t="s">
        <v>29</v>
      </c>
      <c r="K633" s="85" t="str">
        <f t="shared" si="9"/>
        <v>/mnt/measurements/07_CANape/Mitsubishi/5K45/MMC5.1.0/5K457EG11/CSR_XCP_Signals_Recorder_2025-12-19_10-56-35_TC131_CPD.MF4.xz,child,RadarFC_Master,child (ncap1,2),CPD,dummy</v>
      </c>
      <c r="L633" s="85" t="s">
        <v>3710</v>
      </c>
      <c r="M633" t="s">
        <v>819</v>
      </c>
      <c r="N633" s="1" t="s">
        <v>202</v>
      </c>
    </row>
    <row r="634" spans="1:14">
      <c r="A634" s="38">
        <v>131</v>
      </c>
      <c r="B634" s="104" t="s">
        <v>359</v>
      </c>
      <c r="D634" s="97" t="e">
        <f>_xlfn.XLOOKUP(A634,[1]CPD_SOP_new!$A:$A,[1]CPD_SOP_new!#REF!,"not found",0 )</f>
        <v>#REF!</v>
      </c>
      <c r="E634" s="97" t="str">
        <f>_xlfn.XLOOKUP(A634,[1]CPD_SOP_new!$A:$A,[1]CPD_SOP_new!$K:$K,"not found",0 )</f>
        <v>1P+2L</v>
      </c>
      <c r="F634" t="s">
        <v>27</v>
      </c>
      <c r="G634" t="s">
        <v>27</v>
      </c>
      <c r="H634" t="s">
        <v>27</v>
      </c>
      <c r="I634" t="s">
        <v>28</v>
      </c>
      <c r="J634" t="s">
        <v>29</v>
      </c>
      <c r="K634" s="85" t="str">
        <f t="shared" si="9"/>
        <v>/mnt/measurements/07_CANape/Mitsubishi/5K45/MMC5.1.0/5K457EG11/CSR_XCP_Signals_Recorder_2025-12-19_10-57-43_TC131_CPD.MF4.xz,child,RadarFC_Master,child (ncap1,2),CPD,dummy</v>
      </c>
      <c r="L634" s="85" t="s">
        <v>3711</v>
      </c>
      <c r="M634" t="s">
        <v>821</v>
      </c>
      <c r="N634" s="1" t="s">
        <v>202</v>
      </c>
    </row>
    <row r="635" spans="1:14">
      <c r="A635" s="38">
        <v>131</v>
      </c>
      <c r="B635" s="104" t="s">
        <v>359</v>
      </c>
      <c r="D635" s="97" t="e">
        <f>_xlfn.XLOOKUP(A635,[1]CPD_SOP_new!$A:$A,[1]CPD_SOP_new!#REF!,"not found",0 )</f>
        <v>#REF!</v>
      </c>
      <c r="E635" s="97" t="str">
        <f>_xlfn.XLOOKUP(A635,[1]CPD_SOP_new!$A:$A,[1]CPD_SOP_new!$K:$K,"not found",0 )</f>
        <v>1P+2L</v>
      </c>
      <c r="F635" t="s">
        <v>27</v>
      </c>
      <c r="G635" t="s">
        <v>27</v>
      </c>
      <c r="H635" t="s">
        <v>27</v>
      </c>
      <c r="I635" t="s">
        <v>28</v>
      </c>
      <c r="J635" t="s">
        <v>29</v>
      </c>
      <c r="K635" s="85" t="str">
        <f t="shared" si="9"/>
        <v>/mnt/measurements/07_CANape/Mitsubishi/5K45/MMC5.1.0/5K457EG11/CSR_XCP_Signals_Recorder_2025-12-19_11-00-14_TC131_CPD.MF4.xz,child,RadarFC_Master,child (ncap1,2),CPD,dummy</v>
      </c>
      <c r="L635" s="85" t="s">
        <v>3712</v>
      </c>
      <c r="M635" t="s">
        <v>822</v>
      </c>
      <c r="N635" s="1" t="s">
        <v>202</v>
      </c>
    </row>
    <row r="636" spans="1:14">
      <c r="A636" s="59">
        <v>132</v>
      </c>
      <c r="B636" s="105" t="s">
        <v>234</v>
      </c>
      <c r="D636" s="97">
        <v>1</v>
      </c>
      <c r="E636" s="97" t="s">
        <v>827</v>
      </c>
      <c r="F636" t="s">
        <v>27</v>
      </c>
      <c r="G636" t="s">
        <v>27</v>
      </c>
      <c r="H636" t="s">
        <v>27</v>
      </c>
      <c r="I636" t="s">
        <v>28</v>
      </c>
      <c r="J636" s="85" t="s">
        <v>828</v>
      </c>
      <c r="K636" s="85" t="str">
        <f t="shared" si="9"/>
        <v>/mnt/measurements/07_CANape/Mitsubishi/5K45/5.3.0_RC6.2/5K457EG11/CSRGIMMC-2250/CSR_XCP_Signals_Recorder_2026-02-05_15-19-14_TC132_MovingToy1L_BagF1R_CPD.MF4.xz,empty,RadarFC_Master,empty,CPD,dummy</v>
      </c>
      <c r="L636" s="85" t="s">
        <v>3713</v>
      </c>
      <c r="M636" t="s">
        <v>830</v>
      </c>
      <c r="N636" t="s">
        <v>831</v>
      </c>
    </row>
    <row r="637" spans="1:14">
      <c r="A637" s="59">
        <v>132</v>
      </c>
      <c r="B637" s="105" t="s">
        <v>234</v>
      </c>
      <c r="D637" s="97">
        <v>1</v>
      </c>
      <c r="E637" s="97" t="s">
        <v>827</v>
      </c>
      <c r="F637" t="s">
        <v>27</v>
      </c>
      <c r="G637" t="s">
        <v>27</v>
      </c>
      <c r="H637" t="s">
        <v>27</v>
      </c>
      <c r="I637" t="s">
        <v>28</v>
      </c>
      <c r="J637" s="85" t="s">
        <v>828</v>
      </c>
      <c r="K637" s="85" t="str">
        <f t="shared" si="9"/>
        <v>/mnt/measurements/07_CANape/Mitsubishi/5K45/5.3.0_RC6.2/5K457EG11/CSRGIMMC-2250/CSR_XCP_Signals_Recorder_2026-02-05_15-20-28_TC132_MovingToy1L_BagF1R_CPD.MF4.xz,empty,RadarFC_Master,empty,CPD,dummy</v>
      </c>
      <c r="L637" s="85" t="s">
        <v>3714</v>
      </c>
      <c r="M637" t="s">
        <v>833</v>
      </c>
      <c r="N637" t="s">
        <v>831</v>
      </c>
    </row>
    <row r="638" spans="1:14">
      <c r="A638" s="59">
        <v>132</v>
      </c>
      <c r="B638" s="105" t="s">
        <v>234</v>
      </c>
      <c r="D638" s="97">
        <v>1</v>
      </c>
      <c r="E638" s="97" t="s">
        <v>827</v>
      </c>
      <c r="F638" t="s">
        <v>27</v>
      </c>
      <c r="G638" t="s">
        <v>27</v>
      </c>
      <c r="H638" t="s">
        <v>27</v>
      </c>
      <c r="I638" t="s">
        <v>28</v>
      </c>
      <c r="J638" s="85" t="s">
        <v>828</v>
      </c>
      <c r="K638" s="85" t="str">
        <f t="shared" si="9"/>
        <v>/mnt/measurements/07_CANape/Mitsubishi/5K45/5.3.0_RC6.2/5K457EG11/CSRGIMMC-2250/CSR_XCP_Signals_Recorder_2026-02-05_15-21-37_TC132_MovingToy1L_BagF1R_CPD.MF4.xz,empty,RadarFC_Master,empty,CPD,dummy</v>
      </c>
      <c r="L638" s="85" t="s">
        <v>3715</v>
      </c>
      <c r="M638" t="s">
        <v>834</v>
      </c>
      <c r="N638" t="s">
        <v>831</v>
      </c>
    </row>
    <row r="639" spans="1:14">
      <c r="A639" s="59">
        <v>132</v>
      </c>
      <c r="B639" s="105" t="s">
        <v>234</v>
      </c>
      <c r="D639" s="97">
        <v>1</v>
      </c>
      <c r="E639" s="97" t="s">
        <v>827</v>
      </c>
      <c r="F639" t="s">
        <v>27</v>
      </c>
      <c r="G639" t="s">
        <v>27</v>
      </c>
      <c r="H639" t="s">
        <v>27</v>
      </c>
      <c r="I639" t="s">
        <v>28</v>
      </c>
      <c r="J639" s="85" t="s">
        <v>828</v>
      </c>
      <c r="K639" s="85" t="str">
        <f t="shared" si="9"/>
        <v>/mnt/measurements/07_CANape/Mitsubishi/5K45/5.3.0_RC6.2/5K457EG11/CSRGIMMC-2250/CSR_XCP_Signals_Recorder_2026-02-05_15-23-32_TC132_MovingToy1L_BagF1R_CPD.MF4.xz,empty,RadarFC_Master,empty,CPD,dummy</v>
      </c>
      <c r="L639" s="85" t="s">
        <v>3716</v>
      </c>
      <c r="M639" t="s">
        <v>835</v>
      </c>
      <c r="N639" t="s">
        <v>831</v>
      </c>
    </row>
    <row r="640" spans="1:14">
      <c r="A640" s="59">
        <v>132</v>
      </c>
      <c r="B640" s="105" t="s">
        <v>234</v>
      </c>
      <c r="D640" s="97">
        <v>1</v>
      </c>
      <c r="E640" s="97" t="s">
        <v>827</v>
      </c>
      <c r="F640" t="s">
        <v>27</v>
      </c>
      <c r="G640" t="s">
        <v>27</v>
      </c>
      <c r="H640" t="s">
        <v>27</v>
      </c>
      <c r="I640" t="s">
        <v>28</v>
      </c>
      <c r="J640" s="85" t="s">
        <v>828</v>
      </c>
      <c r="K640" s="85" t="str">
        <f t="shared" si="9"/>
        <v>/mnt/measurements/07_CANape/Mitsubishi/5K45/5.3.0_RC6.2/5K457EG11/CSRGIMMC-2250/CSR_XCP_Signals_Recorder_2026-02-05_15-25-04_TC132_MovingToy1L_BagF1R_CPD.MF4.xz,empty,RadarFC_Master,empty,CPD,dummy</v>
      </c>
      <c r="L640" s="85" t="s">
        <v>3717</v>
      </c>
      <c r="M640" t="s">
        <v>836</v>
      </c>
      <c r="N640" t="s">
        <v>831</v>
      </c>
    </row>
    <row r="641" spans="1:21">
      <c r="A641" s="59">
        <v>133</v>
      </c>
      <c r="B641" s="105" t="s">
        <v>234</v>
      </c>
      <c r="D641" s="97">
        <v>1</v>
      </c>
      <c r="E641" s="97" t="s">
        <v>841</v>
      </c>
      <c r="F641" t="s">
        <v>27</v>
      </c>
      <c r="G641" t="s">
        <v>27</v>
      </c>
      <c r="H641" t="s">
        <v>27</v>
      </c>
      <c r="I641" t="s">
        <v>28</v>
      </c>
      <c r="J641" s="85" t="s">
        <v>828</v>
      </c>
      <c r="K641" s="85" t="str">
        <f t="shared" si="9"/>
        <v>/mnt/measurements/07_CANape/Mitsubishi/5K45/5.3.0_RC6.2/5K457EG11/CSRGIMMC-2250/CSR_XCP_Signals_Recorder_2026-02-05_15-42-34_TC133_StaticToy1R_BagF2R_CPD.MF4.xz,empty,RadarFC_Master,empty,CPD,dummy</v>
      </c>
      <c r="L641" s="85" t="s">
        <v>3718</v>
      </c>
      <c r="M641" t="s">
        <v>842</v>
      </c>
      <c r="N641" t="s">
        <v>831</v>
      </c>
    </row>
    <row r="642" spans="1:21">
      <c r="A642" s="59">
        <v>133</v>
      </c>
      <c r="B642" s="105" t="s">
        <v>234</v>
      </c>
      <c r="D642" s="97">
        <v>1</v>
      </c>
      <c r="E642" s="97" t="s">
        <v>841</v>
      </c>
      <c r="F642" t="s">
        <v>27</v>
      </c>
      <c r="G642" t="s">
        <v>27</v>
      </c>
      <c r="H642" t="s">
        <v>27</v>
      </c>
      <c r="I642" t="s">
        <v>28</v>
      </c>
      <c r="J642" s="85" t="s">
        <v>828</v>
      </c>
      <c r="K642" s="85" t="str">
        <f t="shared" ref="K642:K705" si="10">N642&amp;"/"&amp;M642&amp;","&amp;IF(J642="ncap3","child",J642)&amp;",RadarFC_Master,"&amp;IF(J642="ncap3","child",J642)&amp;IF(B642="ncap1,2"," ("&amp;B642&amp;")","")&amp;IF(B642="ncap3"," ("&amp;B642&amp;")","")&amp;IF(B642="multiple children"," (ncap1,2)","")&amp;IF(B642="NB awake"," (ncap1,2)","")&amp;",CPD,"&amp;IF(F642="Y","realchild","dummy")</f>
        <v>/mnt/measurements/07_CANape/Mitsubishi/5K45/5.3.0_RC6.2/5K457EG11/CSRGIMMC-2250/CSR_XCP_Signals_Recorder_2026-02-05_15-43-58_TC133_StaticToy1R_BagF2R_CPD.MF4.xz,empty,RadarFC_Master,empty,CPD,dummy</v>
      </c>
      <c r="L642" s="85" t="s">
        <v>3719</v>
      </c>
      <c r="M642" t="s">
        <v>844</v>
      </c>
      <c r="N642" t="s">
        <v>831</v>
      </c>
    </row>
    <row r="643" spans="1:21">
      <c r="A643" s="59">
        <v>133</v>
      </c>
      <c r="B643" s="105" t="s">
        <v>234</v>
      </c>
      <c r="D643" s="97">
        <v>1</v>
      </c>
      <c r="E643" s="97" t="s">
        <v>841</v>
      </c>
      <c r="F643" t="s">
        <v>27</v>
      </c>
      <c r="G643" t="s">
        <v>27</v>
      </c>
      <c r="H643" t="s">
        <v>27</v>
      </c>
      <c r="I643" t="s">
        <v>28</v>
      </c>
      <c r="J643" s="85" t="s">
        <v>828</v>
      </c>
      <c r="K643" s="85" t="str">
        <f t="shared" si="10"/>
        <v>/mnt/measurements/07_CANape/Mitsubishi/5K45/5.3.0_RC6.2/5K457EG11/CSRGIMMC-2250/CSR_XCP_Signals_Recorder_2026-02-05_15-45-20_TC133_StaticToy1R_BagF2R_CPD.MF4.xz,empty,RadarFC_Master,empty,CPD,dummy</v>
      </c>
      <c r="L643" s="85" t="s">
        <v>3720</v>
      </c>
      <c r="M643" t="s">
        <v>845</v>
      </c>
      <c r="N643" t="s">
        <v>831</v>
      </c>
    </row>
    <row r="644" spans="1:21">
      <c r="A644" s="59">
        <v>133</v>
      </c>
      <c r="B644" s="105" t="s">
        <v>234</v>
      </c>
      <c r="D644" s="97">
        <v>1</v>
      </c>
      <c r="E644" s="97" t="s">
        <v>841</v>
      </c>
      <c r="F644" t="s">
        <v>27</v>
      </c>
      <c r="G644" t="s">
        <v>27</v>
      </c>
      <c r="H644" t="s">
        <v>27</v>
      </c>
      <c r="I644" t="s">
        <v>28</v>
      </c>
      <c r="J644" s="85" t="s">
        <v>828</v>
      </c>
      <c r="K644" s="85" t="str">
        <f t="shared" si="10"/>
        <v>/mnt/measurements/07_CANape/Mitsubishi/5K45/5.3.0_RC6.2/5K457EG11/CSRGIMMC-2250/CSR_XCP_Signals_Recorder_2026-02-05_15-46-57_TC133_StaticToy1R_BagF2R_CPD.MF4.xz,empty,RadarFC_Master,empty,CPD,dummy</v>
      </c>
      <c r="L644" s="85" t="s">
        <v>3721</v>
      </c>
      <c r="M644" t="s">
        <v>846</v>
      </c>
      <c r="N644" t="s">
        <v>831</v>
      </c>
    </row>
    <row r="645" spans="1:21">
      <c r="A645" s="59">
        <v>133</v>
      </c>
      <c r="B645" s="105" t="s">
        <v>234</v>
      </c>
      <c r="D645" s="97">
        <v>1</v>
      </c>
      <c r="E645" s="97" t="s">
        <v>841</v>
      </c>
      <c r="F645" t="s">
        <v>27</v>
      </c>
      <c r="G645" t="s">
        <v>27</v>
      </c>
      <c r="H645" t="s">
        <v>27</v>
      </c>
      <c r="I645" t="s">
        <v>28</v>
      </c>
      <c r="J645" s="85" t="s">
        <v>828</v>
      </c>
      <c r="K645" s="85" t="str">
        <f t="shared" si="10"/>
        <v>/mnt/measurements/07_CANape/Mitsubishi/5K45/5.3.0_RC6.2/5K457EG11/CSRGIMMC-2250/CSR_XCP_Signals_Recorder_2026-02-05_15-48-23_TC133_StaticToy1R_BagF2R_CPD.MF4.xz,empty,RadarFC_Master,empty,CPD,dummy</v>
      </c>
      <c r="L645" s="85" t="s">
        <v>3722</v>
      </c>
      <c r="M645" t="s">
        <v>847</v>
      </c>
      <c r="N645" t="s">
        <v>831</v>
      </c>
    </row>
    <row r="646" spans="1:21">
      <c r="A646" s="77">
        <v>134</v>
      </c>
      <c r="B646" s="105" t="s">
        <v>234</v>
      </c>
      <c r="D646" s="97" t="e">
        <f>_xlfn.XLOOKUP(A646,[1]CPD_SOP_new!$A:$A,[1]CPD_SOP_new!#REF!,"not found",0 )</f>
        <v>#REF!</v>
      </c>
      <c r="E646" s="97" t="str">
        <f>_xlfn.XLOOKUP(A646,[1]CPD_SOP_new!$A:$A,[1]CPD_SOP_new!$K:$K,"not found",0 )</f>
        <v>2R+F2L</v>
      </c>
      <c r="F646" t="s">
        <v>27</v>
      </c>
      <c r="G646" t="s">
        <v>28</v>
      </c>
      <c r="H646" t="s">
        <v>28</v>
      </c>
      <c r="I646" t="s">
        <v>28</v>
      </c>
      <c r="J646" t="s">
        <v>828</v>
      </c>
      <c r="K646" s="85" t="str">
        <f t="shared" si="10"/>
        <v>/mnt/measurements/07_CANape/Mitsubishi/5K45/5.3.0_RC6/Customer_Testing/CSR_XCP_Signals_Recorder_2026-01-29_17-32-08_TC134_NCAP_1_2.MF4.xz,empty,RadarFC_Master,empty,CPD,dummy</v>
      </c>
      <c r="L646" s="85" t="s">
        <v>3723</v>
      </c>
      <c r="M646" t="s">
        <v>848</v>
      </c>
      <c r="N646" t="s">
        <v>353</v>
      </c>
      <c r="O646" t="s">
        <v>828</v>
      </c>
      <c r="P646" t="s">
        <v>828</v>
      </c>
      <c r="Q646">
        <v>0</v>
      </c>
      <c r="T646">
        <v>0</v>
      </c>
      <c r="U646">
        <v>0</v>
      </c>
    </row>
    <row r="647" spans="1:21">
      <c r="A647" s="77">
        <v>134</v>
      </c>
      <c r="B647" s="105" t="s">
        <v>234</v>
      </c>
      <c r="D647" s="97" t="e">
        <f>_xlfn.XLOOKUP(A647,[1]CPD_SOP_new!$A:$A,[1]CPD_SOP_new!#REF!,"not found",0 )</f>
        <v>#REF!</v>
      </c>
      <c r="E647" s="97" t="str">
        <f>_xlfn.XLOOKUP(A647,[1]CPD_SOP_new!$A:$A,[1]CPD_SOP_new!$K:$K,"not found",0 )</f>
        <v>2R+F2L</v>
      </c>
      <c r="F647" t="s">
        <v>27</v>
      </c>
      <c r="G647" t="s">
        <v>28</v>
      </c>
      <c r="H647" t="s">
        <v>28</v>
      </c>
      <c r="I647" t="s">
        <v>28</v>
      </c>
      <c r="J647" t="s">
        <v>828</v>
      </c>
      <c r="K647" s="85" t="str">
        <f t="shared" si="10"/>
        <v>/mnt/measurements/07_CANape/Mitsubishi/5K45/5.3.0_RC6/Customer_Testing/CSR_XCP_Signals_Recorder_2026-01-29_17-33-06_TC134_NCAP_1_2.MF4.xz,empty,RadarFC_Master,empty,CPD,dummy</v>
      </c>
      <c r="L647" s="85" t="s">
        <v>3724</v>
      </c>
      <c r="M647" t="s">
        <v>850</v>
      </c>
      <c r="N647" t="s">
        <v>353</v>
      </c>
      <c r="O647" t="s">
        <v>828</v>
      </c>
      <c r="P647" t="s">
        <v>828</v>
      </c>
      <c r="Q647">
        <v>0</v>
      </c>
      <c r="T647">
        <v>0</v>
      </c>
      <c r="U647">
        <v>0</v>
      </c>
    </row>
    <row r="648" spans="1:21">
      <c r="A648" s="77">
        <v>134</v>
      </c>
      <c r="B648" s="105" t="s">
        <v>234</v>
      </c>
      <c r="D648" s="97" t="e">
        <f>_xlfn.XLOOKUP(A648,[1]CPD_SOP_new!$A:$A,[1]CPD_SOP_new!#REF!,"not found",0 )</f>
        <v>#REF!</v>
      </c>
      <c r="E648" s="97" t="str">
        <f>_xlfn.XLOOKUP(A648,[1]CPD_SOP_new!$A:$A,[1]CPD_SOP_new!$K:$K,"not found",0 )</f>
        <v>2R+F2L</v>
      </c>
      <c r="F648" t="s">
        <v>27</v>
      </c>
      <c r="G648" t="s">
        <v>28</v>
      </c>
      <c r="H648" t="s">
        <v>28</v>
      </c>
      <c r="I648" t="s">
        <v>28</v>
      </c>
      <c r="J648" t="s">
        <v>828</v>
      </c>
      <c r="K648" s="85" t="str">
        <f t="shared" si="10"/>
        <v>/mnt/measurements/07_CANape/Mitsubishi/5K45/5.3.0_RC6/Customer_Testing/CSR_XCP_Signals_Recorder_2026-01-29_17-33-50_TC134_NCAP_1_2.MF4.xz,empty,RadarFC_Master,empty,CPD,dummy</v>
      </c>
      <c r="L648" s="85" t="s">
        <v>3725</v>
      </c>
      <c r="M648" t="s">
        <v>851</v>
      </c>
      <c r="N648" t="s">
        <v>353</v>
      </c>
      <c r="O648" t="s">
        <v>828</v>
      </c>
      <c r="P648" t="s">
        <v>828</v>
      </c>
      <c r="Q648">
        <v>0</v>
      </c>
      <c r="T648">
        <v>0</v>
      </c>
      <c r="U648">
        <v>0</v>
      </c>
    </row>
    <row r="649" spans="1:21">
      <c r="A649" s="59">
        <v>134</v>
      </c>
      <c r="B649" s="105" t="s">
        <v>234</v>
      </c>
      <c r="D649" s="97" t="e">
        <f>_xlfn.XLOOKUP(A649,[1]CPD_SOP_new!$A:$A,[1]CPD_SOP_new!#REF!,"not found",0 )</f>
        <v>#REF!</v>
      </c>
      <c r="E649" s="97" t="str">
        <f>_xlfn.XLOOKUP(A649,[1]CPD_SOP_new!$A:$A,[1]CPD_SOP_new!$K:$K,"not found",0 )</f>
        <v>2R+F2L</v>
      </c>
      <c r="F649" t="s">
        <v>27</v>
      </c>
      <c r="G649" t="s">
        <v>28</v>
      </c>
      <c r="H649" t="s">
        <v>28</v>
      </c>
      <c r="I649" t="s">
        <v>28</v>
      </c>
      <c r="J649" t="s">
        <v>828</v>
      </c>
      <c r="K649" s="85" t="str">
        <f t="shared" si="10"/>
        <v>/mnt/measurements/07_CANape/Mitsubishi/5K45/5.3.0_RC6.2/5K457EG11/FP_Test_Cases_Renamed/CSR_XCP_Signals_Recorder_2026-02-03_13-20-27_TC134.MF4.xz,empty,RadarFC_Master,empty,CPD,dummy</v>
      </c>
      <c r="L649" s="85" t="s">
        <v>3726</v>
      </c>
      <c r="M649" t="s">
        <v>856</v>
      </c>
      <c r="N649" t="s">
        <v>767</v>
      </c>
    </row>
    <row r="650" spans="1:21" hidden="1">
      <c r="A650" s="38">
        <v>160</v>
      </c>
      <c r="B650" t="s">
        <v>405</v>
      </c>
      <c r="D650" s="97" t="e">
        <f>_xlfn.XLOOKUP(A650,[1]CPD_SOP_new!$A:$A,[1]CPD_SOP_new!#REF!,"not found",0 )</f>
        <v>#REF!</v>
      </c>
      <c r="E650" s="97" t="s">
        <v>26</v>
      </c>
      <c r="F650" t="s">
        <v>27</v>
      </c>
      <c r="G650" t="s">
        <v>27</v>
      </c>
      <c r="H650" t="s">
        <v>27</v>
      </c>
      <c r="I650" s="130" t="s">
        <v>27</v>
      </c>
      <c r="J650" s="130" t="s">
        <v>237</v>
      </c>
      <c r="K650" s="85" t="str">
        <f t="shared" si="10"/>
        <v>/mnt/measurements/07_CANape/Mitsubishi/5K45/MMC5.0.1/5K457MG-47/CPD/TC160_Try_1.MF4.xz,NCAP3 long,RadarFC_Master,NCAP3 long,CPD,dummy</v>
      </c>
      <c r="L650" s="85" t="s">
        <v>3727</v>
      </c>
      <c r="M650" t="s">
        <v>1020</v>
      </c>
      <c r="N650" s="134" t="s">
        <v>239</v>
      </c>
    </row>
    <row r="651" spans="1:21" hidden="1">
      <c r="A651" s="38">
        <v>160</v>
      </c>
      <c r="B651" t="s">
        <v>405</v>
      </c>
      <c r="D651" s="97" t="e">
        <f>_xlfn.XLOOKUP(A651,[1]CPD_SOP_new!$A:$A,[1]CPD_SOP_new!#REF!,"not found",0 )</f>
        <v>#REF!</v>
      </c>
      <c r="E651" s="97" t="s">
        <v>26</v>
      </c>
      <c r="F651" t="s">
        <v>27</v>
      </c>
      <c r="G651" t="s">
        <v>27</v>
      </c>
      <c r="H651" t="s">
        <v>27</v>
      </c>
      <c r="I651" s="130" t="s">
        <v>27</v>
      </c>
      <c r="J651" s="130" t="s">
        <v>237</v>
      </c>
      <c r="K651" s="85" t="str">
        <f t="shared" si="10"/>
        <v>/mnt/measurements/07_CANape/Mitsubishi/5K45/MMC5.0.1/5K457MG-47/CPD/TC160_Try_2.MF4.xz,NCAP3 long,RadarFC_Master,NCAP3 long,CPD,dummy</v>
      </c>
      <c r="L651" s="85" t="s">
        <v>3728</v>
      </c>
      <c r="M651" t="s">
        <v>1021</v>
      </c>
      <c r="N651" s="134" t="s">
        <v>239</v>
      </c>
    </row>
    <row r="652" spans="1:21" hidden="1">
      <c r="A652" s="38">
        <v>160</v>
      </c>
      <c r="B652" t="s">
        <v>405</v>
      </c>
      <c r="D652" s="97" t="e">
        <f>_xlfn.XLOOKUP(A652,[1]CPD_SOP_new!$A:$A,[1]CPD_SOP_new!#REF!,"not found",0 )</f>
        <v>#REF!</v>
      </c>
      <c r="E652" s="97" t="s">
        <v>26</v>
      </c>
      <c r="F652" t="s">
        <v>27</v>
      </c>
      <c r="G652" t="s">
        <v>27</v>
      </c>
      <c r="H652" t="s">
        <v>27</v>
      </c>
      <c r="I652" s="130" t="s">
        <v>27</v>
      </c>
      <c r="J652" s="130" t="s">
        <v>237</v>
      </c>
      <c r="K652" s="85" t="str">
        <f t="shared" si="10"/>
        <v>/mnt/measurements/07_CANape/Mitsubishi/5K45/MMC5.0.1/5K457MG-47/CPD/TC160_Try_3.MF4.xz,NCAP3 long,RadarFC_Master,NCAP3 long,CPD,dummy</v>
      </c>
      <c r="L652" s="85" t="s">
        <v>3729</v>
      </c>
      <c r="M652" t="s">
        <v>1022</v>
      </c>
      <c r="N652" s="134" t="s">
        <v>239</v>
      </c>
    </row>
    <row r="653" spans="1:21" hidden="1">
      <c r="A653" s="38">
        <v>161</v>
      </c>
      <c r="B653" t="s">
        <v>405</v>
      </c>
      <c r="D653" s="97" t="e">
        <f>_xlfn.XLOOKUP(A653,[1]CPD_SOP_new!$A:$A,[1]CPD_SOP_new!#REF!,"not found",0 )</f>
        <v>#REF!</v>
      </c>
      <c r="E653" s="97" t="s">
        <v>112</v>
      </c>
      <c r="F653" t="s">
        <v>27</v>
      </c>
      <c r="G653" t="s">
        <v>28</v>
      </c>
      <c r="H653" t="s">
        <v>28</v>
      </c>
      <c r="I653" s="130" t="s">
        <v>27</v>
      </c>
      <c r="J653" s="130" t="s">
        <v>237</v>
      </c>
      <c r="K653" s="85" t="str">
        <f t="shared" si="10"/>
        <v>/mnt/measurements/07_CANape/Mitsubishi/5K45/MMC5.0.1/5K457MG-47/CPD/TC161_Try_1.MF4.xz,NCAP3 long,RadarFC_Master,NCAP3 long,CPD,dummy</v>
      </c>
      <c r="L653" s="85" t="s">
        <v>3730</v>
      </c>
      <c r="M653" t="s">
        <v>406</v>
      </c>
      <c r="N653" s="134" t="s">
        <v>239</v>
      </c>
    </row>
    <row r="654" spans="1:21" hidden="1">
      <c r="A654" s="38">
        <v>161</v>
      </c>
      <c r="B654" t="s">
        <v>405</v>
      </c>
      <c r="D654" s="97" t="e">
        <f>_xlfn.XLOOKUP(A654,[1]CPD_SOP_new!$A:$A,[1]CPD_SOP_new!#REF!,"not found",0 )</f>
        <v>#REF!</v>
      </c>
      <c r="E654" s="97" t="s">
        <v>112</v>
      </c>
      <c r="F654" t="s">
        <v>27</v>
      </c>
      <c r="G654" t="s">
        <v>28</v>
      </c>
      <c r="H654" t="s">
        <v>28</v>
      </c>
      <c r="I654" s="130" t="s">
        <v>27</v>
      </c>
      <c r="J654" s="130" t="s">
        <v>237</v>
      </c>
      <c r="K654" s="85" t="str">
        <f t="shared" si="10"/>
        <v>/mnt/measurements/07_CANape/Mitsubishi/5K45/MMC5.0.1/5K457MG-47/CPD/TC161_Try_2.MF4.xz,NCAP3 long,RadarFC_Master,NCAP3 long,CPD,dummy</v>
      </c>
      <c r="L654" s="85" t="s">
        <v>3731</v>
      </c>
      <c r="M654" t="s">
        <v>407</v>
      </c>
      <c r="N654" s="134" t="s">
        <v>239</v>
      </c>
    </row>
    <row r="655" spans="1:21" hidden="1">
      <c r="A655" s="38">
        <v>161</v>
      </c>
      <c r="B655" t="s">
        <v>405</v>
      </c>
      <c r="D655" s="97" t="e">
        <f>_xlfn.XLOOKUP(A655,[1]CPD_SOP_new!$A:$A,[1]CPD_SOP_new!#REF!,"not found",0 )</f>
        <v>#REF!</v>
      </c>
      <c r="E655" s="97" t="s">
        <v>112</v>
      </c>
      <c r="F655" t="s">
        <v>27</v>
      </c>
      <c r="G655" t="s">
        <v>28</v>
      </c>
      <c r="H655" t="s">
        <v>28</v>
      </c>
      <c r="I655" s="130" t="s">
        <v>27</v>
      </c>
      <c r="J655" s="130" t="s">
        <v>237</v>
      </c>
      <c r="K655" s="85" t="str">
        <f t="shared" si="10"/>
        <v>/mnt/measurements/07_CANape/Mitsubishi/5K45/MMC5.0.1/5K457MG-47/CPD/TC161_Try_3.MF4.xz,NCAP3 long,RadarFC_Master,NCAP3 long,CPD,dummy</v>
      </c>
      <c r="L655" s="85" t="s">
        <v>3732</v>
      </c>
      <c r="M655" t="s">
        <v>408</v>
      </c>
      <c r="N655" s="134" t="s">
        <v>239</v>
      </c>
    </row>
    <row r="656" spans="1:21">
      <c r="A656" s="59">
        <v>134</v>
      </c>
      <c r="B656" t="s">
        <v>234</v>
      </c>
      <c r="D656" s="97" t="e">
        <f>_xlfn.XLOOKUP(A656,[1]CPD_SOP_new!$A:$A,[1]CPD_SOP_new!#REF!,"not found",0 )</f>
        <v>#REF!</v>
      </c>
      <c r="E656" s="97" t="str">
        <f>_xlfn.XLOOKUP(A656,[1]CPD_SOP_new!$A:$A,[1]CPD_SOP_new!$K:$K,"not found",0 )</f>
        <v>2R+F2L</v>
      </c>
      <c r="F656" t="s">
        <v>27</v>
      </c>
      <c r="G656" t="s">
        <v>28</v>
      </c>
      <c r="H656" t="s">
        <v>28</v>
      </c>
      <c r="I656" t="s">
        <v>28</v>
      </c>
      <c r="J656" t="s">
        <v>828</v>
      </c>
      <c r="K656" s="85" t="str">
        <f t="shared" si="10"/>
        <v>/mnt/measurements/07_CANape/Mitsubishi/5K45/5.3.0_RC6.2/5K457EG11/FP_Test_Cases_Renamed/CSR_XCP_Signals_Recorder_2026-02-03_13-21-51_TC134.MF4.xz,empty,RadarFC_Master,empty,CPD,dummy</v>
      </c>
      <c r="L656" s="85" t="s">
        <v>3733</v>
      </c>
      <c r="M656" t="s">
        <v>858</v>
      </c>
      <c r="N656" t="s">
        <v>767</v>
      </c>
    </row>
    <row r="657" spans="1:21">
      <c r="A657" s="59">
        <v>134</v>
      </c>
      <c r="B657" t="s">
        <v>234</v>
      </c>
      <c r="D657" s="97" t="e">
        <f>_xlfn.XLOOKUP(A657,[1]CPD_SOP_new!$A:$A,[1]CPD_SOP_new!#REF!,"not found",0 )</f>
        <v>#REF!</v>
      </c>
      <c r="E657" s="97" t="str">
        <f>_xlfn.XLOOKUP(A657,[1]CPD_SOP_new!$A:$A,[1]CPD_SOP_new!$K:$K,"not found",0 )</f>
        <v>2R+F2L</v>
      </c>
      <c r="F657" t="s">
        <v>27</v>
      </c>
      <c r="G657" t="s">
        <v>28</v>
      </c>
      <c r="H657" t="s">
        <v>28</v>
      </c>
      <c r="I657" t="s">
        <v>28</v>
      </c>
      <c r="J657" t="s">
        <v>828</v>
      </c>
      <c r="K657" s="85" t="str">
        <f t="shared" si="10"/>
        <v>/mnt/measurements/07_CANape/Mitsubishi/5K45/5.3.0_RC6.2/5K457EG11/FP_Test_Cases_Renamed/CSR_XCP_Signals_Recorder_2026-02-03_13-22-39_TC134.MF4.xz,empty,RadarFC_Master,empty,CPD,dummy</v>
      </c>
      <c r="L657" s="85" t="s">
        <v>3734</v>
      </c>
      <c r="M657" t="s">
        <v>859</v>
      </c>
      <c r="N657" t="s">
        <v>767</v>
      </c>
    </row>
    <row r="658" spans="1:21" s="130" customFormat="1" hidden="1">
      <c r="A658" s="78">
        <v>162</v>
      </c>
      <c r="B658" s="130" t="s">
        <v>405</v>
      </c>
      <c r="D658" s="97" t="e">
        <f>_xlfn.XLOOKUP(A658,[1]CPD_SOP_new!$A:$A,[1]CPD_SOP_new!#REF!,"not found",0 )</f>
        <v>#REF!</v>
      </c>
      <c r="E658" s="97" t="str">
        <f>_xlfn.XLOOKUP(A658,[1]CPD_SOP_new!$A:$A,[1]CPD_SOP_new!$K:$K,"not found",0 )</f>
        <v>2R</v>
      </c>
      <c r="F658" s="130" t="s">
        <v>27</v>
      </c>
      <c r="G658" s="130" t="s">
        <v>27</v>
      </c>
      <c r="H658" s="130" t="s">
        <v>27</v>
      </c>
      <c r="I658" s="130" t="s">
        <v>27</v>
      </c>
      <c r="J658" s="130" t="s">
        <v>237</v>
      </c>
      <c r="K658" s="85" t="str">
        <f t="shared" si="10"/>
        <v>/mnt/measurements/07_CANape/Mitsubishi/5K45/5.3.0_RC6/Customer_Testing/CSR_XCP_Signals_Recorder_2026-01-29_17-24-33_TC162_NCAP_1_2.MF4.xz,NCAP3 long,RadarFC_Master,NCAP3 long,CPD,dummy</v>
      </c>
      <c r="L658" s="85" t="s">
        <v>3735</v>
      </c>
      <c r="M658" s="130" t="s">
        <v>1051</v>
      </c>
      <c r="N658" s="130" t="s">
        <v>353</v>
      </c>
      <c r="O658" s="130" t="s">
        <v>828</v>
      </c>
      <c r="P658" s="130" t="s">
        <v>828</v>
      </c>
      <c r="Q658" s="130">
        <v>0</v>
      </c>
      <c r="T658" s="130">
        <v>0</v>
      </c>
      <c r="U658" s="130">
        <v>0</v>
      </c>
    </row>
    <row r="659" spans="1:21" s="130" customFormat="1" hidden="1">
      <c r="A659" s="78">
        <v>162</v>
      </c>
      <c r="B659" s="130" t="s">
        <v>405</v>
      </c>
      <c r="D659" s="97" t="e">
        <f>_xlfn.XLOOKUP(A659,[1]CPD_SOP_new!$A:$A,[1]CPD_SOP_new!#REF!,"not found",0 )</f>
        <v>#REF!</v>
      </c>
      <c r="E659" s="97" t="str">
        <f>_xlfn.XLOOKUP(A659,[1]CPD_SOP_new!$A:$A,[1]CPD_SOP_new!$K:$K,"not found",0 )</f>
        <v>2R</v>
      </c>
      <c r="F659" s="130" t="s">
        <v>27</v>
      </c>
      <c r="G659" s="130" t="s">
        <v>27</v>
      </c>
      <c r="H659" s="130" t="s">
        <v>27</v>
      </c>
      <c r="I659" s="130" t="s">
        <v>27</v>
      </c>
      <c r="J659" s="130" t="s">
        <v>237</v>
      </c>
      <c r="K659" s="85" t="str">
        <f t="shared" si="10"/>
        <v>/mnt/measurements/07_CANape/Mitsubishi/5K45/5.3.0_RC6/Customer_Testing/CSR_XCP_Signals_Recorder_2026-01-29_17-26-03_TC162_NCAP_3.MF4.xz,NCAP3 long,RadarFC_Master,NCAP3 long,CPD,dummy</v>
      </c>
      <c r="L659" s="85" t="s">
        <v>3736</v>
      </c>
      <c r="M659" s="130" t="s">
        <v>1095</v>
      </c>
      <c r="N659" s="130" t="s">
        <v>353</v>
      </c>
      <c r="O659" s="130" t="s">
        <v>828</v>
      </c>
      <c r="P659" s="130" t="s">
        <v>828</v>
      </c>
      <c r="Q659" s="130">
        <v>0</v>
      </c>
      <c r="T659" s="130">
        <v>0</v>
      </c>
      <c r="U659" s="130">
        <v>0</v>
      </c>
    </row>
    <row r="660" spans="1:21" s="130" customFormat="1" hidden="1">
      <c r="A660" s="78">
        <v>162</v>
      </c>
      <c r="B660" s="130" t="s">
        <v>405</v>
      </c>
      <c r="D660" s="97" t="e">
        <f>_xlfn.XLOOKUP(A660,[1]CPD_SOP_new!$A:$A,[1]CPD_SOP_new!#REF!,"not found",0 )</f>
        <v>#REF!</v>
      </c>
      <c r="E660" s="97" t="str">
        <f>_xlfn.XLOOKUP(A660,[1]CPD_SOP_new!$A:$A,[1]CPD_SOP_new!$K:$K,"not found",0 )</f>
        <v>2R</v>
      </c>
      <c r="F660" s="130" t="s">
        <v>27</v>
      </c>
      <c r="G660" s="130" t="s">
        <v>27</v>
      </c>
      <c r="H660" s="130" t="s">
        <v>27</v>
      </c>
      <c r="I660" s="130" t="s">
        <v>27</v>
      </c>
      <c r="J660" s="130" t="s">
        <v>237</v>
      </c>
      <c r="K660" s="85" t="str">
        <f t="shared" si="10"/>
        <v>/mnt/measurements/07_CANape/Mitsubishi/5K45/5.3.0_RC6/Customer_Testing/CSR_XCP_Signals_Recorder_2026-01-29_17-28-27_TC162_NCAP_3.MF4.xz,NCAP3 long,RadarFC_Master,NCAP3 long,CPD,dummy</v>
      </c>
      <c r="L660" s="85" t="s">
        <v>3737</v>
      </c>
      <c r="M660" s="130" t="s">
        <v>1096</v>
      </c>
      <c r="N660" s="130" t="s">
        <v>353</v>
      </c>
      <c r="O660" s="130" t="s">
        <v>828</v>
      </c>
      <c r="P660" s="130" t="s">
        <v>828</v>
      </c>
      <c r="Q660" s="130">
        <v>0</v>
      </c>
      <c r="T660" s="130">
        <v>0</v>
      </c>
      <c r="U660" s="130">
        <v>0</v>
      </c>
    </row>
    <row r="661" spans="1:21" hidden="1">
      <c r="A661" s="38">
        <v>162</v>
      </c>
      <c r="B661" t="s">
        <v>405</v>
      </c>
      <c r="D661" s="97" t="e">
        <f>_xlfn.XLOOKUP(A661,[1]CPD_SOP_new!$A:$A,[1]CPD_SOP_new!#REF!,"not found",0 )</f>
        <v>#REF!</v>
      </c>
      <c r="E661" s="97" t="str">
        <f>_xlfn.XLOOKUP(A661,[1]CPD_SOP_new!$A:$A,[1]CPD_SOP_new!$K:$K,"not found",0 )</f>
        <v>2R</v>
      </c>
      <c r="F661" t="s">
        <v>27</v>
      </c>
      <c r="G661" t="s">
        <v>27</v>
      </c>
      <c r="H661" t="s">
        <v>27</v>
      </c>
      <c r="I661" s="130" t="s">
        <v>27</v>
      </c>
      <c r="J661" s="130" t="s">
        <v>237</v>
      </c>
      <c r="K661" s="85" t="str">
        <f t="shared" si="10"/>
        <v>/mnt/measurements/07_CANape/Mitsubishi/5K45/MMC5.0.1/5K457MG-47/CPD/TC162_Try_1.MF4.xz,NCAP3 long,RadarFC_Master,NCAP3 long,CPD,dummy</v>
      </c>
      <c r="L661" s="85" t="s">
        <v>3738</v>
      </c>
      <c r="M661" t="s">
        <v>1034</v>
      </c>
      <c r="N661" s="134" t="s">
        <v>239</v>
      </c>
    </row>
    <row r="662" spans="1:21" hidden="1">
      <c r="A662" s="38">
        <v>162</v>
      </c>
      <c r="B662" t="s">
        <v>405</v>
      </c>
      <c r="D662" s="97" t="e">
        <f>_xlfn.XLOOKUP(A662,[1]CPD_SOP_new!$A:$A,[1]CPD_SOP_new!#REF!,"not found",0 )</f>
        <v>#REF!</v>
      </c>
      <c r="E662" s="97" t="str">
        <f>_xlfn.XLOOKUP(A662,[1]CPD_SOP_new!$A:$A,[1]CPD_SOP_new!$K:$K,"not found",0 )</f>
        <v>2R</v>
      </c>
      <c r="F662" t="s">
        <v>27</v>
      </c>
      <c r="G662" t="s">
        <v>27</v>
      </c>
      <c r="H662" t="s">
        <v>27</v>
      </c>
      <c r="I662" s="130" t="s">
        <v>27</v>
      </c>
      <c r="J662" s="130" t="s">
        <v>237</v>
      </c>
      <c r="K662" s="85" t="str">
        <f t="shared" si="10"/>
        <v>/mnt/measurements/07_CANape/Mitsubishi/5K45/MMC5.0.1/5K457MG-47/CPD/TC162_Try_2.MF4.xz,NCAP3 long,RadarFC_Master,NCAP3 long,CPD,dummy</v>
      </c>
      <c r="L662" s="85" t="s">
        <v>3739</v>
      </c>
      <c r="M662" t="s">
        <v>1035</v>
      </c>
      <c r="N662" s="134" t="s">
        <v>239</v>
      </c>
    </row>
    <row r="663" spans="1:21" hidden="1">
      <c r="A663" s="38">
        <v>162</v>
      </c>
      <c r="B663" t="s">
        <v>405</v>
      </c>
      <c r="D663" s="97" t="e">
        <f>_xlfn.XLOOKUP(A663,[1]CPD_SOP_new!$A:$A,[1]CPD_SOP_new!#REF!,"not found",0 )</f>
        <v>#REF!</v>
      </c>
      <c r="E663" s="97" t="str">
        <f>_xlfn.XLOOKUP(A663,[1]CPD_SOP_new!$A:$A,[1]CPD_SOP_new!$K:$K,"not found",0 )</f>
        <v>2R</v>
      </c>
      <c r="F663" t="s">
        <v>27</v>
      </c>
      <c r="G663" t="s">
        <v>27</v>
      </c>
      <c r="H663" t="s">
        <v>27</v>
      </c>
      <c r="I663" s="130" t="s">
        <v>27</v>
      </c>
      <c r="J663" s="130" t="s">
        <v>237</v>
      </c>
      <c r="K663" s="85" t="str">
        <f t="shared" si="10"/>
        <v>/mnt/measurements/07_CANape/Mitsubishi/5K45/MMC5.0.1/5K457MG-47/CPD/TC162_Try_3.MF4.xz,NCAP3 long,RadarFC_Master,NCAP3 long,CPD,dummy</v>
      </c>
      <c r="L663" s="85" t="s">
        <v>3740</v>
      </c>
      <c r="M663" t="s">
        <v>1036</v>
      </c>
      <c r="N663" s="134" t="s">
        <v>239</v>
      </c>
    </row>
    <row r="664" spans="1:21" hidden="1">
      <c r="A664" s="38">
        <v>163</v>
      </c>
      <c r="B664" t="s">
        <v>405</v>
      </c>
      <c r="D664" s="97" t="e">
        <f>_xlfn.XLOOKUP(A664,[1]CPD_SOP_new!$A:$A,[1]CPD_SOP_new!#REF!,"not found",0 )</f>
        <v>#REF!</v>
      </c>
      <c r="E664" s="97" t="str">
        <f>_xlfn.XLOOKUP(A664,[1]CPD_SOP_new!$A:$A,[1]CPD_SOP_new!$K:$K,"not found",0 )</f>
        <v>2L</v>
      </c>
      <c r="F664" t="s">
        <v>27</v>
      </c>
      <c r="G664" t="s">
        <v>27</v>
      </c>
      <c r="H664" t="s">
        <v>27</v>
      </c>
      <c r="I664" s="130" t="s">
        <v>27</v>
      </c>
      <c r="J664" s="130" t="s">
        <v>237</v>
      </c>
      <c r="K664" s="85" t="str">
        <f t="shared" si="10"/>
        <v>/mnt/measurements/07_CANape/Mitsubishi/5K45/MMC5.0.1/5K457MG-47/CPD/TC163_Try_1.MF4.xz,NCAP3 long,RadarFC_Master,NCAP3 long,CPD,dummy</v>
      </c>
      <c r="L664" s="85" t="s">
        <v>3741</v>
      </c>
      <c r="M664" t="s">
        <v>1043</v>
      </c>
      <c r="N664" s="134" t="s">
        <v>239</v>
      </c>
    </row>
    <row r="665" spans="1:21" hidden="1">
      <c r="A665" s="38">
        <v>163</v>
      </c>
      <c r="B665" t="s">
        <v>405</v>
      </c>
      <c r="D665" s="97" t="e">
        <f>_xlfn.XLOOKUP(A665,[1]CPD_SOP_new!$A:$A,[1]CPD_SOP_new!#REF!,"not found",0 )</f>
        <v>#REF!</v>
      </c>
      <c r="E665" s="97" t="str">
        <f>_xlfn.XLOOKUP(A665,[1]CPD_SOP_new!$A:$A,[1]CPD_SOP_new!$K:$K,"not found",0 )</f>
        <v>2L</v>
      </c>
      <c r="F665" t="s">
        <v>27</v>
      </c>
      <c r="G665" t="s">
        <v>27</v>
      </c>
      <c r="H665" t="s">
        <v>27</v>
      </c>
      <c r="I665" s="130" t="s">
        <v>27</v>
      </c>
      <c r="J665" s="130" t="s">
        <v>237</v>
      </c>
      <c r="K665" s="85" t="str">
        <f t="shared" si="10"/>
        <v>/mnt/measurements/07_CANape/Mitsubishi/5K45/MMC5.0.1/5K457MG-47/CPD/TC163_Try_2.MF4.xz,NCAP3 long,RadarFC_Master,NCAP3 long,CPD,dummy</v>
      </c>
      <c r="L665" s="85" t="s">
        <v>3742</v>
      </c>
      <c r="M665" t="s">
        <v>1044</v>
      </c>
      <c r="N665" s="134" t="s">
        <v>239</v>
      </c>
    </row>
    <row r="666" spans="1:21" hidden="1">
      <c r="A666" s="38">
        <v>163</v>
      </c>
      <c r="B666" t="s">
        <v>405</v>
      </c>
      <c r="D666" s="97" t="e">
        <f>_xlfn.XLOOKUP(A666,[1]CPD_SOP_new!$A:$A,[1]CPD_SOP_new!#REF!,"not found",0 )</f>
        <v>#REF!</v>
      </c>
      <c r="E666" s="97" t="str">
        <f>_xlfn.XLOOKUP(A666,[1]CPD_SOP_new!$A:$A,[1]CPD_SOP_new!$K:$K,"not found",0 )</f>
        <v>2L</v>
      </c>
      <c r="F666" t="s">
        <v>27</v>
      </c>
      <c r="G666" t="s">
        <v>27</v>
      </c>
      <c r="H666" t="s">
        <v>27</v>
      </c>
      <c r="I666" s="130" t="s">
        <v>27</v>
      </c>
      <c r="J666" s="130" t="s">
        <v>237</v>
      </c>
      <c r="K666" s="85" t="str">
        <f t="shared" si="10"/>
        <v>/mnt/measurements/07_CANape/Mitsubishi/5K45/MMC5.0.1/5K457MG-47/CPD/TC163_Try_3.MF4.xz,NCAP3 long,RadarFC_Master,NCAP3 long,CPD,dummy</v>
      </c>
      <c r="L666" s="85" t="s">
        <v>3743</v>
      </c>
      <c r="M666" t="s">
        <v>1045</v>
      </c>
      <c r="N666" s="134" t="s">
        <v>239</v>
      </c>
    </row>
    <row r="667" spans="1:21" hidden="1">
      <c r="A667" s="38">
        <v>164</v>
      </c>
      <c r="B667" t="s">
        <v>405</v>
      </c>
      <c r="D667" s="97" t="e">
        <f>_xlfn.XLOOKUP(A667,[1]CPD_SOP_new!$A:$A,[1]CPD_SOP_new!#REF!,"not found",0 )</f>
        <v>#REF!</v>
      </c>
      <c r="E667" s="97" t="str">
        <f>_xlfn.XLOOKUP(A667,[1]CPD_SOP_new!$A:$A,[1]CPD_SOP_new!$K:$K,"not found",0 )</f>
        <v>2C</v>
      </c>
      <c r="F667" t="s">
        <v>27</v>
      </c>
      <c r="G667" t="s">
        <v>27</v>
      </c>
      <c r="H667" t="s">
        <v>27</v>
      </c>
      <c r="I667" s="130" t="s">
        <v>27</v>
      </c>
      <c r="J667" s="130" t="s">
        <v>237</v>
      </c>
      <c r="K667" s="85" t="str">
        <f t="shared" si="10"/>
        <v>/mnt/measurements/07_CANape/Mitsubishi/5K45/MMC5.0.1/5K457MG-47/CPD/TC164_Try_1.MF4.xz,NCAP3 long,RadarFC_Master,NCAP3 long,CPD,dummy</v>
      </c>
      <c r="L667" s="85" t="s">
        <v>3744</v>
      </c>
      <c r="M667" t="s">
        <v>1046</v>
      </c>
      <c r="N667" s="134" t="s">
        <v>239</v>
      </c>
    </row>
    <row r="668" spans="1:21" hidden="1">
      <c r="A668" s="38">
        <v>164</v>
      </c>
      <c r="B668" t="s">
        <v>405</v>
      </c>
      <c r="D668" s="97" t="e">
        <f>_xlfn.XLOOKUP(A668,[1]CPD_SOP_new!$A:$A,[1]CPD_SOP_new!#REF!,"not found",0 )</f>
        <v>#REF!</v>
      </c>
      <c r="E668" s="97" t="str">
        <f>_xlfn.XLOOKUP(A668,[1]CPD_SOP_new!$A:$A,[1]CPD_SOP_new!$K:$K,"not found",0 )</f>
        <v>2C</v>
      </c>
      <c r="F668" t="s">
        <v>27</v>
      </c>
      <c r="G668" t="s">
        <v>27</v>
      </c>
      <c r="H668" t="s">
        <v>27</v>
      </c>
      <c r="I668" s="130" t="s">
        <v>27</v>
      </c>
      <c r="J668" s="130" t="s">
        <v>237</v>
      </c>
      <c r="K668" s="85" t="str">
        <f t="shared" si="10"/>
        <v>/mnt/measurements/07_CANape/Mitsubishi/5K45/MMC5.0.1/5K457MG-47/CPD/TC164_Try_2.MF4.xz,NCAP3 long,RadarFC_Master,NCAP3 long,CPD,dummy</v>
      </c>
      <c r="L668" s="85" t="s">
        <v>3745</v>
      </c>
      <c r="M668" t="s">
        <v>1047</v>
      </c>
      <c r="N668" s="134" t="s">
        <v>239</v>
      </c>
    </row>
    <row r="669" spans="1:21" hidden="1">
      <c r="A669" s="38">
        <v>164</v>
      </c>
      <c r="B669" t="s">
        <v>405</v>
      </c>
      <c r="D669" s="97" t="e">
        <f>_xlfn.XLOOKUP(A669,[1]CPD_SOP_new!$A:$A,[1]CPD_SOP_new!#REF!,"not found",0 )</f>
        <v>#REF!</v>
      </c>
      <c r="E669" s="97" t="str">
        <f>_xlfn.XLOOKUP(A669,[1]CPD_SOP_new!$A:$A,[1]CPD_SOP_new!$K:$K,"not found",0 )</f>
        <v>2C</v>
      </c>
      <c r="F669" t="s">
        <v>27</v>
      </c>
      <c r="G669" t="s">
        <v>27</v>
      </c>
      <c r="H669" t="s">
        <v>27</v>
      </c>
      <c r="I669" s="130" t="s">
        <v>27</v>
      </c>
      <c r="J669" s="130" t="s">
        <v>237</v>
      </c>
      <c r="K669" s="85" t="str">
        <f t="shared" si="10"/>
        <v>/mnt/measurements/07_CANape/Mitsubishi/5K45/MMC5.0.1/5K457MG-47/CPD/TC164_Try_3.MF4.xz,NCAP3 long,RadarFC_Master,NCAP3 long,CPD,dummy</v>
      </c>
      <c r="L669" s="85" t="s">
        <v>3746</v>
      </c>
      <c r="M669" t="s">
        <v>1048</v>
      </c>
      <c r="N669" s="134" t="s">
        <v>239</v>
      </c>
    </row>
    <row r="670" spans="1:21" hidden="1">
      <c r="A670" s="38">
        <v>165</v>
      </c>
      <c r="B670" t="s">
        <v>405</v>
      </c>
      <c r="D670" s="97" t="e">
        <f>_xlfn.XLOOKUP(A670,[1]CPD_SOP_new!$A:$A,[1]CPD_SOP_new!#REF!,"not found",0 )</f>
        <v>#REF!</v>
      </c>
      <c r="E670" s="97" t="str">
        <f>_xlfn.XLOOKUP(A670,[1]CPD_SOP_new!$A:$A,[1]CPD_SOP_new!$K:$K,"not found",0 )</f>
        <v>3R</v>
      </c>
      <c r="F670" t="s">
        <v>27</v>
      </c>
      <c r="G670" t="s">
        <v>28</v>
      </c>
      <c r="H670" t="s">
        <v>28</v>
      </c>
      <c r="I670" s="130" t="s">
        <v>27</v>
      </c>
      <c r="J670" s="130" t="s">
        <v>237</v>
      </c>
      <c r="K670" s="85" t="str">
        <f t="shared" si="10"/>
        <v>/mnt/measurements/07_CANape/Mitsubishi/5K45/MMC5.0.1/5K457MG-47/CPD/TC165_Try_1.MF4.xz,NCAP3 long,RadarFC_Master,NCAP3 long,CPD,dummy</v>
      </c>
      <c r="L670" s="85" t="s">
        <v>3747</v>
      </c>
      <c r="M670" t="s">
        <v>449</v>
      </c>
      <c r="N670" s="134" t="s">
        <v>239</v>
      </c>
    </row>
    <row r="671" spans="1:21" hidden="1">
      <c r="A671" s="38">
        <v>165</v>
      </c>
      <c r="B671" t="s">
        <v>405</v>
      </c>
      <c r="D671" s="97" t="e">
        <f>_xlfn.XLOOKUP(A671,[1]CPD_SOP_new!$A:$A,[1]CPD_SOP_new!#REF!,"not found",0 )</f>
        <v>#REF!</v>
      </c>
      <c r="E671" s="97" t="str">
        <f>_xlfn.XLOOKUP(A671,[1]CPD_SOP_new!$A:$A,[1]CPD_SOP_new!$K:$K,"not found",0 )</f>
        <v>3R</v>
      </c>
      <c r="F671" t="s">
        <v>27</v>
      </c>
      <c r="G671" t="s">
        <v>28</v>
      </c>
      <c r="H671" t="s">
        <v>28</v>
      </c>
      <c r="I671" s="130" t="s">
        <v>27</v>
      </c>
      <c r="J671" s="130" t="s">
        <v>237</v>
      </c>
      <c r="K671" s="85" t="str">
        <f t="shared" si="10"/>
        <v>/mnt/measurements/07_CANape/Mitsubishi/5K45/MMC5.0.1/5K457MG-47/CPD/TC165_Try_2.MF4.xz,NCAP3 long,RadarFC_Master,NCAP3 long,CPD,dummy</v>
      </c>
      <c r="L671" s="85" t="s">
        <v>3748</v>
      </c>
      <c r="M671" t="s">
        <v>450</v>
      </c>
      <c r="N671" s="134" t="s">
        <v>239</v>
      </c>
    </row>
    <row r="672" spans="1:21" hidden="1">
      <c r="A672" s="38">
        <v>165</v>
      </c>
      <c r="B672" t="s">
        <v>405</v>
      </c>
      <c r="D672" s="97" t="e">
        <f>_xlfn.XLOOKUP(A672,[1]CPD_SOP_new!$A:$A,[1]CPD_SOP_new!#REF!,"not found",0 )</f>
        <v>#REF!</v>
      </c>
      <c r="E672" s="97" t="str">
        <f>_xlfn.XLOOKUP(A672,[1]CPD_SOP_new!$A:$A,[1]CPD_SOP_new!$K:$K,"not found",0 )</f>
        <v>3R</v>
      </c>
      <c r="F672" t="s">
        <v>27</v>
      </c>
      <c r="G672" t="s">
        <v>28</v>
      </c>
      <c r="H672" t="s">
        <v>28</v>
      </c>
      <c r="I672" s="130" t="s">
        <v>27</v>
      </c>
      <c r="J672" s="130" t="s">
        <v>237</v>
      </c>
      <c r="K672" s="85" t="str">
        <f t="shared" si="10"/>
        <v>/mnt/measurements/07_CANape/Mitsubishi/5K45/MMC5.0.1/5K457MG-47/CPD/TC165_Try_3.MF4.xz,NCAP3 long,RadarFC_Master,NCAP3 long,CPD,dummy</v>
      </c>
      <c r="L672" s="85" t="s">
        <v>3749</v>
      </c>
      <c r="M672" t="s">
        <v>451</v>
      </c>
      <c r="N672" s="134" t="s">
        <v>239</v>
      </c>
    </row>
    <row r="673" spans="1:14" hidden="1">
      <c r="A673" s="38">
        <v>166</v>
      </c>
      <c r="B673" t="s">
        <v>405</v>
      </c>
      <c r="D673" s="97" t="e">
        <f>_xlfn.XLOOKUP(A673,[1]CPD_SOP_new!$A:$A,[1]CPD_SOP_new!#REF!,"not found",0 )</f>
        <v>#REF!</v>
      </c>
      <c r="E673" s="97" t="str">
        <f>_xlfn.XLOOKUP(A673,[1]CPD_SOP_new!$A:$A,[1]CPD_SOP_new!$K:$K,"not found",0 )</f>
        <v>3L</v>
      </c>
      <c r="F673" t="s">
        <v>27</v>
      </c>
      <c r="G673" t="s">
        <v>27</v>
      </c>
      <c r="H673" t="s">
        <v>27</v>
      </c>
      <c r="I673" s="130" t="s">
        <v>27</v>
      </c>
      <c r="J673" s="130" t="s">
        <v>237</v>
      </c>
      <c r="K673" s="85" t="str">
        <f t="shared" si="10"/>
        <v>/mnt/measurements/07_CANape/Mitsubishi/5K45/MMC5.0.1/5K457MG-47/CPD/TC166_Try_1.MF4.xz,NCAP3 long,RadarFC_Master,NCAP3 long,CPD,dummy</v>
      </c>
      <c r="L673" s="85" t="s">
        <v>3750</v>
      </c>
      <c r="M673" t="s">
        <v>1052</v>
      </c>
      <c r="N673" s="134" t="s">
        <v>239</v>
      </c>
    </row>
    <row r="674" spans="1:14" hidden="1">
      <c r="A674" s="38">
        <v>166</v>
      </c>
      <c r="B674" t="s">
        <v>405</v>
      </c>
      <c r="D674" s="97" t="e">
        <f>_xlfn.XLOOKUP(A674,[1]CPD_SOP_new!$A:$A,[1]CPD_SOP_new!#REF!,"not found",0 )</f>
        <v>#REF!</v>
      </c>
      <c r="E674" s="97" t="str">
        <f>_xlfn.XLOOKUP(A674,[1]CPD_SOP_new!$A:$A,[1]CPD_SOP_new!$K:$K,"not found",0 )</f>
        <v>3L</v>
      </c>
      <c r="F674" t="s">
        <v>27</v>
      </c>
      <c r="G674" t="s">
        <v>27</v>
      </c>
      <c r="H674" t="s">
        <v>27</v>
      </c>
      <c r="I674" s="130" t="s">
        <v>27</v>
      </c>
      <c r="J674" s="130" t="s">
        <v>237</v>
      </c>
      <c r="K674" s="85" t="str">
        <f t="shared" si="10"/>
        <v>/mnt/measurements/07_CANape/Mitsubishi/5K45/MMC5.0.1/5K457MG-47/CPD/TC166_Try_2.MF4.xz,NCAP3 long,RadarFC_Master,NCAP3 long,CPD,dummy</v>
      </c>
      <c r="L674" s="85" t="s">
        <v>3751</v>
      </c>
      <c r="M674" t="s">
        <v>1053</v>
      </c>
      <c r="N674" s="134" t="s">
        <v>239</v>
      </c>
    </row>
    <row r="675" spans="1:14">
      <c r="A675" s="59">
        <v>135</v>
      </c>
      <c r="B675" t="s">
        <v>234</v>
      </c>
      <c r="D675" s="97">
        <v>2</v>
      </c>
      <c r="E675" s="97" t="s">
        <v>860</v>
      </c>
      <c r="F675" t="s">
        <v>27</v>
      </c>
      <c r="G675" t="s">
        <v>27</v>
      </c>
      <c r="H675" t="s">
        <v>27</v>
      </c>
      <c r="I675" t="s">
        <v>28</v>
      </c>
      <c r="J675" s="85" t="s">
        <v>828</v>
      </c>
      <c r="K675" s="85" t="str">
        <f t="shared" si="10"/>
        <v>/mnt/measurements/07_CANape/Mitsubishi/5K45/5.3.0_RC6.2/5K457EG11/CSRGIMMC-2250/CSR_XCP_Signals_Recorder_2026-02-05_15-53-32_TC135_StaticToy2L_BagF2C_CPD.MF4.xz,empty,RadarFC_Master,empty,CPD,dummy</v>
      </c>
      <c r="L675" s="85" t="s">
        <v>3752</v>
      </c>
      <c r="M675" t="s">
        <v>864</v>
      </c>
      <c r="N675" t="s">
        <v>831</v>
      </c>
    </row>
    <row r="676" spans="1:14">
      <c r="A676" s="59">
        <v>135</v>
      </c>
      <c r="B676" t="s">
        <v>234</v>
      </c>
      <c r="D676" s="97">
        <v>2</v>
      </c>
      <c r="E676" s="97" t="s">
        <v>860</v>
      </c>
      <c r="F676" t="s">
        <v>27</v>
      </c>
      <c r="G676" t="s">
        <v>27</v>
      </c>
      <c r="H676" t="s">
        <v>27</v>
      </c>
      <c r="I676" t="s">
        <v>28</v>
      </c>
      <c r="J676" s="85" t="s">
        <v>828</v>
      </c>
      <c r="K676" s="85" t="str">
        <f t="shared" si="10"/>
        <v>/mnt/measurements/07_CANape/Mitsubishi/5K45/5.3.0_RC6.2/5K457EG11/CSRGIMMC-2250/CSR_XCP_Signals_Recorder_2026-02-05_15-55-10_TC135_StaticToy2L_BagF2C_CPD.MF4.xz,empty,RadarFC_Master,empty,CPD,dummy</v>
      </c>
      <c r="L676" s="85" t="s">
        <v>3753</v>
      </c>
      <c r="M676" t="s">
        <v>866</v>
      </c>
      <c r="N676" t="s">
        <v>831</v>
      </c>
    </row>
    <row r="677" spans="1:14">
      <c r="A677" s="59">
        <v>135</v>
      </c>
      <c r="B677" t="s">
        <v>234</v>
      </c>
      <c r="D677" s="97">
        <v>2</v>
      </c>
      <c r="E677" s="97" t="s">
        <v>860</v>
      </c>
      <c r="F677" t="s">
        <v>27</v>
      </c>
      <c r="G677" t="s">
        <v>27</v>
      </c>
      <c r="H677" t="s">
        <v>27</v>
      </c>
      <c r="I677" t="s">
        <v>28</v>
      </c>
      <c r="J677" s="85" t="s">
        <v>828</v>
      </c>
      <c r="K677" s="85" t="str">
        <f t="shared" si="10"/>
        <v>/mnt/measurements/07_CANape/Mitsubishi/5K45/5.3.0_RC6.2/5K457EG11/CSRGIMMC-2250/CSR_XCP_Signals_Recorder_2026-02-05_15-56-41_TC135_StaticToy2L_BagF2C_CPD.MF4.xz,empty,RadarFC_Master,empty,CPD,dummy</v>
      </c>
      <c r="L677" s="85" t="s">
        <v>3754</v>
      </c>
      <c r="M677" t="s">
        <v>867</v>
      </c>
      <c r="N677" t="s">
        <v>831</v>
      </c>
    </row>
    <row r="678" spans="1:14">
      <c r="A678" s="59">
        <v>135</v>
      </c>
      <c r="B678" t="s">
        <v>234</v>
      </c>
      <c r="D678" s="97">
        <v>2</v>
      </c>
      <c r="E678" s="97" t="s">
        <v>860</v>
      </c>
      <c r="F678" t="s">
        <v>27</v>
      </c>
      <c r="G678" t="s">
        <v>27</v>
      </c>
      <c r="H678" t="s">
        <v>27</v>
      </c>
      <c r="I678" t="s">
        <v>28</v>
      </c>
      <c r="J678" s="85" t="s">
        <v>828</v>
      </c>
      <c r="K678" s="85" t="str">
        <f t="shared" si="10"/>
        <v>/mnt/measurements/07_CANape/Mitsubishi/5K45/5.3.0_RC6.2/5K457EG11/CSRGIMMC-2250/CSR_XCP_Signals_Recorder_2026-02-05_15-58-52_TC135_StaticToy2L_BagF2C_CPD.MF4.xz,empty,RadarFC_Master,empty,CPD,dummy</v>
      </c>
      <c r="L678" s="85" t="s">
        <v>3755</v>
      </c>
      <c r="M678" t="s">
        <v>868</v>
      </c>
      <c r="N678" t="s">
        <v>831</v>
      </c>
    </row>
    <row r="679" spans="1:14">
      <c r="A679" s="59">
        <v>135</v>
      </c>
      <c r="B679" t="s">
        <v>234</v>
      </c>
      <c r="D679" s="97">
        <v>2</v>
      </c>
      <c r="E679" s="97" t="s">
        <v>860</v>
      </c>
      <c r="F679" t="s">
        <v>27</v>
      </c>
      <c r="G679" t="s">
        <v>27</v>
      </c>
      <c r="H679" t="s">
        <v>27</v>
      </c>
      <c r="I679" t="s">
        <v>28</v>
      </c>
      <c r="J679" s="85" t="s">
        <v>828</v>
      </c>
      <c r="K679" s="85" t="str">
        <f t="shared" si="10"/>
        <v>/mnt/measurements/07_CANape/Mitsubishi/5K45/5.3.0_RC6.2/5K457EG11/CSRGIMMC-2250/CSR_XCP_Signals_Recorder_2026-02-05_16-01-12_TC135_StaticToy2L_BagF2C_CPD.MF4.xz,empty,RadarFC_Master,empty,CPD,dummy</v>
      </c>
      <c r="L679" s="85" t="s">
        <v>3756</v>
      </c>
      <c r="M679" t="s">
        <v>869</v>
      </c>
      <c r="N679" t="s">
        <v>831</v>
      </c>
    </row>
    <row r="680" spans="1:14">
      <c r="A680" s="59">
        <v>136</v>
      </c>
      <c r="B680" t="s">
        <v>234</v>
      </c>
      <c r="D680" s="97">
        <v>2</v>
      </c>
      <c r="E680" s="97" t="s">
        <v>870</v>
      </c>
      <c r="F680" t="s">
        <v>27</v>
      </c>
      <c r="G680" t="s">
        <v>27</v>
      </c>
      <c r="H680" t="s">
        <v>27</v>
      </c>
      <c r="I680" t="s">
        <v>28</v>
      </c>
      <c r="J680" s="85" t="s">
        <v>828</v>
      </c>
      <c r="K680" s="85" t="str">
        <f t="shared" si="10"/>
        <v>/mnt/measurements/07_CANape/Mitsubishi/5K45/5.3.0_RC6.2/5K457EG11/CSRGIMMC-2250/CSR_XCP_Signals_Recorder_2026-02-05_16-07-52_TC136_MovingToy2C_BagF3R_CPD.MF4.xz,empty,RadarFC_Master,empty,CPD,dummy</v>
      </c>
      <c r="L680" s="85" t="s">
        <v>3757</v>
      </c>
      <c r="M680" t="s">
        <v>874</v>
      </c>
      <c r="N680" t="s">
        <v>831</v>
      </c>
    </row>
    <row r="681" spans="1:14">
      <c r="A681" s="59">
        <v>136</v>
      </c>
      <c r="B681" t="s">
        <v>234</v>
      </c>
      <c r="D681" s="97">
        <v>2</v>
      </c>
      <c r="E681" s="97" t="s">
        <v>870</v>
      </c>
      <c r="F681" t="s">
        <v>27</v>
      </c>
      <c r="G681" t="s">
        <v>27</v>
      </c>
      <c r="H681" t="s">
        <v>27</v>
      </c>
      <c r="I681" t="s">
        <v>28</v>
      </c>
      <c r="J681" s="85" t="s">
        <v>828</v>
      </c>
      <c r="K681" s="85" t="str">
        <f t="shared" si="10"/>
        <v>/mnt/measurements/07_CANape/Mitsubishi/5K45/5.3.0_RC6.2/5K457EG11/CSRGIMMC-2250/CSR_XCP_Signals_Recorder_2026-02-05_16-10-17_TC136_MovingToy2C_BagF3R_CPD.MF4.xz,empty,RadarFC_Master,empty,CPD,dummy</v>
      </c>
      <c r="L681" s="85" t="s">
        <v>3758</v>
      </c>
      <c r="M681" t="s">
        <v>876</v>
      </c>
      <c r="N681" t="s">
        <v>831</v>
      </c>
    </row>
    <row r="682" spans="1:14">
      <c r="A682" s="59">
        <v>136</v>
      </c>
      <c r="B682" t="s">
        <v>234</v>
      </c>
      <c r="D682" s="97">
        <v>2</v>
      </c>
      <c r="E682" s="97" t="s">
        <v>870</v>
      </c>
      <c r="F682" t="s">
        <v>27</v>
      </c>
      <c r="G682" t="s">
        <v>27</v>
      </c>
      <c r="H682" t="s">
        <v>27</v>
      </c>
      <c r="I682" t="s">
        <v>28</v>
      </c>
      <c r="J682" s="85" t="s">
        <v>828</v>
      </c>
      <c r="K682" s="85" t="str">
        <f t="shared" si="10"/>
        <v>/mnt/measurements/07_CANape/Mitsubishi/5K45/5.3.0_RC6.2/5K457EG11/CSRGIMMC-2250/CSR_XCP_Signals_Recorder_2026-02-05_16-12-32_TC136_MovingToy2C_BagF3R_CPD.MF4.xz,empty,RadarFC_Master,empty,CPD,dummy</v>
      </c>
      <c r="L682" s="85" t="s">
        <v>3759</v>
      </c>
      <c r="M682" t="s">
        <v>877</v>
      </c>
      <c r="N682" t="s">
        <v>831</v>
      </c>
    </row>
    <row r="683" spans="1:14">
      <c r="A683" s="59">
        <v>136</v>
      </c>
      <c r="B683" t="s">
        <v>234</v>
      </c>
      <c r="D683" s="97">
        <v>2</v>
      </c>
      <c r="E683" s="97" t="s">
        <v>870</v>
      </c>
      <c r="F683" t="s">
        <v>27</v>
      </c>
      <c r="G683" t="s">
        <v>27</v>
      </c>
      <c r="H683" t="s">
        <v>27</v>
      </c>
      <c r="I683" t="s">
        <v>28</v>
      </c>
      <c r="J683" s="85" t="s">
        <v>828</v>
      </c>
      <c r="K683" s="85" t="str">
        <f t="shared" si="10"/>
        <v>/mnt/measurements/07_CANape/Mitsubishi/5K45/5.3.0_RC6.2/5K457EG11/CSRGIMMC-2250/CSR_XCP_Signals_Recorder_2026-02-05_16-14-45_TC136_MovingToy2C_BagF3R_CPD.MF4.xz,empty,RadarFC_Master,empty,CPD,dummy</v>
      </c>
      <c r="L683" s="85" t="s">
        <v>3760</v>
      </c>
      <c r="M683" t="s">
        <v>878</v>
      </c>
      <c r="N683" t="s">
        <v>831</v>
      </c>
    </row>
    <row r="684" spans="1:14">
      <c r="A684" s="59">
        <v>136</v>
      </c>
      <c r="B684" t="s">
        <v>234</v>
      </c>
      <c r="D684" s="97">
        <v>2</v>
      </c>
      <c r="E684" s="97" t="s">
        <v>870</v>
      </c>
      <c r="F684" t="s">
        <v>27</v>
      </c>
      <c r="G684" t="s">
        <v>27</v>
      </c>
      <c r="H684" t="s">
        <v>27</v>
      </c>
      <c r="I684" t="s">
        <v>28</v>
      </c>
      <c r="J684" s="85" t="s">
        <v>828</v>
      </c>
      <c r="K684" s="85" t="str">
        <f t="shared" si="10"/>
        <v>/mnt/measurements/07_CANape/Mitsubishi/5K45/5.3.0_RC6.2/5K457EG11/CSRGIMMC-2250/CSR_XCP_Signals_Recorder_2026-02-05_16-16-37_TC136_MovingToy2C_BagF3R_CPD.MF4.xz,empty,RadarFC_Master,empty,CPD,dummy</v>
      </c>
      <c r="L684" s="85" t="s">
        <v>3761</v>
      </c>
      <c r="M684" t="s">
        <v>879</v>
      </c>
      <c r="N684" t="s">
        <v>831</v>
      </c>
    </row>
    <row r="685" spans="1:14">
      <c r="A685" s="59">
        <v>137</v>
      </c>
      <c r="B685" t="s">
        <v>234</v>
      </c>
      <c r="D685" s="97">
        <v>3</v>
      </c>
      <c r="E685" s="97" t="s">
        <v>880</v>
      </c>
      <c r="F685" t="s">
        <v>27</v>
      </c>
      <c r="G685" t="s">
        <v>27</v>
      </c>
      <c r="H685" t="s">
        <v>27</v>
      </c>
      <c r="I685" t="s">
        <v>28</v>
      </c>
      <c r="J685" s="85" t="s">
        <v>828</v>
      </c>
      <c r="K685" s="85" t="str">
        <f t="shared" si="10"/>
        <v>/mnt/measurements/07_CANape/Mitsubishi/5K45/5.3.0_RC6.2/5K457EG11/CSRGIMMC-2250/CSR_XCP_Signals_Recorder_2026-02-05_16-23-24_TC137_StaticToy3R_BagF3L_CPD.MF4.xz,empty,RadarFC_Master,empty,CPD,dummy</v>
      </c>
      <c r="L685" s="85" t="s">
        <v>3762</v>
      </c>
      <c r="M685" t="s">
        <v>884</v>
      </c>
      <c r="N685" t="s">
        <v>831</v>
      </c>
    </row>
    <row r="686" spans="1:14">
      <c r="A686" s="59">
        <v>137</v>
      </c>
      <c r="B686" t="s">
        <v>234</v>
      </c>
      <c r="D686" s="97">
        <v>3</v>
      </c>
      <c r="E686" s="97" t="s">
        <v>880</v>
      </c>
      <c r="F686" t="s">
        <v>27</v>
      </c>
      <c r="G686" t="s">
        <v>27</v>
      </c>
      <c r="H686" t="s">
        <v>27</v>
      </c>
      <c r="I686" t="s">
        <v>28</v>
      </c>
      <c r="J686" s="85" t="s">
        <v>828</v>
      </c>
      <c r="K686" s="85" t="str">
        <f t="shared" si="10"/>
        <v>/mnt/measurements/07_CANape/Mitsubishi/5K45/5.3.0_RC6.2/5K457EG11/CSRGIMMC-2250/CSR_XCP_Signals_Recorder_2026-02-05_16-25-08_TC137_StaticToy3R_BagF3L_CPD.MF4.xz,empty,RadarFC_Master,empty,CPD,dummy</v>
      </c>
      <c r="L686" s="85" t="s">
        <v>3763</v>
      </c>
      <c r="M686" t="s">
        <v>886</v>
      </c>
      <c r="N686" t="s">
        <v>831</v>
      </c>
    </row>
    <row r="687" spans="1:14">
      <c r="A687" s="59">
        <v>137</v>
      </c>
      <c r="B687" t="s">
        <v>234</v>
      </c>
      <c r="D687" s="97">
        <v>3</v>
      </c>
      <c r="E687" s="97" t="s">
        <v>880</v>
      </c>
      <c r="F687" t="s">
        <v>27</v>
      </c>
      <c r="G687" t="s">
        <v>27</v>
      </c>
      <c r="H687" t="s">
        <v>27</v>
      </c>
      <c r="I687" t="s">
        <v>28</v>
      </c>
      <c r="J687" s="85" t="s">
        <v>828</v>
      </c>
      <c r="K687" s="85" t="str">
        <f t="shared" si="10"/>
        <v>/mnt/measurements/07_CANape/Mitsubishi/5K45/5.3.0_RC6.2/5K457EG11/CSRGIMMC-2250/CSR_XCP_Signals_Recorder_2026-02-05_16-27-38_TC137_StaticToy3R_BagF3L_CPD.MF4.xz,empty,RadarFC_Master,empty,CPD,dummy</v>
      </c>
      <c r="L687" s="85" t="s">
        <v>3764</v>
      </c>
      <c r="M687" t="s">
        <v>887</v>
      </c>
      <c r="N687" t="s">
        <v>831</v>
      </c>
    </row>
    <row r="688" spans="1:14">
      <c r="A688" s="59">
        <v>137</v>
      </c>
      <c r="B688" t="s">
        <v>234</v>
      </c>
      <c r="D688" s="97">
        <v>3</v>
      </c>
      <c r="E688" s="97" t="s">
        <v>880</v>
      </c>
      <c r="F688" t="s">
        <v>27</v>
      </c>
      <c r="G688" t="s">
        <v>27</v>
      </c>
      <c r="H688" t="s">
        <v>27</v>
      </c>
      <c r="I688" t="s">
        <v>28</v>
      </c>
      <c r="J688" s="85" t="s">
        <v>828</v>
      </c>
      <c r="K688" s="85" t="str">
        <f t="shared" si="10"/>
        <v>/mnt/measurements/07_CANape/Mitsubishi/5K45/5.3.0_RC6.2/5K457EG11/CSRGIMMC-2250/CSR_XCP_Signals_Recorder_2026-02-05_16-38-27_TC137_StaticToy3R_BagF3L_CPD.MF4.xz,empty,RadarFC_Master,empty,CPD,dummy</v>
      </c>
      <c r="L688" s="85" t="s">
        <v>3765</v>
      </c>
      <c r="M688" t="s">
        <v>890</v>
      </c>
      <c r="N688" t="s">
        <v>831</v>
      </c>
    </row>
    <row r="689" spans="1:21">
      <c r="A689" s="59">
        <v>140</v>
      </c>
      <c r="B689" t="s">
        <v>234</v>
      </c>
      <c r="D689" s="97">
        <v>2</v>
      </c>
      <c r="E689" s="97" t="s">
        <v>902</v>
      </c>
      <c r="F689" t="s">
        <v>27</v>
      </c>
      <c r="G689" t="s">
        <v>27</v>
      </c>
      <c r="H689" t="s">
        <v>27</v>
      </c>
      <c r="I689" t="s">
        <v>28</v>
      </c>
      <c r="J689" s="85" t="s">
        <v>828</v>
      </c>
      <c r="K689" s="85" t="str">
        <f t="shared" si="10"/>
        <v>/mnt/measurements/07_CANape/Mitsubishi/5K45/5.3.0_RC6.2/5K457EG11/CSRGIMMC-2250/CSR_XCP_Signals_Recorder_2026-02-05_16-42-37_TC140_Bag2R_StaticToyF1R_CPD.MF4.xz,empty,RadarFC_Master,empty,CPD,dummy</v>
      </c>
      <c r="L689" s="85" t="s">
        <v>3766</v>
      </c>
      <c r="M689" t="s">
        <v>903</v>
      </c>
      <c r="N689" t="s">
        <v>831</v>
      </c>
    </row>
    <row r="690" spans="1:21">
      <c r="A690" s="59">
        <v>140</v>
      </c>
      <c r="B690" t="s">
        <v>234</v>
      </c>
      <c r="D690" s="97">
        <v>2</v>
      </c>
      <c r="E690" s="97" t="s">
        <v>902</v>
      </c>
      <c r="F690" t="s">
        <v>27</v>
      </c>
      <c r="G690" t="s">
        <v>27</v>
      </c>
      <c r="H690" t="s">
        <v>27</v>
      </c>
      <c r="I690" t="s">
        <v>28</v>
      </c>
      <c r="J690" s="85" t="s">
        <v>828</v>
      </c>
      <c r="K690" s="85" t="str">
        <f t="shared" si="10"/>
        <v>/mnt/measurements/07_CANape/Mitsubishi/5K45/5.3.0_RC6.2/5K457EG11/CSRGIMMC-2250/CSR_XCP_Signals_Recorder_2026-02-05_16-44-16_TC140_Bag2R_StaticToyF1R_CPD.MF4.xz,empty,RadarFC_Master,empty,CPD,dummy</v>
      </c>
      <c r="L690" s="85" t="s">
        <v>3767</v>
      </c>
      <c r="M690" t="s">
        <v>905</v>
      </c>
      <c r="N690" t="s">
        <v>831</v>
      </c>
    </row>
    <row r="691" spans="1:21">
      <c r="A691" s="59">
        <v>140</v>
      </c>
      <c r="B691" t="s">
        <v>234</v>
      </c>
      <c r="D691" s="97">
        <v>2</v>
      </c>
      <c r="E691" s="97" t="s">
        <v>902</v>
      </c>
      <c r="F691" t="s">
        <v>27</v>
      </c>
      <c r="G691" t="s">
        <v>27</v>
      </c>
      <c r="H691" t="s">
        <v>27</v>
      </c>
      <c r="I691" t="s">
        <v>28</v>
      </c>
      <c r="J691" s="85" t="s">
        <v>828</v>
      </c>
      <c r="K691" s="85" t="str">
        <f t="shared" si="10"/>
        <v>/mnt/measurements/07_CANape/Mitsubishi/5K45/5.3.0_RC6.2/5K457EG11/CSRGIMMC-2250/CSR_XCP_Signals_Recorder_2026-02-05_16-45-47_TC140_Bag2R_StaticToyF1R_CPD.MF4.xz,empty,RadarFC_Master,empty,CPD,dummy</v>
      </c>
      <c r="L691" s="85" t="s">
        <v>3768</v>
      </c>
      <c r="M691" t="s">
        <v>906</v>
      </c>
      <c r="N691" t="s">
        <v>831</v>
      </c>
    </row>
    <row r="692" spans="1:21">
      <c r="A692" s="59">
        <v>140</v>
      </c>
      <c r="B692" t="s">
        <v>234</v>
      </c>
      <c r="D692" s="97">
        <v>2</v>
      </c>
      <c r="E692" s="97" t="s">
        <v>902</v>
      </c>
      <c r="F692" t="s">
        <v>27</v>
      </c>
      <c r="G692" t="s">
        <v>27</v>
      </c>
      <c r="H692" t="s">
        <v>27</v>
      </c>
      <c r="I692" t="s">
        <v>28</v>
      </c>
      <c r="J692" s="85" t="s">
        <v>828</v>
      </c>
      <c r="K692" s="85" t="str">
        <f t="shared" si="10"/>
        <v>/mnt/measurements/07_CANape/Mitsubishi/5K45/5.3.0_RC6.2/5K457EG11/CSRGIMMC-2250/CSR_XCP_Signals_Recorder_2026-02-05_16-47-23_TC140_Bag2R_StaticToyF1R_CPD.MF4.xz,empty,RadarFC_Master,empty,CPD,dummy</v>
      </c>
      <c r="L692" s="85" t="s">
        <v>3769</v>
      </c>
      <c r="M692" t="s">
        <v>907</v>
      </c>
      <c r="N692" t="s">
        <v>831</v>
      </c>
    </row>
    <row r="693" spans="1:21">
      <c r="A693" s="59">
        <v>140</v>
      </c>
      <c r="B693" t="s">
        <v>234</v>
      </c>
      <c r="D693" s="97">
        <v>2</v>
      </c>
      <c r="E693" s="97" t="s">
        <v>902</v>
      </c>
      <c r="F693" t="s">
        <v>27</v>
      </c>
      <c r="G693" t="s">
        <v>27</v>
      </c>
      <c r="H693" t="s">
        <v>27</v>
      </c>
      <c r="I693" t="s">
        <v>28</v>
      </c>
      <c r="J693" s="85" t="s">
        <v>828</v>
      </c>
      <c r="K693" s="85" t="str">
        <f t="shared" si="10"/>
        <v>/mnt/measurements/07_CANape/Mitsubishi/5K45/5.3.0_RC6.2/5K457EG11/CSRGIMMC-2250/CSR_XCP_Signals_Recorder_2026-02-05_16-49-15_TC140_Bag2R_StaticToyF1R_CPD.MF4.xz,empty,RadarFC_Master,empty,CPD,dummy</v>
      </c>
      <c r="L693" s="85" t="s">
        <v>3770</v>
      </c>
      <c r="M693" t="s">
        <v>908</v>
      </c>
      <c r="N693" t="s">
        <v>831</v>
      </c>
    </row>
    <row r="694" spans="1:21">
      <c r="A694" s="59">
        <v>142</v>
      </c>
      <c r="B694" t="s">
        <v>234</v>
      </c>
      <c r="D694" s="97">
        <v>2</v>
      </c>
      <c r="E694" s="97" t="s">
        <v>913</v>
      </c>
      <c r="F694" t="s">
        <v>27</v>
      </c>
      <c r="G694" t="s">
        <v>27</v>
      </c>
      <c r="H694" t="s">
        <v>27</v>
      </c>
      <c r="I694" t="s">
        <v>28</v>
      </c>
      <c r="J694" s="85" t="s">
        <v>828</v>
      </c>
      <c r="K694" s="85" t="str">
        <f t="shared" si="10"/>
        <v>/mnt/measurements/07_CANape/Mitsubishi/5K45/5.3.0_RC6.2/5K457EG11/CSRGIMMC-2250/CSR_XCP_Signals_Recorder_2026-02-05_16-55-13_TC142_Bag2C_StaticToyF2L_CPD.MF4.xz,empty,RadarFC_Master,empty,CPD,dummy</v>
      </c>
      <c r="L694" s="85" t="s">
        <v>3771</v>
      </c>
      <c r="M694" t="s">
        <v>917</v>
      </c>
      <c r="N694" t="s">
        <v>831</v>
      </c>
    </row>
    <row r="695" spans="1:21">
      <c r="A695" s="59">
        <v>142</v>
      </c>
      <c r="B695" t="s">
        <v>234</v>
      </c>
      <c r="D695" s="97">
        <v>2</v>
      </c>
      <c r="E695" s="97" t="s">
        <v>913</v>
      </c>
      <c r="F695" t="s">
        <v>27</v>
      </c>
      <c r="G695" t="s">
        <v>27</v>
      </c>
      <c r="H695" t="s">
        <v>27</v>
      </c>
      <c r="I695" t="s">
        <v>28</v>
      </c>
      <c r="J695" s="85" t="s">
        <v>828</v>
      </c>
      <c r="K695" s="85" t="str">
        <f t="shared" si="10"/>
        <v>/mnt/measurements/07_CANape/Mitsubishi/5K45/5.3.0_RC6.2/5K457EG11/CSRGIMMC-2250/CSR_XCP_Signals_Recorder_2026-02-05_16-57-50_TC142_Bag2C_StaticToyF2L_CPD.MF4.xz,empty,RadarFC_Master,empty,CPD,dummy</v>
      </c>
      <c r="L695" s="85" t="s">
        <v>3772</v>
      </c>
      <c r="M695" t="s">
        <v>919</v>
      </c>
      <c r="N695" t="s">
        <v>831</v>
      </c>
    </row>
    <row r="696" spans="1:21">
      <c r="A696" s="59">
        <v>142</v>
      </c>
      <c r="B696" t="s">
        <v>234</v>
      </c>
      <c r="D696" s="97">
        <v>2</v>
      </c>
      <c r="E696" s="97" t="s">
        <v>913</v>
      </c>
      <c r="F696" t="s">
        <v>27</v>
      </c>
      <c r="G696" t="s">
        <v>27</v>
      </c>
      <c r="H696" t="s">
        <v>27</v>
      </c>
      <c r="I696" t="s">
        <v>28</v>
      </c>
      <c r="J696" s="85" t="s">
        <v>828</v>
      </c>
      <c r="K696" s="85" t="str">
        <f t="shared" si="10"/>
        <v>/mnt/measurements/07_CANape/Mitsubishi/5K45/5.3.0_RC6.2/5K457EG11/CSRGIMMC-2250/CSR_XCP_Signals_Recorder_2026-02-05_16-59-41_TC142_Bag2C_StaticToyF2L_CPD.MF4.xz,empty,RadarFC_Master,empty,CPD,dummy</v>
      </c>
      <c r="L696" s="85" t="s">
        <v>3773</v>
      </c>
      <c r="M696" t="s">
        <v>920</v>
      </c>
      <c r="N696" t="s">
        <v>831</v>
      </c>
    </row>
    <row r="697" spans="1:21">
      <c r="A697" s="59">
        <v>142</v>
      </c>
      <c r="B697" t="s">
        <v>234</v>
      </c>
      <c r="D697" s="97">
        <v>2</v>
      </c>
      <c r="E697" s="97" t="s">
        <v>913</v>
      </c>
      <c r="F697" t="s">
        <v>27</v>
      </c>
      <c r="G697" t="s">
        <v>27</v>
      </c>
      <c r="H697" t="s">
        <v>27</v>
      </c>
      <c r="I697" t="s">
        <v>28</v>
      </c>
      <c r="J697" s="85" t="s">
        <v>828</v>
      </c>
      <c r="K697" s="85" t="str">
        <f t="shared" si="10"/>
        <v>/mnt/measurements/07_CANape/Mitsubishi/5K45/5.3.0_RC6.2/5K457EG11/CSRGIMMC-2250/CSR_XCP_Signals_Recorder_2026-02-05_17-04-53_TC142_Bag2C_StaticToyF2L_CPD.MF4.xz,empty,RadarFC_Master,empty,CPD,dummy</v>
      </c>
      <c r="L697" s="85" t="s">
        <v>3774</v>
      </c>
      <c r="M697" t="s">
        <v>921</v>
      </c>
      <c r="N697" t="s">
        <v>831</v>
      </c>
    </row>
    <row r="698" spans="1:21">
      <c r="A698" s="59">
        <v>142</v>
      </c>
      <c r="B698" t="s">
        <v>234</v>
      </c>
      <c r="D698" s="97">
        <v>2</v>
      </c>
      <c r="E698" s="97" t="s">
        <v>913</v>
      </c>
      <c r="F698" t="s">
        <v>27</v>
      </c>
      <c r="G698" t="s">
        <v>27</v>
      </c>
      <c r="H698" t="s">
        <v>27</v>
      </c>
      <c r="I698" t="s">
        <v>28</v>
      </c>
      <c r="J698" s="85" t="s">
        <v>828</v>
      </c>
      <c r="K698" s="85" t="str">
        <f t="shared" si="10"/>
        <v>/mnt/measurements/07_CANape/Mitsubishi/5K45/5.3.0_RC6.2/5K457EG11/CSRGIMMC-2250/CSR_XCP_Signals_Recorder_2026-02-05_17-06-43_TC142_Bag2C_StaticToyF2L_CPD.MF4.xz,empty,RadarFC_Master,empty,CPD,dummy</v>
      </c>
      <c r="L698" s="85" t="s">
        <v>3775</v>
      </c>
      <c r="M698" t="s">
        <v>922</v>
      </c>
      <c r="N698" t="s">
        <v>831</v>
      </c>
    </row>
    <row r="699" spans="1:21">
      <c r="A699" s="59">
        <v>144</v>
      </c>
      <c r="B699" t="s">
        <v>234</v>
      </c>
      <c r="D699" s="97">
        <v>3</v>
      </c>
      <c r="E699" s="97" t="s">
        <v>927</v>
      </c>
      <c r="F699" t="s">
        <v>27</v>
      </c>
      <c r="G699" t="s">
        <v>27</v>
      </c>
      <c r="H699" t="s">
        <v>27</v>
      </c>
      <c r="I699" t="s">
        <v>28</v>
      </c>
      <c r="J699" s="85" t="s">
        <v>828</v>
      </c>
      <c r="K699" s="85" t="str">
        <f t="shared" si="10"/>
        <v>/mnt/measurements/07_CANape/Mitsubishi/5K45/5.3.0_RC6.2/5K457EG11/CSRGIMMC-2250/CSR_XCP_Signals_Recorder_2026-02-05_17-10-14_TC144_Bag3L_StaticToyF3R_CPD.MF4.xz,empty,RadarFC_Master,empty,CPD,dummy</v>
      </c>
      <c r="L699" s="85" t="s">
        <v>3776</v>
      </c>
      <c r="M699" t="s">
        <v>931</v>
      </c>
      <c r="N699" t="s">
        <v>831</v>
      </c>
    </row>
    <row r="700" spans="1:21">
      <c r="A700" s="59">
        <v>144</v>
      </c>
      <c r="B700" t="s">
        <v>234</v>
      </c>
      <c r="D700" s="97">
        <v>3</v>
      </c>
      <c r="E700" s="97" t="s">
        <v>927</v>
      </c>
      <c r="F700" t="s">
        <v>27</v>
      </c>
      <c r="G700" t="s">
        <v>27</v>
      </c>
      <c r="H700" t="s">
        <v>27</v>
      </c>
      <c r="I700" t="s">
        <v>28</v>
      </c>
      <c r="J700" s="85" t="s">
        <v>828</v>
      </c>
      <c r="K700" s="85" t="str">
        <f t="shared" si="10"/>
        <v>/mnt/measurements/07_CANape/Mitsubishi/5K45/5.3.0_RC6.2/5K457EG11/CSRGIMMC-2250/CSR_XCP_Signals_Recorder_2026-02-05_17-12-02_TC144_Bag3L_StaticToyF3R_CPD.MF4.xz,empty,RadarFC_Master,empty,CPD,dummy</v>
      </c>
      <c r="L700" s="85" t="s">
        <v>3777</v>
      </c>
      <c r="M700" t="s">
        <v>933</v>
      </c>
      <c r="N700" t="s">
        <v>831</v>
      </c>
    </row>
    <row r="701" spans="1:21">
      <c r="A701" s="59">
        <v>144</v>
      </c>
      <c r="B701" t="s">
        <v>234</v>
      </c>
      <c r="D701" s="97">
        <v>3</v>
      </c>
      <c r="E701" s="97" t="s">
        <v>927</v>
      </c>
      <c r="F701" t="s">
        <v>27</v>
      </c>
      <c r="G701" t="s">
        <v>27</v>
      </c>
      <c r="H701" t="s">
        <v>27</v>
      </c>
      <c r="I701" t="s">
        <v>28</v>
      </c>
      <c r="J701" s="85" t="s">
        <v>828</v>
      </c>
      <c r="K701" s="85" t="str">
        <f t="shared" si="10"/>
        <v>/mnt/measurements/07_CANape/Mitsubishi/5K45/5.3.0_RC6.2/5K457EG11/CSRGIMMC-2250/CSR_XCP_Signals_Recorder_2026-02-05_17-14-34_TC144_Bag3L_StaticToyF3R_CPD.MF4.xz,empty,RadarFC_Master,empty,CPD,dummy</v>
      </c>
      <c r="L701" s="85" t="s">
        <v>3778</v>
      </c>
      <c r="M701" t="s">
        <v>934</v>
      </c>
      <c r="N701" t="s">
        <v>831</v>
      </c>
    </row>
    <row r="702" spans="1:21">
      <c r="A702" s="59">
        <v>144</v>
      </c>
      <c r="B702" t="s">
        <v>234</v>
      </c>
      <c r="D702" s="97">
        <v>3</v>
      </c>
      <c r="E702" s="97" t="s">
        <v>927</v>
      </c>
      <c r="F702" t="s">
        <v>27</v>
      </c>
      <c r="G702" t="s">
        <v>27</v>
      </c>
      <c r="H702" t="s">
        <v>27</v>
      </c>
      <c r="I702" t="s">
        <v>28</v>
      </c>
      <c r="J702" s="85" t="s">
        <v>828</v>
      </c>
      <c r="K702" s="85" t="str">
        <f t="shared" si="10"/>
        <v>/mnt/measurements/07_CANape/Mitsubishi/5K45/5.3.0_RC6.2/5K457EG11/CSRGIMMC-2250/CSR_XCP_Signals_Recorder_2026-02-05_17-16-24_TC144_Bag3L_StaticToyF3R_CPD.MF4.xz,empty,RadarFC_Master,empty,CPD,dummy</v>
      </c>
      <c r="L702" s="85" t="s">
        <v>3779</v>
      </c>
      <c r="M702" t="s">
        <v>935</v>
      </c>
      <c r="N702" s="69" t="s">
        <v>831</v>
      </c>
    </row>
    <row r="703" spans="1:21">
      <c r="A703" s="59">
        <v>144</v>
      </c>
      <c r="B703" t="s">
        <v>234</v>
      </c>
      <c r="D703" s="97">
        <v>3</v>
      </c>
      <c r="E703" s="97" t="s">
        <v>927</v>
      </c>
      <c r="F703" t="s">
        <v>27</v>
      </c>
      <c r="G703" t="s">
        <v>27</v>
      </c>
      <c r="H703" t="s">
        <v>27</v>
      </c>
      <c r="I703" t="s">
        <v>28</v>
      </c>
      <c r="J703" s="85" t="s">
        <v>828</v>
      </c>
      <c r="K703" s="85" t="str">
        <f t="shared" si="10"/>
        <v>/mnt/measurements\07_CANape\Mitsubishi\5K45\5.3.0_RC6.2\5K457EG11\CSRGIMMC-2250/CSR_XCP_Signals_Recorder_2026-02-05_17-17-48_TC144_Bag3L_StaticToyF3R_CPD.MF4.xz,empty,RadarFC_Master,empty,CPD,dummy</v>
      </c>
      <c r="L703" s="85" t="s">
        <v>3780</v>
      </c>
      <c r="M703" t="s">
        <v>936</v>
      </c>
      <c r="N703" t="s">
        <v>3079</v>
      </c>
    </row>
    <row r="704" spans="1:21" s="130" customFormat="1" hidden="1">
      <c r="A704" s="78">
        <v>176</v>
      </c>
      <c r="B704" s="130" t="s">
        <v>1084</v>
      </c>
      <c r="D704" s="97" t="e">
        <f>_xlfn.XLOOKUP(A704,[1]CPD_SOP_new!$A:$A,[1]CPD_SOP_new!#REF!,"not found",0 )</f>
        <v>#REF!</v>
      </c>
      <c r="E704" s="97" t="str">
        <f>_xlfn.XLOOKUP(A704,[1]CPD_SOP_new!$A:$A,[1]CPD_SOP_new!$K:$K,"not found",0 )</f>
        <v>2R</v>
      </c>
      <c r="F704" s="130" t="s">
        <v>27</v>
      </c>
      <c r="G704" s="130" t="s">
        <v>28</v>
      </c>
      <c r="H704" s="130" t="s">
        <v>27</v>
      </c>
      <c r="I704" s="130" t="s">
        <v>27</v>
      </c>
      <c r="J704" s="130" t="s">
        <v>237</v>
      </c>
      <c r="K704" s="85" t="str">
        <f t="shared" si="10"/>
        <v>/mnt/measurements/07_CANape/Mitsubishi/5K45/5.3.0_RC6/Customer_Testing/CSR_XCP_Signals_Recorder_2026-01-29_17-40-56_TC176_NCAP_3.MF4.xz,NCAP3 long,RadarFC_Master,NCAP3 long,CPD,dummy</v>
      </c>
      <c r="L704" s="85" t="s">
        <v>3781</v>
      </c>
      <c r="M704" s="130" t="s">
        <v>1097</v>
      </c>
      <c r="N704" s="130" t="s">
        <v>353</v>
      </c>
      <c r="O704" s="130" t="s">
        <v>828</v>
      </c>
      <c r="P704" s="130" t="s">
        <v>828</v>
      </c>
      <c r="Q704" s="130">
        <v>0</v>
      </c>
      <c r="T704" s="130">
        <v>0</v>
      </c>
      <c r="U704" s="130">
        <v>0</v>
      </c>
    </row>
    <row r="705" spans="1:21" s="130" customFormat="1" hidden="1">
      <c r="A705" s="78">
        <v>176</v>
      </c>
      <c r="B705" s="130" t="s">
        <v>1084</v>
      </c>
      <c r="D705" s="97" t="e">
        <f>_xlfn.XLOOKUP(A705,[1]CPD_SOP_new!$A:$A,[1]CPD_SOP_new!#REF!,"not found",0 )</f>
        <v>#REF!</v>
      </c>
      <c r="E705" s="97" t="str">
        <f>_xlfn.XLOOKUP(A705,[1]CPD_SOP_new!$A:$A,[1]CPD_SOP_new!$K:$K,"not found",0 )</f>
        <v>2R</v>
      </c>
      <c r="F705" s="130" t="s">
        <v>27</v>
      </c>
      <c r="G705" s="130" t="s">
        <v>28</v>
      </c>
      <c r="H705" s="130" t="s">
        <v>27</v>
      </c>
      <c r="I705" s="130" t="s">
        <v>27</v>
      </c>
      <c r="J705" s="130" t="s">
        <v>237</v>
      </c>
      <c r="K705" s="85" t="str">
        <f t="shared" si="10"/>
        <v>/mnt/measurements/07_CANape/Mitsubishi/5K45/5.3.0_RC6/Customer_Testing/CSR_XCP_Signals_Recorder_2026-01-29_17-42-35_TC176_NCAP_3.MF4.xz,NCAP3 long,RadarFC_Master,NCAP3 long,CPD,dummy</v>
      </c>
      <c r="L705" s="85" t="s">
        <v>3782</v>
      </c>
      <c r="M705" s="130" t="s">
        <v>1098</v>
      </c>
      <c r="N705" s="130" t="s">
        <v>353</v>
      </c>
      <c r="O705" s="130" t="s">
        <v>828</v>
      </c>
      <c r="P705" s="130" t="s">
        <v>828</v>
      </c>
      <c r="Q705" s="130">
        <v>0</v>
      </c>
      <c r="T705" s="130">
        <v>0</v>
      </c>
      <c r="U705" s="130">
        <v>0</v>
      </c>
    </row>
    <row r="706" spans="1:21" s="130" customFormat="1" hidden="1">
      <c r="A706" s="78">
        <v>176</v>
      </c>
      <c r="B706" s="130" t="s">
        <v>1084</v>
      </c>
      <c r="D706" s="97" t="e">
        <f>_xlfn.XLOOKUP(A706,[1]CPD_SOP_new!$A:$A,[1]CPD_SOP_new!#REF!,"not found",0 )</f>
        <v>#REF!</v>
      </c>
      <c r="E706" s="97" t="str">
        <f>_xlfn.XLOOKUP(A706,[1]CPD_SOP_new!$A:$A,[1]CPD_SOP_new!$K:$K,"not found",0 )</f>
        <v>2R</v>
      </c>
      <c r="F706" s="130" t="s">
        <v>27</v>
      </c>
      <c r="G706" s="130" t="s">
        <v>28</v>
      </c>
      <c r="H706" s="130" t="s">
        <v>27</v>
      </c>
      <c r="I706" s="130" t="s">
        <v>27</v>
      </c>
      <c r="J706" s="130" t="s">
        <v>237</v>
      </c>
      <c r="K706" s="85" t="str">
        <f t="shared" ref="K706:K769" si="11">N706&amp;"/"&amp;M706&amp;","&amp;IF(J706="ncap3","child",J706)&amp;",RadarFC_Master,"&amp;IF(J706="ncap3","child",J706)&amp;IF(B706="ncap1,2"," ("&amp;B706&amp;")","")&amp;IF(B706="ncap3"," ("&amp;B706&amp;")","")&amp;IF(B706="multiple children"," (ncap1,2)","")&amp;IF(B706="NB awake"," (ncap1,2)","")&amp;",CPD,"&amp;IF(F706="Y","realchild","dummy")</f>
        <v>/mnt/measurements/07_CANape/Mitsubishi/5K45/5.3.0_RC6/Customer_Testing/CSR_XCP_Signals_Recorder_2026-01-29_17-44-02_TC176_NCAP_3.MF4.xz,NCAP3 long,RadarFC_Master,NCAP3 long,CPD,dummy</v>
      </c>
      <c r="L706" s="85" t="s">
        <v>3783</v>
      </c>
      <c r="M706" s="130" t="s">
        <v>1099</v>
      </c>
      <c r="N706" s="130" t="s">
        <v>353</v>
      </c>
      <c r="O706" s="130" t="s">
        <v>828</v>
      </c>
      <c r="P706" s="130" t="s">
        <v>828</v>
      </c>
      <c r="Q706" s="130">
        <v>0</v>
      </c>
      <c r="T706" s="130">
        <v>0</v>
      </c>
      <c r="U706" s="130">
        <v>0</v>
      </c>
    </row>
    <row r="707" spans="1:21" s="130" customFormat="1" hidden="1">
      <c r="A707" s="78">
        <v>177</v>
      </c>
      <c r="B707" s="130" t="s">
        <v>1084</v>
      </c>
      <c r="D707" s="97" t="e">
        <f>_xlfn.XLOOKUP(A707,[1]CPD_SOP_new!$A:$A,[1]CPD_SOP_new!#REF!,"not found",0 )</f>
        <v>#REF!</v>
      </c>
      <c r="E707" s="97" t="str">
        <f>_xlfn.XLOOKUP(A707,[1]CPD_SOP_new!$A:$A,[1]CPD_SOP_new!$K:$K,"not found",0 )</f>
        <v>2L</v>
      </c>
      <c r="F707" s="130" t="s">
        <v>27</v>
      </c>
      <c r="G707" s="130" t="s">
        <v>27</v>
      </c>
      <c r="H707" s="130" t="s">
        <v>27</v>
      </c>
      <c r="I707" s="130" t="s">
        <v>27</v>
      </c>
      <c r="J707" s="130" t="s">
        <v>237</v>
      </c>
      <c r="K707" s="85" t="str">
        <f t="shared" si="11"/>
        <v>/mnt/measurements/07_CANape/Mitsubishi/5K45/5.3.0_RC6/5K457EG11/FP_Outside/CSR_XCP_Signals_Recorder_2026-01-29_12-16-30_TS177.mf4.xz,NCAP3 long,RadarFC_Master,NCAP3 long,CPD,dummy</v>
      </c>
      <c r="L707" s="85" t="s">
        <v>3784</v>
      </c>
      <c r="M707" s="130" t="s">
        <v>1103</v>
      </c>
      <c r="N707" s="130" t="s">
        <v>1086</v>
      </c>
      <c r="O707" s="130" t="s">
        <v>828</v>
      </c>
      <c r="P707" s="130" t="s">
        <v>828</v>
      </c>
      <c r="Q707" s="130">
        <v>0</v>
      </c>
      <c r="T707" s="130">
        <v>0</v>
      </c>
      <c r="U707" s="130">
        <v>0</v>
      </c>
    </row>
    <row r="708" spans="1:21" s="130" customFormat="1" hidden="1">
      <c r="A708" s="78">
        <v>177</v>
      </c>
      <c r="B708" s="130" t="s">
        <v>1084</v>
      </c>
      <c r="D708" s="97" t="e">
        <f>_xlfn.XLOOKUP(A708,[1]CPD_SOP_new!$A:$A,[1]CPD_SOP_new!#REF!,"not found",0 )</f>
        <v>#REF!</v>
      </c>
      <c r="E708" s="97" t="str">
        <f>_xlfn.XLOOKUP(A708,[1]CPD_SOP_new!$A:$A,[1]CPD_SOP_new!$K:$K,"not found",0 )</f>
        <v>2L</v>
      </c>
      <c r="F708" s="130" t="s">
        <v>27</v>
      </c>
      <c r="G708" s="130" t="s">
        <v>27</v>
      </c>
      <c r="H708" s="130" t="s">
        <v>27</v>
      </c>
      <c r="I708" s="130" t="s">
        <v>27</v>
      </c>
      <c r="J708" s="130" t="s">
        <v>237</v>
      </c>
      <c r="K708" s="85" t="str">
        <f t="shared" si="11"/>
        <v>/mnt/measurements/07_CANape/Mitsubishi/5K45/5.3.0_RC6/5K457EG11/FP_Outside/CSR_XCP_Signals_Recorder_2026-01-29_12-18-01_TS177.mf4.xz,NCAP3 long,RadarFC_Master,NCAP3 long,CPD,dummy</v>
      </c>
      <c r="L708" s="85" t="s">
        <v>3785</v>
      </c>
      <c r="M708" s="130" t="s">
        <v>1104</v>
      </c>
      <c r="N708" s="95" t="s">
        <v>1086</v>
      </c>
      <c r="O708" s="130" t="s">
        <v>828</v>
      </c>
      <c r="P708" s="130" t="s">
        <v>828</v>
      </c>
      <c r="Q708" s="130">
        <v>0</v>
      </c>
      <c r="T708" s="130">
        <v>0</v>
      </c>
      <c r="U708" s="130">
        <v>0</v>
      </c>
    </row>
    <row r="709" spans="1:21" s="130" customFormat="1" hidden="1">
      <c r="A709" s="78">
        <v>177</v>
      </c>
      <c r="B709" s="130" t="s">
        <v>1084</v>
      </c>
      <c r="D709" s="97" t="e">
        <f>_xlfn.XLOOKUP(A709,[1]CPD_SOP_new!$A:$A,[1]CPD_SOP_new!#REF!,"not found",0 )</f>
        <v>#REF!</v>
      </c>
      <c r="E709" s="97" t="str">
        <f>_xlfn.XLOOKUP(A709,[1]CPD_SOP_new!$A:$A,[1]CPD_SOP_new!$K:$K,"not found",0 )</f>
        <v>2L</v>
      </c>
      <c r="F709" s="130" t="s">
        <v>27</v>
      </c>
      <c r="G709" s="130" t="s">
        <v>27</v>
      </c>
      <c r="H709" s="130" t="s">
        <v>27</v>
      </c>
      <c r="I709" s="130" t="s">
        <v>27</v>
      </c>
      <c r="J709" s="130" t="s">
        <v>237</v>
      </c>
      <c r="K709" s="85" t="str">
        <f t="shared" si="11"/>
        <v>/mnt/measurements/07_CANape/Mitsubishi/5K45/5.3.0_RC6/5K457EG11/FP_Outside/CSR_XCP_Signals_Recorder_2026-01-29_12-19-32_TS177.mf4.xz,NCAP3 long,RadarFC_Master,NCAP3 long,CPD,dummy</v>
      </c>
      <c r="L709" s="85" t="s">
        <v>3786</v>
      </c>
      <c r="M709" s="130" t="s">
        <v>1105</v>
      </c>
      <c r="N709" s="130" t="s">
        <v>1086</v>
      </c>
      <c r="O709" s="130" t="s">
        <v>828</v>
      </c>
      <c r="P709" s="130" t="s">
        <v>828</v>
      </c>
      <c r="Q709" s="130">
        <v>0</v>
      </c>
      <c r="T709" s="130">
        <v>0</v>
      </c>
      <c r="U709" s="130">
        <v>0</v>
      </c>
    </row>
    <row r="710" spans="1:21" s="130" customFormat="1" hidden="1">
      <c r="A710" s="78">
        <v>177</v>
      </c>
      <c r="B710" s="130" t="s">
        <v>1084</v>
      </c>
      <c r="D710" s="97" t="e">
        <f>_xlfn.XLOOKUP(A710,[1]CPD_SOP_new!$A:$A,[1]CPD_SOP_new!#REF!,"not found",0 )</f>
        <v>#REF!</v>
      </c>
      <c r="E710" s="97" t="str">
        <f>_xlfn.XLOOKUP(A710,[1]CPD_SOP_new!$A:$A,[1]CPD_SOP_new!$K:$K,"not found",0 )</f>
        <v>2L</v>
      </c>
      <c r="F710" s="130" t="s">
        <v>27</v>
      </c>
      <c r="G710" s="130" t="s">
        <v>27</v>
      </c>
      <c r="H710" s="130" t="s">
        <v>27</v>
      </c>
      <c r="I710" s="130" t="s">
        <v>27</v>
      </c>
      <c r="J710" s="130" t="s">
        <v>237</v>
      </c>
      <c r="K710" s="85" t="str">
        <f t="shared" si="11"/>
        <v>/mnt/measurements/07_CANape/Mitsubishi/5K45/5.3.0_RC6/5K457EG11/FP_Outside/CSR_XCP_Signals_Recorder_2026-01-29_12-21-06_TS177.mf4.xz,NCAP3 long,RadarFC_Master,NCAP3 long,CPD,dummy</v>
      </c>
      <c r="L710" s="85" t="s">
        <v>3787</v>
      </c>
      <c r="M710" s="130" t="s">
        <v>1106</v>
      </c>
      <c r="N710" s="130" t="s">
        <v>1086</v>
      </c>
      <c r="O710" s="130" t="s">
        <v>828</v>
      </c>
      <c r="P710" s="130" t="s">
        <v>828</v>
      </c>
      <c r="Q710" s="130">
        <v>0</v>
      </c>
      <c r="T710" s="130">
        <v>0</v>
      </c>
      <c r="U710" s="130">
        <v>0</v>
      </c>
    </row>
    <row r="711" spans="1:21" s="130" customFormat="1" hidden="1">
      <c r="A711" s="78">
        <v>180</v>
      </c>
      <c r="B711" s="130" t="s">
        <v>1084</v>
      </c>
      <c r="D711" s="97" t="e">
        <f>_xlfn.XLOOKUP(A711,[1]CPD_SOP_new!$A:$A,[1]CPD_SOP_new!#REF!,"not found",0 )</f>
        <v>#REF!</v>
      </c>
      <c r="E711" s="97" t="str">
        <f>_xlfn.XLOOKUP(A711,[1]CPD_SOP_new!$A:$A,[1]CPD_SOP_new!$K:$K,"not found",0 )</f>
        <v>3R</v>
      </c>
      <c r="F711" s="130" t="s">
        <v>27</v>
      </c>
      <c r="G711" s="130" t="s">
        <v>28</v>
      </c>
      <c r="H711" s="130" t="s">
        <v>28</v>
      </c>
      <c r="I711" s="130" t="s">
        <v>27</v>
      </c>
      <c r="J711" s="130" t="s">
        <v>237</v>
      </c>
      <c r="K711" s="85" t="str">
        <f t="shared" si="11"/>
        <v>/mnt/measurements/07_CANape/Mitsubishi/5K45/5.3.0_RC6/5K457EG11/FP_Outside/CSR_XCP_Signals_Recorder_2026-01-29_12-07-46_TS180.mf4.xz,NCAP3 long,RadarFC_Master,NCAP3 long,CPD,dummy</v>
      </c>
      <c r="L711" s="85" t="s">
        <v>3788</v>
      </c>
      <c r="M711" s="130" t="s">
        <v>1115</v>
      </c>
      <c r="N711" s="130" t="s">
        <v>1086</v>
      </c>
      <c r="O711" s="130" t="s">
        <v>828</v>
      </c>
      <c r="P711" s="130" t="s">
        <v>828</v>
      </c>
      <c r="Q711" s="130">
        <v>0</v>
      </c>
      <c r="T711" s="130">
        <v>0</v>
      </c>
      <c r="U711" s="130">
        <v>0</v>
      </c>
    </row>
    <row r="712" spans="1:21" s="130" customFormat="1" hidden="1">
      <c r="A712" s="78">
        <v>180</v>
      </c>
      <c r="B712" s="130" t="s">
        <v>1084</v>
      </c>
      <c r="D712" s="97" t="e">
        <f>_xlfn.XLOOKUP(A712,[1]CPD_SOP_new!$A:$A,[1]CPD_SOP_new!#REF!,"not found",0 )</f>
        <v>#REF!</v>
      </c>
      <c r="E712" s="97" t="str">
        <f>_xlfn.XLOOKUP(A712,[1]CPD_SOP_new!$A:$A,[1]CPD_SOP_new!$K:$K,"not found",0 )</f>
        <v>3R</v>
      </c>
      <c r="F712" s="130" t="s">
        <v>27</v>
      </c>
      <c r="G712" s="130" t="s">
        <v>28</v>
      </c>
      <c r="H712" s="130" t="s">
        <v>28</v>
      </c>
      <c r="I712" s="130" t="s">
        <v>27</v>
      </c>
      <c r="J712" s="130" t="s">
        <v>237</v>
      </c>
      <c r="K712" s="85" t="str">
        <f t="shared" si="11"/>
        <v>/mnt/measurements/07_CANape/Mitsubishi/5K45/5.3.0_RC6/5K457EG11/FP_Outside/CSR_XCP_Signals_Recorder_2026-01-29_12-09-09_TS180.mf4.xz,NCAP3 long,RadarFC_Master,NCAP3 long,CPD,dummy</v>
      </c>
      <c r="L712" s="85" t="s">
        <v>3789</v>
      </c>
      <c r="M712" s="130" t="s">
        <v>1116</v>
      </c>
      <c r="N712" s="130" t="s">
        <v>1086</v>
      </c>
      <c r="O712" s="130" t="s">
        <v>828</v>
      </c>
      <c r="P712" s="130" t="s">
        <v>828</v>
      </c>
      <c r="Q712" s="130">
        <v>0</v>
      </c>
      <c r="T712" s="130">
        <v>0</v>
      </c>
      <c r="U712" s="130">
        <v>0</v>
      </c>
    </row>
    <row r="713" spans="1:21" s="130" customFormat="1" hidden="1">
      <c r="A713" s="78">
        <v>180</v>
      </c>
      <c r="B713" s="130" t="s">
        <v>1084</v>
      </c>
      <c r="D713" s="97" t="e">
        <f>_xlfn.XLOOKUP(A713,[1]CPD_SOP_new!$A:$A,[1]CPD_SOP_new!#REF!,"not found",0 )</f>
        <v>#REF!</v>
      </c>
      <c r="E713" s="97" t="str">
        <f>_xlfn.XLOOKUP(A713,[1]CPD_SOP_new!$A:$A,[1]CPD_SOP_new!$K:$K,"not found",0 )</f>
        <v>3R</v>
      </c>
      <c r="F713" s="130" t="s">
        <v>27</v>
      </c>
      <c r="G713" s="130" t="s">
        <v>28</v>
      </c>
      <c r="H713" s="130" t="s">
        <v>28</v>
      </c>
      <c r="I713" s="130" t="s">
        <v>27</v>
      </c>
      <c r="J713" s="130" t="s">
        <v>237</v>
      </c>
      <c r="K713" s="85" t="str">
        <f t="shared" si="11"/>
        <v>/mnt/measurements/07_CANape/Mitsubishi/5K45/5.3.0_RC6/5K457EG11/FP_Outside/CSR_XCP_Signals_Recorder_2026-01-29_12-11-39_TS180.mf4.xz,NCAP3 long,RadarFC_Master,NCAP3 long,CPD,dummy</v>
      </c>
      <c r="L713" s="85" t="s">
        <v>3790</v>
      </c>
      <c r="M713" s="130" t="s">
        <v>1117</v>
      </c>
      <c r="N713" s="130" t="s">
        <v>1086</v>
      </c>
      <c r="O713" s="130" t="s">
        <v>828</v>
      </c>
      <c r="P713" s="130" t="s">
        <v>828</v>
      </c>
      <c r="Q713" s="130">
        <v>0</v>
      </c>
      <c r="T713" s="130">
        <v>0</v>
      </c>
      <c r="U713" s="130">
        <v>0</v>
      </c>
    </row>
    <row r="714" spans="1:21" s="130" customFormat="1" hidden="1">
      <c r="A714" s="78">
        <v>180</v>
      </c>
      <c r="B714" s="130" t="s">
        <v>1084</v>
      </c>
      <c r="D714" s="97" t="e">
        <f>_xlfn.XLOOKUP(A714,[1]CPD_SOP_new!$A:$A,[1]CPD_SOP_new!#REF!,"not found",0 )</f>
        <v>#REF!</v>
      </c>
      <c r="E714" s="97" t="str">
        <f>_xlfn.XLOOKUP(A714,[1]CPD_SOP_new!$A:$A,[1]CPD_SOP_new!$K:$K,"not found",0 )</f>
        <v>3R</v>
      </c>
      <c r="F714" s="130" t="s">
        <v>27</v>
      </c>
      <c r="G714" s="130" t="s">
        <v>28</v>
      </c>
      <c r="H714" s="130" t="s">
        <v>28</v>
      </c>
      <c r="I714" s="130" t="s">
        <v>27</v>
      </c>
      <c r="J714" s="130" t="s">
        <v>237</v>
      </c>
      <c r="K714" s="85" t="str">
        <f t="shared" si="11"/>
        <v>/mnt/measurements/07_CANape/Mitsubishi/5K45/5.3.0_RC6/5K457EG11/FP_Outside/CSR_XCP_Signals_Recorder_2026-01-29_12-13-06_TS180.mf4.xz,NCAP3 long,RadarFC_Master,NCAP3 long,CPD,dummy</v>
      </c>
      <c r="L714" s="85" t="s">
        <v>3791</v>
      </c>
      <c r="M714" s="61" t="s">
        <v>1118</v>
      </c>
      <c r="N714" s="61" t="s">
        <v>1086</v>
      </c>
      <c r="O714" s="130" t="s">
        <v>828</v>
      </c>
      <c r="P714" s="130" t="s">
        <v>828</v>
      </c>
      <c r="Q714" s="130">
        <v>0</v>
      </c>
      <c r="T714" s="130">
        <v>0</v>
      </c>
      <c r="U714" s="130">
        <v>0</v>
      </c>
    </row>
    <row r="715" spans="1:21" s="130" customFormat="1" hidden="1">
      <c r="A715" s="78">
        <v>181</v>
      </c>
      <c r="B715" s="130" t="s">
        <v>1084</v>
      </c>
      <c r="D715" s="97" t="e">
        <f>_xlfn.XLOOKUP(A715,[1]CPD_SOP_new!$A:$A,[1]CPD_SOP_new!#REF!,"not found",0 )</f>
        <v>#REF!</v>
      </c>
      <c r="E715" s="97" t="str">
        <f>_xlfn.XLOOKUP(A715,[1]CPD_SOP_new!$A:$A,[1]CPD_SOP_new!$K:$K,"not found",0 )</f>
        <v>3L</v>
      </c>
      <c r="F715" s="130" t="s">
        <v>27</v>
      </c>
      <c r="G715" s="130" t="s">
        <v>27</v>
      </c>
      <c r="H715" s="130" t="s">
        <v>27</v>
      </c>
      <c r="I715" s="130" t="s">
        <v>27</v>
      </c>
      <c r="J715" s="130" t="s">
        <v>237</v>
      </c>
      <c r="K715" s="85" t="str">
        <f t="shared" si="11"/>
        <v>/mnt/measurements/07_CANape/Mitsubishi/5K45/5.3.0_RC6/5K457EG11/FP_Outside/CSR_XCP_Signals_Recorder_2026-01-29_12-24-22_TS181.mf4.xz,NCAP3 long,RadarFC_Master,NCAP3 long,CPD,dummy</v>
      </c>
      <c r="L715" s="85" t="s">
        <v>3792</v>
      </c>
      <c r="M715" s="61" t="s">
        <v>1119</v>
      </c>
      <c r="N715" s="61" t="s">
        <v>1086</v>
      </c>
      <c r="O715" s="130" t="s">
        <v>828</v>
      </c>
      <c r="P715" s="130" t="s">
        <v>828</v>
      </c>
      <c r="Q715" s="130">
        <v>0</v>
      </c>
      <c r="T715" s="130">
        <v>0</v>
      </c>
      <c r="U715" s="130">
        <v>0</v>
      </c>
    </row>
    <row r="716" spans="1:21" s="130" customFormat="1" hidden="1">
      <c r="A716" s="78">
        <v>181</v>
      </c>
      <c r="B716" s="130" t="s">
        <v>1084</v>
      </c>
      <c r="D716" s="97" t="e">
        <f>_xlfn.XLOOKUP(A716,[1]CPD_SOP_new!$A:$A,[1]CPD_SOP_new!#REF!,"not found",0 )</f>
        <v>#REF!</v>
      </c>
      <c r="E716" s="97" t="str">
        <f>_xlfn.XLOOKUP(A716,[1]CPD_SOP_new!$A:$A,[1]CPD_SOP_new!$K:$K,"not found",0 )</f>
        <v>3L</v>
      </c>
      <c r="F716" s="130" t="s">
        <v>27</v>
      </c>
      <c r="G716" s="130" t="s">
        <v>27</v>
      </c>
      <c r="H716" s="130" t="s">
        <v>27</v>
      </c>
      <c r="I716" s="130" t="s">
        <v>27</v>
      </c>
      <c r="J716" s="130" t="s">
        <v>237</v>
      </c>
      <c r="K716" s="85" t="str">
        <f t="shared" si="11"/>
        <v>/mnt/measurements/07_CANape/Mitsubishi/5K45/5.3.0_RC6/5K457EG11/FP_Outside/CSR_XCP_Signals_Recorder_2026-01-29_12-25-46_TS181.mf4.xz,NCAP3 long,RadarFC_Master,NCAP3 long,CPD,dummy</v>
      </c>
      <c r="L716" s="85" t="s">
        <v>3793</v>
      </c>
      <c r="M716" s="61" t="s">
        <v>1120</v>
      </c>
      <c r="N716" s="61" t="s">
        <v>1086</v>
      </c>
      <c r="O716" s="130" t="s">
        <v>828</v>
      </c>
      <c r="P716" s="130" t="s">
        <v>828</v>
      </c>
      <c r="Q716" s="130">
        <v>0</v>
      </c>
      <c r="T716" s="130">
        <v>0</v>
      </c>
      <c r="U716" s="130">
        <v>0</v>
      </c>
    </row>
    <row r="717" spans="1:21" s="130" customFormat="1" hidden="1">
      <c r="A717" s="83">
        <v>181</v>
      </c>
      <c r="B717" s="75" t="s">
        <v>1084</v>
      </c>
      <c r="C717" s="75"/>
      <c r="D717" s="97" t="e">
        <f>_xlfn.XLOOKUP(A717,[1]CPD_SOP_new!$A:$A,[1]CPD_SOP_new!#REF!,"not found",0 )</f>
        <v>#REF!</v>
      </c>
      <c r="E717" s="97" t="str">
        <f>_xlfn.XLOOKUP(A717,[1]CPD_SOP_new!$A:$A,[1]CPD_SOP_new!$K:$K,"not found",0 )</f>
        <v>3L</v>
      </c>
      <c r="F717" s="130" t="s">
        <v>27</v>
      </c>
      <c r="G717" s="130" t="s">
        <v>27</v>
      </c>
      <c r="H717" s="130" t="s">
        <v>27</v>
      </c>
      <c r="I717" s="130" t="s">
        <v>27</v>
      </c>
      <c r="J717" s="130" t="s">
        <v>237</v>
      </c>
      <c r="K717" s="85" t="str">
        <f t="shared" si="11"/>
        <v>/mnt/measurements/07_CANape/Mitsubishi/5K45/5.3.0_RC6/5K457EG11/FP_Outside/CSR_XCP_Signals_Recorder_2026-01-29_12-27-11_TS181.mf4.xz,NCAP3 long,RadarFC_Master,NCAP3 long,CPD,dummy</v>
      </c>
      <c r="L717" s="85" t="s">
        <v>3794</v>
      </c>
      <c r="M717" s="75" t="s">
        <v>1121</v>
      </c>
      <c r="N717" s="61" t="s">
        <v>1086</v>
      </c>
      <c r="O717" s="130" t="s">
        <v>828</v>
      </c>
      <c r="P717" s="130" t="s">
        <v>828</v>
      </c>
      <c r="Q717" s="130">
        <v>0</v>
      </c>
      <c r="T717" s="130">
        <v>0</v>
      </c>
      <c r="U717" s="130">
        <v>0</v>
      </c>
    </row>
    <row r="718" spans="1:21" s="130" customFormat="1" hidden="1">
      <c r="A718" s="83">
        <v>181</v>
      </c>
      <c r="B718" s="75" t="s">
        <v>1084</v>
      </c>
      <c r="C718" s="75"/>
      <c r="D718" s="97" t="e">
        <f>_xlfn.XLOOKUP(A718,[1]CPD_SOP_new!$A:$A,[1]CPD_SOP_new!#REF!,"not found",0 )</f>
        <v>#REF!</v>
      </c>
      <c r="E718" s="97" t="str">
        <f>_xlfn.XLOOKUP(A718,[1]CPD_SOP_new!$A:$A,[1]CPD_SOP_new!$K:$K,"not found",0 )</f>
        <v>3L</v>
      </c>
      <c r="F718" s="130" t="s">
        <v>27</v>
      </c>
      <c r="G718" s="130" t="s">
        <v>27</v>
      </c>
      <c r="H718" s="130" t="s">
        <v>27</v>
      </c>
      <c r="I718" s="130" t="s">
        <v>27</v>
      </c>
      <c r="J718" s="130" t="s">
        <v>237</v>
      </c>
      <c r="K718" s="85" t="str">
        <f t="shared" si="11"/>
        <v>/mnt/measurements/07_CANape/Mitsubishi/5K45/5.3.0_RC6/5K457EG11/FP_Outside/CSR_XCP_Signals_Recorder_2026-01-29_12-28-34_TS181.mf4.xz,NCAP3 long,RadarFC_Master,NCAP3 long,CPD,dummy</v>
      </c>
      <c r="L718" s="85" t="s">
        <v>3795</v>
      </c>
      <c r="M718" s="75" t="s">
        <v>1122</v>
      </c>
      <c r="N718" s="61" t="s">
        <v>1086</v>
      </c>
      <c r="O718" s="130" t="s">
        <v>828</v>
      </c>
      <c r="P718" s="130" t="s">
        <v>828</v>
      </c>
      <c r="Q718" s="130">
        <v>0</v>
      </c>
      <c r="T718" s="130">
        <v>0</v>
      </c>
      <c r="U718" s="130">
        <v>0</v>
      </c>
    </row>
    <row r="719" spans="1:21" s="130" customFormat="1" hidden="1">
      <c r="A719" s="83">
        <v>182</v>
      </c>
      <c r="B719" s="75" t="s">
        <v>38</v>
      </c>
      <c r="C719" s="75" t="s">
        <v>43</v>
      </c>
      <c r="D719" s="97" t="e">
        <f>_xlfn.XLOOKUP(A719,[1]CPD_SOP_new!$A:$A,[1]CPD_SOP_new!#REF!,"not found",0 )</f>
        <v>#REF!</v>
      </c>
      <c r="E719" s="97" t="s">
        <v>26</v>
      </c>
      <c r="F719" s="130" t="s">
        <v>27</v>
      </c>
      <c r="G719" s="130" t="s">
        <v>28</v>
      </c>
      <c r="H719" s="130" t="s">
        <v>28</v>
      </c>
      <c r="I719" s="130" t="s">
        <v>27</v>
      </c>
      <c r="J719" t="s">
        <v>29</v>
      </c>
      <c r="K719" s="85" t="str">
        <f t="shared" si="11"/>
        <v>/mnt/measurements/07_CANape/Mitsubishi/5K45/MMC4.1.2/Validation/child/Sleep//TC_182.MF4.xz,child,RadarFC_Master,child (ncap1,2),CPD,dummy</v>
      </c>
      <c r="L719" s="85" t="s">
        <v>3796</v>
      </c>
      <c r="M719" s="75" t="s">
        <v>1128</v>
      </c>
      <c r="N719" s="61" t="s">
        <v>33</v>
      </c>
    </row>
    <row r="720" spans="1:21" s="130" customFormat="1" hidden="1">
      <c r="A720" s="83">
        <v>182</v>
      </c>
      <c r="B720" s="75" t="s">
        <v>38</v>
      </c>
      <c r="C720" s="75" t="s">
        <v>43</v>
      </c>
      <c r="D720" s="97" t="e">
        <f>_xlfn.XLOOKUP(A720,[1]CPD_SOP_new!$A:$A,[1]CPD_SOP_new!#REF!,"not found",0 )</f>
        <v>#REF!</v>
      </c>
      <c r="E720" s="97" t="s">
        <v>26</v>
      </c>
      <c r="F720" s="130" t="s">
        <v>27</v>
      </c>
      <c r="G720" s="130" t="s">
        <v>28</v>
      </c>
      <c r="H720" s="130" t="s">
        <v>28</v>
      </c>
      <c r="I720" s="130" t="s">
        <v>27</v>
      </c>
      <c r="J720" t="s">
        <v>29</v>
      </c>
      <c r="K720" s="85" t="str">
        <f t="shared" si="11"/>
        <v>/mnt/measurements/07_CANape/Mitsubishi/5K45/MMC4.1.2/Validation/2025_11_29/child/part2/Sleep/TC_182_Try1.MF4.xz,child,RadarFC_Master,child (ncap1,2),CPD,dummy</v>
      </c>
      <c r="L720" s="85" t="s">
        <v>3797</v>
      </c>
      <c r="M720" s="75" t="s">
        <v>753</v>
      </c>
      <c r="N720" s="61" t="s">
        <v>754</v>
      </c>
    </row>
    <row r="721" spans="1:14" s="130" customFormat="1" hidden="1">
      <c r="A721" s="83">
        <v>182</v>
      </c>
      <c r="B721" s="75" t="s">
        <v>38</v>
      </c>
      <c r="C721" s="75" t="s">
        <v>43</v>
      </c>
      <c r="D721" s="97" t="e">
        <f>_xlfn.XLOOKUP(A721,[1]CPD_SOP_new!$A:$A,[1]CPD_SOP_new!#REF!,"not found",0 )</f>
        <v>#REF!</v>
      </c>
      <c r="E721" s="97" t="s">
        <v>26</v>
      </c>
      <c r="F721" s="130" t="s">
        <v>27</v>
      </c>
      <c r="G721" s="130" t="s">
        <v>28</v>
      </c>
      <c r="H721" s="130" t="s">
        <v>28</v>
      </c>
      <c r="I721" s="130" t="s">
        <v>27</v>
      </c>
      <c r="J721" t="s">
        <v>29</v>
      </c>
      <c r="K721" s="85" t="str">
        <f t="shared" si="11"/>
        <v>/mnt/measurements/07_CANape/Mitsubishi/5K45/MMC4.1.2/Validation/2025_11_29/child/part2/Sleep/TC_182_Try2.MF4.xz,child,RadarFC_Master,child (ncap1,2),CPD,dummy</v>
      </c>
      <c r="L721" s="85" t="s">
        <v>3798</v>
      </c>
      <c r="M721" s="75" t="s">
        <v>758</v>
      </c>
      <c r="N721" s="61" t="s">
        <v>754</v>
      </c>
    </row>
    <row r="722" spans="1:14" s="130" customFormat="1" hidden="1">
      <c r="A722" s="83">
        <v>182</v>
      </c>
      <c r="B722" s="75" t="s">
        <v>38</v>
      </c>
      <c r="C722" s="75" t="s">
        <v>43</v>
      </c>
      <c r="D722" s="97" t="e">
        <f>_xlfn.XLOOKUP(A722,[1]CPD_SOP_new!$A:$A,[1]CPD_SOP_new!#REF!,"not found",0 )</f>
        <v>#REF!</v>
      </c>
      <c r="E722" s="97" t="s">
        <v>26</v>
      </c>
      <c r="F722" s="130" t="s">
        <v>27</v>
      </c>
      <c r="G722" s="130" t="s">
        <v>28</v>
      </c>
      <c r="H722" s="130" t="s">
        <v>28</v>
      </c>
      <c r="I722" s="130" t="s">
        <v>27</v>
      </c>
      <c r="J722" t="s">
        <v>29</v>
      </c>
      <c r="K722" s="85" t="str">
        <f t="shared" si="11"/>
        <v>/mnt/measurements/07_CANape/Mitsubishi/5K45/MMC4.1.2/Validation/2025_11_29/child/part2/Sleep/TC_182_Try3.MF4.xz,child,RadarFC_Master,child (ncap1,2),CPD,dummy</v>
      </c>
      <c r="L722" s="85" t="s">
        <v>3799</v>
      </c>
      <c r="M722" s="75" t="s">
        <v>763</v>
      </c>
      <c r="N722" s="61" t="s">
        <v>754</v>
      </c>
    </row>
    <row r="723" spans="1:14" s="130" customFormat="1" hidden="1">
      <c r="A723" s="83">
        <v>182</v>
      </c>
      <c r="B723" s="75" t="s">
        <v>38</v>
      </c>
      <c r="C723" s="75" t="s">
        <v>43</v>
      </c>
      <c r="D723" s="97" t="e">
        <f>_xlfn.XLOOKUP(A723,[1]CPD_SOP_new!$A:$A,[1]CPD_SOP_new!#REF!,"not found",0 )</f>
        <v>#REF!</v>
      </c>
      <c r="E723" s="97" t="s">
        <v>26</v>
      </c>
      <c r="F723" s="130" t="s">
        <v>27</v>
      </c>
      <c r="G723" s="130" t="s">
        <v>28</v>
      </c>
      <c r="H723" s="130" t="s">
        <v>28</v>
      </c>
      <c r="I723" s="130" t="s">
        <v>27</v>
      </c>
      <c r="J723" t="s">
        <v>29</v>
      </c>
      <c r="K723" s="85" t="str">
        <f t="shared" si="11"/>
        <v>/mnt/measurements/07_CANape/Mitsubishi/5K45/5.2.0/5K457EG11/SmokeTest/CPD/CSR_XCP_Signals_Recorder_2026-01-12_13-37-49_TC182.MF4.xz,child,RadarFC_Master,child (ncap1,2),CPD,dummy</v>
      </c>
      <c r="L723" s="85" t="s">
        <v>3800</v>
      </c>
      <c r="M723" s="80" t="s">
        <v>1460</v>
      </c>
      <c r="N723" s="61" t="s">
        <v>41</v>
      </c>
    </row>
    <row r="724" spans="1:14" s="130" customFormat="1" hidden="1">
      <c r="A724" s="83">
        <v>182</v>
      </c>
      <c r="B724" s="75" t="s">
        <v>1133</v>
      </c>
      <c r="C724" s="75"/>
      <c r="D724" s="97" t="e">
        <f>_xlfn.XLOOKUP(A724,[1]CPD_SOP_new!$A:$A,[1]CPD_SOP_new!#REF!,"not found",0 )</f>
        <v>#REF!</v>
      </c>
      <c r="E724" s="97" t="s">
        <v>26</v>
      </c>
      <c r="G724" s="130" t="s">
        <v>28</v>
      </c>
      <c r="H724" s="130" t="s">
        <v>28</v>
      </c>
      <c r="I724" s="130" t="s">
        <v>27</v>
      </c>
      <c r="J724" t="s">
        <v>29</v>
      </c>
      <c r="K724" s="85" t="str">
        <f t="shared" si="11"/>
        <v>/mnt/measurements/07_CANape/Mitsubishi/5K45/MMC5.0.2/5K457EG11/CPD//CSR_XCP_Signals_Recorder_2026-01-26_11-23-32_CPD_TC182_Try5.MF4.xz,child,RadarFC_Master,child,CPD,dummy</v>
      </c>
      <c r="L724" s="85" t="s">
        <v>3801</v>
      </c>
      <c r="M724" s="76" t="s">
        <v>1134</v>
      </c>
      <c r="N724" s="61" t="s">
        <v>173</v>
      </c>
    </row>
    <row r="725" spans="1:14" s="130" customFormat="1" hidden="1">
      <c r="A725" s="83">
        <v>182</v>
      </c>
      <c r="B725" s="75" t="s">
        <v>38</v>
      </c>
      <c r="C725" s="75" t="s">
        <v>43</v>
      </c>
      <c r="D725" s="97" t="e">
        <f>_xlfn.XLOOKUP(A725,[1]CPD_SOP_new!$A:$A,[1]CPD_SOP_new!#REF!,"not found",0 )</f>
        <v>#REF!</v>
      </c>
      <c r="E725" s="97" t="s">
        <v>26</v>
      </c>
      <c r="F725" s="130" t="s">
        <v>27</v>
      </c>
      <c r="G725" s="130" t="s">
        <v>28</v>
      </c>
      <c r="H725" s="130" t="s">
        <v>28</v>
      </c>
      <c r="I725" s="130" t="s">
        <v>27</v>
      </c>
      <c r="J725" t="s">
        <v>29</v>
      </c>
      <c r="K725" s="85" t="str">
        <f t="shared" si="11"/>
        <v>/mnt/measurements/07_CANape/Mitsubishi/5K45/MMC5.0.2/5K457EG11/CPD//CSR_XCP_Signals_Recorder_2026-01-26_11-12-00_CPD_TC182_Try1.MF4.xz,child,RadarFC_Master,child (ncap1,2),CPD,dummy</v>
      </c>
      <c r="L725" s="85" t="s">
        <v>3802</v>
      </c>
      <c r="M725" s="75" t="s">
        <v>172</v>
      </c>
      <c r="N725" s="61" t="s">
        <v>173</v>
      </c>
    </row>
    <row r="726" spans="1:14" s="130" customFormat="1" hidden="1">
      <c r="A726" s="83">
        <v>182</v>
      </c>
      <c r="B726" s="75" t="s">
        <v>38</v>
      </c>
      <c r="C726" s="75" t="s">
        <v>43</v>
      </c>
      <c r="D726" s="97" t="e">
        <f>_xlfn.XLOOKUP(A726,[1]CPD_SOP_new!$A:$A,[1]CPD_SOP_new!#REF!,"not found",0 )</f>
        <v>#REF!</v>
      </c>
      <c r="E726" s="97" t="s">
        <v>26</v>
      </c>
      <c r="F726" s="130" t="s">
        <v>27</v>
      </c>
      <c r="G726" s="130" t="s">
        <v>28</v>
      </c>
      <c r="H726" s="130" t="s">
        <v>28</v>
      </c>
      <c r="I726" s="130" t="s">
        <v>27</v>
      </c>
      <c r="J726" t="s">
        <v>29</v>
      </c>
      <c r="K726" s="85" t="str">
        <f t="shared" si="11"/>
        <v>/mnt/measurements/07_CANape/Mitsubishi/5K45/MMC5.0.2/5K457EG11/CPD//CSR_XCP_Signals_Recorder_2026-01-26_11-13-36_CPD_TC182_Try2.MF4.xz,child,RadarFC_Master,child (ncap1,2),CPD,dummy</v>
      </c>
      <c r="L726" s="85" t="s">
        <v>3803</v>
      </c>
      <c r="M726" s="75" t="s">
        <v>189</v>
      </c>
      <c r="N726" s="61" t="s">
        <v>173</v>
      </c>
    </row>
    <row r="727" spans="1:14" s="130" customFormat="1" hidden="1">
      <c r="A727" s="83">
        <v>182</v>
      </c>
      <c r="B727" s="75" t="s">
        <v>38</v>
      </c>
      <c r="C727" s="75" t="s">
        <v>43</v>
      </c>
      <c r="D727" s="97" t="e">
        <f>_xlfn.XLOOKUP(A727,[1]CPD_SOP_new!$A:$A,[1]CPD_SOP_new!#REF!,"not found",0 )</f>
        <v>#REF!</v>
      </c>
      <c r="E727" s="97" t="s">
        <v>26</v>
      </c>
      <c r="F727" s="130" t="s">
        <v>27</v>
      </c>
      <c r="G727" s="130" t="s">
        <v>28</v>
      </c>
      <c r="H727" s="130" t="s">
        <v>28</v>
      </c>
      <c r="I727" s="130" t="s">
        <v>27</v>
      </c>
      <c r="J727" t="s">
        <v>29</v>
      </c>
      <c r="K727" s="85" t="str">
        <f t="shared" si="11"/>
        <v>/mnt/measurements/07_CANape/Mitsubishi/5K45/MMC5.0.2/5K457EG11/CPD//CSR_XCP_Signals_Recorder_2026-01-26_11-16-46_CPD_TC182_Try3.MF4.xz,child,RadarFC_Master,child (ncap1,2),CPD,dummy</v>
      </c>
      <c r="L727" s="85" t="s">
        <v>3804</v>
      </c>
      <c r="M727" s="75" t="s">
        <v>193</v>
      </c>
      <c r="N727" s="61" t="s">
        <v>173</v>
      </c>
    </row>
    <row r="728" spans="1:14" s="130" customFormat="1" hidden="1">
      <c r="A728" s="83">
        <v>182</v>
      </c>
      <c r="B728" s="75" t="s">
        <v>38</v>
      </c>
      <c r="C728" s="75" t="s">
        <v>43</v>
      </c>
      <c r="D728" s="97" t="e">
        <f>_xlfn.XLOOKUP(A728,[1]CPD_SOP_new!$A:$A,[1]CPD_SOP_new!#REF!,"not found",0 )</f>
        <v>#REF!</v>
      </c>
      <c r="E728" s="97" t="s">
        <v>26</v>
      </c>
      <c r="F728" s="130" t="s">
        <v>27</v>
      </c>
      <c r="G728" s="130" t="s">
        <v>28</v>
      </c>
      <c r="H728" s="130" t="s">
        <v>28</v>
      </c>
      <c r="I728" s="130" t="s">
        <v>27</v>
      </c>
      <c r="J728" t="s">
        <v>29</v>
      </c>
      <c r="K728" s="85" t="str">
        <f t="shared" si="11"/>
        <v>/mnt/measurements/07_CANape/Mitsubishi/5K45/MMC5.0.2/5K457EG11/CPD//CSR_XCP_Signals_Recorder_2026-01-26_11-20-06_CPD_TC182_Try4.MF4.xz,child,RadarFC_Master,child (ncap1,2),CPD,dummy</v>
      </c>
      <c r="L728" s="85" t="s">
        <v>3805</v>
      </c>
      <c r="M728" s="75" t="s">
        <v>214</v>
      </c>
      <c r="N728" s="61" t="s">
        <v>173</v>
      </c>
    </row>
    <row r="729" spans="1:14">
      <c r="A729" s="102">
        <v>146</v>
      </c>
      <c r="B729" s="108" t="s">
        <v>940</v>
      </c>
      <c r="C729" s="70"/>
      <c r="D729" s="97" t="e">
        <f>_xlfn.XLOOKUP(A729,[1]CPD_SOP_new!$A:$A,[1]CPD_SOP_new!#REF!,"not found",0 )</f>
        <v>#REF!</v>
      </c>
      <c r="E729" s="97" t="s">
        <v>112</v>
      </c>
      <c r="F729" t="s">
        <v>27</v>
      </c>
      <c r="G729" t="s">
        <v>27</v>
      </c>
      <c r="H729" t="s">
        <v>27</v>
      </c>
      <c r="I729" t="s">
        <v>28</v>
      </c>
      <c r="J729" t="s">
        <v>828</v>
      </c>
      <c r="K729" s="85" t="str">
        <f t="shared" si="11"/>
        <v>/mnt/measurements/07_CANape/Mitsubishi/5K45/MMC4.1.2/Validation/2025_11_29/empty/TC_146_Try1.MF4.xz,empty,RadarFC_Master,empty,CPD,dummy</v>
      </c>
      <c r="L729" s="85" t="s">
        <v>3806</v>
      </c>
      <c r="M729" s="70" t="s">
        <v>941</v>
      </c>
      <c r="N729" s="106" t="s">
        <v>942</v>
      </c>
    </row>
    <row r="730" spans="1:14">
      <c r="A730" s="102">
        <v>146</v>
      </c>
      <c r="B730" s="108" t="s">
        <v>940</v>
      </c>
      <c r="C730" s="70"/>
      <c r="D730" s="97" t="e">
        <f>_xlfn.XLOOKUP(A730,[1]CPD_SOP_new!$A:$A,[1]CPD_SOP_new!#REF!,"not found",0 )</f>
        <v>#REF!</v>
      </c>
      <c r="E730" s="97" t="s">
        <v>112</v>
      </c>
      <c r="F730" t="s">
        <v>27</v>
      </c>
      <c r="G730" t="s">
        <v>27</v>
      </c>
      <c r="H730" t="s">
        <v>27</v>
      </c>
      <c r="I730" t="s">
        <v>28</v>
      </c>
      <c r="J730" t="s">
        <v>828</v>
      </c>
      <c r="K730" s="85" t="str">
        <f t="shared" si="11"/>
        <v>/mnt/measurements/07_CANape/Mitsubishi/5K45/MMC4.1.2/Validation/2025_11_29/empty/TC_146_Try2.MF4.xz,empty,RadarFC_Master,empty,CPD,dummy</v>
      </c>
      <c r="L730" s="85" t="s">
        <v>3807</v>
      </c>
      <c r="M730" s="70" t="s">
        <v>944</v>
      </c>
      <c r="N730" s="106" t="s">
        <v>942</v>
      </c>
    </row>
    <row r="731" spans="1:14">
      <c r="A731" s="102">
        <v>146</v>
      </c>
      <c r="B731" s="108" t="s">
        <v>940</v>
      </c>
      <c r="C731" s="70"/>
      <c r="D731" s="97" t="e">
        <f>_xlfn.XLOOKUP(A731,[1]CPD_SOP_new!$A:$A,[1]CPD_SOP_new!#REF!,"not found",0 )</f>
        <v>#REF!</v>
      </c>
      <c r="E731" s="97" t="s">
        <v>112</v>
      </c>
      <c r="F731" t="s">
        <v>27</v>
      </c>
      <c r="G731" t="s">
        <v>27</v>
      </c>
      <c r="H731" t="s">
        <v>27</v>
      </c>
      <c r="I731" t="s">
        <v>28</v>
      </c>
      <c r="J731" t="s">
        <v>828</v>
      </c>
      <c r="K731" s="85" t="str">
        <f t="shared" si="11"/>
        <v>/mnt/measurements/07_CANape/Mitsubishi/5K45/MMC4.1.2/Validation/2025_11_29/empty/TC_146_Try3.MF4.xz,empty,RadarFC_Master,empty,CPD,dummy</v>
      </c>
      <c r="L731" s="85" t="s">
        <v>3808</v>
      </c>
      <c r="M731" s="70" t="s">
        <v>945</v>
      </c>
      <c r="N731" s="106" t="s">
        <v>942</v>
      </c>
    </row>
    <row r="732" spans="1:14">
      <c r="A732" s="102">
        <v>147</v>
      </c>
      <c r="B732" s="108" t="s">
        <v>940</v>
      </c>
      <c r="C732" s="70"/>
      <c r="D732" s="97" t="e">
        <f>_xlfn.XLOOKUP(A732,[1]CPD_SOP_new!$A:$A,[1]CPD_SOP_new!#REF!,"not found",0 )</f>
        <v>#REF!</v>
      </c>
      <c r="E732" s="97" t="s">
        <v>26</v>
      </c>
      <c r="F732" t="s">
        <v>27</v>
      </c>
      <c r="G732" t="s">
        <v>236</v>
      </c>
      <c r="H732" t="s">
        <v>236</v>
      </c>
      <c r="I732" t="s">
        <v>28</v>
      </c>
      <c r="J732" t="s">
        <v>828</v>
      </c>
      <c r="K732" s="85" t="str">
        <f t="shared" si="11"/>
        <v>/mnt/measurements/07_CANape/Mitsubishi/5K45/MMC4.1.2/Validation/2025_11_29/empty/TC_147_Try1.MF4.xz,empty,RadarFC_Master,empty,CPD,dummy</v>
      </c>
      <c r="L732" s="85" t="s">
        <v>3809</v>
      </c>
      <c r="M732" s="70" t="s">
        <v>947</v>
      </c>
      <c r="N732" s="106" t="s">
        <v>942</v>
      </c>
    </row>
    <row r="733" spans="1:14" s="130" customFormat="1" hidden="1">
      <c r="A733" s="83">
        <v>182</v>
      </c>
      <c r="B733" s="75" t="s">
        <v>38</v>
      </c>
      <c r="C733" s="75" t="s">
        <v>43</v>
      </c>
      <c r="D733" s="97" t="e">
        <f>_xlfn.XLOOKUP(A733,[1]CPD_SOP_new!$A:$A,[1]CPD_SOP_new!#REF!,"not found",0 )</f>
        <v>#REF!</v>
      </c>
      <c r="E733" s="97" t="s">
        <v>26</v>
      </c>
      <c r="F733" s="130" t="s">
        <v>27</v>
      </c>
      <c r="G733" s="130" t="s">
        <v>28</v>
      </c>
      <c r="H733" s="130" t="s">
        <v>28</v>
      </c>
      <c r="I733" s="130" t="s">
        <v>27</v>
      </c>
      <c r="J733" t="s">
        <v>29</v>
      </c>
      <c r="K733" s="85" t="str">
        <f t="shared" si="11"/>
        <v>5K45/5.3.0_RC5/5K457EG11/CPD//CSR_XCP_Signals_Recorder_2026-01-26_CPD_TC182_Try1.MF4.xz,child,RadarFC_Master,child (ncap1,2),CPD,dummy</v>
      </c>
      <c r="L733" s="85" t="s">
        <v>3810</v>
      </c>
      <c r="M733" s="130" t="s">
        <v>1145</v>
      </c>
      <c r="N733" s="61" t="s">
        <v>1146</v>
      </c>
    </row>
    <row r="734" spans="1:14" s="130" customFormat="1" hidden="1">
      <c r="A734" s="83">
        <v>182</v>
      </c>
      <c r="B734" s="75" t="s">
        <v>38</v>
      </c>
      <c r="C734" s="75" t="s">
        <v>43</v>
      </c>
      <c r="D734" s="97" t="e">
        <f>_xlfn.XLOOKUP(A734,[1]CPD_SOP_new!$A:$A,[1]CPD_SOP_new!#REF!,"not found",0 )</f>
        <v>#REF!</v>
      </c>
      <c r="E734" s="97" t="s">
        <v>26</v>
      </c>
      <c r="F734" s="130" t="s">
        <v>27</v>
      </c>
      <c r="G734" s="130" t="s">
        <v>28</v>
      </c>
      <c r="H734" s="130" t="s">
        <v>28</v>
      </c>
      <c r="I734" s="130" t="s">
        <v>27</v>
      </c>
      <c r="J734" t="s">
        <v>29</v>
      </c>
      <c r="K734" s="85" t="str">
        <f t="shared" si="11"/>
        <v>5K45/5.3.0_RC5/5K457EG11/CPD//CSR_XCP_Signals_Recorder_2026-01-26_CPD_TC182_Try2.MF4.xz,child,RadarFC_Master,child (ncap1,2),CPD,dummy</v>
      </c>
      <c r="L734" s="85" t="s">
        <v>3811</v>
      </c>
      <c r="M734" s="130" t="s">
        <v>1147</v>
      </c>
      <c r="N734" s="61" t="s">
        <v>1146</v>
      </c>
    </row>
    <row r="735" spans="1:14" s="130" customFormat="1" hidden="1">
      <c r="A735" s="83">
        <v>182</v>
      </c>
      <c r="B735" s="75" t="s">
        <v>38</v>
      </c>
      <c r="C735" s="75" t="s">
        <v>43</v>
      </c>
      <c r="D735" s="97" t="e">
        <f>_xlfn.XLOOKUP(A735,[1]CPD_SOP_new!$A:$A,[1]CPD_SOP_new!#REF!,"not found",0 )</f>
        <v>#REF!</v>
      </c>
      <c r="E735" s="97" t="s">
        <v>26</v>
      </c>
      <c r="F735" s="130" t="s">
        <v>27</v>
      </c>
      <c r="G735" s="130" t="s">
        <v>28</v>
      </c>
      <c r="H735" s="130" t="s">
        <v>28</v>
      </c>
      <c r="I735" s="130" t="s">
        <v>27</v>
      </c>
      <c r="J735" t="s">
        <v>29</v>
      </c>
      <c r="K735" s="85" t="str">
        <f t="shared" si="11"/>
        <v>5K45/5.3.0_RC5/5K457EG11/CPD//CSR_XCP_Signals_Recorder_2026-01-26_CPD_TC182_Try3.MF4.xz,child,RadarFC_Master,child (ncap1,2),CPD,dummy</v>
      </c>
      <c r="L735" s="85" t="s">
        <v>3812</v>
      </c>
      <c r="M735" s="130" t="s">
        <v>1148</v>
      </c>
      <c r="N735" s="61" t="s">
        <v>1146</v>
      </c>
    </row>
    <row r="736" spans="1:14" s="130" customFormat="1" hidden="1">
      <c r="A736" s="83">
        <v>182</v>
      </c>
      <c r="B736" s="75" t="s">
        <v>38</v>
      </c>
      <c r="C736" s="75" t="s">
        <v>43</v>
      </c>
      <c r="D736" s="97" t="e">
        <f>_xlfn.XLOOKUP(A736,[1]CPD_SOP_new!$A:$A,[1]CPD_SOP_new!#REF!,"not found",0 )</f>
        <v>#REF!</v>
      </c>
      <c r="E736" s="97" t="s">
        <v>26</v>
      </c>
      <c r="F736" s="130" t="s">
        <v>27</v>
      </c>
      <c r="G736" s="130" t="s">
        <v>28</v>
      </c>
      <c r="H736" s="130" t="s">
        <v>28</v>
      </c>
      <c r="I736" s="130" t="s">
        <v>27</v>
      </c>
      <c r="J736" t="s">
        <v>29</v>
      </c>
      <c r="K736" s="85" t="str">
        <f t="shared" si="11"/>
        <v>5K45/5.3.0_RC5/5K457EG11/CPD//CSR_XCP_Signals_Recorder_2026-01-26_CPD_TC182_Try4.MF4.xz,child,RadarFC_Master,child (ncap1,2),CPD,dummy</v>
      </c>
      <c r="L736" s="85" t="s">
        <v>3813</v>
      </c>
      <c r="M736" s="130" t="s">
        <v>1149</v>
      </c>
      <c r="N736" s="61" t="s">
        <v>1146</v>
      </c>
    </row>
    <row r="737" spans="1:21" s="130" customFormat="1" hidden="1">
      <c r="A737" s="79">
        <v>182</v>
      </c>
      <c r="B737" s="75" t="s">
        <v>38</v>
      </c>
      <c r="C737" s="75" t="s">
        <v>43</v>
      </c>
      <c r="D737" s="97" t="e">
        <f>_xlfn.XLOOKUP(A737,[1]CPD_SOP_new!$A:$A,[1]CPD_SOP_new!#REF!,"not found",0 )</f>
        <v>#REF!</v>
      </c>
      <c r="E737" s="97" t="s">
        <v>26</v>
      </c>
      <c r="F737" s="130" t="s">
        <v>27</v>
      </c>
      <c r="G737" s="130" t="s">
        <v>28</v>
      </c>
      <c r="H737" s="130" t="s">
        <v>28</v>
      </c>
      <c r="I737" s="130" t="s">
        <v>27</v>
      </c>
      <c r="J737" s="137" t="s">
        <v>1133</v>
      </c>
      <c r="K737" s="85" t="str">
        <f t="shared" si="11"/>
        <v>5K45/5.3.0_RC5/5K457EG11/CPD//CSR_XCP_Signals_Recorder_2026-01-26_CPD_TC182_Try4.MF4.xz,error: Requested byte range is out of bounds of dl_data,RadarFC_Master,error: Requested byte range is out of bounds of dl_data (ncap1,2),CPD,dummy</v>
      </c>
      <c r="L737" s="85" t="s">
        <v>3814</v>
      </c>
      <c r="M737" s="130" t="s">
        <v>1149</v>
      </c>
      <c r="N737" s="61" t="s">
        <v>1146</v>
      </c>
    </row>
    <row r="738" spans="1:21">
      <c r="A738" s="102">
        <v>147</v>
      </c>
      <c r="B738" s="108" t="s">
        <v>940</v>
      </c>
      <c r="C738" s="70"/>
      <c r="D738" s="97" t="e">
        <f>_xlfn.XLOOKUP(A738,[1]CPD_SOP_new!$A:$A,[1]CPD_SOP_new!#REF!,"not found",0 )</f>
        <v>#REF!</v>
      </c>
      <c r="E738" s="97" t="s">
        <v>26</v>
      </c>
      <c r="F738" t="s">
        <v>27</v>
      </c>
      <c r="G738" t="s">
        <v>236</v>
      </c>
      <c r="H738" t="s">
        <v>236</v>
      </c>
      <c r="I738" t="s">
        <v>28</v>
      </c>
      <c r="J738" t="s">
        <v>828</v>
      </c>
      <c r="K738" s="85" t="str">
        <f t="shared" si="11"/>
        <v>/mnt/measurements/07_CANape/Mitsubishi/5K45/MMC4.1.2/Validation/2025_11_29/empty/TC_147_Try2.MF4.xz,empty,RadarFC_Master,empty,CPD,dummy</v>
      </c>
      <c r="L738" s="85" t="s">
        <v>3815</v>
      </c>
      <c r="M738" s="70" t="s">
        <v>949</v>
      </c>
      <c r="N738" s="106" t="s">
        <v>942</v>
      </c>
    </row>
    <row r="739" spans="1:21">
      <c r="A739" s="102">
        <v>147</v>
      </c>
      <c r="B739" s="108" t="s">
        <v>940</v>
      </c>
      <c r="C739" s="70"/>
      <c r="D739" s="97" t="e">
        <f>_xlfn.XLOOKUP(A739,[1]CPD_SOP_new!$A:$A,[1]CPD_SOP_new!#REF!,"not found",0 )</f>
        <v>#REF!</v>
      </c>
      <c r="E739" s="97" t="s">
        <v>26</v>
      </c>
      <c r="F739" t="s">
        <v>27</v>
      </c>
      <c r="G739" t="s">
        <v>236</v>
      </c>
      <c r="H739" t="s">
        <v>236</v>
      </c>
      <c r="I739" t="s">
        <v>28</v>
      </c>
      <c r="J739" t="s">
        <v>828</v>
      </c>
      <c r="K739" s="85" t="str">
        <f t="shared" si="11"/>
        <v>/mnt/measurements/07_CANape/Mitsubishi/5K45/MMC4.1.2/Validation/2025_11_29/empty/TC_147_Try3.MF4.xz,empty,RadarFC_Master,empty,CPD,dummy</v>
      </c>
      <c r="L739" s="85" t="s">
        <v>3816</v>
      </c>
      <c r="M739" s="70" t="s">
        <v>950</v>
      </c>
      <c r="N739" s="106" t="s">
        <v>942</v>
      </c>
    </row>
    <row r="740" spans="1:21">
      <c r="A740" s="107">
        <v>147</v>
      </c>
      <c r="B740" s="70" t="s">
        <v>940</v>
      </c>
      <c r="C740" s="70"/>
      <c r="D740" s="97" t="e">
        <f>_xlfn.XLOOKUP(A740,[1]CPD_SOP_new!$A:$A,[1]CPD_SOP_new!#REF!,"not found",0 )</f>
        <v>#REF!</v>
      </c>
      <c r="E740" s="97" t="s">
        <v>26</v>
      </c>
      <c r="F740" t="s">
        <v>27</v>
      </c>
      <c r="G740" t="s">
        <v>28</v>
      </c>
      <c r="H740" t="s">
        <v>28</v>
      </c>
      <c r="I740" t="s">
        <v>28</v>
      </c>
      <c r="J740" t="s">
        <v>828</v>
      </c>
      <c r="K740" s="85" t="str">
        <f t="shared" si="11"/>
        <v>/mnt/measurements/07_CANape/Mitsubishi/5K45/5.3.0_RC6.2/5K457EG11/FP_Test_Cases_Renamed/CSR_XCP_Signals_Recorder_2026-02-02_13-21-38_TC147_NCAP1_2.MF4.xz,empty,RadarFC_Master,empty,CPD,dummy</v>
      </c>
      <c r="L740" s="85" t="s">
        <v>3817</v>
      </c>
      <c r="M740" s="70" t="s">
        <v>951</v>
      </c>
      <c r="N740" s="60" t="s">
        <v>767</v>
      </c>
    </row>
    <row r="741" spans="1:21">
      <c r="A741" s="102">
        <v>148</v>
      </c>
      <c r="B741" s="108" t="s">
        <v>940</v>
      </c>
      <c r="C741" s="70"/>
      <c r="D741" s="97" t="e">
        <f>_xlfn.XLOOKUP(A741,[1]CPD_SOP_new!$A:$A,[1]CPD_SOP_new!#REF!,"not found",0 )</f>
        <v>#REF!</v>
      </c>
      <c r="E741" s="97" t="str">
        <f>_xlfn.XLOOKUP(A741,[1]CPD_SOP_new!$A:$A,[1]CPD_SOP_new!$K:$K,"not found",0 )</f>
        <v>2R</v>
      </c>
      <c r="F741" t="s">
        <v>27</v>
      </c>
      <c r="G741" t="s">
        <v>236</v>
      </c>
      <c r="H741" t="s">
        <v>236</v>
      </c>
      <c r="I741" t="s">
        <v>28</v>
      </c>
      <c r="J741" t="s">
        <v>828</v>
      </c>
      <c r="K741" s="85" t="str">
        <f t="shared" si="11"/>
        <v>/mnt/measurements/07_CANape/Mitsubishi/5K45/MMC4.1.2/Validation/2025_11_29/empty/TC_148_Try1.MF4.xz,empty,RadarFC_Master,empty,CPD,dummy</v>
      </c>
      <c r="L741" s="85" t="s">
        <v>3818</v>
      </c>
      <c r="M741" s="70" t="s">
        <v>953</v>
      </c>
      <c r="N741" s="106" t="s">
        <v>942</v>
      </c>
    </row>
    <row r="742" spans="1:21">
      <c r="A742" s="102">
        <v>148</v>
      </c>
      <c r="B742" s="108" t="s">
        <v>940</v>
      </c>
      <c r="C742" s="70"/>
      <c r="D742" s="97" t="e">
        <f>_xlfn.XLOOKUP(A742,[1]CPD_SOP_new!$A:$A,[1]CPD_SOP_new!#REF!,"not found",0 )</f>
        <v>#REF!</v>
      </c>
      <c r="E742" s="97" t="str">
        <f>_xlfn.XLOOKUP(A742,[1]CPD_SOP_new!$A:$A,[1]CPD_SOP_new!$K:$K,"not found",0 )</f>
        <v>2R</v>
      </c>
      <c r="F742" t="s">
        <v>27</v>
      </c>
      <c r="G742" t="s">
        <v>236</v>
      </c>
      <c r="H742" t="s">
        <v>236</v>
      </c>
      <c r="I742" t="s">
        <v>28</v>
      </c>
      <c r="J742" t="s">
        <v>828</v>
      </c>
      <c r="K742" s="85" t="str">
        <f t="shared" si="11"/>
        <v>/mnt/measurements/07_CANape/Mitsubishi/5K45/MMC4.1.2/Validation/2025_11_29/empty/TC_148_Try2.MF4.xz,empty,RadarFC_Master,empty,CPD,dummy</v>
      </c>
      <c r="L742" s="85" t="s">
        <v>3819</v>
      </c>
      <c r="M742" s="70" t="s">
        <v>955</v>
      </c>
      <c r="N742" s="106" t="s">
        <v>942</v>
      </c>
    </row>
    <row r="743" spans="1:21">
      <c r="A743" s="102">
        <v>148</v>
      </c>
      <c r="B743" s="108" t="s">
        <v>940</v>
      </c>
      <c r="C743" s="70"/>
      <c r="D743" s="97" t="e">
        <f>_xlfn.XLOOKUP(A743,[1]CPD_SOP_new!$A:$A,[1]CPD_SOP_new!#REF!,"not found",0 )</f>
        <v>#REF!</v>
      </c>
      <c r="E743" s="97" t="str">
        <f>_xlfn.XLOOKUP(A743,[1]CPD_SOP_new!$A:$A,[1]CPD_SOP_new!$K:$K,"not found",0 )</f>
        <v>2R</v>
      </c>
      <c r="F743" t="s">
        <v>27</v>
      </c>
      <c r="G743" t="s">
        <v>236</v>
      </c>
      <c r="H743" t="s">
        <v>236</v>
      </c>
      <c r="I743" t="s">
        <v>28</v>
      </c>
      <c r="J743" t="s">
        <v>828</v>
      </c>
      <c r="K743" s="85" t="str">
        <f t="shared" si="11"/>
        <v>/mnt/measurements/07_CANape/Mitsubishi/5K45/MMC4.1.2/Validation/2025_11_29/empty/TC_148_Try3.MF4.xz,empty,RadarFC_Master,empty,CPD,dummy</v>
      </c>
      <c r="L743" s="85" t="s">
        <v>3820</v>
      </c>
      <c r="M743" s="70" t="s">
        <v>956</v>
      </c>
      <c r="N743" s="106" t="s">
        <v>942</v>
      </c>
    </row>
    <row r="744" spans="1:21">
      <c r="A744" s="102">
        <v>149</v>
      </c>
      <c r="B744" s="108" t="s">
        <v>940</v>
      </c>
      <c r="C744" s="70"/>
      <c r="D744" s="97" t="e">
        <f>_xlfn.XLOOKUP(A744,[1]CPD_SOP_new!$A:$A,[1]CPD_SOP_new!#REF!,"not found",0 )</f>
        <v>#REF!</v>
      </c>
      <c r="E744" s="97" t="str">
        <f>_xlfn.XLOOKUP(A744,[1]CPD_SOP_new!$A:$A,[1]CPD_SOP_new!$K:$K,"not found",0 )</f>
        <v>2L</v>
      </c>
      <c r="F744" t="s">
        <v>27</v>
      </c>
      <c r="G744" t="s">
        <v>27</v>
      </c>
      <c r="H744" t="s">
        <v>27</v>
      </c>
      <c r="I744" t="s">
        <v>28</v>
      </c>
      <c r="J744" t="s">
        <v>828</v>
      </c>
      <c r="K744" s="85" t="str">
        <f t="shared" si="11"/>
        <v>/mnt/measurements/07_CANape/Mitsubishi/5K45/MMC4.1.2/Validation/2025_11_29/empty/TC_149_Try1.MF4.xz,empty,RadarFC_Master,empty,CPD,dummy</v>
      </c>
      <c r="L744" s="85" t="s">
        <v>3821</v>
      </c>
      <c r="M744" s="70" t="s">
        <v>958</v>
      </c>
      <c r="N744" s="106" t="s">
        <v>942</v>
      </c>
    </row>
    <row r="745" spans="1:21" s="137" customFormat="1">
      <c r="A745" s="102">
        <v>149</v>
      </c>
      <c r="B745" s="108" t="s">
        <v>940</v>
      </c>
      <c r="C745" s="70"/>
      <c r="D745" s="97" t="e">
        <f>_xlfn.XLOOKUP(A745,[1]CPD_SOP_new!$A:$A,[1]CPD_SOP_new!#REF!,"not found",0 )</f>
        <v>#REF!</v>
      </c>
      <c r="E745" s="97" t="str">
        <f>_xlfn.XLOOKUP(A745,[1]CPD_SOP_new!$A:$A,[1]CPD_SOP_new!$K:$K,"not found",0 )</f>
        <v>2L</v>
      </c>
      <c r="F745" t="s">
        <v>27</v>
      </c>
      <c r="G745" t="s">
        <v>27</v>
      </c>
      <c r="H745" t="s">
        <v>27</v>
      </c>
      <c r="I745" t="s">
        <v>28</v>
      </c>
      <c r="J745" t="s">
        <v>828</v>
      </c>
      <c r="K745" s="85" t="str">
        <f t="shared" si="11"/>
        <v>/mnt/measurements/07_CANape/Mitsubishi/5K45/MMC4.1.2/Validation/2025_11_29/empty/TC_149_Try2.MF4.xz,empty,RadarFC_Master,empty,CPD,dummy</v>
      </c>
      <c r="L745" s="85" t="s">
        <v>3822</v>
      </c>
      <c r="M745" s="70" t="s">
        <v>960</v>
      </c>
      <c r="N745" s="106" t="s">
        <v>942</v>
      </c>
    </row>
    <row r="746" spans="1:21">
      <c r="A746" s="102">
        <v>149</v>
      </c>
      <c r="B746" s="108" t="s">
        <v>940</v>
      </c>
      <c r="C746" s="70"/>
      <c r="D746" s="97" t="e">
        <f>_xlfn.XLOOKUP(A746,[1]CPD_SOP_new!$A:$A,[1]CPD_SOP_new!#REF!,"not found",0 )</f>
        <v>#REF!</v>
      </c>
      <c r="E746" s="97" t="str">
        <f>_xlfn.XLOOKUP(A746,[1]CPD_SOP_new!$A:$A,[1]CPD_SOP_new!$K:$K,"not found",0 )</f>
        <v>2L</v>
      </c>
      <c r="F746" t="s">
        <v>27</v>
      </c>
      <c r="G746" t="s">
        <v>27</v>
      </c>
      <c r="H746" t="s">
        <v>27</v>
      </c>
      <c r="I746" t="s">
        <v>28</v>
      </c>
      <c r="J746" t="s">
        <v>828</v>
      </c>
      <c r="K746" s="85" t="str">
        <f t="shared" si="11"/>
        <v>/mnt/measurements/07_CANape/Mitsubishi/5K45/MMC4.1.2/Validation/2025_11_29/empty/TC_149_Try3.MF4.xz,empty,RadarFC_Master,empty,CPD,dummy</v>
      </c>
      <c r="L746" s="85" t="s">
        <v>3823</v>
      </c>
      <c r="M746" s="70" t="s">
        <v>961</v>
      </c>
      <c r="N746" s="106" t="s">
        <v>942</v>
      </c>
    </row>
    <row r="747" spans="1:21">
      <c r="A747" s="107">
        <v>149</v>
      </c>
      <c r="B747" s="70" t="s">
        <v>940</v>
      </c>
      <c r="C747" s="70"/>
      <c r="D747" s="97" t="e">
        <f>_xlfn.XLOOKUP(A747,[1]CPD_SOP_new!$A:$A,[1]CPD_SOP_new!#REF!,"not found",0 )</f>
        <v>#REF!</v>
      </c>
      <c r="E747" s="97" t="str">
        <f>_xlfn.XLOOKUP(A747,[1]CPD_SOP_new!$A:$A,[1]CPD_SOP_new!$K:$K,"not found",0 )</f>
        <v>2L</v>
      </c>
      <c r="F747" t="s">
        <v>27</v>
      </c>
      <c r="G747" t="s">
        <v>27</v>
      </c>
      <c r="H747" t="s">
        <v>27</v>
      </c>
      <c r="I747" t="s">
        <v>28</v>
      </c>
      <c r="J747" t="s">
        <v>828</v>
      </c>
      <c r="K747" s="85" t="str">
        <f t="shared" si="11"/>
        <v>/mnt/measurements/07_CANape/Mitsubishi/5K45/5.3.0_RC6.2/5K457EG11/FP_Test_Cases_Renamed/CSR_XCP_Signals_Recorder_2026-02-02_13-25-02_TC149_NCAP1_2.MF4.xz,empty,RadarFC_Master,empty,CPD,dummy</v>
      </c>
      <c r="L747" s="85" t="s">
        <v>3824</v>
      </c>
      <c r="M747" s="70" t="s">
        <v>962</v>
      </c>
      <c r="N747" s="60" t="s">
        <v>767</v>
      </c>
    </row>
    <row r="748" spans="1:21">
      <c r="A748" s="82">
        <v>150</v>
      </c>
      <c r="B748" s="108" t="s">
        <v>940</v>
      </c>
      <c r="C748" s="70"/>
      <c r="D748" s="97" t="e">
        <f>_xlfn.XLOOKUP(A748,[1]CPD_SOP_new!$A:$A,[1]CPD_SOP_new!#REF!,"not found",0 )</f>
        <v>#REF!</v>
      </c>
      <c r="E748" s="97" t="str">
        <f>_xlfn.XLOOKUP(A748,[1]CPD_SOP_new!$A:$A,[1]CPD_SOP_new!$K:$K,"not found",0 )</f>
        <v>2C</v>
      </c>
      <c r="F748" t="s">
        <v>27</v>
      </c>
      <c r="G748" t="s">
        <v>27</v>
      </c>
      <c r="H748" t="s">
        <v>27</v>
      </c>
      <c r="I748" t="s">
        <v>28</v>
      </c>
      <c r="J748" t="s">
        <v>828</v>
      </c>
      <c r="K748" s="85" t="str">
        <f t="shared" si="11"/>
        <v>/mnt/measurements/07_CANape/Mitsubishi/5K45/5.3.0_RC6/Customer_Testing/CSR_XCP_Signals_Recorder_2026-01-29_15-38-54_TC150_NCAP_1_2.MF4.xz,empty,RadarFC_Master,empty,CPD,dummy</v>
      </c>
      <c r="L748" s="85" t="s">
        <v>3825</v>
      </c>
      <c r="M748" s="70" t="s">
        <v>965</v>
      </c>
      <c r="N748" s="60" t="s">
        <v>353</v>
      </c>
      <c r="O748" t="s">
        <v>828</v>
      </c>
      <c r="P748" t="s">
        <v>828</v>
      </c>
      <c r="Q748">
        <v>0</v>
      </c>
      <c r="T748">
        <v>0</v>
      </c>
      <c r="U748">
        <v>0</v>
      </c>
    </row>
    <row r="749" spans="1:21">
      <c r="A749" s="82">
        <v>150</v>
      </c>
      <c r="B749" s="108" t="s">
        <v>940</v>
      </c>
      <c r="C749" s="70"/>
      <c r="D749" s="97" t="e">
        <f>_xlfn.XLOOKUP(A749,[1]CPD_SOP_new!$A:$A,[1]CPD_SOP_new!#REF!,"not found",0 )</f>
        <v>#REF!</v>
      </c>
      <c r="E749" s="97" t="str">
        <f>_xlfn.XLOOKUP(A749,[1]CPD_SOP_new!$A:$A,[1]CPD_SOP_new!$K:$K,"not found",0 )</f>
        <v>2C</v>
      </c>
      <c r="F749" t="s">
        <v>27</v>
      </c>
      <c r="G749" t="s">
        <v>27</v>
      </c>
      <c r="H749" t="s">
        <v>27</v>
      </c>
      <c r="I749" t="s">
        <v>28</v>
      </c>
      <c r="J749" t="s">
        <v>828</v>
      </c>
      <c r="K749" s="85" t="str">
        <f t="shared" si="11"/>
        <v>/mnt/measurements/07_CANape/Mitsubishi/5K45/5.3.0_RC6/Customer_Testing/CSR_XCP_Signals_Recorder_2026-01-29_15-40-14_TC150_NCAP_1_2.MF4.xz,empty,RadarFC_Master,empty,CPD,dummy</v>
      </c>
      <c r="L749" s="85" t="s">
        <v>3826</v>
      </c>
      <c r="M749" s="70" t="s">
        <v>967</v>
      </c>
      <c r="N749" s="60" t="s">
        <v>353</v>
      </c>
      <c r="O749" t="s">
        <v>828</v>
      </c>
      <c r="P749" t="s">
        <v>828</v>
      </c>
      <c r="Q749">
        <v>0</v>
      </c>
      <c r="T749">
        <v>0</v>
      </c>
      <c r="U749">
        <v>0</v>
      </c>
    </row>
    <row r="750" spans="1:21">
      <c r="A750" s="82">
        <v>150</v>
      </c>
      <c r="B750" s="108" t="s">
        <v>940</v>
      </c>
      <c r="C750" s="70"/>
      <c r="D750" s="97" t="e">
        <f>_xlfn.XLOOKUP(A750,[1]CPD_SOP_new!$A:$A,[1]CPD_SOP_new!#REF!,"not found",0 )</f>
        <v>#REF!</v>
      </c>
      <c r="E750" s="97" t="str">
        <f>_xlfn.XLOOKUP(A750,[1]CPD_SOP_new!$A:$A,[1]CPD_SOP_new!$K:$K,"not found",0 )</f>
        <v>2C</v>
      </c>
      <c r="F750" t="s">
        <v>27</v>
      </c>
      <c r="G750" t="s">
        <v>27</v>
      </c>
      <c r="H750" t="s">
        <v>27</v>
      </c>
      <c r="I750" t="s">
        <v>28</v>
      </c>
      <c r="J750" t="s">
        <v>828</v>
      </c>
      <c r="K750" s="85" t="str">
        <f t="shared" si="11"/>
        <v>/mnt/measurements/07_CANape/Mitsubishi/5K45/5.3.0_RC6/Customer_Testing/CSR_XCP_Signals_Recorder_2026-01-29_15-41-21_TC150_NCAP_1_2.MF4.xz,empty,RadarFC_Master,empty,CPD,dummy</v>
      </c>
      <c r="L750" s="85" t="s">
        <v>3827</v>
      </c>
      <c r="M750" s="70" t="s">
        <v>968</v>
      </c>
      <c r="N750" s="60" t="s">
        <v>353</v>
      </c>
      <c r="O750" t="s">
        <v>828</v>
      </c>
      <c r="P750" t="s">
        <v>828</v>
      </c>
      <c r="Q750">
        <v>0</v>
      </c>
      <c r="T750">
        <v>0</v>
      </c>
      <c r="U750">
        <v>0</v>
      </c>
    </row>
    <row r="751" spans="1:21">
      <c r="A751" s="107">
        <v>151</v>
      </c>
      <c r="B751" s="70" t="s">
        <v>940</v>
      </c>
      <c r="C751" s="70"/>
      <c r="D751" s="97">
        <v>3</v>
      </c>
      <c r="E751" s="97" t="s">
        <v>74</v>
      </c>
      <c r="F751" t="s">
        <v>27</v>
      </c>
      <c r="G751" t="s">
        <v>27</v>
      </c>
      <c r="H751" t="s">
        <v>27</v>
      </c>
      <c r="I751" t="s">
        <v>28</v>
      </c>
      <c r="J751" s="85" t="s">
        <v>828</v>
      </c>
      <c r="K751" s="85" t="str">
        <f t="shared" si="11"/>
        <v>/mnt/measurements/07_CANape/Mitsubishi/5K45/5.3.0_RC6.2/5K457EG11/CSRGIMMC-2250/CSR_XCP_Signals_Recorder_2026-02-05_17-25-50_TC151_Liquid3R_CPD.MF4.xz,empty,RadarFC_Master,empty,CPD,dummy</v>
      </c>
      <c r="L751" s="85" t="s">
        <v>3828</v>
      </c>
      <c r="M751" s="70" t="s">
        <v>980</v>
      </c>
      <c r="N751" s="60" t="s">
        <v>831</v>
      </c>
    </row>
    <row r="752" spans="1:21">
      <c r="A752" s="107">
        <v>151</v>
      </c>
      <c r="B752" s="70" t="s">
        <v>940</v>
      </c>
      <c r="C752" s="70"/>
      <c r="D752" s="97">
        <v>3</v>
      </c>
      <c r="E752" s="97" t="s">
        <v>74</v>
      </c>
      <c r="F752" t="s">
        <v>27</v>
      </c>
      <c r="G752" t="s">
        <v>27</v>
      </c>
      <c r="H752" t="s">
        <v>27</v>
      </c>
      <c r="I752" t="s">
        <v>28</v>
      </c>
      <c r="J752" s="85" t="s">
        <v>828</v>
      </c>
      <c r="K752" s="85" t="str">
        <f t="shared" si="11"/>
        <v>/mnt/measurements/07_CANape/Mitsubishi/5K45/5.3.0_RC6.2/5K457EG11/CSRGIMMC-2250/CSR_XCP_Signals_Recorder_2026-02-05_17-35-44_TC151_Liquid3R_CPD.MF4.xz,empty,RadarFC_Master,empty,CPD,dummy</v>
      </c>
      <c r="L752" s="85" t="s">
        <v>3829</v>
      </c>
      <c r="M752" s="70" t="s">
        <v>982</v>
      </c>
      <c r="N752" s="60" t="s">
        <v>831</v>
      </c>
    </row>
    <row r="753" spans="1:14">
      <c r="A753" s="107">
        <v>151</v>
      </c>
      <c r="B753" s="70" t="s">
        <v>940</v>
      </c>
      <c r="C753" s="70"/>
      <c r="D753" s="97">
        <v>3</v>
      </c>
      <c r="E753" s="97" t="s">
        <v>74</v>
      </c>
      <c r="F753" t="s">
        <v>27</v>
      </c>
      <c r="G753" t="s">
        <v>27</v>
      </c>
      <c r="H753" t="s">
        <v>27</v>
      </c>
      <c r="I753" t="s">
        <v>28</v>
      </c>
      <c r="J753" s="85" t="s">
        <v>828</v>
      </c>
      <c r="K753" s="85" t="str">
        <f t="shared" si="11"/>
        <v>/mnt/measurements/07_CANape/Mitsubishi/5K45/5.3.0_RC6.2/5K457EG11/CSRGIMMC-2250/CSR_XCP_Signals_Recorder_2026-02-05_17-37-41_TC151_Liquid3R_CPD.MF4.xz,empty,RadarFC_Master,empty,CPD,dummy</v>
      </c>
      <c r="L753" s="85" t="s">
        <v>3830</v>
      </c>
      <c r="M753" s="70" t="s">
        <v>983</v>
      </c>
      <c r="N753" s="60" t="s">
        <v>831</v>
      </c>
    </row>
    <row r="754" spans="1:14">
      <c r="A754" s="107">
        <v>151</v>
      </c>
      <c r="B754" s="70" t="s">
        <v>940</v>
      </c>
      <c r="C754" s="70"/>
      <c r="D754" s="97">
        <v>3</v>
      </c>
      <c r="E754" s="97" t="s">
        <v>74</v>
      </c>
      <c r="F754" t="s">
        <v>27</v>
      </c>
      <c r="G754" t="s">
        <v>27</v>
      </c>
      <c r="H754" t="s">
        <v>27</v>
      </c>
      <c r="I754" t="s">
        <v>28</v>
      </c>
      <c r="J754" s="85" t="s">
        <v>828</v>
      </c>
      <c r="K754" s="85" t="str">
        <f t="shared" si="11"/>
        <v>/mnt/measurements/07_CANape/Mitsubishi/5K45/5.3.0_RC6.2/5K457EG11/CSRGIMMC-2250/CSR_XCP_Signals_Recorder_2026-02-05_17-41-37_TC151_Liquid3R_CPD.MF4.xz,empty,RadarFC_Master,empty,CPD,dummy</v>
      </c>
      <c r="L754" s="85" t="s">
        <v>3831</v>
      </c>
      <c r="M754" s="70" t="s">
        <v>984</v>
      </c>
      <c r="N754" s="60" t="s">
        <v>831</v>
      </c>
    </row>
    <row r="755" spans="1:14">
      <c r="A755" s="107">
        <v>151</v>
      </c>
      <c r="B755" s="70" t="s">
        <v>940</v>
      </c>
      <c r="C755" s="70"/>
      <c r="D755" s="97">
        <v>3</v>
      </c>
      <c r="E755" s="97" t="s">
        <v>74</v>
      </c>
      <c r="F755" t="s">
        <v>27</v>
      </c>
      <c r="G755" t="s">
        <v>27</v>
      </c>
      <c r="H755" t="s">
        <v>27</v>
      </c>
      <c r="I755" t="s">
        <v>28</v>
      </c>
      <c r="J755" s="85" t="s">
        <v>828</v>
      </c>
      <c r="K755" s="85" t="str">
        <f t="shared" si="11"/>
        <v>/mnt/measurements/07_CANape/Mitsubishi/5K45/5.3.0_RC6.2/5K457EG11/CSRGIMMC-2250/CSR_XCP_Signals_Recorder_2026-02-05_17-43-08_TC151_Liquid3R_CPD.MF4.xz,empty,RadarFC_Master,empty,CPD,dummy</v>
      </c>
      <c r="L755" s="85" t="s">
        <v>3832</v>
      </c>
      <c r="M755" s="70" t="s">
        <v>985</v>
      </c>
      <c r="N755" s="60" t="s">
        <v>831</v>
      </c>
    </row>
    <row r="756" spans="1:14">
      <c r="A756" s="107">
        <v>152</v>
      </c>
      <c r="B756" s="70" t="s">
        <v>940</v>
      </c>
      <c r="C756" s="70"/>
      <c r="D756" s="97" t="e">
        <f>_xlfn.XLOOKUP(A756,[1]CPD_SOP_new!$A:$A,[1]CPD_SOP_new!#REF!,"not found",0 )</f>
        <v>#REF!</v>
      </c>
      <c r="E756" s="97" t="str">
        <f>_xlfn.XLOOKUP(A756,[1]CPD_SOP_new!$A:$A,[1]CPD_SOP_new!$K:$K,"not found",0 )</f>
        <v>3L</v>
      </c>
      <c r="F756" t="s">
        <v>27</v>
      </c>
      <c r="G756" t="s">
        <v>27</v>
      </c>
      <c r="H756" t="s">
        <v>27</v>
      </c>
      <c r="I756" t="s">
        <v>28</v>
      </c>
      <c r="J756" t="s">
        <v>828</v>
      </c>
      <c r="K756" s="85" t="str">
        <f t="shared" si="11"/>
        <v>/mnt/measurements/07_CANape/Mitsubishi/5K45/5.3.0_RC6.2/5K457EG11/FP_Test_Cases_Renamed/CSR_XCP_Signals_Recorder_2026-02-02_13-26-35_TC152_NCAP1_2.MF4.xz,empty,RadarFC_Master,empty,CPD,dummy</v>
      </c>
      <c r="L756" s="85" t="s">
        <v>3833</v>
      </c>
      <c r="M756" s="70" t="s">
        <v>989</v>
      </c>
      <c r="N756" s="60" t="s">
        <v>767</v>
      </c>
    </row>
    <row r="757" spans="1:14">
      <c r="A757" s="102">
        <v>153</v>
      </c>
      <c r="B757" s="108" t="s">
        <v>940</v>
      </c>
      <c r="C757" s="70"/>
      <c r="D757" s="97" t="e">
        <f>_xlfn.XLOOKUP(A757,[1]CPD_SOP_new!$A:$A,[1]CPD_SOP_new!#REF!,"not found",0 )</f>
        <v>#REF!</v>
      </c>
      <c r="E757" s="97" t="str">
        <f>_xlfn.XLOOKUP(A757,[1]CPD_SOP_new!$A:$A,[1]CPD_SOP_new!$K:$K,"not found",0 )</f>
        <v>F1D</v>
      </c>
      <c r="F757" t="s">
        <v>27</v>
      </c>
      <c r="G757" t="s">
        <v>27</v>
      </c>
      <c r="H757" t="s">
        <v>27</v>
      </c>
      <c r="I757" t="s">
        <v>28</v>
      </c>
      <c r="J757" t="s">
        <v>828</v>
      </c>
      <c r="K757" s="85" t="str">
        <f t="shared" si="11"/>
        <v>/mnt/measurements/07_CANape/Mitsubishi/5K45/MMC5.0.0_RC3/CPD_Test_Cases/CSR_XCP_Signals_Recorder_2025-12-11_15-17-04_TC153_Liquid1LFW_CPD.MF4.xz,empty,RadarFC_Master,empty,CPD,dummy</v>
      </c>
      <c r="L757" s="85" t="s">
        <v>3834</v>
      </c>
      <c r="M757" s="70" t="s">
        <v>992</v>
      </c>
      <c r="N757" s="60" t="s">
        <v>975</v>
      </c>
    </row>
    <row r="758" spans="1:14">
      <c r="A758" s="102">
        <v>153</v>
      </c>
      <c r="B758" s="108" t="s">
        <v>940</v>
      </c>
      <c r="C758" s="70"/>
      <c r="D758" s="97" t="e">
        <f>_xlfn.XLOOKUP(A758,[1]CPD_SOP_new!$A:$A,[1]CPD_SOP_new!#REF!,"not found",0 )</f>
        <v>#REF!</v>
      </c>
      <c r="E758" s="97" t="str">
        <f>_xlfn.XLOOKUP(A758,[1]CPD_SOP_new!$A:$A,[1]CPD_SOP_new!$K:$K,"not found",0 )</f>
        <v>F1D</v>
      </c>
      <c r="F758" t="s">
        <v>27</v>
      </c>
      <c r="G758" t="s">
        <v>27</v>
      </c>
      <c r="H758" t="s">
        <v>27</v>
      </c>
      <c r="I758" t="s">
        <v>28</v>
      </c>
      <c r="J758" t="s">
        <v>828</v>
      </c>
      <c r="K758" s="85" t="str">
        <f t="shared" si="11"/>
        <v>/mnt/measurements/07_CANape/Mitsubishi/5K45/MMC5.0.0_RC3/CPD_Test_Cases/CSR_XCP_Signals_Recorder_2025-12-11_15-18-56_TC153_Liquid1LFW_CPD.MF4.xz,empty,RadarFC_Master,empty,CPD,dummy</v>
      </c>
      <c r="L758" s="85" t="s">
        <v>3835</v>
      </c>
      <c r="M758" s="70" t="s">
        <v>994</v>
      </c>
      <c r="N758" s="60" t="s">
        <v>975</v>
      </c>
    </row>
    <row r="759" spans="1:14">
      <c r="A759" s="102">
        <v>153</v>
      </c>
      <c r="B759" s="108" t="s">
        <v>940</v>
      </c>
      <c r="C759" s="70"/>
      <c r="D759" s="97" t="e">
        <f>_xlfn.XLOOKUP(A759,[1]CPD_SOP_new!$A:$A,[1]CPD_SOP_new!#REF!,"not found",0 )</f>
        <v>#REF!</v>
      </c>
      <c r="E759" s="97" t="str">
        <f>_xlfn.XLOOKUP(A759,[1]CPD_SOP_new!$A:$A,[1]CPD_SOP_new!$K:$K,"not found",0 )</f>
        <v>F1D</v>
      </c>
      <c r="F759" t="s">
        <v>27</v>
      </c>
      <c r="G759" t="s">
        <v>27</v>
      </c>
      <c r="H759" t="s">
        <v>27</v>
      </c>
      <c r="I759" t="s">
        <v>28</v>
      </c>
      <c r="J759" t="s">
        <v>828</v>
      </c>
      <c r="K759" s="85" t="str">
        <f t="shared" si="11"/>
        <v>/mnt/measurements/07_CANape/Mitsubishi/5K45/MMC5.0.0_RC3/CPD_Test_Cases/CSR_XCP_Signals_Recorder_2025-12-11_15-20-36_TC153_Liquid1LFW_CPD.MF4.xz,empty,RadarFC_Master,empty,CPD,dummy</v>
      </c>
      <c r="L759" s="85" t="s">
        <v>3836</v>
      </c>
      <c r="M759" s="70" t="s">
        <v>995</v>
      </c>
      <c r="N759" s="60" t="s">
        <v>975</v>
      </c>
    </row>
    <row r="760" spans="1:14">
      <c r="A760" s="102">
        <v>154</v>
      </c>
      <c r="B760" s="108" t="s">
        <v>940</v>
      </c>
      <c r="C760" s="70"/>
      <c r="D760" s="97" t="e">
        <f>_xlfn.XLOOKUP(A760,[1]CPD_SOP_new!$A:$A,[1]CPD_SOP_new!#REF!,"not found",0 )</f>
        <v>#REF!</v>
      </c>
      <c r="E760" s="97" t="str">
        <f>_xlfn.XLOOKUP(A760,[1]CPD_SOP_new!$A:$A,[1]CPD_SOP_new!$K:$K,"not found",0 )</f>
        <v>F1P</v>
      </c>
      <c r="F760" t="s">
        <v>27</v>
      </c>
      <c r="G760" t="s">
        <v>27</v>
      </c>
      <c r="H760" t="s">
        <v>27</v>
      </c>
      <c r="I760" t="s">
        <v>28</v>
      </c>
      <c r="J760" t="s">
        <v>828</v>
      </c>
      <c r="K760" s="85" t="str">
        <f t="shared" si="11"/>
        <v>/mnt/measurements/07_CANape/Mitsubishi/5K45/MMC5.0.0_RC3/CPD_Test_Cases/CSR_XCP_Signals_Recorder_2025-12-11_15-24-02_TC154_Liquid1RFW_CPD.MF4.xz,empty,RadarFC_Master,empty,CPD,dummy</v>
      </c>
      <c r="L760" s="85" t="s">
        <v>3837</v>
      </c>
      <c r="M760" s="60" t="s">
        <v>996</v>
      </c>
      <c r="N760" s="60" t="s">
        <v>975</v>
      </c>
    </row>
    <row r="761" spans="1:14">
      <c r="A761" s="102">
        <v>154</v>
      </c>
      <c r="B761" s="108" t="s">
        <v>940</v>
      </c>
      <c r="C761" s="70"/>
      <c r="D761" s="97" t="e">
        <f>_xlfn.XLOOKUP(A761,[1]CPD_SOP_new!$A:$A,[1]CPD_SOP_new!#REF!,"not found",0 )</f>
        <v>#REF!</v>
      </c>
      <c r="E761" s="97" t="str">
        <f>_xlfn.XLOOKUP(A761,[1]CPD_SOP_new!$A:$A,[1]CPD_SOP_new!$K:$K,"not found",0 )</f>
        <v>F1P</v>
      </c>
      <c r="F761" t="s">
        <v>27</v>
      </c>
      <c r="G761" t="s">
        <v>27</v>
      </c>
      <c r="H761" t="s">
        <v>27</v>
      </c>
      <c r="I761" t="s">
        <v>28</v>
      </c>
      <c r="J761" t="s">
        <v>828</v>
      </c>
      <c r="K761" s="85" t="str">
        <f t="shared" si="11"/>
        <v>/mnt/measurements/07_CANape/Mitsubishi/5K45/MMC5.0.0_RC3/CPD_Test_Cases/CSR_XCP_Signals_Recorder_2025-12-11_15-25-48_TC154_Liquid1RFW_CPD.MF4.xz,empty,RadarFC_Master,empty,CPD,dummy</v>
      </c>
      <c r="L761" s="85" t="s">
        <v>3838</v>
      </c>
      <c r="M761" s="60" t="s">
        <v>998</v>
      </c>
      <c r="N761" s="60" t="s">
        <v>975</v>
      </c>
    </row>
    <row r="762" spans="1:14" s="130" customFormat="1" hidden="1">
      <c r="A762" s="83">
        <v>188</v>
      </c>
      <c r="B762" s="75" t="s">
        <v>38</v>
      </c>
      <c r="C762" s="75" t="s">
        <v>48</v>
      </c>
      <c r="D762" s="97" t="e">
        <f>_xlfn.XLOOKUP(A762,[1]CPD_SOP_new!$A:$A,[1]CPD_SOP_new!#REF!,"not found",0 )</f>
        <v>#REF!</v>
      </c>
      <c r="E762" s="97" t="s">
        <v>26</v>
      </c>
      <c r="F762" s="130" t="s">
        <v>27</v>
      </c>
      <c r="G762" s="130" t="s">
        <v>28</v>
      </c>
      <c r="H762" s="130" t="s">
        <v>27</v>
      </c>
      <c r="I762" s="130" t="s">
        <v>27</v>
      </c>
      <c r="J762" s="130" t="s">
        <v>1187</v>
      </c>
      <c r="K762" s="85" t="str">
        <f t="shared" si="11"/>
        <v>/mnt/measurements/07_CANape/Mitsubishi/5K45/MMC4.1.2/Validation/2025_11_29/child/part3/Awake/TC_188_Try3.MF4.xz,wrong measurement,RadarFC_Master,wrong measurement (ncap1,2),CPD,dummy</v>
      </c>
      <c r="L762" s="85" t="s">
        <v>3839</v>
      </c>
      <c r="M762" s="75" t="s">
        <v>1188</v>
      </c>
      <c r="N762" s="62" t="s">
        <v>752</v>
      </c>
    </row>
    <row r="763" spans="1:14" s="130" customFormat="1" hidden="1">
      <c r="A763" s="83">
        <v>189</v>
      </c>
      <c r="B763" s="75" t="s">
        <v>38</v>
      </c>
      <c r="C763" s="75" t="s">
        <v>48</v>
      </c>
      <c r="D763" s="97" t="e">
        <f>_xlfn.XLOOKUP(A763,[1]CPD_SOP_new!$A:$A,[1]CPD_SOP_new!#REF!,"not found",0 )</f>
        <v>#REF!</v>
      </c>
      <c r="E763" s="97" t="str">
        <f>_xlfn.XLOOKUP(A763,[1]CPD_SOP_new!$A:$A,[1]CPD_SOP_new!$K:$K,"not found",0 )</f>
        <v>2R</v>
      </c>
      <c r="F763" s="130" t="s">
        <v>27</v>
      </c>
      <c r="G763" s="130" t="s">
        <v>28</v>
      </c>
      <c r="H763" s="130" t="s">
        <v>27</v>
      </c>
      <c r="I763" s="130" t="s">
        <v>27</v>
      </c>
      <c r="J763" s="130" t="s">
        <v>1187</v>
      </c>
      <c r="K763" s="85" t="str">
        <f t="shared" si="11"/>
        <v>/mnt/measurements/07_CANape/Mitsubishi/5K45/MMC4.1.2/Validation/2025_12_02/ChildSleep/TC_189_Try1.MF4.xz,wrong measurement,RadarFC_Master,wrong measurement (ncap1,2),CPD,dummy</v>
      </c>
      <c r="L763" s="85" t="s">
        <v>3840</v>
      </c>
      <c r="M763" s="75" t="s">
        <v>1189</v>
      </c>
      <c r="N763" s="62" t="s">
        <v>380</v>
      </c>
    </row>
    <row r="764" spans="1:14" s="130" customFormat="1" hidden="1">
      <c r="A764" s="83">
        <v>189</v>
      </c>
      <c r="B764" s="75" t="s">
        <v>38</v>
      </c>
      <c r="C764" s="75" t="s">
        <v>48</v>
      </c>
      <c r="D764" s="97" t="e">
        <f>_xlfn.XLOOKUP(A764,[1]CPD_SOP_new!$A:$A,[1]CPD_SOP_new!#REF!,"not found",0 )</f>
        <v>#REF!</v>
      </c>
      <c r="E764" s="97" t="str">
        <f>_xlfn.XLOOKUP(A764,[1]CPD_SOP_new!$A:$A,[1]CPD_SOP_new!$K:$K,"not found",0 )</f>
        <v>2R</v>
      </c>
      <c r="F764" s="130" t="s">
        <v>27</v>
      </c>
      <c r="G764" s="130" t="s">
        <v>28</v>
      </c>
      <c r="H764" s="130" t="s">
        <v>27</v>
      </c>
      <c r="I764" s="130" t="s">
        <v>27</v>
      </c>
      <c r="J764" s="130" t="s">
        <v>1187</v>
      </c>
      <c r="K764" s="85" t="str">
        <f t="shared" si="11"/>
        <v>/mnt/measurements/07_CANape/Mitsubishi/5K45/MMC4.1.2/Validation/2025_12_02/ChildSleep/TC_189_Try2.MF4.xz,wrong measurement,RadarFC_Master,wrong measurement (ncap1,2),CPD,dummy</v>
      </c>
      <c r="L764" s="85" t="s">
        <v>3841</v>
      </c>
      <c r="M764" s="75" t="s">
        <v>1190</v>
      </c>
      <c r="N764" s="62" t="s">
        <v>380</v>
      </c>
    </row>
    <row r="765" spans="1:14" s="130" customFormat="1" hidden="1">
      <c r="A765" s="83">
        <v>189</v>
      </c>
      <c r="B765" s="75" t="s">
        <v>38</v>
      </c>
      <c r="C765" s="75" t="s">
        <v>48</v>
      </c>
      <c r="D765" s="97" t="e">
        <f>_xlfn.XLOOKUP(A765,[1]CPD_SOP_new!$A:$A,[1]CPD_SOP_new!#REF!,"not found",0 )</f>
        <v>#REF!</v>
      </c>
      <c r="E765" s="97" t="str">
        <f>_xlfn.XLOOKUP(A765,[1]CPD_SOP_new!$A:$A,[1]CPD_SOP_new!$K:$K,"not found",0 )</f>
        <v>2R</v>
      </c>
      <c r="F765" s="130" t="s">
        <v>27</v>
      </c>
      <c r="G765" s="130" t="s">
        <v>28</v>
      </c>
      <c r="H765" s="130" t="s">
        <v>27</v>
      </c>
      <c r="I765" s="130" t="s">
        <v>27</v>
      </c>
      <c r="J765" s="130" t="s">
        <v>1187</v>
      </c>
      <c r="K765" s="85" t="str">
        <f t="shared" si="11"/>
        <v>/mnt/measurements/07_CANape/Mitsubishi/5K45/MMC4.1.2/Validation/2025_12_02/ChildSleep/TC_189_Try3.MF4.xz,wrong measurement,RadarFC_Master,wrong measurement (ncap1,2),CPD,dummy</v>
      </c>
      <c r="L765" s="85" t="s">
        <v>3842</v>
      </c>
      <c r="M765" s="75" t="s">
        <v>1191</v>
      </c>
      <c r="N765" s="62" t="s">
        <v>380</v>
      </c>
    </row>
    <row r="766" spans="1:14">
      <c r="A766" s="102">
        <v>154</v>
      </c>
      <c r="B766" s="108" t="s">
        <v>940</v>
      </c>
      <c r="C766" s="70"/>
      <c r="D766" s="97" t="e">
        <f>_xlfn.XLOOKUP(A766,[1]CPD_SOP_new!$A:$A,[1]CPD_SOP_new!#REF!,"not found",0 )</f>
        <v>#REF!</v>
      </c>
      <c r="E766" s="97" t="str">
        <f>_xlfn.XLOOKUP(A766,[1]CPD_SOP_new!$A:$A,[1]CPD_SOP_new!$K:$K,"not found",0 )</f>
        <v>F1P</v>
      </c>
      <c r="F766" t="s">
        <v>27</v>
      </c>
      <c r="G766" t="s">
        <v>27</v>
      </c>
      <c r="H766" t="s">
        <v>27</v>
      </c>
      <c r="I766" t="s">
        <v>28</v>
      </c>
      <c r="J766" t="s">
        <v>828</v>
      </c>
      <c r="K766" s="85" t="str">
        <f t="shared" si="11"/>
        <v>/mnt/measurements/07_CANape/Mitsubishi/5K45/MMC5.0.0_RC3/CPD_Test_Cases/CSR_XCP_Signals_Recorder_2025-12-11_15-28-53_TC154_Liquid1RFW_CPD.MF4.xz,empty,RadarFC_Master,empty,CPD,dummy</v>
      </c>
      <c r="L766" s="85" t="s">
        <v>3843</v>
      </c>
      <c r="M766" s="70" t="s">
        <v>999</v>
      </c>
      <c r="N766" s="60" t="s">
        <v>975</v>
      </c>
    </row>
    <row r="767" spans="1:14">
      <c r="A767" s="102">
        <v>155</v>
      </c>
      <c r="B767" s="108" t="s">
        <v>940</v>
      </c>
      <c r="C767" s="70"/>
      <c r="D767" s="97" t="e">
        <f>_xlfn.XLOOKUP(A767,[1]CPD_SOP_new!$A:$A,[1]CPD_SOP_new!#REF!,"not found",0 )</f>
        <v>#REF!</v>
      </c>
      <c r="E767" s="97" t="str">
        <f>_xlfn.XLOOKUP(A767,[1]CPD_SOP_new!$A:$A,[1]CPD_SOP_new!$K:$K,"not found",0 )</f>
        <v>F2R</v>
      </c>
      <c r="F767" t="s">
        <v>27</v>
      </c>
      <c r="G767" t="s">
        <v>27</v>
      </c>
      <c r="H767" t="s">
        <v>27</v>
      </c>
      <c r="I767" t="s">
        <v>28</v>
      </c>
      <c r="J767" t="s">
        <v>828</v>
      </c>
      <c r="K767" s="85" t="str">
        <f t="shared" si="11"/>
        <v>/mnt/measurements/07_CANape/Mitsubishi/5K45/MMC5.0.0_RC3/CPD_Test_Cases/CSR_XCP_Signals_Recorder_2025-12-11_15-36-26_TC155_Liquid2RFW_CPD.MF4.xz,empty,RadarFC_Master,empty,CPD,dummy</v>
      </c>
      <c r="L767" s="85" t="s">
        <v>3844</v>
      </c>
      <c r="M767" s="70" t="s">
        <v>1000</v>
      </c>
      <c r="N767" s="60" t="s">
        <v>975</v>
      </c>
    </row>
    <row r="768" spans="1:14">
      <c r="A768" s="102">
        <v>155</v>
      </c>
      <c r="B768" s="108" t="s">
        <v>940</v>
      </c>
      <c r="C768" s="70"/>
      <c r="D768" s="97" t="e">
        <f>_xlfn.XLOOKUP(A768,[1]CPD_SOP_new!$A:$A,[1]CPD_SOP_new!#REF!,"not found",0 )</f>
        <v>#REF!</v>
      </c>
      <c r="E768" s="97" t="str">
        <f>_xlfn.XLOOKUP(A768,[1]CPD_SOP_new!$A:$A,[1]CPD_SOP_new!$K:$K,"not found",0 )</f>
        <v>F2R</v>
      </c>
      <c r="F768" t="s">
        <v>27</v>
      </c>
      <c r="G768" t="s">
        <v>27</v>
      </c>
      <c r="H768" t="s">
        <v>27</v>
      </c>
      <c r="I768" t="s">
        <v>28</v>
      </c>
      <c r="J768" t="s">
        <v>828</v>
      </c>
      <c r="K768" s="85" t="str">
        <f t="shared" si="11"/>
        <v>/mnt/measurements/07_CANape/Mitsubishi/5K45/MMC5.0.0_RC3/CPD_Test_Cases/CSR_XCP_Signals_Recorder_2025-12-11_15-38-09_TC155_Liquid2RFW_CPD.MF4.xz,empty,RadarFC_Master,empty,CPD,dummy</v>
      </c>
      <c r="L768" s="85" t="s">
        <v>3845</v>
      </c>
      <c r="M768" s="70" t="s">
        <v>1002</v>
      </c>
      <c r="N768" s="60" t="s">
        <v>975</v>
      </c>
    </row>
    <row r="769" spans="1:21">
      <c r="A769" s="102">
        <v>155</v>
      </c>
      <c r="B769" s="108" t="s">
        <v>940</v>
      </c>
      <c r="C769" s="70"/>
      <c r="D769" s="97" t="e">
        <f>_xlfn.XLOOKUP(A769,[1]CPD_SOP_new!$A:$A,[1]CPD_SOP_new!#REF!,"not found",0 )</f>
        <v>#REF!</v>
      </c>
      <c r="E769" s="97" t="str">
        <f>_xlfn.XLOOKUP(A769,[1]CPD_SOP_new!$A:$A,[1]CPD_SOP_new!$K:$K,"not found",0 )</f>
        <v>F2R</v>
      </c>
      <c r="F769" t="s">
        <v>27</v>
      </c>
      <c r="G769" t="s">
        <v>27</v>
      </c>
      <c r="H769" t="s">
        <v>27</v>
      </c>
      <c r="I769" t="s">
        <v>28</v>
      </c>
      <c r="J769" t="s">
        <v>828</v>
      </c>
      <c r="K769" s="85" t="str">
        <f t="shared" si="11"/>
        <v>/mnt/measurements/07_CANape/Mitsubishi/5K45/MMC5.0.0_RC3/CPD_Test_Cases/CSR_XCP_Signals_Recorder_2025-12-11_15-39-51_TC155_Liquid2RFW_CPD.MF4.xz,empty,RadarFC_Master,empty,CPD,dummy</v>
      </c>
      <c r="L769" s="85" t="s">
        <v>3846</v>
      </c>
      <c r="M769" s="70" t="s">
        <v>1003</v>
      </c>
      <c r="N769" s="60" t="s">
        <v>975</v>
      </c>
    </row>
    <row r="770" spans="1:21">
      <c r="A770" s="102">
        <v>156</v>
      </c>
      <c r="B770" s="108" t="s">
        <v>940</v>
      </c>
      <c r="C770" s="70"/>
      <c r="D770" s="97" t="e">
        <f>_xlfn.XLOOKUP(A770,[1]CPD_SOP_new!$A:$A,[1]CPD_SOP_new!#REF!,"not found",0 )</f>
        <v>#REF!</v>
      </c>
      <c r="E770" s="97" t="str">
        <f>_xlfn.XLOOKUP(A770,[1]CPD_SOP_new!$A:$A,[1]CPD_SOP_new!$K:$K,"not found",0 )</f>
        <v>F2L</v>
      </c>
      <c r="F770" t="s">
        <v>27</v>
      </c>
      <c r="G770" t="s">
        <v>27</v>
      </c>
      <c r="H770" t="s">
        <v>27</v>
      </c>
      <c r="I770" t="s">
        <v>28</v>
      </c>
      <c r="J770" t="s">
        <v>828</v>
      </c>
      <c r="K770" s="85" t="str">
        <f t="shared" ref="K770:K833" si="12">N770&amp;"/"&amp;M770&amp;","&amp;IF(J770="ncap3","child",J770)&amp;",RadarFC_Master,"&amp;IF(J770="ncap3","child",J770)&amp;IF(B770="ncap1,2"," ("&amp;B770&amp;")","")&amp;IF(B770="ncap3"," ("&amp;B770&amp;")","")&amp;IF(B770="multiple children"," (ncap1,2)","")&amp;IF(B770="NB awake"," (ncap1,2)","")&amp;",CPD,"&amp;IF(F770="Y","realchild","dummy")</f>
        <v>/mnt/measurements/07_CANape/Mitsubishi/5K45/MMC5.0.0_RC3/CPD_Test_Cases/CSR_XCP_Signals_Recorder_2025-12-11_15-42-36_TC156_Liquid2LFW_CPD.MF4.xz,empty,RadarFC_Master,empty,CPD,dummy</v>
      </c>
      <c r="L770" s="85" t="s">
        <v>3847</v>
      </c>
      <c r="M770" s="70" t="s">
        <v>1004</v>
      </c>
      <c r="N770" s="60" t="s">
        <v>975</v>
      </c>
    </row>
    <row r="771" spans="1:21">
      <c r="A771" s="102">
        <v>156</v>
      </c>
      <c r="B771" s="108" t="s">
        <v>940</v>
      </c>
      <c r="C771" s="70"/>
      <c r="D771" s="97" t="e">
        <f>_xlfn.XLOOKUP(A771,[1]CPD_SOP_new!$A:$A,[1]CPD_SOP_new!#REF!,"not found",0 )</f>
        <v>#REF!</v>
      </c>
      <c r="E771" s="97" t="str">
        <f>_xlfn.XLOOKUP(A771,[1]CPD_SOP_new!$A:$A,[1]CPD_SOP_new!$K:$K,"not found",0 )</f>
        <v>F2L</v>
      </c>
      <c r="F771" t="s">
        <v>27</v>
      </c>
      <c r="G771" t="s">
        <v>27</v>
      </c>
      <c r="H771" t="s">
        <v>27</v>
      </c>
      <c r="I771" t="s">
        <v>28</v>
      </c>
      <c r="J771" t="s">
        <v>828</v>
      </c>
      <c r="K771" s="85" t="str">
        <f t="shared" si="12"/>
        <v>/mnt/measurements/07_CANape/Mitsubishi/5K45/MMC5.0.0_RC3/CPD_Test_Cases/CSR_XCP_Signals_Recorder_2025-12-11_15-44-21_TC156_Liquid2LFW_CPD.MF4.xz,empty,RadarFC_Master,empty,CPD,dummy</v>
      </c>
      <c r="L771" s="85" t="s">
        <v>3848</v>
      </c>
      <c r="M771" s="70" t="s">
        <v>1006</v>
      </c>
      <c r="N771" s="60" t="s">
        <v>975</v>
      </c>
    </row>
    <row r="772" spans="1:21">
      <c r="A772" s="102">
        <v>156</v>
      </c>
      <c r="B772" s="108" t="s">
        <v>940</v>
      </c>
      <c r="C772" s="70"/>
      <c r="D772" s="97" t="e">
        <f>_xlfn.XLOOKUP(A772,[1]CPD_SOP_new!$A:$A,[1]CPD_SOP_new!#REF!,"not found",0 )</f>
        <v>#REF!</v>
      </c>
      <c r="E772" s="97" t="str">
        <f>_xlfn.XLOOKUP(A772,[1]CPD_SOP_new!$A:$A,[1]CPD_SOP_new!$K:$K,"not found",0 )</f>
        <v>F2L</v>
      </c>
      <c r="F772" t="s">
        <v>27</v>
      </c>
      <c r="G772" t="s">
        <v>27</v>
      </c>
      <c r="H772" t="s">
        <v>27</v>
      </c>
      <c r="I772" t="s">
        <v>28</v>
      </c>
      <c r="J772" t="s">
        <v>828</v>
      </c>
      <c r="K772" s="85" t="str">
        <f t="shared" si="12"/>
        <v>/mnt/measurements/07_CANape/Mitsubishi/5K45/MMC5.0.0_RC3/CPD_Test_Cases/CSR_XCP_Signals_Recorder_2025-12-11_15-46-14_TC156_Liquid2LFW_CPD.MF4.xz,empty,RadarFC_Master,empty,CPD,dummy</v>
      </c>
      <c r="L772" s="85" t="s">
        <v>3849</v>
      </c>
      <c r="M772" s="70" t="s">
        <v>1007</v>
      </c>
      <c r="N772" s="60" t="s">
        <v>975</v>
      </c>
    </row>
    <row r="773" spans="1:21">
      <c r="A773" s="102">
        <v>157</v>
      </c>
      <c r="B773" s="108" t="s">
        <v>940</v>
      </c>
      <c r="C773" s="70"/>
      <c r="D773" s="97" t="e">
        <f>_xlfn.XLOOKUP(A773,[1]CPD_SOP_new!$A:$A,[1]CPD_SOP_new!#REF!,"not found",0 )</f>
        <v>#REF!</v>
      </c>
      <c r="E773" s="97" t="str">
        <f>_xlfn.XLOOKUP(A773,[1]CPD_SOP_new!$A:$A,[1]CPD_SOP_new!$K:$K,"not found",0 )</f>
        <v>F2C</v>
      </c>
      <c r="F773" t="s">
        <v>27</v>
      </c>
      <c r="G773" t="s">
        <v>27</v>
      </c>
      <c r="H773" t="s">
        <v>27</v>
      </c>
      <c r="I773" t="s">
        <v>28</v>
      </c>
      <c r="J773" t="s">
        <v>828</v>
      </c>
      <c r="K773" s="85" t="str">
        <f t="shared" si="12"/>
        <v>/mnt/measurements/07_CANape/Mitsubishi/5K45/MMC5.0.0_RC3/CPD_Test_Cases/CSR_XCP_Signals_Recorder_2025-12-11_15-49-03_TC157_Liquid2CFW_CPD.MF4.xz,empty,RadarFC_Master,empty,CPD,dummy</v>
      </c>
      <c r="L773" s="85" t="s">
        <v>3850</v>
      </c>
      <c r="M773" s="70" t="s">
        <v>1008</v>
      </c>
      <c r="N773" s="60" t="s">
        <v>975</v>
      </c>
    </row>
    <row r="774" spans="1:21">
      <c r="A774" s="102">
        <v>157</v>
      </c>
      <c r="B774" s="108" t="s">
        <v>940</v>
      </c>
      <c r="C774" s="70"/>
      <c r="D774" s="97" t="e">
        <f>_xlfn.XLOOKUP(A774,[1]CPD_SOP_new!$A:$A,[1]CPD_SOP_new!#REF!,"not found",0 )</f>
        <v>#REF!</v>
      </c>
      <c r="E774" s="97" t="str">
        <f>_xlfn.XLOOKUP(A774,[1]CPD_SOP_new!$A:$A,[1]CPD_SOP_new!$K:$K,"not found",0 )</f>
        <v>F2C</v>
      </c>
      <c r="F774" t="s">
        <v>27</v>
      </c>
      <c r="G774" t="s">
        <v>27</v>
      </c>
      <c r="H774" t="s">
        <v>27</v>
      </c>
      <c r="I774" t="s">
        <v>28</v>
      </c>
      <c r="J774" t="s">
        <v>828</v>
      </c>
      <c r="K774" s="85" t="str">
        <f t="shared" si="12"/>
        <v>/mnt/measurements/07_CANape/Mitsubishi/5K45/MMC5.0.0_RC3/CPD_Test_Cases/CSR_XCP_Signals_Recorder_2025-12-11_15-50-49_TC157_Liquid2CFW_CPD.MF4.xz,empty,RadarFC_Master,empty,CPD,dummy</v>
      </c>
      <c r="L774" s="85" t="s">
        <v>3851</v>
      </c>
      <c r="M774" s="70" t="s">
        <v>1010</v>
      </c>
      <c r="N774" s="60" t="s">
        <v>975</v>
      </c>
    </row>
    <row r="775" spans="1:21">
      <c r="A775" s="102">
        <v>157</v>
      </c>
      <c r="B775" s="108" t="s">
        <v>940</v>
      </c>
      <c r="C775" s="70"/>
      <c r="D775" s="97" t="e">
        <f>_xlfn.XLOOKUP(A775,[1]CPD_SOP_new!$A:$A,[1]CPD_SOP_new!#REF!,"not found",0 )</f>
        <v>#REF!</v>
      </c>
      <c r="E775" s="97" t="str">
        <f>_xlfn.XLOOKUP(A775,[1]CPD_SOP_new!$A:$A,[1]CPD_SOP_new!$K:$K,"not found",0 )</f>
        <v>F2C</v>
      </c>
      <c r="F775" t="s">
        <v>27</v>
      </c>
      <c r="G775" t="s">
        <v>27</v>
      </c>
      <c r="H775" t="s">
        <v>27</v>
      </c>
      <c r="I775" t="s">
        <v>28</v>
      </c>
      <c r="J775" t="s">
        <v>828</v>
      </c>
      <c r="K775" s="85" t="str">
        <f t="shared" si="12"/>
        <v>/mnt/measurements/07_CANape/Mitsubishi/5K45/MMC5.0.0_RC3/CPD_Test_Cases/CSR_XCP_Signals_Recorder_2025-12-11_15-52-39_TC157_Liquid2CFW_CPD.MF4.xz,empty,RadarFC_Master,empty,CPD,dummy</v>
      </c>
      <c r="L775" s="85" t="s">
        <v>3852</v>
      </c>
      <c r="M775" s="70" t="s">
        <v>1011</v>
      </c>
      <c r="N775" s="60" t="s">
        <v>975</v>
      </c>
    </row>
    <row r="776" spans="1:21">
      <c r="A776" s="102">
        <v>158</v>
      </c>
      <c r="B776" s="108" t="s">
        <v>940</v>
      </c>
      <c r="C776" s="70"/>
      <c r="D776" s="97" t="e">
        <f>_xlfn.XLOOKUP(A776,[1]CPD_SOP_new!$A:$A,[1]CPD_SOP_new!#REF!,"not found",0 )</f>
        <v>#REF!</v>
      </c>
      <c r="E776" s="97" t="str">
        <f>_xlfn.XLOOKUP(A776,[1]CPD_SOP_new!$A:$A,[1]CPD_SOP_new!$K:$K,"not found",0 )</f>
        <v>F3R</v>
      </c>
      <c r="F776" t="s">
        <v>27</v>
      </c>
      <c r="G776" t="s">
        <v>27</v>
      </c>
      <c r="H776" t="s">
        <v>27</v>
      </c>
      <c r="I776" t="s">
        <v>28</v>
      </c>
      <c r="J776" t="s">
        <v>828</v>
      </c>
      <c r="K776" s="85" t="str">
        <f t="shared" si="12"/>
        <v>/mnt/measurements/07_CANape/Mitsubishi/5K45/MMC5.0.0_RC3/CPD_Test_Cases/CSR_XCP_Signals_Recorder_2025-12-11_15-56-08_TC158_Liquid3RFW_CPD.MF4.xz,empty,RadarFC_Master,empty,CPD,dummy</v>
      </c>
      <c r="L776" s="85" t="s">
        <v>3853</v>
      </c>
      <c r="M776" s="70" t="s">
        <v>1012</v>
      </c>
      <c r="N776" s="60" t="s">
        <v>975</v>
      </c>
    </row>
    <row r="777" spans="1:21">
      <c r="A777" s="102">
        <v>158</v>
      </c>
      <c r="B777" s="108" t="s">
        <v>940</v>
      </c>
      <c r="C777" s="70"/>
      <c r="D777" s="97" t="e">
        <f>_xlfn.XLOOKUP(A777,[1]CPD_SOP_new!$A:$A,[1]CPD_SOP_new!#REF!,"not found",0 )</f>
        <v>#REF!</v>
      </c>
      <c r="E777" s="97" t="str">
        <f>_xlfn.XLOOKUP(A777,[1]CPD_SOP_new!$A:$A,[1]CPD_SOP_new!$K:$K,"not found",0 )</f>
        <v>F3R</v>
      </c>
      <c r="F777" t="s">
        <v>27</v>
      </c>
      <c r="G777" t="s">
        <v>27</v>
      </c>
      <c r="H777" t="s">
        <v>27</v>
      </c>
      <c r="I777" t="s">
        <v>28</v>
      </c>
      <c r="J777" t="s">
        <v>828</v>
      </c>
      <c r="K777" s="85" t="str">
        <f t="shared" si="12"/>
        <v>/mnt/measurements/07_CANape/Mitsubishi/5K45/MMC5.0.0_RC3/CPD_Test_Cases/CSR_XCP_Signals_Recorder_2025-12-11_15-57-45_TC158_Liquid3RFW_CPD.MF4.xz,empty,RadarFC_Master,empty,CPD,dummy</v>
      </c>
      <c r="L777" s="85" t="s">
        <v>3854</v>
      </c>
      <c r="M777" s="70" t="s">
        <v>1014</v>
      </c>
      <c r="N777" s="60" t="s">
        <v>975</v>
      </c>
    </row>
    <row r="778" spans="1:21">
      <c r="A778" s="102">
        <v>158</v>
      </c>
      <c r="B778" s="108" t="s">
        <v>940</v>
      </c>
      <c r="C778" s="70"/>
      <c r="D778" s="97" t="e">
        <f>_xlfn.XLOOKUP(A778,[1]CPD_SOP_new!$A:$A,[1]CPD_SOP_new!#REF!,"not found",0 )</f>
        <v>#REF!</v>
      </c>
      <c r="E778" s="97" t="str">
        <f>_xlfn.XLOOKUP(A778,[1]CPD_SOP_new!$A:$A,[1]CPD_SOP_new!$K:$K,"not found",0 )</f>
        <v>F3R</v>
      </c>
      <c r="F778" t="s">
        <v>27</v>
      </c>
      <c r="G778" t="s">
        <v>27</v>
      </c>
      <c r="H778" t="s">
        <v>27</v>
      </c>
      <c r="I778" t="s">
        <v>28</v>
      </c>
      <c r="J778" t="s">
        <v>828</v>
      </c>
      <c r="K778" s="85" t="str">
        <f t="shared" si="12"/>
        <v>/mnt/measurements/07_CANape/Mitsubishi/5K45/MMC5.0.0_RC3/CPD_Test_Cases/CSR_XCP_Signals_Recorder_2025-12-11_15-59-30_TC158_Liquid3RFW_CPD.MF4.xz,empty,RadarFC_Master,empty,CPD,dummy</v>
      </c>
      <c r="L778" s="85" t="s">
        <v>3855</v>
      </c>
      <c r="M778" s="70" t="s">
        <v>1015</v>
      </c>
      <c r="N778" s="60" t="s">
        <v>975</v>
      </c>
    </row>
    <row r="779" spans="1:21">
      <c r="A779" s="102">
        <v>159</v>
      </c>
      <c r="B779" s="108" t="s">
        <v>940</v>
      </c>
      <c r="C779" s="70"/>
      <c r="D779" s="97" t="e">
        <f>_xlfn.XLOOKUP(A779,[1]CPD_SOP_new!$A:$A,[1]CPD_SOP_new!#REF!,"not found",0 )</f>
        <v>#REF!</v>
      </c>
      <c r="E779" s="97" t="str">
        <f>_xlfn.XLOOKUP(A779,[1]CPD_SOP_new!$A:$A,[1]CPD_SOP_new!$K:$K,"not found",0 )</f>
        <v>F3L</v>
      </c>
      <c r="F779" t="s">
        <v>27</v>
      </c>
      <c r="G779" t="s">
        <v>27</v>
      </c>
      <c r="H779" t="s">
        <v>27</v>
      </c>
      <c r="I779" t="s">
        <v>28</v>
      </c>
      <c r="J779" t="s">
        <v>828</v>
      </c>
      <c r="K779" s="85" t="str">
        <f t="shared" si="12"/>
        <v>/mnt/measurements/07_CANape/Mitsubishi/5K45/MMC5.0.0_RC3/CPD_Test_Cases/CSR_XCP_Signals_Recorder_2025-12-11_16-03-18_TC159_Liquid3LFW_CPD.MF4.xz,empty,RadarFC_Master,empty,CPD,dummy</v>
      </c>
      <c r="L779" s="85" t="s">
        <v>3856</v>
      </c>
      <c r="M779" s="70" t="s">
        <v>1016</v>
      </c>
      <c r="N779" s="60" t="s">
        <v>975</v>
      </c>
    </row>
    <row r="780" spans="1:21">
      <c r="A780" s="102">
        <v>159</v>
      </c>
      <c r="B780" s="108" t="s">
        <v>940</v>
      </c>
      <c r="C780" s="70"/>
      <c r="D780" s="97" t="e">
        <f>_xlfn.XLOOKUP(A780,[1]CPD_SOP_new!$A:$A,[1]CPD_SOP_new!#REF!,"not found",0 )</f>
        <v>#REF!</v>
      </c>
      <c r="E780" s="97" t="str">
        <f>_xlfn.XLOOKUP(A780,[1]CPD_SOP_new!$A:$A,[1]CPD_SOP_new!$K:$K,"not found",0 )</f>
        <v>F3L</v>
      </c>
      <c r="F780" t="s">
        <v>27</v>
      </c>
      <c r="G780" t="s">
        <v>27</v>
      </c>
      <c r="H780" t="s">
        <v>27</v>
      </c>
      <c r="I780" t="s">
        <v>28</v>
      </c>
      <c r="J780" t="s">
        <v>828</v>
      </c>
      <c r="K780" s="85" t="str">
        <f t="shared" si="12"/>
        <v>/mnt/measurements/07_CANape/Mitsubishi/5K45/MMC5.0.0_RC3/CPD_Test_Cases/CSR_XCP_Signals_Recorder_2025-12-11_16-05-02_TC159_Liquid3LFW_CPD.MF4.xz,empty,RadarFC_Master,empty,CPD,dummy</v>
      </c>
      <c r="L780" s="85" t="s">
        <v>3857</v>
      </c>
      <c r="M780" t="s">
        <v>1018</v>
      </c>
      <c r="N780" s="60" t="s">
        <v>975</v>
      </c>
    </row>
    <row r="781" spans="1:21">
      <c r="A781" s="102">
        <v>159</v>
      </c>
      <c r="B781" s="108" t="s">
        <v>940</v>
      </c>
      <c r="C781" s="70"/>
      <c r="D781" s="97" t="e">
        <f>_xlfn.XLOOKUP(A781,[1]CPD_SOP_new!$A:$A,[1]CPD_SOP_new!#REF!,"not found",0 )</f>
        <v>#REF!</v>
      </c>
      <c r="E781" s="97" t="str">
        <f>_xlfn.XLOOKUP(A781,[1]CPD_SOP_new!$A:$A,[1]CPD_SOP_new!$K:$K,"not found",0 )</f>
        <v>F3L</v>
      </c>
      <c r="F781" t="s">
        <v>27</v>
      </c>
      <c r="G781" t="s">
        <v>27</v>
      </c>
      <c r="H781" t="s">
        <v>27</v>
      </c>
      <c r="I781" t="s">
        <v>28</v>
      </c>
      <c r="J781" t="s">
        <v>828</v>
      </c>
      <c r="K781" s="85" t="str">
        <f t="shared" si="12"/>
        <v>/mnt/measurements/07_CANape/Mitsubishi/5K45/MMC5.0.0_RC3/CPD_Test_Cases/CSR_XCP_Signals_Recorder_2025-12-11_16-07-00_TC159_Liquid3LFW_CPD.MF4.xz,empty,RadarFC_Master,empty,CPD,dummy</v>
      </c>
      <c r="L781" s="85" t="s">
        <v>3858</v>
      </c>
      <c r="M781" t="s">
        <v>1019</v>
      </c>
      <c r="N781" s="60" t="s">
        <v>975</v>
      </c>
    </row>
    <row r="782" spans="1:21">
      <c r="A782" s="82">
        <v>162</v>
      </c>
      <c r="B782" s="70" t="s">
        <v>405</v>
      </c>
      <c r="C782" s="70"/>
      <c r="D782" s="97" t="e">
        <f>_xlfn.XLOOKUP(A782,[1]CPD_SOP_new!$A:$A,[1]CPD_SOP_new!#REF!,"not found",0 )</f>
        <v>#REF!</v>
      </c>
      <c r="E782" s="97" t="str">
        <f>_xlfn.XLOOKUP(A782,[1]CPD_SOP_new!$A:$A,[1]CPD_SOP_new!$K:$K,"not found",0 )</f>
        <v>2R</v>
      </c>
      <c r="F782" t="s">
        <v>27</v>
      </c>
      <c r="G782" t="s">
        <v>27</v>
      </c>
      <c r="H782" t="s">
        <v>27</v>
      </c>
      <c r="I782" t="s">
        <v>28</v>
      </c>
      <c r="J782" t="s">
        <v>828</v>
      </c>
      <c r="K782" s="85" t="str">
        <f t="shared" si="12"/>
        <v>/mnt/measurements/07_CANape/Mitsubishi/5K45/5.3.0_RC6/Customer_Testing/CSR_XCP_Signals_Recorder_2026-01-29_17-22-58_TC162_NCAP_1_2.MF4.xz,empty,RadarFC_Master,empty,CPD,dummy</v>
      </c>
      <c r="L782" s="85" t="s">
        <v>3859</v>
      </c>
      <c r="M782" t="s">
        <v>1026</v>
      </c>
      <c r="N782" s="60" t="s">
        <v>353</v>
      </c>
      <c r="O782" t="s">
        <v>828</v>
      </c>
      <c r="P782" t="s">
        <v>828</v>
      </c>
      <c r="Q782">
        <v>0</v>
      </c>
      <c r="T782">
        <v>0</v>
      </c>
      <c r="U782">
        <v>0</v>
      </c>
    </row>
    <row r="783" spans="1:21">
      <c r="A783" s="82">
        <v>162</v>
      </c>
      <c r="B783" s="70" t="s">
        <v>405</v>
      </c>
      <c r="C783" s="70"/>
      <c r="D783" s="97" t="e">
        <f>_xlfn.XLOOKUP(A783,[1]CPD_SOP_new!$A:$A,[1]CPD_SOP_new!#REF!,"not found",0 )</f>
        <v>#REF!</v>
      </c>
      <c r="E783" s="97" t="str">
        <f>_xlfn.XLOOKUP(A783,[1]CPD_SOP_new!$A:$A,[1]CPD_SOP_new!$K:$K,"not found",0 )</f>
        <v>2R</v>
      </c>
      <c r="F783" t="s">
        <v>27</v>
      </c>
      <c r="G783" t="s">
        <v>27</v>
      </c>
      <c r="H783" t="s">
        <v>27</v>
      </c>
      <c r="I783" t="s">
        <v>28</v>
      </c>
      <c r="J783" t="s">
        <v>828</v>
      </c>
      <c r="K783" s="85" t="str">
        <f t="shared" si="12"/>
        <v>/mnt/measurements/07_CANape/Mitsubishi/5K45/5.3.0_RC6/Customer_Testing/CSR_XCP_Signals_Recorder_2026-01-29_17-23-45_TC162_NCAP_1_2.MF4.xz,empty,RadarFC_Master,empty,CPD,dummy</v>
      </c>
      <c r="L783" s="85" t="s">
        <v>3860</v>
      </c>
      <c r="M783" t="s">
        <v>1028</v>
      </c>
      <c r="N783" s="60" t="s">
        <v>353</v>
      </c>
      <c r="O783" t="s">
        <v>828</v>
      </c>
      <c r="P783" t="s">
        <v>828</v>
      </c>
      <c r="Q783">
        <v>0</v>
      </c>
      <c r="T783">
        <v>0</v>
      </c>
      <c r="U783">
        <v>0</v>
      </c>
    </row>
    <row r="784" spans="1:21">
      <c r="A784" s="107">
        <v>162</v>
      </c>
      <c r="B784" s="70" t="s">
        <v>405</v>
      </c>
      <c r="C784" s="70"/>
      <c r="D784" s="97" t="e">
        <f>_xlfn.XLOOKUP(A784,[1]CPD_SOP_new!$A:$A,[1]CPD_SOP_new!#REF!,"not found",0 )</f>
        <v>#REF!</v>
      </c>
      <c r="E784" s="97" t="str">
        <f>_xlfn.XLOOKUP(A784,[1]CPD_SOP_new!$A:$A,[1]CPD_SOP_new!$K:$K,"not found",0 )</f>
        <v>2R</v>
      </c>
      <c r="F784" t="s">
        <v>27</v>
      </c>
      <c r="G784" t="s">
        <v>27</v>
      </c>
      <c r="H784" t="s">
        <v>27</v>
      </c>
      <c r="I784" t="s">
        <v>28</v>
      </c>
      <c r="J784" t="s">
        <v>828</v>
      </c>
      <c r="K784" s="85" t="str">
        <f t="shared" si="12"/>
        <v>/mnt/measurements/07_CANape/Mitsubishi/5K45/5.3.0_RC6.2/5K457EG11/FP_Test_Cases_Renamed/CSR_XCP_Signals_Recorder_2026-02-03_13-24-06_TC162_NCAP1_2.MF4.xz,empty,RadarFC_Master,empty,CPD,dummy</v>
      </c>
      <c r="L784" s="85" t="s">
        <v>3861</v>
      </c>
      <c r="M784" t="s">
        <v>1037</v>
      </c>
      <c r="N784" s="60" t="s">
        <v>767</v>
      </c>
    </row>
    <row r="785" spans="1:14">
      <c r="A785" s="107">
        <v>162</v>
      </c>
      <c r="B785" s="70" t="s">
        <v>405</v>
      </c>
      <c r="C785" s="70"/>
      <c r="D785" s="97" t="e">
        <f>_xlfn.XLOOKUP(A785,[1]CPD_SOP_new!$A:$A,[1]CPD_SOP_new!#REF!,"not found",0 )</f>
        <v>#REF!</v>
      </c>
      <c r="E785" s="97" t="str">
        <f>_xlfn.XLOOKUP(A785,[1]CPD_SOP_new!$A:$A,[1]CPD_SOP_new!$K:$K,"not found",0 )</f>
        <v>2R</v>
      </c>
      <c r="F785" t="s">
        <v>27</v>
      </c>
      <c r="G785" t="s">
        <v>27</v>
      </c>
      <c r="H785" t="s">
        <v>27</v>
      </c>
      <c r="I785" t="s">
        <v>28</v>
      </c>
      <c r="J785" t="s">
        <v>828</v>
      </c>
      <c r="K785" s="85" t="str">
        <f t="shared" si="12"/>
        <v>/mnt/measurements/07_CANape/Mitsubishi/5K45/5.3.0_RC6.2/5K457EG11/FP_Test_Cases_Renamed/CSR_XCP_Signals_Recorder_2026-02-03_13-25-09_TC162_NCAP1_2.MF4.xz,empty,RadarFC_Master,empty,CPD,dummy</v>
      </c>
      <c r="L785" s="85" t="s">
        <v>3862</v>
      </c>
      <c r="M785" s="70" t="s">
        <v>1038</v>
      </c>
      <c r="N785" s="60" t="s">
        <v>767</v>
      </c>
    </row>
    <row r="786" spans="1:14">
      <c r="A786" s="107">
        <v>162</v>
      </c>
      <c r="B786" s="70" t="s">
        <v>405</v>
      </c>
      <c r="C786" s="70"/>
      <c r="D786" s="97" t="e">
        <f>_xlfn.XLOOKUP(A786,[1]CPD_SOP_new!$A:$A,[1]CPD_SOP_new!#REF!,"not found",0 )</f>
        <v>#REF!</v>
      </c>
      <c r="E786" s="97" t="str">
        <f>_xlfn.XLOOKUP(A786,[1]CPD_SOP_new!$A:$A,[1]CPD_SOP_new!$K:$K,"not found",0 )</f>
        <v>2R</v>
      </c>
      <c r="F786" t="s">
        <v>27</v>
      </c>
      <c r="G786" t="s">
        <v>27</v>
      </c>
      <c r="H786" t="s">
        <v>27</v>
      </c>
      <c r="I786" t="s">
        <v>28</v>
      </c>
      <c r="J786" t="s">
        <v>828</v>
      </c>
      <c r="K786" s="85" t="str">
        <f t="shared" si="12"/>
        <v>/mnt/measurements/07_CANape/Mitsubishi/5K45/5.3.0_RC6.2/5K457EG11/FP_Test_Cases_Renamed/CSR_XCP_Signals_Recorder_2026-02-03_13-26-00_TC162_NCAP1_2.MF4.xz,empty,RadarFC_Master,empty,CPD,dummy</v>
      </c>
      <c r="L786" s="85" t="s">
        <v>3863</v>
      </c>
      <c r="M786" s="70" t="s">
        <v>1039</v>
      </c>
      <c r="N786" s="60" t="s">
        <v>767</v>
      </c>
    </row>
    <row r="787" spans="1:14">
      <c r="A787" s="102">
        <v>166</v>
      </c>
      <c r="B787" s="70" t="s">
        <v>405</v>
      </c>
      <c r="C787" s="70"/>
      <c r="D787" s="97" t="e">
        <f>_xlfn.XLOOKUP(A787,[1]CPD_SOP_new!$A:$A,[1]CPD_SOP_new!#REF!,"not found",0 )</f>
        <v>#REF!</v>
      </c>
      <c r="E787" s="97" t="str">
        <f>_xlfn.XLOOKUP(A787,[1]CPD_SOP_new!$A:$A,[1]CPD_SOP_new!$K:$K,"not found",0 )</f>
        <v>3L</v>
      </c>
      <c r="F787" t="s">
        <v>27</v>
      </c>
      <c r="G787" t="s">
        <v>27</v>
      </c>
      <c r="H787" t="s">
        <v>27</v>
      </c>
      <c r="I787" t="s">
        <v>28</v>
      </c>
      <c r="J787" t="s">
        <v>828</v>
      </c>
      <c r="K787" s="85" t="str">
        <f t="shared" si="12"/>
        <v>/mnt/measurements/07_CANape/Mitsubishi/5K45/MMC5.0.1/5K457MG-47/CPD/TC166_Try_3.MF4.xz,empty,RadarFC_Master,empty,CPD,dummy</v>
      </c>
      <c r="L787" s="85" t="s">
        <v>3864</v>
      </c>
      <c r="M787" s="70" t="s">
        <v>1054</v>
      </c>
      <c r="N787" s="106" t="s">
        <v>239</v>
      </c>
    </row>
    <row r="788" spans="1:14">
      <c r="A788" s="102">
        <v>167</v>
      </c>
      <c r="B788" s="70" t="s">
        <v>405</v>
      </c>
      <c r="C788" s="70"/>
      <c r="D788" s="97" t="e">
        <f>_xlfn.XLOOKUP(A788,[1]CPD_SOP_new!$A:$A,[1]CPD_SOP_new!#REF!,"not found",0 )</f>
        <v>#REF!</v>
      </c>
      <c r="E788" s="97" t="str">
        <f>_xlfn.XLOOKUP(A788,[1]CPD_SOP_new!$A:$A,[1]CPD_SOP_new!$K:$K,"not found",0 )</f>
        <v>F1D</v>
      </c>
      <c r="F788" t="s">
        <v>27</v>
      </c>
      <c r="G788" t="s">
        <v>27</v>
      </c>
      <c r="H788" t="s">
        <v>27</v>
      </c>
      <c r="I788" t="s">
        <v>28</v>
      </c>
      <c r="J788" t="s">
        <v>828</v>
      </c>
      <c r="K788" s="85" t="str">
        <f t="shared" si="12"/>
        <v>/mnt/measurements/07_CANape/Mitsubishi/5K45/MMC5.0.1/5K457MG-47/CPD/TC167_Try_1.MF4.xz,empty,RadarFC_Master,empty,CPD,dummy</v>
      </c>
      <c r="L788" s="85" t="s">
        <v>3865</v>
      </c>
      <c r="M788" t="s">
        <v>1056</v>
      </c>
      <c r="N788" s="106" t="s">
        <v>239</v>
      </c>
    </row>
    <row r="789" spans="1:14">
      <c r="A789" s="102">
        <v>167</v>
      </c>
      <c r="B789" s="70" t="s">
        <v>405</v>
      </c>
      <c r="C789" s="70"/>
      <c r="D789" s="97" t="e">
        <f>_xlfn.XLOOKUP(A789,[1]CPD_SOP_new!$A:$A,[1]CPD_SOP_new!#REF!,"not found",0 )</f>
        <v>#REF!</v>
      </c>
      <c r="E789" s="97" t="str">
        <f>_xlfn.XLOOKUP(A789,[1]CPD_SOP_new!$A:$A,[1]CPD_SOP_new!$K:$K,"not found",0 )</f>
        <v>F1D</v>
      </c>
      <c r="F789" t="s">
        <v>27</v>
      </c>
      <c r="G789" t="s">
        <v>27</v>
      </c>
      <c r="H789" t="s">
        <v>27</v>
      </c>
      <c r="I789" t="s">
        <v>28</v>
      </c>
      <c r="J789" t="s">
        <v>828</v>
      </c>
      <c r="K789" s="85" t="str">
        <f t="shared" si="12"/>
        <v>/mnt/measurements/07_CANape/Mitsubishi/5K45/MMC5.0.1/5K457MG-47/CPD/TC167_Try_2.MF4.xz,empty,RadarFC_Master,empty,CPD,dummy</v>
      </c>
      <c r="L789" s="85" t="s">
        <v>3866</v>
      </c>
      <c r="M789" t="s">
        <v>1058</v>
      </c>
      <c r="N789" s="106" t="s">
        <v>239</v>
      </c>
    </row>
    <row r="790" spans="1:14">
      <c r="A790" s="102">
        <v>167</v>
      </c>
      <c r="B790" s="70" t="s">
        <v>405</v>
      </c>
      <c r="C790" s="70"/>
      <c r="D790" s="97" t="e">
        <f>_xlfn.XLOOKUP(A790,[1]CPD_SOP_new!$A:$A,[1]CPD_SOP_new!#REF!,"not found",0 )</f>
        <v>#REF!</v>
      </c>
      <c r="E790" s="97" t="str">
        <f>_xlfn.XLOOKUP(A790,[1]CPD_SOP_new!$A:$A,[1]CPD_SOP_new!$K:$K,"not found",0 )</f>
        <v>F1D</v>
      </c>
      <c r="F790" t="s">
        <v>27</v>
      </c>
      <c r="G790" t="s">
        <v>27</v>
      </c>
      <c r="H790" t="s">
        <v>27</v>
      </c>
      <c r="I790" t="s">
        <v>28</v>
      </c>
      <c r="J790" t="s">
        <v>828</v>
      </c>
      <c r="K790" s="85" t="str">
        <f t="shared" si="12"/>
        <v>/mnt/measurements/07_CANape/Mitsubishi/5K45/MMC5.0.1/5K457MG-47/CPD/TC167_Try_3.MF4.xz,empty,RadarFC_Master,empty,CPD,dummy</v>
      </c>
      <c r="L790" s="85" t="s">
        <v>3867</v>
      </c>
      <c r="M790" t="s">
        <v>1059</v>
      </c>
      <c r="N790" s="106" t="s">
        <v>239</v>
      </c>
    </row>
    <row r="791" spans="1:14">
      <c r="A791" s="102">
        <v>168</v>
      </c>
      <c r="B791" s="70" t="s">
        <v>405</v>
      </c>
      <c r="C791" s="70"/>
      <c r="D791" s="97" t="e">
        <f>_xlfn.XLOOKUP(A791,[1]CPD_SOP_new!$A:$A,[1]CPD_SOP_new!#REF!,"not found",0 )</f>
        <v>#REF!</v>
      </c>
      <c r="E791" s="97" t="str">
        <f>_xlfn.XLOOKUP(A791,[1]CPD_SOP_new!$A:$A,[1]CPD_SOP_new!$K:$K,"not found",0 )</f>
        <v>F1P</v>
      </c>
      <c r="F791" t="s">
        <v>27</v>
      </c>
      <c r="G791" t="s">
        <v>27</v>
      </c>
      <c r="H791" t="s">
        <v>27</v>
      </c>
      <c r="I791" t="s">
        <v>28</v>
      </c>
      <c r="J791" t="s">
        <v>828</v>
      </c>
      <c r="K791" s="85" t="str">
        <f t="shared" si="12"/>
        <v>/mnt/measurements/07_CANape/Mitsubishi/5K45/MMC5.0.1/5K457MG-47/CPD/TC168_Try_1.MF4.xz,empty,RadarFC_Master,empty,CPD,dummy</v>
      </c>
      <c r="L791" s="85" t="s">
        <v>3868</v>
      </c>
      <c r="M791" t="s">
        <v>1060</v>
      </c>
      <c r="N791" s="106" t="s">
        <v>239</v>
      </c>
    </row>
    <row r="792" spans="1:14">
      <c r="A792" s="102">
        <v>168</v>
      </c>
      <c r="B792" s="70" t="s">
        <v>405</v>
      </c>
      <c r="C792" s="70"/>
      <c r="D792" s="97" t="e">
        <f>_xlfn.XLOOKUP(A792,[1]CPD_SOP_new!$A:$A,[1]CPD_SOP_new!#REF!,"not found",0 )</f>
        <v>#REF!</v>
      </c>
      <c r="E792" s="97" t="str">
        <f>_xlfn.XLOOKUP(A792,[1]CPD_SOP_new!$A:$A,[1]CPD_SOP_new!$K:$K,"not found",0 )</f>
        <v>F1P</v>
      </c>
      <c r="F792" t="s">
        <v>27</v>
      </c>
      <c r="G792" t="s">
        <v>27</v>
      </c>
      <c r="H792" t="s">
        <v>27</v>
      </c>
      <c r="I792" t="s">
        <v>28</v>
      </c>
      <c r="J792" t="s">
        <v>828</v>
      </c>
      <c r="K792" s="85" t="str">
        <f t="shared" si="12"/>
        <v>/mnt/measurements/07_CANape/Mitsubishi/5K45/MMC5.0.1/5K457MG-47/CPD/TC168_Try_2.MF4.xz,empty,RadarFC_Master,empty,CPD,dummy</v>
      </c>
      <c r="L792" s="85" t="s">
        <v>3869</v>
      </c>
      <c r="M792" s="70" t="s">
        <v>1062</v>
      </c>
      <c r="N792" s="106" t="s">
        <v>239</v>
      </c>
    </row>
    <row r="793" spans="1:14">
      <c r="A793" s="102">
        <v>168</v>
      </c>
      <c r="B793" s="70" t="s">
        <v>405</v>
      </c>
      <c r="C793" s="70"/>
      <c r="D793" s="97" t="e">
        <f>_xlfn.XLOOKUP(A793,[1]CPD_SOP_new!$A:$A,[1]CPD_SOP_new!#REF!,"not found",0 )</f>
        <v>#REF!</v>
      </c>
      <c r="E793" s="97" t="str">
        <f>_xlfn.XLOOKUP(A793,[1]CPD_SOP_new!$A:$A,[1]CPD_SOP_new!$K:$K,"not found",0 )</f>
        <v>F1P</v>
      </c>
      <c r="F793" t="s">
        <v>27</v>
      </c>
      <c r="G793" t="s">
        <v>27</v>
      </c>
      <c r="H793" t="s">
        <v>27</v>
      </c>
      <c r="I793" t="s">
        <v>28</v>
      </c>
      <c r="J793" t="s">
        <v>828</v>
      </c>
      <c r="K793" s="85" t="str">
        <f t="shared" si="12"/>
        <v>/mnt/measurements/07_CANape/Mitsubishi/5K45/MMC5.0.1/5K457MG-47/CPD/TC168_Try_3.MF4.xz,empty,RadarFC_Master,empty,CPD,dummy</v>
      </c>
      <c r="L793" s="85" t="s">
        <v>3870</v>
      </c>
      <c r="M793" s="70" t="s">
        <v>1063</v>
      </c>
      <c r="N793" s="106" t="s">
        <v>239</v>
      </c>
    </row>
    <row r="794" spans="1:14">
      <c r="A794" s="102">
        <v>169</v>
      </c>
      <c r="B794" s="70" t="s">
        <v>405</v>
      </c>
      <c r="C794" s="70"/>
      <c r="D794" s="97" t="e">
        <f>_xlfn.XLOOKUP(A794,[1]CPD_SOP_new!$A:$A,[1]CPD_SOP_new!#REF!,"not found",0 )</f>
        <v>#REF!</v>
      </c>
      <c r="E794" s="97" t="str">
        <f>_xlfn.XLOOKUP(A794,[1]CPD_SOP_new!$A:$A,[1]CPD_SOP_new!$K:$K,"not found",0 )</f>
        <v>F2R</v>
      </c>
      <c r="F794" t="s">
        <v>27</v>
      </c>
      <c r="G794" t="s">
        <v>27</v>
      </c>
      <c r="H794" t="s">
        <v>27</v>
      </c>
      <c r="I794" t="s">
        <v>28</v>
      </c>
      <c r="J794" t="s">
        <v>828</v>
      </c>
      <c r="K794" s="85" t="str">
        <f t="shared" si="12"/>
        <v>/mnt/measurements/07_CANape/Mitsubishi/5K45/MMC5.0.1/5K457MG-47/CPD/TC169_Try_1.MF4.xz,empty,RadarFC_Master,empty,CPD,dummy</v>
      </c>
      <c r="L794" s="85" t="s">
        <v>3871</v>
      </c>
      <c r="M794" s="70" t="s">
        <v>1064</v>
      </c>
      <c r="N794" s="106" t="s">
        <v>239</v>
      </c>
    </row>
    <row r="795" spans="1:14">
      <c r="A795" s="102">
        <v>169</v>
      </c>
      <c r="B795" s="70" t="s">
        <v>405</v>
      </c>
      <c r="C795" s="70"/>
      <c r="D795" s="97" t="e">
        <f>_xlfn.XLOOKUP(A795,[1]CPD_SOP_new!$A:$A,[1]CPD_SOP_new!#REF!,"not found",0 )</f>
        <v>#REF!</v>
      </c>
      <c r="E795" s="97" t="str">
        <f>_xlfn.XLOOKUP(A795,[1]CPD_SOP_new!$A:$A,[1]CPD_SOP_new!$K:$K,"not found",0 )</f>
        <v>F2R</v>
      </c>
      <c r="F795" t="s">
        <v>27</v>
      </c>
      <c r="G795" t="s">
        <v>27</v>
      </c>
      <c r="H795" t="s">
        <v>27</v>
      </c>
      <c r="I795" t="s">
        <v>28</v>
      </c>
      <c r="J795" t="s">
        <v>828</v>
      </c>
      <c r="K795" s="85" t="str">
        <f t="shared" si="12"/>
        <v>/mnt/measurements/07_CANape/Mitsubishi/5K45/MMC5.0.1/5K457MG-47/CPD/TC169_Try_2.MF4.xz,empty,RadarFC_Master,empty,CPD,dummy</v>
      </c>
      <c r="L795" s="85" t="s">
        <v>3872</v>
      </c>
      <c r="M795" s="70" t="s">
        <v>1066</v>
      </c>
      <c r="N795" s="106" t="s">
        <v>239</v>
      </c>
    </row>
    <row r="796" spans="1:14">
      <c r="A796" s="38">
        <v>169</v>
      </c>
      <c r="B796" s="70" t="s">
        <v>405</v>
      </c>
      <c r="C796" s="70"/>
      <c r="D796" s="97" t="e">
        <f>_xlfn.XLOOKUP(A796,[1]CPD_SOP_new!$A:$A,[1]CPD_SOP_new!#REF!,"not found",0 )</f>
        <v>#REF!</v>
      </c>
      <c r="E796" s="97" t="str">
        <f>_xlfn.XLOOKUP(A796,[1]CPD_SOP_new!$A:$A,[1]CPD_SOP_new!$K:$K,"not found",0 )</f>
        <v>F2R</v>
      </c>
      <c r="F796" t="s">
        <v>27</v>
      </c>
      <c r="G796" t="s">
        <v>27</v>
      </c>
      <c r="H796" t="s">
        <v>27</v>
      </c>
      <c r="I796" t="s">
        <v>28</v>
      </c>
      <c r="J796" t="s">
        <v>828</v>
      </c>
      <c r="K796" s="85" t="str">
        <f t="shared" si="12"/>
        <v>/mnt/measurements/07_CANape/Mitsubishi/5K45/MMC5.0.1/5K457MG-47/CPD/TC169_Try_3.MF4.xz,empty,RadarFC_Master,empty,CPD,dummy</v>
      </c>
      <c r="L796" s="85" t="s">
        <v>3873</v>
      </c>
      <c r="M796" t="s">
        <v>1067</v>
      </c>
      <c r="N796" s="106" t="s">
        <v>239</v>
      </c>
    </row>
    <row r="797" spans="1:14">
      <c r="A797" s="38">
        <v>170</v>
      </c>
      <c r="B797" s="70" t="s">
        <v>405</v>
      </c>
      <c r="C797" s="70"/>
      <c r="D797" s="97" t="e">
        <f>_xlfn.XLOOKUP(A797,[1]CPD_SOP_new!$A:$A,[1]CPD_SOP_new!#REF!,"not found",0 )</f>
        <v>#REF!</v>
      </c>
      <c r="E797" s="97" t="str">
        <f>_xlfn.XLOOKUP(A797,[1]CPD_SOP_new!$A:$A,[1]CPD_SOP_new!$K:$K,"not found",0 )</f>
        <v>F2L</v>
      </c>
      <c r="F797" t="s">
        <v>27</v>
      </c>
      <c r="G797" t="s">
        <v>27</v>
      </c>
      <c r="H797" t="s">
        <v>27</v>
      </c>
      <c r="I797" t="s">
        <v>28</v>
      </c>
      <c r="J797" t="s">
        <v>828</v>
      </c>
      <c r="K797" s="85" t="str">
        <f t="shared" si="12"/>
        <v>/mnt/measurements/07_CANape/Mitsubishi/5K45/MMC5.0.1/5K457MG-47/CPD/TC170_Try_1.MF4.xz,empty,RadarFC_Master,empty,CPD,dummy</v>
      </c>
      <c r="L797" s="85" t="s">
        <v>3874</v>
      </c>
      <c r="M797" t="s">
        <v>1068</v>
      </c>
      <c r="N797" s="106" t="s">
        <v>239</v>
      </c>
    </row>
    <row r="798" spans="1:14">
      <c r="A798" s="38">
        <v>170</v>
      </c>
      <c r="B798" s="70" t="s">
        <v>405</v>
      </c>
      <c r="C798" s="70"/>
      <c r="D798" s="97" t="e">
        <f>_xlfn.XLOOKUP(A798,[1]CPD_SOP_new!$A:$A,[1]CPD_SOP_new!#REF!,"not found",0 )</f>
        <v>#REF!</v>
      </c>
      <c r="E798" s="97" t="str">
        <f>_xlfn.XLOOKUP(A798,[1]CPD_SOP_new!$A:$A,[1]CPD_SOP_new!$K:$K,"not found",0 )</f>
        <v>F2L</v>
      </c>
      <c r="F798" t="s">
        <v>27</v>
      </c>
      <c r="G798" t="s">
        <v>27</v>
      </c>
      <c r="H798" t="s">
        <v>27</v>
      </c>
      <c r="I798" t="s">
        <v>28</v>
      </c>
      <c r="J798" t="s">
        <v>828</v>
      </c>
      <c r="K798" s="85" t="str">
        <f t="shared" si="12"/>
        <v>/mnt/measurements/07_CANape/Mitsubishi/5K45/MMC5.0.1/5K457MG-47/CPD/TC170_Try_2.MF4.xz,empty,RadarFC_Master,empty,CPD,dummy</v>
      </c>
      <c r="L798" s="85" t="s">
        <v>3875</v>
      </c>
      <c r="M798" t="s">
        <v>1070</v>
      </c>
      <c r="N798" s="106" t="s">
        <v>239</v>
      </c>
    </row>
    <row r="799" spans="1:14">
      <c r="A799" s="38">
        <v>170</v>
      </c>
      <c r="B799" s="70" t="s">
        <v>405</v>
      </c>
      <c r="C799" s="70"/>
      <c r="D799" s="97" t="e">
        <f>_xlfn.XLOOKUP(A799,[1]CPD_SOP_new!$A:$A,[1]CPD_SOP_new!#REF!,"not found",0 )</f>
        <v>#REF!</v>
      </c>
      <c r="E799" s="97" t="str">
        <f>_xlfn.XLOOKUP(A799,[1]CPD_SOP_new!$A:$A,[1]CPD_SOP_new!$K:$K,"not found",0 )</f>
        <v>F2L</v>
      </c>
      <c r="F799" t="s">
        <v>27</v>
      </c>
      <c r="G799" t="s">
        <v>27</v>
      </c>
      <c r="H799" t="s">
        <v>27</v>
      </c>
      <c r="I799" t="s">
        <v>28</v>
      </c>
      <c r="J799" t="s">
        <v>828</v>
      </c>
      <c r="K799" s="85" t="str">
        <f t="shared" si="12"/>
        <v>/mnt/measurements/07_CANape/Mitsubishi/5K45/MMC5.0.1/5K457MG-47/CPD/TC170_Try_3.MF4.xz,empty,RadarFC_Master,empty,CPD,dummy</v>
      </c>
      <c r="L799" s="85" t="s">
        <v>3876</v>
      </c>
      <c r="M799" t="s">
        <v>1071</v>
      </c>
      <c r="N799" s="106" t="s">
        <v>239</v>
      </c>
    </row>
    <row r="800" spans="1:14">
      <c r="A800" s="38">
        <v>171</v>
      </c>
      <c r="B800" s="70" t="s">
        <v>405</v>
      </c>
      <c r="C800" s="70"/>
      <c r="D800" s="97" t="e">
        <f>_xlfn.XLOOKUP(A800,[1]CPD_SOP_new!$A:$A,[1]CPD_SOP_new!#REF!,"not found",0 )</f>
        <v>#REF!</v>
      </c>
      <c r="E800" s="97" t="str">
        <f>_xlfn.XLOOKUP(A800,[1]CPD_SOP_new!$A:$A,[1]CPD_SOP_new!$K:$K,"not found",0 )</f>
        <v>F2C</v>
      </c>
      <c r="F800" t="s">
        <v>27</v>
      </c>
      <c r="G800" t="s">
        <v>27</v>
      </c>
      <c r="H800" t="s">
        <v>27</v>
      </c>
      <c r="I800" t="s">
        <v>28</v>
      </c>
      <c r="J800" t="s">
        <v>828</v>
      </c>
      <c r="K800" s="85" t="str">
        <f t="shared" si="12"/>
        <v>/mnt/measurements/07_CANape/Mitsubishi/5K45/MMC5.0.1/5K457MG-47/CPD/TC171_Try_1.MF4.xz,empty,RadarFC_Master,empty,CPD,dummy</v>
      </c>
      <c r="L800" s="85" t="s">
        <v>3877</v>
      </c>
      <c r="M800" t="s">
        <v>1072</v>
      </c>
      <c r="N800" s="106" t="s">
        <v>239</v>
      </c>
    </row>
    <row r="801" spans="1:21">
      <c r="A801" s="38">
        <v>171</v>
      </c>
      <c r="B801" s="70" t="s">
        <v>405</v>
      </c>
      <c r="C801" s="70"/>
      <c r="D801" s="97" t="e">
        <f>_xlfn.XLOOKUP(A801,[1]CPD_SOP_new!$A:$A,[1]CPD_SOP_new!#REF!,"not found",0 )</f>
        <v>#REF!</v>
      </c>
      <c r="E801" s="97" t="str">
        <f>_xlfn.XLOOKUP(A801,[1]CPD_SOP_new!$A:$A,[1]CPD_SOP_new!$K:$K,"not found",0 )</f>
        <v>F2C</v>
      </c>
      <c r="F801" t="s">
        <v>27</v>
      </c>
      <c r="G801" t="s">
        <v>27</v>
      </c>
      <c r="H801" t="s">
        <v>27</v>
      </c>
      <c r="I801" t="s">
        <v>28</v>
      </c>
      <c r="J801" t="s">
        <v>828</v>
      </c>
      <c r="K801" s="85" t="str">
        <f t="shared" si="12"/>
        <v>/mnt/measurements/07_CANape/Mitsubishi/5K45/MMC5.0.1/5K457MG-47/CPD/TC171_Try_2.MF4.xz,empty,RadarFC_Master,empty,CPD,dummy</v>
      </c>
      <c r="L801" s="85" t="s">
        <v>3878</v>
      </c>
      <c r="M801" t="s">
        <v>1074</v>
      </c>
      <c r="N801" s="106" t="s">
        <v>239</v>
      </c>
    </row>
    <row r="802" spans="1:21">
      <c r="A802" s="38">
        <v>171</v>
      </c>
      <c r="B802" s="70" t="s">
        <v>405</v>
      </c>
      <c r="C802" s="70"/>
      <c r="D802" s="97" t="e">
        <f>_xlfn.XLOOKUP(A802,[1]CPD_SOP_new!$A:$A,[1]CPD_SOP_new!#REF!,"not found",0 )</f>
        <v>#REF!</v>
      </c>
      <c r="E802" s="97" t="str">
        <f>_xlfn.XLOOKUP(A802,[1]CPD_SOP_new!$A:$A,[1]CPD_SOP_new!$K:$K,"not found",0 )</f>
        <v>F2C</v>
      </c>
      <c r="F802" t="s">
        <v>27</v>
      </c>
      <c r="G802" t="s">
        <v>27</v>
      </c>
      <c r="H802" t="s">
        <v>27</v>
      </c>
      <c r="I802" t="s">
        <v>28</v>
      </c>
      <c r="J802" t="s">
        <v>828</v>
      </c>
      <c r="K802" s="85" t="str">
        <f t="shared" si="12"/>
        <v>/mnt/measurements/07_CANape/Mitsubishi/5K45/MMC5.0.1/5K457MG-47/CPD/TC171_Try_3.MF4.xz,empty,RadarFC_Master,empty,CPD,dummy</v>
      </c>
      <c r="L802" s="85" t="s">
        <v>3879</v>
      </c>
      <c r="M802" t="s">
        <v>1075</v>
      </c>
      <c r="N802" s="106" t="s">
        <v>239</v>
      </c>
    </row>
    <row r="803" spans="1:21">
      <c r="A803" s="38">
        <v>172</v>
      </c>
      <c r="B803" s="70" t="s">
        <v>405</v>
      </c>
      <c r="C803" s="70"/>
      <c r="D803" s="97" t="e">
        <f>_xlfn.XLOOKUP(A803,[1]CPD_SOP_new!$A:$A,[1]CPD_SOP_new!#REF!,"not found",0 )</f>
        <v>#REF!</v>
      </c>
      <c r="E803" s="97" t="str">
        <f>_xlfn.XLOOKUP(A803,[1]CPD_SOP_new!$A:$A,[1]CPD_SOP_new!$K:$K,"not found",0 )</f>
        <v>F3R</v>
      </c>
      <c r="F803" t="s">
        <v>27</v>
      </c>
      <c r="G803" t="s">
        <v>27</v>
      </c>
      <c r="H803" t="s">
        <v>27</v>
      </c>
      <c r="I803" t="s">
        <v>28</v>
      </c>
      <c r="J803" t="s">
        <v>828</v>
      </c>
      <c r="K803" s="85" t="str">
        <f t="shared" si="12"/>
        <v>/mnt/measurements/07_CANape/Mitsubishi/5K45/MMC5.0.1/5K457MG-47/CPD/TC172_Try_1.MF4.xz,empty,RadarFC_Master,empty,CPD,dummy</v>
      </c>
      <c r="L803" s="85" t="s">
        <v>3880</v>
      </c>
      <c r="M803" t="s">
        <v>1076</v>
      </c>
      <c r="N803" s="106" t="s">
        <v>239</v>
      </c>
    </row>
    <row r="804" spans="1:21">
      <c r="A804" s="38">
        <v>172</v>
      </c>
      <c r="B804" s="70" t="s">
        <v>405</v>
      </c>
      <c r="C804" s="70"/>
      <c r="D804" s="97" t="e">
        <f>_xlfn.XLOOKUP(A804,[1]CPD_SOP_new!$A:$A,[1]CPD_SOP_new!#REF!,"not found",0 )</f>
        <v>#REF!</v>
      </c>
      <c r="E804" s="97" t="str">
        <f>_xlfn.XLOOKUP(A804,[1]CPD_SOP_new!$A:$A,[1]CPD_SOP_new!$K:$K,"not found",0 )</f>
        <v>F3R</v>
      </c>
      <c r="F804" t="s">
        <v>27</v>
      </c>
      <c r="G804" t="s">
        <v>27</v>
      </c>
      <c r="H804" t="s">
        <v>27</v>
      </c>
      <c r="I804" t="s">
        <v>28</v>
      </c>
      <c r="J804" t="s">
        <v>828</v>
      </c>
      <c r="K804" s="85" t="str">
        <f t="shared" si="12"/>
        <v>/mnt/measurements/07_CANape/Mitsubishi/5K45/MMC5.0.1/5K457MG-47/CPD/TC172_Try_2.MF4.xz,empty,RadarFC_Master,empty,CPD,dummy</v>
      </c>
      <c r="L804" s="85" t="s">
        <v>3881</v>
      </c>
      <c r="M804" t="s">
        <v>1078</v>
      </c>
      <c r="N804" s="106" t="s">
        <v>239</v>
      </c>
    </row>
    <row r="805" spans="1:21">
      <c r="A805" s="38">
        <v>172</v>
      </c>
      <c r="B805" s="70" t="s">
        <v>405</v>
      </c>
      <c r="C805" s="70"/>
      <c r="D805" s="97" t="e">
        <f>_xlfn.XLOOKUP(A805,[1]CPD_SOP_new!$A:$A,[1]CPD_SOP_new!#REF!,"not found",0 )</f>
        <v>#REF!</v>
      </c>
      <c r="E805" s="97" t="str">
        <f>_xlfn.XLOOKUP(A805,[1]CPD_SOP_new!$A:$A,[1]CPD_SOP_new!$K:$K,"not found",0 )</f>
        <v>F3R</v>
      </c>
      <c r="F805" t="s">
        <v>27</v>
      </c>
      <c r="G805" t="s">
        <v>27</v>
      </c>
      <c r="H805" t="s">
        <v>27</v>
      </c>
      <c r="I805" t="s">
        <v>28</v>
      </c>
      <c r="J805" t="s">
        <v>828</v>
      </c>
      <c r="K805" s="85" t="str">
        <f t="shared" si="12"/>
        <v>/mnt/measurements/07_CANape/Mitsubishi/5K45/MMC5.0.1/5K457MG-47/CPD/TC172_Try_3.MF4.xz,empty,RadarFC_Master,empty,CPD,dummy</v>
      </c>
      <c r="L805" s="85" t="s">
        <v>3882</v>
      </c>
      <c r="M805" t="s">
        <v>1079</v>
      </c>
      <c r="N805" s="106" t="s">
        <v>239</v>
      </c>
    </row>
    <row r="806" spans="1:21">
      <c r="A806" s="38">
        <v>173</v>
      </c>
      <c r="B806" s="70" t="s">
        <v>405</v>
      </c>
      <c r="C806" s="70"/>
      <c r="D806" s="97" t="e">
        <f>_xlfn.XLOOKUP(A806,[1]CPD_SOP_new!$A:$A,[1]CPD_SOP_new!#REF!,"not found",0 )</f>
        <v>#REF!</v>
      </c>
      <c r="E806" s="97" t="str">
        <f>_xlfn.XLOOKUP(A806,[1]CPD_SOP_new!$A:$A,[1]CPD_SOP_new!$K:$K,"not found",0 )</f>
        <v>F3L</v>
      </c>
      <c r="F806" t="s">
        <v>27</v>
      </c>
      <c r="G806" t="s">
        <v>27</v>
      </c>
      <c r="H806" t="s">
        <v>27</v>
      </c>
      <c r="I806" t="s">
        <v>28</v>
      </c>
      <c r="J806" t="s">
        <v>828</v>
      </c>
      <c r="K806" s="85" t="str">
        <f t="shared" si="12"/>
        <v>/mnt/measurements/07_CANape/Mitsubishi/5K45/MMC5.0.1/5K457MG-47/CPD/TC173_Try_1blf.MF4.xz,empty,RadarFC_Master,empty,CPD,dummy</v>
      </c>
      <c r="L806" s="85" t="s">
        <v>3883</v>
      </c>
      <c r="M806" t="s">
        <v>1080</v>
      </c>
      <c r="N806" s="106" t="s">
        <v>239</v>
      </c>
    </row>
    <row r="807" spans="1:21">
      <c r="A807" s="38">
        <v>173</v>
      </c>
      <c r="B807" s="70" t="s">
        <v>405</v>
      </c>
      <c r="C807" s="70"/>
      <c r="D807" s="97" t="e">
        <f>_xlfn.XLOOKUP(A807,[1]CPD_SOP_new!$A:$A,[1]CPD_SOP_new!#REF!,"not found",0 )</f>
        <v>#REF!</v>
      </c>
      <c r="E807" s="97" t="str">
        <f>_xlfn.XLOOKUP(A807,[1]CPD_SOP_new!$A:$A,[1]CPD_SOP_new!$K:$K,"not found",0 )</f>
        <v>F3L</v>
      </c>
      <c r="F807" t="s">
        <v>27</v>
      </c>
      <c r="G807" t="s">
        <v>27</v>
      </c>
      <c r="H807" t="s">
        <v>27</v>
      </c>
      <c r="I807" t="s">
        <v>28</v>
      </c>
      <c r="J807" t="s">
        <v>828</v>
      </c>
      <c r="K807" s="85" t="str">
        <f t="shared" si="12"/>
        <v>/mnt/measurements/07_CANape/Mitsubishi/5K45/MMC5.0.1/5K457MG-47/CPD/TC173_Try_2.MF4.xz,empty,RadarFC_Master,empty,CPD,dummy</v>
      </c>
      <c r="L807" s="85" t="s">
        <v>3884</v>
      </c>
      <c r="M807" t="s">
        <v>1082</v>
      </c>
      <c r="N807" s="106" t="s">
        <v>239</v>
      </c>
    </row>
    <row r="808" spans="1:21">
      <c r="A808" s="102">
        <v>173</v>
      </c>
      <c r="B808" s="70" t="s">
        <v>405</v>
      </c>
      <c r="C808" s="70"/>
      <c r="D808" s="97" t="e">
        <f>_xlfn.XLOOKUP(A808,[1]CPD_SOP_new!$A:$A,[1]CPD_SOP_new!#REF!,"not found",0 )</f>
        <v>#REF!</v>
      </c>
      <c r="E808" s="97" t="str">
        <f>_xlfn.XLOOKUP(A808,[1]CPD_SOP_new!$A:$A,[1]CPD_SOP_new!$K:$K,"not found",0 )</f>
        <v>F3L</v>
      </c>
      <c r="F808" t="s">
        <v>27</v>
      </c>
      <c r="G808" t="s">
        <v>27</v>
      </c>
      <c r="H808" t="s">
        <v>27</v>
      </c>
      <c r="I808" t="s">
        <v>28</v>
      </c>
      <c r="J808" t="s">
        <v>828</v>
      </c>
      <c r="K808" s="85" t="str">
        <f t="shared" si="12"/>
        <v>/mnt/measurements/07_CANape/Mitsubishi/5K45/MMC5.0.1/5K457MG-47/CPD/TC173_Try_3.MF4.xz,empty,RadarFC_Master,empty,CPD,dummy</v>
      </c>
      <c r="L808" s="85" t="s">
        <v>3885</v>
      </c>
      <c r="M808" s="70" t="s">
        <v>1083</v>
      </c>
      <c r="N808" s="106" t="s">
        <v>239</v>
      </c>
    </row>
    <row r="809" spans="1:21">
      <c r="A809" s="82">
        <v>176</v>
      </c>
      <c r="B809" s="70" t="s">
        <v>1084</v>
      </c>
      <c r="C809" s="70"/>
      <c r="D809" s="97" t="e">
        <f>_xlfn.XLOOKUP(A809,[1]CPD_SOP_new!$A:$A,[1]CPD_SOP_new!#REF!,"not found",0 )</f>
        <v>#REF!</v>
      </c>
      <c r="E809" s="97" t="str">
        <f>_xlfn.XLOOKUP(A809,[1]CPD_SOP_new!$A:$A,[1]CPD_SOP_new!$K:$K,"not found",0 )</f>
        <v>2R</v>
      </c>
      <c r="F809" t="s">
        <v>27</v>
      </c>
      <c r="G809" t="s">
        <v>28</v>
      </c>
      <c r="H809" t="s">
        <v>28</v>
      </c>
      <c r="I809" t="s">
        <v>28</v>
      </c>
      <c r="J809" t="s">
        <v>828</v>
      </c>
      <c r="K809" s="85" t="str">
        <f t="shared" si="12"/>
        <v>/mnt/measurements/07_CANape/Mitsubishi/5K45/5.3.0_RC6/5K457EG11/FP_Outside/CSR_XCP_Signals_Recorder_2026-01-29_11-59-03_TS176.mf4.xz,empty,RadarFC_Master,empty,CPD,dummy</v>
      </c>
      <c r="L809" s="85" t="s">
        <v>3886</v>
      </c>
      <c r="M809" s="70" t="s">
        <v>1085</v>
      </c>
      <c r="N809" s="60" t="s">
        <v>1086</v>
      </c>
      <c r="O809" t="s">
        <v>828</v>
      </c>
      <c r="P809" t="s">
        <v>828</v>
      </c>
      <c r="Q809">
        <v>0</v>
      </c>
      <c r="T809">
        <v>0</v>
      </c>
      <c r="U809">
        <v>0</v>
      </c>
    </row>
    <row r="810" spans="1:21">
      <c r="A810" s="82">
        <v>176</v>
      </c>
      <c r="B810" s="70" t="s">
        <v>1084</v>
      </c>
      <c r="C810" s="70"/>
      <c r="D810" s="97" t="e">
        <f>_xlfn.XLOOKUP(A810,[1]CPD_SOP_new!$A:$A,[1]CPD_SOP_new!#REF!,"not found",0 )</f>
        <v>#REF!</v>
      </c>
      <c r="E810" s="97" t="str">
        <f>_xlfn.XLOOKUP(A810,[1]CPD_SOP_new!$A:$A,[1]CPD_SOP_new!$K:$K,"not found",0 )</f>
        <v>2R</v>
      </c>
      <c r="F810" t="s">
        <v>27</v>
      </c>
      <c r="G810" t="s">
        <v>28</v>
      </c>
      <c r="H810" t="s">
        <v>28</v>
      </c>
      <c r="I810" t="s">
        <v>28</v>
      </c>
      <c r="J810" t="s">
        <v>828</v>
      </c>
      <c r="K810" s="85" t="str">
        <f t="shared" si="12"/>
        <v>/mnt/measurements/07_CANape/Mitsubishi/5K45/5.3.0_RC6/5K457EG11/FP_Outside/CSR_XCP_Signals_Recorder_2026-01-29_12-01-45_TS176.mf4.xz,empty,RadarFC_Master,empty,CPD,dummy</v>
      </c>
      <c r="L810" s="85" t="s">
        <v>3887</v>
      </c>
      <c r="M810" s="70" t="s">
        <v>1087</v>
      </c>
      <c r="N810" s="60" t="s">
        <v>1086</v>
      </c>
      <c r="O810" t="s">
        <v>828</v>
      </c>
      <c r="P810" t="s">
        <v>828</v>
      </c>
      <c r="Q810">
        <v>0</v>
      </c>
      <c r="T810">
        <v>0</v>
      </c>
      <c r="U810">
        <v>0</v>
      </c>
    </row>
    <row r="811" spans="1:21">
      <c r="A811" s="82">
        <v>176</v>
      </c>
      <c r="B811" s="70" t="s">
        <v>1084</v>
      </c>
      <c r="C811" s="70"/>
      <c r="D811" s="97" t="e">
        <f>_xlfn.XLOOKUP(A811,[1]CPD_SOP_new!$A:$A,[1]CPD_SOP_new!#REF!,"not found",0 )</f>
        <v>#REF!</v>
      </c>
      <c r="E811" s="97" t="str">
        <f>_xlfn.XLOOKUP(A811,[1]CPD_SOP_new!$A:$A,[1]CPD_SOP_new!$K:$K,"not found",0 )</f>
        <v>2R</v>
      </c>
      <c r="F811" t="s">
        <v>27</v>
      </c>
      <c r="G811" t="s">
        <v>28</v>
      </c>
      <c r="H811" t="s">
        <v>28</v>
      </c>
      <c r="I811" t="s">
        <v>28</v>
      </c>
      <c r="J811" t="s">
        <v>828</v>
      </c>
      <c r="K811" s="85" t="str">
        <f t="shared" si="12"/>
        <v>/mnt/measurements/07_CANape/Mitsubishi/5K45/5.3.0_RC6/5K457EG11/FP_Outside/CSR_XCP_Signals_Recorder_2026-01-29_12-03-19_TS176.mf4.xz,empty,RadarFC_Master,empty,CPD,dummy</v>
      </c>
      <c r="L811" s="85" t="s">
        <v>3888</v>
      </c>
      <c r="M811" s="70" t="s">
        <v>1088</v>
      </c>
      <c r="N811" s="60" t="s">
        <v>1086</v>
      </c>
      <c r="O811" t="s">
        <v>828</v>
      </c>
      <c r="P811" t="s">
        <v>828</v>
      </c>
      <c r="Q811">
        <v>0</v>
      </c>
      <c r="T811">
        <v>0</v>
      </c>
      <c r="U811">
        <v>0</v>
      </c>
    </row>
    <row r="812" spans="1:21">
      <c r="A812" s="82">
        <v>176</v>
      </c>
      <c r="B812" s="70" t="s">
        <v>1084</v>
      </c>
      <c r="C812" s="70"/>
      <c r="D812" s="97" t="e">
        <f>_xlfn.XLOOKUP(A812,[1]CPD_SOP_new!$A:$A,[1]CPD_SOP_new!#REF!,"not found",0 )</f>
        <v>#REF!</v>
      </c>
      <c r="E812" s="97" t="str">
        <f>_xlfn.XLOOKUP(A812,[1]CPD_SOP_new!$A:$A,[1]CPD_SOP_new!$K:$K,"not found",0 )</f>
        <v>2R</v>
      </c>
      <c r="F812" t="s">
        <v>27</v>
      </c>
      <c r="G812" t="s">
        <v>28</v>
      </c>
      <c r="H812" t="s">
        <v>28</v>
      </c>
      <c r="I812" t="s">
        <v>28</v>
      </c>
      <c r="J812" t="s">
        <v>828</v>
      </c>
      <c r="K812" s="85" t="str">
        <f t="shared" si="12"/>
        <v>/mnt/measurements/07_CANape/Mitsubishi/5K45/5.3.0_RC6/5K457EG11/FP_Outside/CSR_XCP_Signals_Recorder_2026-01-29_12-04-51_TS176.mf4.xz,empty,RadarFC_Master,empty,CPD,dummy</v>
      </c>
      <c r="L812" s="85" t="s">
        <v>3889</v>
      </c>
      <c r="M812" s="70" t="s">
        <v>1089</v>
      </c>
      <c r="N812" s="60" t="s">
        <v>1086</v>
      </c>
      <c r="O812" t="s">
        <v>828</v>
      </c>
      <c r="P812" t="s">
        <v>828</v>
      </c>
      <c r="Q812">
        <v>0</v>
      </c>
      <c r="T812">
        <v>0</v>
      </c>
      <c r="U812">
        <v>0</v>
      </c>
    </row>
    <row r="813" spans="1:21">
      <c r="A813" s="82">
        <v>176</v>
      </c>
      <c r="B813" s="70" t="s">
        <v>1084</v>
      </c>
      <c r="C813" s="70"/>
      <c r="D813" s="97" t="e">
        <f>_xlfn.XLOOKUP(A813,[1]CPD_SOP_new!$A:$A,[1]CPD_SOP_new!#REF!,"not found",0 )</f>
        <v>#REF!</v>
      </c>
      <c r="E813" s="97" t="str">
        <f>_xlfn.XLOOKUP(A813,[1]CPD_SOP_new!$A:$A,[1]CPD_SOP_new!$K:$K,"not found",0 )</f>
        <v>2R</v>
      </c>
      <c r="F813" t="s">
        <v>27</v>
      </c>
      <c r="G813" t="s">
        <v>28</v>
      </c>
      <c r="H813" t="s">
        <v>28</v>
      </c>
      <c r="I813" t="s">
        <v>28</v>
      </c>
      <c r="J813" t="s">
        <v>828</v>
      </c>
      <c r="K813" s="85" t="str">
        <f t="shared" si="12"/>
        <v>/mnt/measurements/07_CANape/Mitsubishi/5K45/5.3.0_RC6/Customer_Testing/CSR_XCP_Signals_Recorder_2026-01-29_17-38-42_TC176_NCAP_1_2.MF4.xz,empty,RadarFC_Master,empty,CPD,dummy</v>
      </c>
      <c r="L813" s="85" t="s">
        <v>3890</v>
      </c>
      <c r="M813" s="111" t="s">
        <v>1090</v>
      </c>
      <c r="N813" s="60" t="s">
        <v>353</v>
      </c>
      <c r="O813" t="s">
        <v>828</v>
      </c>
      <c r="P813" t="s">
        <v>828</v>
      </c>
      <c r="Q813">
        <v>0</v>
      </c>
      <c r="T813">
        <v>0</v>
      </c>
      <c r="U813">
        <v>0</v>
      </c>
    </row>
    <row r="814" spans="1:21">
      <c r="A814" s="82">
        <v>176</v>
      </c>
      <c r="B814" s="70" t="s">
        <v>1084</v>
      </c>
      <c r="C814" s="70"/>
      <c r="D814" s="97" t="e">
        <f>_xlfn.XLOOKUP(A814,[1]CPD_SOP_new!$A:$A,[1]CPD_SOP_new!#REF!,"not found",0 )</f>
        <v>#REF!</v>
      </c>
      <c r="E814" s="97" t="str">
        <f>_xlfn.XLOOKUP(A814,[1]CPD_SOP_new!$A:$A,[1]CPD_SOP_new!$K:$K,"not found",0 )</f>
        <v>2R</v>
      </c>
      <c r="F814" t="s">
        <v>27</v>
      </c>
      <c r="G814" t="s">
        <v>28</v>
      </c>
      <c r="H814" t="s">
        <v>28</v>
      </c>
      <c r="I814" t="s">
        <v>28</v>
      </c>
      <c r="J814" t="s">
        <v>828</v>
      </c>
      <c r="K814" s="85" t="str">
        <f t="shared" si="12"/>
        <v>/mnt/measurements/07_CANape/Mitsubishi/5K45/5.3.0_RC6/Customer_Testing/CSR_XCP_Signals_Recorder_2026-01-29_17-39-32_TC176_NCAP_1_2.MF4.xz,empty,RadarFC_Master,empty,CPD,dummy</v>
      </c>
      <c r="L814" s="85" t="s">
        <v>3891</v>
      </c>
      <c r="M814" s="110" t="s">
        <v>1093</v>
      </c>
      <c r="N814" s="60" t="s">
        <v>353</v>
      </c>
      <c r="O814" t="s">
        <v>828</v>
      </c>
      <c r="P814" t="s">
        <v>828</v>
      </c>
      <c r="Q814">
        <v>0</v>
      </c>
      <c r="T814">
        <v>0</v>
      </c>
      <c r="U814">
        <v>0</v>
      </c>
    </row>
    <row r="815" spans="1:21" s="130" customFormat="1" hidden="1">
      <c r="A815" s="83">
        <v>201</v>
      </c>
      <c r="B815" s="75" t="s">
        <v>38</v>
      </c>
      <c r="C815" s="75" t="s">
        <v>48</v>
      </c>
      <c r="D815" s="97" t="e">
        <f>_xlfn.XLOOKUP(A815,[1]CPD_SOP_new!$A:$A,[1]CPD_SOP_new!#REF!,"not found",0 )</f>
        <v>#REF!</v>
      </c>
      <c r="E815" s="97" t="str">
        <f>_xlfn.XLOOKUP(A815,[1]CPD_SOP_new!$A:$A,[1]CPD_SOP_new!$K:$K,"not found",0 )</f>
        <v>2R</v>
      </c>
      <c r="F815" s="130" t="s">
        <v>27</v>
      </c>
      <c r="G815" s="130" t="s">
        <v>28</v>
      </c>
      <c r="H815" s="130" t="s">
        <v>28</v>
      </c>
      <c r="I815" s="130" t="s">
        <v>27</v>
      </c>
      <c r="J815" s="130" t="s">
        <v>723</v>
      </c>
      <c r="K815" s="85" t="str">
        <f t="shared" si="12"/>
        <v>/mnt/measurements/07_CANape/Mitsubishi/5K45/MMC4.1.2/Validation/2025_12_02/ChildSleep/TC_201_Try1.MF4.xz,Wrong measurement,RadarFC_Master,Wrong measurement (ncap1,2),CPD,dummy</v>
      </c>
      <c r="L815" s="85" t="s">
        <v>3892</v>
      </c>
      <c r="M815" s="61" t="s">
        <v>724</v>
      </c>
      <c r="N815" s="67" t="s">
        <v>380</v>
      </c>
    </row>
    <row r="816" spans="1:21" s="130" customFormat="1" hidden="1">
      <c r="A816" s="83">
        <v>201</v>
      </c>
      <c r="B816" s="75" t="s">
        <v>38</v>
      </c>
      <c r="C816" s="75" t="s">
        <v>48</v>
      </c>
      <c r="D816" s="97" t="e">
        <f>_xlfn.XLOOKUP(A816,[1]CPD_SOP_new!$A:$A,[1]CPD_SOP_new!#REF!,"not found",0 )</f>
        <v>#REF!</v>
      </c>
      <c r="E816" s="97" t="str">
        <f>_xlfn.XLOOKUP(A816,[1]CPD_SOP_new!$A:$A,[1]CPD_SOP_new!$K:$K,"not found",0 )</f>
        <v>2R</v>
      </c>
      <c r="F816" s="130" t="s">
        <v>27</v>
      </c>
      <c r="G816" s="130" t="s">
        <v>28</v>
      </c>
      <c r="H816" s="130" t="s">
        <v>28</v>
      </c>
      <c r="I816" s="130" t="s">
        <v>27</v>
      </c>
      <c r="J816" s="130" t="s">
        <v>723</v>
      </c>
      <c r="K816" s="85" t="str">
        <f t="shared" si="12"/>
        <v>/mnt/measurements/07_CANape/Mitsubishi/5K45/MMC4.1.2/Validation/2025_12_02/ChildSleep/TC_201_Try2.MF4.xz,Wrong measurement,RadarFC_Master,Wrong measurement (ncap1,2),CPD,dummy</v>
      </c>
      <c r="L816" s="85" t="s">
        <v>3893</v>
      </c>
      <c r="M816" s="61" t="s">
        <v>741</v>
      </c>
      <c r="N816" s="67" t="s">
        <v>380</v>
      </c>
    </row>
    <row r="817" spans="1:21" s="130" customFormat="1" hidden="1">
      <c r="A817" s="83">
        <v>201</v>
      </c>
      <c r="B817" s="75" t="s">
        <v>38</v>
      </c>
      <c r="C817" s="75" t="s">
        <v>48</v>
      </c>
      <c r="D817" s="97" t="e">
        <f>_xlfn.XLOOKUP(A817,[1]CPD_SOP_new!$A:$A,[1]CPD_SOP_new!#REF!,"not found",0 )</f>
        <v>#REF!</v>
      </c>
      <c r="E817" s="97" t="str">
        <f>_xlfn.XLOOKUP(A817,[1]CPD_SOP_new!$A:$A,[1]CPD_SOP_new!$K:$K,"not found",0 )</f>
        <v>2R</v>
      </c>
      <c r="F817" s="130" t="s">
        <v>27</v>
      </c>
      <c r="G817" s="130" t="s">
        <v>28</v>
      </c>
      <c r="H817" s="130" t="s">
        <v>28</v>
      </c>
      <c r="I817" s="130" t="s">
        <v>27</v>
      </c>
      <c r="J817" s="130" t="s">
        <v>723</v>
      </c>
      <c r="K817" s="85" t="str">
        <f t="shared" si="12"/>
        <v>/mnt/measurements/07_CANape/Mitsubishi/5K45/MMC4.1.2/Validation/2025_12_02/ChildSleep/TC_201_Try3.MF4.xz,Wrong measurement,RadarFC_Master,Wrong measurement (ncap1,2),CPD,dummy</v>
      </c>
      <c r="L817" s="85" t="s">
        <v>3894</v>
      </c>
      <c r="M817" s="61" t="s">
        <v>750</v>
      </c>
      <c r="N817" s="67" t="s">
        <v>380</v>
      </c>
    </row>
    <row r="818" spans="1:21">
      <c r="A818" s="82">
        <v>176</v>
      </c>
      <c r="B818" s="70" t="s">
        <v>1084</v>
      </c>
      <c r="C818" s="70"/>
      <c r="D818" s="97" t="e">
        <f>_xlfn.XLOOKUP(A818,[1]CPD_SOP_new!$A:$A,[1]CPD_SOP_new!#REF!,"not found",0 )</f>
        <v>#REF!</v>
      </c>
      <c r="E818" s="97" t="str">
        <f>_xlfn.XLOOKUP(A818,[1]CPD_SOP_new!$A:$A,[1]CPD_SOP_new!$K:$K,"not found",0 )</f>
        <v>2R</v>
      </c>
      <c r="F818" t="s">
        <v>27</v>
      </c>
      <c r="G818" t="s">
        <v>28</v>
      </c>
      <c r="H818" t="s">
        <v>28</v>
      </c>
      <c r="I818" t="s">
        <v>28</v>
      </c>
      <c r="J818" t="s">
        <v>828</v>
      </c>
      <c r="K818" s="85" t="str">
        <f t="shared" si="12"/>
        <v>/mnt/measurements/07_CANape/Mitsubishi/5K45/5.3.0_RC6/Customer_Testing/CSR_XCP_Signals_Recorder_2026-01-29_17-40-17_TC176_NCAP_1_2.MF4.xz,empty,RadarFC_Master,empty,CPD,dummy</v>
      </c>
      <c r="L818" s="85" t="s">
        <v>3895</v>
      </c>
      <c r="M818" s="110" t="s">
        <v>1094</v>
      </c>
      <c r="N818" s="60" t="s">
        <v>353</v>
      </c>
      <c r="O818" t="s">
        <v>828</v>
      </c>
      <c r="P818" t="s">
        <v>828</v>
      </c>
      <c r="Q818">
        <v>0</v>
      </c>
      <c r="T818">
        <v>0</v>
      </c>
      <c r="U818">
        <v>0</v>
      </c>
    </row>
    <row r="819" spans="1:21">
      <c r="A819" s="107">
        <v>176</v>
      </c>
      <c r="B819" s="70" t="s">
        <v>1084</v>
      </c>
      <c r="C819" s="70"/>
      <c r="D819" s="97" t="e">
        <f>_xlfn.XLOOKUP(A819,[1]CPD_SOP_new!$A:$A,[1]CPD_SOP_new!#REF!,"not found",0 )</f>
        <v>#REF!</v>
      </c>
      <c r="E819" s="97" t="str">
        <f>_xlfn.XLOOKUP(A819,[1]CPD_SOP_new!$A:$A,[1]CPD_SOP_new!$K:$K,"not found",0 )</f>
        <v>2R</v>
      </c>
      <c r="F819" t="s">
        <v>27</v>
      </c>
      <c r="G819" t="s">
        <v>28</v>
      </c>
      <c r="H819" t="s">
        <v>28</v>
      </c>
      <c r="I819" t="s">
        <v>28</v>
      </c>
      <c r="J819" t="s">
        <v>828</v>
      </c>
      <c r="K819" s="85" t="str">
        <f t="shared" si="12"/>
        <v>/mnt/measurements/07_CANape/Mitsubishi/5K45/5.3.0_RC6.2/5K457EG11/FP_Test_Cases_Renamed/CSR_XCP_Signals_Recorder_2026-02-03_13-15-09_TC176_NCAP1_2.MF4.xz,empty,RadarFC_Master,empty,CPD,dummy</v>
      </c>
      <c r="L819" s="85" t="s">
        <v>3896</v>
      </c>
      <c r="M819" s="70" t="s">
        <v>1100</v>
      </c>
      <c r="N819" s="60" t="s">
        <v>767</v>
      </c>
    </row>
    <row r="820" spans="1:21">
      <c r="A820" s="107">
        <v>176</v>
      </c>
      <c r="B820" s="70" t="s">
        <v>1084</v>
      </c>
      <c r="C820" s="70"/>
      <c r="D820" s="97" t="e">
        <f>_xlfn.XLOOKUP(A820,[1]CPD_SOP_new!$A:$A,[1]CPD_SOP_new!#REF!,"not found",0 )</f>
        <v>#REF!</v>
      </c>
      <c r="E820" s="97" t="str">
        <f>_xlfn.XLOOKUP(A820,[1]CPD_SOP_new!$A:$A,[1]CPD_SOP_new!$K:$K,"not found",0 )</f>
        <v>2R</v>
      </c>
      <c r="F820" t="s">
        <v>27</v>
      </c>
      <c r="G820" t="s">
        <v>28</v>
      </c>
      <c r="H820" t="s">
        <v>28</v>
      </c>
      <c r="I820" t="s">
        <v>28</v>
      </c>
      <c r="J820" t="s">
        <v>828</v>
      </c>
      <c r="K820" s="85" t="str">
        <f t="shared" si="12"/>
        <v>/mnt/measurements/07_CANape/Mitsubishi/5K45/5.3.0_RC6.2/5K457EG11/FP_Test_Cases_Renamed/CSR_XCP_Signals_Recorder_2026-02-03_13-16-13_TC176_NCAP1_2.MF4.xz,empty,RadarFC_Master,empty,CPD,dummy</v>
      </c>
      <c r="L820" s="85" t="s">
        <v>3897</v>
      </c>
      <c r="M820" s="70" t="s">
        <v>1101</v>
      </c>
      <c r="N820" s="60" t="s">
        <v>767</v>
      </c>
    </row>
    <row r="821" spans="1:21">
      <c r="A821" s="107">
        <v>176</v>
      </c>
      <c r="B821" s="70" t="s">
        <v>1084</v>
      </c>
      <c r="C821" s="70"/>
      <c r="D821" s="97" t="e">
        <f>_xlfn.XLOOKUP(A821,[1]CPD_SOP_new!$A:$A,[1]CPD_SOP_new!#REF!,"not found",0 )</f>
        <v>#REF!</v>
      </c>
      <c r="E821" s="97" t="str">
        <f>_xlfn.XLOOKUP(A821,[1]CPD_SOP_new!$A:$A,[1]CPD_SOP_new!$K:$K,"not found",0 )</f>
        <v>2R</v>
      </c>
      <c r="F821" t="s">
        <v>27</v>
      </c>
      <c r="G821" t="s">
        <v>28</v>
      </c>
      <c r="H821" t="s">
        <v>28</v>
      </c>
      <c r="I821" t="s">
        <v>28</v>
      </c>
      <c r="J821" t="s">
        <v>828</v>
      </c>
      <c r="K821" s="85" t="str">
        <f t="shared" si="12"/>
        <v>/mnt/measurements/07_CANape/Mitsubishi/5K45/5.3.0_RC6.2/5K457EG11/FP_Test_Cases_Renamed/CSR_XCP_Signals_Recorder_2026-02-03_13-17-37_TC176_NCAP1_2.MF4.xz,empty,RadarFC_Master,empty,CPD,dummy</v>
      </c>
      <c r="L821" s="85" t="s">
        <v>3898</v>
      </c>
      <c r="M821" s="70" t="s">
        <v>1102</v>
      </c>
      <c r="N821" s="60" t="s">
        <v>767</v>
      </c>
    </row>
    <row r="822" spans="1:21">
      <c r="A822" s="82">
        <v>182</v>
      </c>
      <c r="B822" s="70" t="s">
        <v>38</v>
      </c>
      <c r="C822" s="70" t="s">
        <v>43</v>
      </c>
      <c r="D822" s="97" t="e">
        <f>_xlfn.XLOOKUP(A822,[1]CPD_SOP_new!$A:$A,[1]CPD_SOP_new!#REF!,"not found",0 )</f>
        <v>#REF!</v>
      </c>
      <c r="E822" s="97" t="s">
        <v>26</v>
      </c>
      <c r="F822" t="s">
        <v>27</v>
      </c>
      <c r="G822" s="81" t="s">
        <v>28</v>
      </c>
      <c r="H822" s="81" t="s">
        <v>28</v>
      </c>
      <c r="I822" t="s">
        <v>28</v>
      </c>
      <c r="J822" t="s">
        <v>29</v>
      </c>
      <c r="K822" s="85" t="str">
        <f t="shared" si="12"/>
        <v>/mnt/measurements/07_CANape/Mitsubishi/5K45/5.3.0_RC6/Customer_Testing/Real_Child_Measurements/CSR_XCP_Signals_Recorder_2026-01-29_16-59-51_TC182.MF4.xz,child,RadarFC_Master,child (ncap1,2),CPD,dummy</v>
      </c>
      <c r="L822" s="85" t="s">
        <v>3899</v>
      </c>
      <c r="M822" s="60" t="s">
        <v>1140</v>
      </c>
      <c r="N822" s="60" t="s">
        <v>213</v>
      </c>
      <c r="O822" t="s">
        <v>29</v>
      </c>
      <c r="P822" t="s">
        <v>29</v>
      </c>
      <c r="Q822">
        <v>1</v>
      </c>
      <c r="T822">
        <v>0</v>
      </c>
      <c r="U822">
        <v>0</v>
      </c>
    </row>
    <row r="823" spans="1:21">
      <c r="A823" s="82">
        <v>182</v>
      </c>
      <c r="B823" s="70" t="s">
        <v>38</v>
      </c>
      <c r="C823" s="70" t="s">
        <v>43</v>
      </c>
      <c r="D823" s="97" t="e">
        <f>_xlfn.XLOOKUP(A823,[1]CPD_SOP_new!$A:$A,[1]CPD_SOP_new!#REF!,"not found",0 )</f>
        <v>#REF!</v>
      </c>
      <c r="E823" s="97" t="s">
        <v>26</v>
      </c>
      <c r="F823" t="s">
        <v>27</v>
      </c>
      <c r="G823" s="81" t="s">
        <v>28</v>
      </c>
      <c r="H823" s="81" t="s">
        <v>28</v>
      </c>
      <c r="I823" t="s">
        <v>28</v>
      </c>
      <c r="J823" t="s">
        <v>29</v>
      </c>
      <c r="K823" s="85" t="str">
        <f t="shared" si="12"/>
        <v>/mnt/measurements/07_CANape/Mitsubishi/5K45/5.3.0_RC6/Customer_Testing/Real_Child_Measurements/CSR_XCP_Signals_Recorder_2026-01-29_17-00-54_TC182.MF4.xz,child,RadarFC_Master,child (ncap1,2),CPD,dummy</v>
      </c>
      <c r="L823" s="85" t="s">
        <v>3900</v>
      </c>
      <c r="M823" s="60" t="s">
        <v>1142</v>
      </c>
      <c r="N823" t="s">
        <v>213</v>
      </c>
      <c r="O823" t="s">
        <v>29</v>
      </c>
      <c r="P823" t="s">
        <v>29</v>
      </c>
      <c r="Q823">
        <v>1</v>
      </c>
      <c r="T823">
        <v>0</v>
      </c>
      <c r="U823">
        <v>0</v>
      </c>
    </row>
    <row r="824" spans="1:21">
      <c r="A824" s="82">
        <v>182</v>
      </c>
      <c r="B824" s="70" t="s">
        <v>38</v>
      </c>
      <c r="C824" s="70" t="s">
        <v>43</v>
      </c>
      <c r="D824" s="97" t="e">
        <f>_xlfn.XLOOKUP(A824,[1]CPD_SOP_new!$A:$A,[1]CPD_SOP_new!#REF!,"not found",0 )</f>
        <v>#REF!</v>
      </c>
      <c r="E824" s="97" t="s">
        <v>26</v>
      </c>
      <c r="F824" t="s">
        <v>27</v>
      </c>
      <c r="G824" s="81" t="s">
        <v>28</v>
      </c>
      <c r="H824" s="81" t="s">
        <v>28</v>
      </c>
      <c r="I824" t="s">
        <v>28</v>
      </c>
      <c r="J824" t="s">
        <v>29</v>
      </c>
      <c r="K824" s="85" t="str">
        <f t="shared" si="12"/>
        <v>/mnt/measurements/07_CANape/Mitsubishi/5K45/5.3.0_RC6/Customer_Testing/Real_Child_Measurements/CSR_XCP_Signals_Recorder_2026-01-29_17-01-46_TC182.MF4.xz,child,RadarFC_Master,child (ncap1,2),CPD,dummy</v>
      </c>
      <c r="L824" s="85" t="s">
        <v>3901</v>
      </c>
      <c r="M824" s="60" t="s">
        <v>1143</v>
      </c>
      <c r="N824" t="s">
        <v>213</v>
      </c>
      <c r="O824" t="s">
        <v>29</v>
      </c>
      <c r="P824" t="s">
        <v>29</v>
      </c>
      <c r="Q824">
        <v>1</v>
      </c>
      <c r="T824">
        <v>0</v>
      </c>
      <c r="U824">
        <v>0</v>
      </c>
    </row>
    <row r="825" spans="1:21">
      <c r="A825" s="77">
        <v>182</v>
      </c>
      <c r="B825" t="s">
        <v>38</v>
      </c>
      <c r="C825" t="s">
        <v>43</v>
      </c>
      <c r="D825" s="97" t="e">
        <f>_xlfn.XLOOKUP(A825,[1]CPD_SOP_new!$A:$A,[1]CPD_SOP_new!#REF!,"not found",0 )</f>
        <v>#REF!</v>
      </c>
      <c r="E825" s="97" t="s">
        <v>26</v>
      </c>
      <c r="F825" t="s">
        <v>27</v>
      </c>
      <c r="G825" s="81" t="s">
        <v>28</v>
      </c>
      <c r="H825" s="81" t="s">
        <v>28</v>
      </c>
      <c r="I825" t="s">
        <v>28</v>
      </c>
      <c r="J825" t="s">
        <v>29</v>
      </c>
      <c r="K825" s="85" t="str">
        <f t="shared" si="12"/>
        <v>/mnt/measurements/07_CANape/Mitsubishi/5K45/5.3.0_RC6/Customer_Testing/Real_Child_Measurements/CSR_XCP_Signals_Recorder_2026-01-29_17-03-34_TC182.MF4.xz,child,RadarFC_Master,child (ncap1,2),CPD,dummy</v>
      </c>
      <c r="L825" s="85" t="s">
        <v>3902</v>
      </c>
      <c r="M825" t="s">
        <v>1144</v>
      </c>
      <c r="N825" t="s">
        <v>213</v>
      </c>
      <c r="O825" t="s">
        <v>29</v>
      </c>
      <c r="P825" t="s">
        <v>29</v>
      </c>
      <c r="Q825">
        <v>1</v>
      </c>
      <c r="T825">
        <v>0</v>
      </c>
      <c r="U825">
        <v>0</v>
      </c>
    </row>
    <row r="826" spans="1:21">
      <c r="A826" s="77">
        <v>183</v>
      </c>
      <c r="B826" t="s">
        <v>38</v>
      </c>
      <c r="C826" t="s">
        <v>43</v>
      </c>
      <c r="D826" s="97" t="e">
        <f>_xlfn.XLOOKUP(A826,[1]CPD_SOP_new!$A:$A,[1]CPD_SOP_new!#REF!,"not found",0 )</f>
        <v>#REF!</v>
      </c>
      <c r="E826" s="97" t="str">
        <f>_xlfn.XLOOKUP(A826,[1]CPD_SOP_new!$A:$A,[1]CPD_SOP_new!$K:$K,"not found",0 )</f>
        <v>2R</v>
      </c>
      <c r="F826" t="s">
        <v>27</v>
      </c>
      <c r="G826" t="s">
        <v>28</v>
      </c>
      <c r="H826" t="s">
        <v>28</v>
      </c>
      <c r="I826" t="s">
        <v>28</v>
      </c>
      <c r="J826" t="s">
        <v>29</v>
      </c>
      <c r="K826" s="85" t="str">
        <f t="shared" si="12"/>
        <v>/mnt/measurements/07_CANape/Mitsubishi/5K45/MMC4.1.2/Validation/child/Sleep//TC_183.MF4.xz,child,RadarFC_Master,child (ncap1,2),CPD,dummy</v>
      </c>
      <c r="L826" s="85" t="s">
        <v>3903</v>
      </c>
      <c r="M826" t="s">
        <v>1150</v>
      </c>
      <c r="N826" t="s">
        <v>33</v>
      </c>
    </row>
    <row r="827" spans="1:21">
      <c r="A827" s="77">
        <v>183</v>
      </c>
      <c r="B827" t="s">
        <v>38</v>
      </c>
      <c r="C827" t="s">
        <v>43</v>
      </c>
      <c r="D827" s="97" t="e">
        <f>_xlfn.XLOOKUP(A827,[1]CPD_SOP_new!$A:$A,[1]CPD_SOP_new!#REF!,"not found",0 )</f>
        <v>#REF!</v>
      </c>
      <c r="E827" s="97" t="str">
        <f>_xlfn.XLOOKUP(A827,[1]CPD_SOP_new!$A:$A,[1]CPD_SOP_new!$K:$K,"not found",0 )</f>
        <v>2R</v>
      </c>
      <c r="F827" t="s">
        <v>27</v>
      </c>
      <c r="G827" t="s">
        <v>28</v>
      </c>
      <c r="H827" t="s">
        <v>28</v>
      </c>
      <c r="I827" t="s">
        <v>28</v>
      </c>
      <c r="J827" t="s">
        <v>29</v>
      </c>
      <c r="K827" s="85" t="str">
        <f t="shared" si="12"/>
        <v>/mnt/measurements/07_CANape/Mitsubishi/5K45/MMC4.1.2/Validation/2025_11_29/child/part2/Sleep/TC_183_Try1.MF4.xz,child,RadarFC_Master,child (ncap1,2),CPD,dummy</v>
      </c>
      <c r="L827" s="85" t="s">
        <v>3904</v>
      </c>
      <c r="M827" t="s">
        <v>1152</v>
      </c>
      <c r="N827" t="s">
        <v>754</v>
      </c>
    </row>
    <row r="828" spans="1:21">
      <c r="A828" s="77">
        <v>183</v>
      </c>
      <c r="B828" t="s">
        <v>38</v>
      </c>
      <c r="C828" t="s">
        <v>43</v>
      </c>
      <c r="D828" s="97" t="e">
        <f>_xlfn.XLOOKUP(A828,[1]CPD_SOP_new!$A:$A,[1]CPD_SOP_new!#REF!,"not found",0 )</f>
        <v>#REF!</v>
      </c>
      <c r="E828" s="97" t="str">
        <f>_xlfn.XLOOKUP(A828,[1]CPD_SOP_new!$A:$A,[1]CPD_SOP_new!$K:$K,"not found",0 )</f>
        <v>2R</v>
      </c>
      <c r="F828" t="s">
        <v>27</v>
      </c>
      <c r="G828" t="s">
        <v>28</v>
      </c>
      <c r="H828" t="s">
        <v>28</v>
      </c>
      <c r="I828" t="s">
        <v>28</v>
      </c>
      <c r="J828" t="s">
        <v>29</v>
      </c>
      <c r="K828" s="85" t="str">
        <f t="shared" si="12"/>
        <v>/mnt/measurements/07_CANape/Mitsubishi/5K45/MMC4.1.2/Validation/2025_11_29/child/part2/Sleep/TC_183_Try2.MF4.xz,child,RadarFC_Master,child (ncap1,2),CPD,dummy</v>
      </c>
      <c r="L828" s="85" t="s">
        <v>3905</v>
      </c>
      <c r="M828" t="s">
        <v>1153</v>
      </c>
      <c r="N828" t="s">
        <v>754</v>
      </c>
    </row>
    <row r="829" spans="1:21">
      <c r="A829" s="77">
        <v>183</v>
      </c>
      <c r="B829" t="s">
        <v>38</v>
      </c>
      <c r="C829" t="s">
        <v>43</v>
      </c>
      <c r="D829" s="97" t="e">
        <f>_xlfn.XLOOKUP(A829,[1]CPD_SOP_new!$A:$A,[1]CPD_SOP_new!#REF!,"not found",0 )</f>
        <v>#REF!</v>
      </c>
      <c r="E829" s="97" t="str">
        <f>_xlfn.XLOOKUP(A829,[1]CPD_SOP_new!$A:$A,[1]CPD_SOP_new!$K:$K,"not found",0 )</f>
        <v>2R</v>
      </c>
      <c r="F829" t="s">
        <v>27</v>
      </c>
      <c r="G829" t="s">
        <v>28</v>
      </c>
      <c r="H829" t="s">
        <v>28</v>
      </c>
      <c r="I829" t="s">
        <v>28</v>
      </c>
      <c r="J829" t="s">
        <v>29</v>
      </c>
      <c r="K829" s="85" t="str">
        <f t="shared" si="12"/>
        <v>/mnt/measurements/07_CANape/Mitsubishi/5K45/MMC4.1.2/Validation/2025_11_29/child/part2/Sleep/TC_183_Try3.MF4.xz,child,RadarFC_Master,child (ncap1,2),CPD,dummy</v>
      </c>
      <c r="L829" s="85" t="s">
        <v>3906</v>
      </c>
      <c r="M829" t="s">
        <v>764</v>
      </c>
      <c r="N829" t="s">
        <v>754</v>
      </c>
    </row>
    <row r="830" spans="1:21">
      <c r="A830" s="77">
        <v>184</v>
      </c>
      <c r="B830" t="s">
        <v>38</v>
      </c>
      <c r="C830" t="s">
        <v>43</v>
      </c>
      <c r="D830" s="97" t="e">
        <f>_xlfn.XLOOKUP(A830,[1]CPD_SOP_new!$A:$A,[1]CPD_SOP_new!#REF!,"not found",0 )</f>
        <v>#REF!</v>
      </c>
      <c r="E830" s="97" t="str">
        <f>_xlfn.XLOOKUP(A830,[1]CPD_SOP_new!$A:$A,[1]CPD_SOP_new!$K:$K,"not found",0 )</f>
        <v>2L</v>
      </c>
      <c r="F830" t="s">
        <v>27</v>
      </c>
      <c r="G830" t="s">
        <v>28</v>
      </c>
      <c r="H830" t="s">
        <v>28</v>
      </c>
      <c r="I830" t="s">
        <v>28</v>
      </c>
      <c r="J830" t="s">
        <v>29</v>
      </c>
      <c r="K830" s="85" t="str">
        <f t="shared" si="12"/>
        <v>/mnt/measurements/07_CANape/Mitsubishi/5K45/MMC4.1.2/Validation/child/Sleep//TC_184.MF4.xz,child,RadarFC_Master,child (ncap1,2),CPD,dummy</v>
      </c>
      <c r="L830" s="85" t="s">
        <v>3907</v>
      </c>
      <c r="M830" t="s">
        <v>1155</v>
      </c>
      <c r="N830" t="s">
        <v>33</v>
      </c>
    </row>
    <row r="831" spans="1:21">
      <c r="A831" s="77">
        <v>184</v>
      </c>
      <c r="B831" t="s">
        <v>38</v>
      </c>
      <c r="C831" t="s">
        <v>43</v>
      </c>
      <c r="D831" s="97" t="e">
        <f>_xlfn.XLOOKUP(A831,[1]CPD_SOP_new!$A:$A,[1]CPD_SOP_new!#REF!,"not found",0 )</f>
        <v>#REF!</v>
      </c>
      <c r="E831" s="97" t="str">
        <f>_xlfn.XLOOKUP(A831,[1]CPD_SOP_new!$A:$A,[1]CPD_SOP_new!$K:$K,"not found",0 )</f>
        <v>2L</v>
      </c>
      <c r="F831" t="s">
        <v>27</v>
      </c>
      <c r="G831" t="s">
        <v>28</v>
      </c>
      <c r="H831" t="s">
        <v>28</v>
      </c>
      <c r="I831" t="s">
        <v>28</v>
      </c>
      <c r="J831" t="s">
        <v>29</v>
      </c>
      <c r="K831" s="85" t="str">
        <f t="shared" si="12"/>
        <v>/mnt/measurements/07_CANape/Mitsubishi/5K45/MMC4.1.2/Validation/2025_11_29/child/part2/Sleep/TC_184_Try1.MF4.xz,child,RadarFC_Master,child (ncap1,2),CPD,dummy</v>
      </c>
      <c r="L831" s="85" t="s">
        <v>3908</v>
      </c>
      <c r="M831" t="s">
        <v>1157</v>
      </c>
      <c r="N831" t="s">
        <v>754</v>
      </c>
    </row>
    <row r="832" spans="1:21">
      <c r="A832" s="77">
        <v>184</v>
      </c>
      <c r="B832" t="s">
        <v>38</v>
      </c>
      <c r="C832" t="s">
        <v>43</v>
      </c>
      <c r="D832" s="97" t="e">
        <f>_xlfn.XLOOKUP(A832,[1]CPD_SOP_new!$A:$A,[1]CPD_SOP_new!#REF!,"not found",0 )</f>
        <v>#REF!</v>
      </c>
      <c r="E832" s="97" t="str">
        <f>_xlfn.XLOOKUP(A832,[1]CPD_SOP_new!$A:$A,[1]CPD_SOP_new!$K:$K,"not found",0 )</f>
        <v>2L</v>
      </c>
      <c r="F832" t="s">
        <v>27</v>
      </c>
      <c r="G832" t="s">
        <v>28</v>
      </c>
      <c r="H832" t="s">
        <v>28</v>
      </c>
      <c r="I832" t="s">
        <v>28</v>
      </c>
      <c r="J832" t="s">
        <v>29</v>
      </c>
      <c r="K832" s="85" t="str">
        <f t="shared" si="12"/>
        <v>/mnt/measurements/07_CANape/Mitsubishi/5K45/MMC4.1.2/Validation/2025_11_29/child/part2/Sleep/TC_184_Try2.MF4.xz,child,RadarFC_Master,child (ncap1,2),CPD,dummy</v>
      </c>
      <c r="L832" s="85" t="s">
        <v>3909</v>
      </c>
      <c r="M832" t="s">
        <v>1158</v>
      </c>
      <c r="N832" t="s">
        <v>754</v>
      </c>
    </row>
    <row r="833" spans="1:14">
      <c r="A833" s="77">
        <v>184</v>
      </c>
      <c r="B833" t="s">
        <v>38</v>
      </c>
      <c r="C833" t="s">
        <v>43</v>
      </c>
      <c r="D833" s="97" t="e">
        <f>_xlfn.XLOOKUP(A833,[1]CPD_SOP_new!$A:$A,[1]CPD_SOP_new!#REF!,"not found",0 )</f>
        <v>#REF!</v>
      </c>
      <c r="E833" s="97" t="str">
        <f>_xlfn.XLOOKUP(A833,[1]CPD_SOP_new!$A:$A,[1]CPD_SOP_new!$K:$K,"not found",0 )</f>
        <v>2L</v>
      </c>
      <c r="F833" t="s">
        <v>27</v>
      </c>
      <c r="G833" t="s">
        <v>28</v>
      </c>
      <c r="H833" t="s">
        <v>28</v>
      </c>
      <c r="I833" t="s">
        <v>28</v>
      </c>
      <c r="J833" t="s">
        <v>29</v>
      </c>
      <c r="K833" s="85" t="str">
        <f t="shared" si="12"/>
        <v>/mnt/measurements/07_CANape/Mitsubishi/5K45/MMC4.1.2/Validation/2025_11_29/child/part2/Sleep/TC_184_Try3.MF4.xz,child,RadarFC_Master,child (ncap1,2),CPD,dummy</v>
      </c>
      <c r="L833" s="85" t="s">
        <v>3910</v>
      </c>
      <c r="M833" t="s">
        <v>1159</v>
      </c>
      <c r="N833" t="s">
        <v>754</v>
      </c>
    </row>
    <row r="834" spans="1:14">
      <c r="A834" s="77">
        <v>184</v>
      </c>
      <c r="B834" t="s">
        <v>38</v>
      </c>
      <c r="C834" t="s">
        <v>43</v>
      </c>
      <c r="D834" s="97" t="e">
        <f>_xlfn.XLOOKUP(A834,[1]CPD_SOP_new!$A:$A,[1]CPD_SOP_new!#REF!,"not found",0 )</f>
        <v>#REF!</v>
      </c>
      <c r="E834" s="97" t="str">
        <f>_xlfn.XLOOKUP(A834,[1]CPD_SOP_new!$A:$A,[1]CPD_SOP_new!$K:$K,"not found",0 )</f>
        <v>2L</v>
      </c>
      <c r="F834" t="s">
        <v>27</v>
      </c>
      <c r="G834" t="s">
        <v>28</v>
      </c>
      <c r="H834" t="s">
        <v>28</v>
      </c>
      <c r="I834" t="s">
        <v>28</v>
      </c>
      <c r="J834" t="s">
        <v>29</v>
      </c>
      <c r="K834" s="85" t="str">
        <f t="shared" ref="K834:K897" si="13">N834&amp;"/"&amp;M834&amp;","&amp;IF(J834="ncap3","child",J834)&amp;",RadarFC_Master,"&amp;IF(J834="ncap3","child",J834)&amp;IF(B834="ncap1,2"," ("&amp;B834&amp;")","")&amp;IF(B834="ncap3"," ("&amp;B834&amp;")","")&amp;IF(B834="multiple children"," (ncap1,2)","")&amp;IF(B834="NB awake"," (ncap1,2)","")&amp;",CPD,"&amp;IF(F834="Y","realchild","dummy")</f>
        <v>/mnt/measurements/07_CANape/Mitsubishi/5K45/5.2.0/5K457EG11/SmokeTest/CPD/CSR_XCP_Signals_Recorder_2026-01-12_13-59-22_TC184.MF4.xz,child,RadarFC_Master,child (ncap1,2),CPD,dummy</v>
      </c>
      <c r="L834" s="85" t="s">
        <v>3911</v>
      </c>
      <c r="M834" s="132" t="s">
        <v>1160</v>
      </c>
      <c r="N834" t="s">
        <v>41</v>
      </c>
    </row>
    <row r="835" spans="1:14">
      <c r="A835" s="77">
        <v>185</v>
      </c>
      <c r="B835" t="s">
        <v>38</v>
      </c>
      <c r="C835" t="s">
        <v>43</v>
      </c>
      <c r="D835" s="97" t="e">
        <f>_xlfn.XLOOKUP(A835,[1]CPD_SOP_new!$A:$A,[1]CPD_SOP_new!#REF!,"not found",0 )</f>
        <v>#REF!</v>
      </c>
      <c r="E835" s="97" t="str">
        <f>_xlfn.XLOOKUP(A835,[1]CPD_SOP_new!$A:$A,[1]CPD_SOP_new!$K:$K,"not found",0 )</f>
        <v>2C</v>
      </c>
      <c r="F835" t="s">
        <v>27</v>
      </c>
      <c r="G835" t="s">
        <v>28</v>
      </c>
      <c r="H835" t="s">
        <v>28</v>
      </c>
      <c r="I835" t="s">
        <v>28</v>
      </c>
      <c r="J835" t="s">
        <v>29</v>
      </c>
      <c r="K835" s="85" t="str">
        <f t="shared" si="13"/>
        <v>/mnt/measurements/07_CANape/Mitsubishi/5K45/MMC4.1.2/Validation/child/Sleep//TC_185.MF4.xz,child,RadarFC_Master,child (ncap1,2),CPD,dummy</v>
      </c>
      <c r="L835" s="85" t="s">
        <v>3912</v>
      </c>
      <c r="M835" t="s">
        <v>1163</v>
      </c>
      <c r="N835" t="s">
        <v>33</v>
      </c>
    </row>
    <row r="836" spans="1:14">
      <c r="A836" s="77">
        <v>185</v>
      </c>
      <c r="B836" t="s">
        <v>38</v>
      </c>
      <c r="C836" t="s">
        <v>43</v>
      </c>
      <c r="D836" s="97" t="e">
        <f>_xlfn.XLOOKUP(A836,[1]CPD_SOP_new!$A:$A,[1]CPD_SOP_new!#REF!,"not found",0 )</f>
        <v>#REF!</v>
      </c>
      <c r="E836" s="97" t="str">
        <f>_xlfn.XLOOKUP(A836,[1]CPD_SOP_new!$A:$A,[1]CPD_SOP_new!$K:$K,"not found",0 )</f>
        <v>2C</v>
      </c>
      <c r="F836" t="s">
        <v>27</v>
      </c>
      <c r="G836" t="s">
        <v>28</v>
      </c>
      <c r="H836" t="s">
        <v>28</v>
      </c>
      <c r="I836" t="s">
        <v>28</v>
      </c>
      <c r="J836" t="s">
        <v>29</v>
      </c>
      <c r="K836" s="85" t="str">
        <f t="shared" si="13"/>
        <v>/mnt/measurements/07_CANape/Mitsubishi/5K45/MMC4.1.2/Validation/2025_11_29/child/part2/Sleep/TC_185_Try1.MF4.xz,child,RadarFC_Master,child (ncap1,2),CPD,dummy</v>
      </c>
      <c r="L836" s="85" t="s">
        <v>3913</v>
      </c>
      <c r="M836" t="s">
        <v>1164</v>
      </c>
      <c r="N836" t="s">
        <v>754</v>
      </c>
    </row>
    <row r="837" spans="1:14">
      <c r="A837" s="77">
        <v>185</v>
      </c>
      <c r="B837" t="s">
        <v>38</v>
      </c>
      <c r="C837" t="s">
        <v>43</v>
      </c>
      <c r="D837" s="97" t="e">
        <f>_xlfn.XLOOKUP(A837,[1]CPD_SOP_new!$A:$A,[1]CPD_SOP_new!#REF!,"not found",0 )</f>
        <v>#REF!</v>
      </c>
      <c r="E837" s="97" t="str">
        <f>_xlfn.XLOOKUP(A837,[1]CPD_SOP_new!$A:$A,[1]CPD_SOP_new!$K:$K,"not found",0 )</f>
        <v>2C</v>
      </c>
      <c r="F837" t="s">
        <v>27</v>
      </c>
      <c r="G837" t="s">
        <v>28</v>
      </c>
      <c r="H837" t="s">
        <v>28</v>
      </c>
      <c r="I837" t="s">
        <v>28</v>
      </c>
      <c r="J837" t="s">
        <v>29</v>
      </c>
      <c r="K837" s="85" t="str">
        <f t="shared" si="13"/>
        <v>/mnt/measurements/07_CANape/Mitsubishi/5K45/MMC4.1.2/Validation/2025_11_29/child/part2/Sleep/TC_185_Try2.MF4.xz,child,RadarFC_Master,child (ncap1,2),CPD,dummy</v>
      </c>
      <c r="L837" s="85" t="s">
        <v>3914</v>
      </c>
      <c r="M837" t="s">
        <v>1166</v>
      </c>
      <c r="N837" t="s">
        <v>754</v>
      </c>
    </row>
    <row r="838" spans="1:14">
      <c r="A838" s="77">
        <v>185</v>
      </c>
      <c r="B838" t="s">
        <v>38</v>
      </c>
      <c r="C838" t="s">
        <v>43</v>
      </c>
      <c r="D838" s="97" t="e">
        <f>_xlfn.XLOOKUP(A838,[1]CPD_SOP_new!$A:$A,[1]CPD_SOP_new!#REF!,"not found",0 )</f>
        <v>#REF!</v>
      </c>
      <c r="E838" s="97" t="str">
        <f>_xlfn.XLOOKUP(A838,[1]CPD_SOP_new!$A:$A,[1]CPD_SOP_new!$K:$K,"not found",0 )</f>
        <v>2C</v>
      </c>
      <c r="F838" t="s">
        <v>27</v>
      </c>
      <c r="G838" t="s">
        <v>28</v>
      </c>
      <c r="H838" t="s">
        <v>28</v>
      </c>
      <c r="I838" t="s">
        <v>28</v>
      </c>
      <c r="J838" t="s">
        <v>29</v>
      </c>
      <c r="K838" s="85" t="str">
        <f t="shared" si="13"/>
        <v>/mnt/measurements/07_CANape/Mitsubishi/5K45/MMC4.1.2/Validation/2025_11_29/child/part2/Sleep/TC_185_Try3.MF4.xz,child,RadarFC_Master,child (ncap1,2),CPD,dummy</v>
      </c>
      <c r="L838" s="85" t="s">
        <v>3915</v>
      </c>
      <c r="M838" t="s">
        <v>1167</v>
      </c>
      <c r="N838" t="s">
        <v>754</v>
      </c>
    </row>
    <row r="839" spans="1:14">
      <c r="A839" s="77">
        <v>186</v>
      </c>
      <c r="B839" t="s">
        <v>38</v>
      </c>
      <c r="C839" t="s">
        <v>43</v>
      </c>
      <c r="D839" s="97" t="e">
        <f>_xlfn.XLOOKUP(A839,[1]CPD_SOP_new!$A:$A,[1]CPD_SOP_new!#REF!,"not found",0 )</f>
        <v>#REF!</v>
      </c>
      <c r="E839" s="97" t="str">
        <f>_xlfn.XLOOKUP(A839,[1]CPD_SOP_new!$A:$A,[1]CPD_SOP_new!$K:$K,"not found",0 )</f>
        <v>3R</v>
      </c>
      <c r="F839" t="s">
        <v>27</v>
      </c>
      <c r="G839" t="s">
        <v>28</v>
      </c>
      <c r="H839" t="s">
        <v>28</v>
      </c>
      <c r="I839" t="s">
        <v>28</v>
      </c>
      <c r="J839" t="s">
        <v>29</v>
      </c>
      <c r="K839" s="85" t="str">
        <f t="shared" si="13"/>
        <v>/mnt/measurements/07_CANape/Mitsubishi/5K45/MMC4.1.2/Validation/child/Sleep//TC_186.MF4.xz,child,RadarFC_Master,child (ncap1,2),CPD,dummy</v>
      </c>
      <c r="L839" s="85" t="s">
        <v>3916</v>
      </c>
      <c r="M839" t="s">
        <v>1168</v>
      </c>
      <c r="N839" t="s">
        <v>33</v>
      </c>
    </row>
    <row r="840" spans="1:14">
      <c r="A840" s="77">
        <v>186</v>
      </c>
      <c r="B840" t="s">
        <v>38</v>
      </c>
      <c r="C840" t="s">
        <v>43</v>
      </c>
      <c r="D840" s="97" t="e">
        <f>_xlfn.XLOOKUP(A840,[1]CPD_SOP_new!$A:$A,[1]CPD_SOP_new!#REF!,"not found",0 )</f>
        <v>#REF!</v>
      </c>
      <c r="E840" s="97" t="str">
        <f>_xlfn.XLOOKUP(A840,[1]CPD_SOP_new!$A:$A,[1]CPD_SOP_new!$K:$K,"not found",0 )</f>
        <v>3R</v>
      </c>
      <c r="F840" t="s">
        <v>27</v>
      </c>
      <c r="G840" t="s">
        <v>28</v>
      </c>
      <c r="H840" t="s">
        <v>28</v>
      </c>
      <c r="I840" t="s">
        <v>28</v>
      </c>
      <c r="J840" t="s">
        <v>29</v>
      </c>
      <c r="K840" s="85" t="str">
        <f t="shared" si="13"/>
        <v>/mnt/measurements/07_CANape/Mitsubishi/5K45/MMC4.1.2/Validation/2025_11_29/child/part2/Sleep/TC_186_Try1.MF4.xz,child,RadarFC_Master,child (ncap1,2),CPD,dummy</v>
      </c>
      <c r="L840" s="85" t="s">
        <v>3917</v>
      </c>
      <c r="M840" t="s">
        <v>1170</v>
      </c>
      <c r="N840" t="s">
        <v>754</v>
      </c>
    </row>
    <row r="841" spans="1:14" s="130" customFormat="1" hidden="1">
      <c r="A841" s="78">
        <v>205</v>
      </c>
      <c r="B841" s="130" t="s">
        <v>124</v>
      </c>
      <c r="C841" s="130" t="s">
        <v>66</v>
      </c>
      <c r="D841" s="97" t="e">
        <f>_xlfn.XLOOKUP(A841,[1]CPD_SOP_new!$A:$A,[1]CPD_SOP_new!#REF!,"not found",0 )</f>
        <v>#REF!</v>
      </c>
      <c r="E841" s="97" t="str">
        <f>_xlfn.XLOOKUP(A841,[1]CPD_SOP_new!$A:$A,[1]CPD_SOP_new!$K:$K,"not found",0 )</f>
        <v>3R</v>
      </c>
      <c r="F841" s="130" t="s">
        <v>27</v>
      </c>
      <c r="G841" s="130" t="s">
        <v>28</v>
      </c>
      <c r="H841" s="130" t="s">
        <v>28</v>
      </c>
      <c r="I841" s="130" t="s">
        <v>27</v>
      </c>
      <c r="J841" s="137" t="s">
        <v>68</v>
      </c>
      <c r="K841" s="85" t="str">
        <f t="shared" si="13"/>
        <v>/mnt/measurements/07_CANape/Mitsubishi/5K45/MMC5.0.0_RC3_with_resetfix/CPD/TC205_Try_1.MF4.xz,remove, real child mea available,RadarFC_Master,remove, real child mea available (ncap3),CPD,dummy</v>
      </c>
      <c r="L841" s="85" t="s">
        <v>3918</v>
      </c>
      <c r="M841" s="130" t="s">
        <v>1294</v>
      </c>
      <c r="N841" s="131" t="s">
        <v>475</v>
      </c>
    </row>
    <row r="842" spans="1:14" s="130" customFormat="1" hidden="1">
      <c r="A842" s="78">
        <v>205</v>
      </c>
      <c r="B842" s="130" t="s">
        <v>124</v>
      </c>
      <c r="C842" s="130" t="s">
        <v>66</v>
      </c>
      <c r="D842" s="97" t="e">
        <f>_xlfn.XLOOKUP(A842,[1]CPD_SOP_new!$A:$A,[1]CPD_SOP_new!#REF!,"not found",0 )</f>
        <v>#REF!</v>
      </c>
      <c r="E842" s="97" t="str">
        <f>_xlfn.XLOOKUP(A842,[1]CPD_SOP_new!$A:$A,[1]CPD_SOP_new!$K:$K,"not found",0 )</f>
        <v>3R</v>
      </c>
      <c r="F842" s="130" t="s">
        <v>27</v>
      </c>
      <c r="G842" s="130" t="s">
        <v>28</v>
      </c>
      <c r="H842" s="130" t="s">
        <v>28</v>
      </c>
      <c r="I842" s="130" t="s">
        <v>27</v>
      </c>
      <c r="J842" s="137" t="s">
        <v>68</v>
      </c>
      <c r="K842" s="85" t="str">
        <f t="shared" si="13"/>
        <v>/mnt/measurements/07_CANape/Mitsubishi/5K45/MMC5.0.0_RC3_with_resetfix/CPD/TC205_Try_2.MF4.xz,remove, real child mea available,RadarFC_Master,remove, real child mea available (ncap3),CPD,dummy</v>
      </c>
      <c r="L842" s="85" t="s">
        <v>3919</v>
      </c>
      <c r="M842" s="130" t="s">
        <v>1295</v>
      </c>
      <c r="N842" s="131" t="s">
        <v>475</v>
      </c>
    </row>
    <row r="843" spans="1:14" s="130" customFormat="1" hidden="1">
      <c r="A843" s="78">
        <v>205</v>
      </c>
      <c r="B843" s="130" t="s">
        <v>124</v>
      </c>
      <c r="C843" s="130" t="s">
        <v>66</v>
      </c>
      <c r="D843" s="97" t="e">
        <f>_xlfn.XLOOKUP(A843,[1]CPD_SOP_new!$A:$A,[1]CPD_SOP_new!#REF!,"not found",0 )</f>
        <v>#REF!</v>
      </c>
      <c r="E843" s="97" t="str">
        <f>_xlfn.XLOOKUP(A843,[1]CPD_SOP_new!$A:$A,[1]CPD_SOP_new!$K:$K,"not found",0 )</f>
        <v>3R</v>
      </c>
      <c r="F843" s="130" t="s">
        <v>27</v>
      </c>
      <c r="G843" s="130" t="s">
        <v>28</v>
      </c>
      <c r="H843" s="130" t="s">
        <v>28</v>
      </c>
      <c r="I843" s="130" t="s">
        <v>27</v>
      </c>
      <c r="J843" s="137" t="s">
        <v>68</v>
      </c>
      <c r="K843" s="85" t="str">
        <f t="shared" si="13"/>
        <v>/mnt/measurements/07_CANape/Mitsubishi/5K45/MMC5.0.0_RC3_with_resetfix/CPD/TC205_Try_3.MF4.xz,remove, real child mea available,RadarFC_Master,remove, real child mea available (ncap3),CPD,dummy</v>
      </c>
      <c r="L843" s="85" t="s">
        <v>3920</v>
      </c>
      <c r="M843" s="130" t="s">
        <v>1296</v>
      </c>
      <c r="N843" s="131" t="s">
        <v>475</v>
      </c>
    </row>
    <row r="844" spans="1:14">
      <c r="A844" s="77">
        <v>186</v>
      </c>
      <c r="B844" t="s">
        <v>38</v>
      </c>
      <c r="C844" t="s">
        <v>43</v>
      </c>
      <c r="D844" s="97" t="e">
        <f>_xlfn.XLOOKUP(A844,[1]CPD_SOP_new!$A:$A,[1]CPD_SOP_new!#REF!,"not found",0 )</f>
        <v>#REF!</v>
      </c>
      <c r="E844" s="97" t="str">
        <f>_xlfn.XLOOKUP(A844,[1]CPD_SOP_new!$A:$A,[1]CPD_SOP_new!$K:$K,"not found",0 )</f>
        <v>3R</v>
      </c>
      <c r="F844" t="s">
        <v>27</v>
      </c>
      <c r="G844" t="s">
        <v>28</v>
      </c>
      <c r="H844" t="s">
        <v>28</v>
      </c>
      <c r="I844" t="s">
        <v>28</v>
      </c>
      <c r="J844" t="s">
        <v>29</v>
      </c>
      <c r="K844" s="85" t="str">
        <f t="shared" si="13"/>
        <v>/mnt/measurements/07_CANape/Mitsubishi/5K45/MMC4.1.2/Validation/2025_11_29/child/part2/Sleep/TC_186_Try2.MF4.xz,child,RadarFC_Master,child (ncap1,2),CPD,dummy</v>
      </c>
      <c r="L844" s="85" t="s">
        <v>3921</v>
      </c>
      <c r="M844" t="s">
        <v>1171</v>
      </c>
      <c r="N844" t="s">
        <v>754</v>
      </c>
    </row>
    <row r="845" spans="1:14">
      <c r="A845" s="77">
        <v>186</v>
      </c>
      <c r="B845" t="s">
        <v>38</v>
      </c>
      <c r="C845" t="s">
        <v>43</v>
      </c>
      <c r="D845" s="97" t="e">
        <f>_xlfn.XLOOKUP(A845,[1]CPD_SOP_new!$A:$A,[1]CPD_SOP_new!#REF!,"not found",0 )</f>
        <v>#REF!</v>
      </c>
      <c r="E845" s="97" t="str">
        <f>_xlfn.XLOOKUP(A845,[1]CPD_SOP_new!$A:$A,[1]CPD_SOP_new!$K:$K,"not found",0 )</f>
        <v>3R</v>
      </c>
      <c r="F845" t="s">
        <v>27</v>
      </c>
      <c r="G845" t="s">
        <v>28</v>
      </c>
      <c r="H845" t="s">
        <v>28</v>
      </c>
      <c r="I845" t="s">
        <v>28</v>
      </c>
      <c r="J845" t="s">
        <v>29</v>
      </c>
      <c r="K845" s="85" t="str">
        <f t="shared" si="13"/>
        <v>/mnt/measurements/07_CANape/Mitsubishi/5K45/MMC4.1.2/Validation/2025_11_29/child/part2/Sleep/TC_186_Try3.MF4.xz,child,RadarFC_Master,child (ncap1,2),CPD,dummy</v>
      </c>
      <c r="L845" s="85" t="s">
        <v>3922</v>
      </c>
      <c r="M845" t="s">
        <v>1172</v>
      </c>
      <c r="N845" t="s">
        <v>754</v>
      </c>
    </row>
    <row r="846" spans="1:14">
      <c r="A846" s="77">
        <v>187</v>
      </c>
      <c r="B846" t="s">
        <v>38</v>
      </c>
      <c r="C846" t="s">
        <v>43</v>
      </c>
      <c r="D846" s="97" t="e">
        <f>_xlfn.XLOOKUP(A846,[1]CPD_SOP_new!$A:$A,[1]CPD_SOP_new!#REF!,"not found",0 )</f>
        <v>#REF!</v>
      </c>
      <c r="E846" s="97" t="str">
        <f>_xlfn.XLOOKUP(A846,[1]CPD_SOP_new!$A:$A,[1]CPD_SOP_new!$K:$K,"not found",0 )</f>
        <v>3L</v>
      </c>
      <c r="F846" t="s">
        <v>27</v>
      </c>
      <c r="G846" t="s">
        <v>28</v>
      </c>
      <c r="H846" t="s">
        <v>28</v>
      </c>
      <c r="I846" t="s">
        <v>28</v>
      </c>
      <c r="J846" t="s">
        <v>29</v>
      </c>
      <c r="K846" s="85" t="str">
        <f t="shared" si="13"/>
        <v>/mnt/measurements/07_CANape/Mitsubishi/5K45/MMC4.1.2/Validation/child/Sleep//TC_187.MF4.xz,child,RadarFC_Master,child (ncap1,2),CPD,dummy</v>
      </c>
      <c r="L846" s="85" t="s">
        <v>3923</v>
      </c>
      <c r="M846" t="s">
        <v>1173</v>
      </c>
      <c r="N846" t="s">
        <v>33</v>
      </c>
    </row>
    <row r="847" spans="1:14">
      <c r="A847" s="77">
        <v>187</v>
      </c>
      <c r="B847" t="s">
        <v>38</v>
      </c>
      <c r="C847" t="s">
        <v>43</v>
      </c>
      <c r="D847" s="97" t="e">
        <f>_xlfn.XLOOKUP(A847,[1]CPD_SOP_new!$A:$A,[1]CPD_SOP_new!#REF!,"not found",0 )</f>
        <v>#REF!</v>
      </c>
      <c r="E847" s="97" t="str">
        <f>_xlfn.XLOOKUP(A847,[1]CPD_SOP_new!$A:$A,[1]CPD_SOP_new!$K:$K,"not found",0 )</f>
        <v>3L</v>
      </c>
      <c r="F847" t="s">
        <v>27</v>
      </c>
      <c r="G847" t="s">
        <v>28</v>
      </c>
      <c r="H847" t="s">
        <v>28</v>
      </c>
      <c r="I847" t="s">
        <v>28</v>
      </c>
      <c r="J847" t="s">
        <v>29</v>
      </c>
      <c r="K847" s="85" t="str">
        <f t="shared" si="13"/>
        <v>/mnt/measurements/07_CANape/Mitsubishi/5K45/MMC4.1.2/Validation/2025_11_29/child/part3/Sleep/TC_187_Try1.MF4.xz,child,RadarFC_Master,child (ncap1,2),CPD,dummy</v>
      </c>
      <c r="L847" s="85" t="s">
        <v>3924</v>
      </c>
      <c r="M847" t="s">
        <v>1175</v>
      </c>
      <c r="N847" t="s">
        <v>1176</v>
      </c>
    </row>
    <row r="848" spans="1:14">
      <c r="A848" s="77">
        <v>187</v>
      </c>
      <c r="B848" t="s">
        <v>38</v>
      </c>
      <c r="C848" t="s">
        <v>43</v>
      </c>
      <c r="D848" s="97" t="e">
        <f>_xlfn.XLOOKUP(A848,[1]CPD_SOP_new!$A:$A,[1]CPD_SOP_new!#REF!,"not found",0 )</f>
        <v>#REF!</v>
      </c>
      <c r="E848" s="97" t="str">
        <f>_xlfn.XLOOKUP(A848,[1]CPD_SOP_new!$A:$A,[1]CPD_SOP_new!$K:$K,"not found",0 )</f>
        <v>3L</v>
      </c>
      <c r="F848" t="s">
        <v>27</v>
      </c>
      <c r="G848" t="s">
        <v>28</v>
      </c>
      <c r="H848" t="s">
        <v>28</v>
      </c>
      <c r="I848" t="s">
        <v>28</v>
      </c>
      <c r="J848" t="s">
        <v>29</v>
      </c>
      <c r="K848" s="85" t="str">
        <f t="shared" si="13"/>
        <v>/mnt/measurements/07_CANape/Mitsubishi/5K45/MMC4.1.2/Validation/2025_11_29/child/part3/Sleep/TC_187_Try2.MF4.xz,child,RadarFC_Master,child (ncap1,2),CPD,dummy</v>
      </c>
      <c r="L848" s="85" t="s">
        <v>3925</v>
      </c>
      <c r="M848" t="s">
        <v>1178</v>
      </c>
      <c r="N848" t="s">
        <v>1176</v>
      </c>
    </row>
    <row r="849" spans="1:14" s="130" customFormat="1" hidden="1">
      <c r="A849" s="78">
        <v>206</v>
      </c>
      <c r="B849" s="130" t="s">
        <v>124</v>
      </c>
      <c r="C849" s="130" t="s">
        <v>253</v>
      </c>
      <c r="D849" s="97" t="e">
        <f>_xlfn.XLOOKUP(A849,[1]CPD_SOP_new!$A:$A,[1]CPD_SOP_new!#REF!,"not found",0 )</f>
        <v>#REF!</v>
      </c>
      <c r="E849" s="97" t="str">
        <f>_xlfn.XLOOKUP(A849,[1]CPD_SOP_new!$A:$A,[1]CPD_SOP_new!$K:$K,"not found",0 )</f>
        <v>3L</v>
      </c>
      <c r="F849" s="130" t="s">
        <v>27</v>
      </c>
      <c r="G849" s="130" t="s">
        <v>28</v>
      </c>
      <c r="H849" s="130" t="s">
        <v>28</v>
      </c>
      <c r="I849" s="130" t="s">
        <v>27</v>
      </c>
      <c r="J849" s="137" t="s">
        <v>68</v>
      </c>
      <c r="K849" s="85" t="str">
        <f t="shared" si="13"/>
        <v>/mnt/measurements/07_CANape/Mitsubishi/5K45/MMC5.0.0_RC3_with_resetfix/CPD/TC206_Try_1.MF4.xz,remove, real child mea available,RadarFC_Master,remove, real child mea available (ncap3),CPD,dummy</v>
      </c>
      <c r="L849" s="85" t="s">
        <v>3926</v>
      </c>
      <c r="M849" s="130" t="s">
        <v>1303</v>
      </c>
      <c r="N849" s="131" t="s">
        <v>475</v>
      </c>
    </row>
    <row r="850" spans="1:14" s="130" customFormat="1" hidden="1">
      <c r="A850" s="78">
        <v>206</v>
      </c>
      <c r="B850" s="130" t="s">
        <v>124</v>
      </c>
      <c r="C850" s="130" t="s">
        <v>253</v>
      </c>
      <c r="D850" s="97" t="e">
        <f>_xlfn.XLOOKUP(A850,[1]CPD_SOP_new!$A:$A,[1]CPD_SOP_new!#REF!,"not found",0 )</f>
        <v>#REF!</v>
      </c>
      <c r="E850" s="97" t="str">
        <f>_xlfn.XLOOKUP(A850,[1]CPD_SOP_new!$A:$A,[1]CPD_SOP_new!$K:$K,"not found",0 )</f>
        <v>3L</v>
      </c>
      <c r="F850" s="130" t="s">
        <v>27</v>
      </c>
      <c r="G850" s="130" t="s">
        <v>28</v>
      </c>
      <c r="H850" s="130" t="s">
        <v>28</v>
      </c>
      <c r="I850" s="130" t="s">
        <v>27</v>
      </c>
      <c r="J850" s="137" t="s">
        <v>68</v>
      </c>
      <c r="K850" s="85" t="str">
        <f t="shared" si="13"/>
        <v>/mnt/measurements/07_CANape/Mitsubishi/5K45/MMC5.0.0_RC3_with_resetfix/CPD/TC206_Try_2.MF4.xz,remove, real child mea available,RadarFC_Master,remove, real child mea available (ncap3),CPD,dummy</v>
      </c>
      <c r="L850" s="85" t="s">
        <v>3927</v>
      </c>
      <c r="M850" s="130" t="s">
        <v>1304</v>
      </c>
      <c r="N850" s="131" t="s">
        <v>475</v>
      </c>
    </row>
    <row r="851" spans="1:14" s="130" customFormat="1" hidden="1">
      <c r="A851" s="78">
        <v>206</v>
      </c>
      <c r="B851" s="130" t="s">
        <v>124</v>
      </c>
      <c r="C851" s="130" t="s">
        <v>253</v>
      </c>
      <c r="D851" s="97" t="e">
        <f>_xlfn.XLOOKUP(A851,[1]CPD_SOP_new!$A:$A,[1]CPD_SOP_new!#REF!,"not found",0 )</f>
        <v>#REF!</v>
      </c>
      <c r="E851" s="97" t="str">
        <f>_xlfn.XLOOKUP(A851,[1]CPD_SOP_new!$A:$A,[1]CPD_SOP_new!$K:$K,"not found",0 )</f>
        <v>3L</v>
      </c>
      <c r="F851" s="130" t="s">
        <v>27</v>
      </c>
      <c r="G851" s="130" t="s">
        <v>28</v>
      </c>
      <c r="H851" s="130" t="s">
        <v>28</v>
      </c>
      <c r="I851" s="130" t="s">
        <v>27</v>
      </c>
      <c r="J851" s="137" t="s">
        <v>68</v>
      </c>
      <c r="K851" s="85" t="str">
        <f t="shared" si="13"/>
        <v>/mnt/measurements/07_CANape/Mitsubishi/5K45/MMC5.0.0_RC3_with_resetfix/CPD/TC206_Try_3.MF4.xz,remove, real child mea available,RadarFC_Master,remove, real child mea available (ncap3),CPD,dummy</v>
      </c>
      <c r="L851" s="85" t="s">
        <v>3928</v>
      </c>
      <c r="M851" s="130" t="s">
        <v>1305</v>
      </c>
      <c r="N851" s="131" t="s">
        <v>475</v>
      </c>
    </row>
    <row r="852" spans="1:14">
      <c r="A852" s="77">
        <v>187</v>
      </c>
      <c r="B852" t="s">
        <v>38</v>
      </c>
      <c r="C852" t="s">
        <v>43</v>
      </c>
      <c r="D852" s="97" t="e">
        <f>_xlfn.XLOOKUP(A852,[1]CPD_SOP_new!$A:$A,[1]CPD_SOP_new!#REF!,"not found",0 )</f>
        <v>#REF!</v>
      </c>
      <c r="E852" s="97" t="str">
        <f>_xlfn.XLOOKUP(A852,[1]CPD_SOP_new!$A:$A,[1]CPD_SOP_new!$K:$K,"not found",0 )</f>
        <v>3L</v>
      </c>
      <c r="F852" t="s">
        <v>27</v>
      </c>
      <c r="G852" t="s">
        <v>28</v>
      </c>
      <c r="H852" t="s">
        <v>28</v>
      </c>
      <c r="I852" t="s">
        <v>28</v>
      </c>
      <c r="J852" t="s">
        <v>29</v>
      </c>
      <c r="K852" s="85" t="str">
        <f t="shared" si="13"/>
        <v>/mnt/measurements/07_CANape/Mitsubishi/5K45/MMC4.1.2/Validation/2025_11_29/child/part3/Sleep/TC_187_Try3.MF4.xz,child,RadarFC_Master,child (ncap1,2),CPD,dummy</v>
      </c>
      <c r="L852" s="85" t="s">
        <v>3929</v>
      </c>
      <c r="M852" t="s">
        <v>1180</v>
      </c>
      <c r="N852" t="s">
        <v>1176</v>
      </c>
    </row>
    <row r="853" spans="1:14">
      <c r="A853" s="59">
        <v>187</v>
      </c>
      <c r="B853" t="s">
        <v>38</v>
      </c>
      <c r="C853" t="s">
        <v>43</v>
      </c>
      <c r="D853" s="97" t="e">
        <f>_xlfn.XLOOKUP(A853,[1]CPD_SOP_new!$A:$A,[1]CPD_SOP_new!#REF!,"not found",0 )</f>
        <v>#REF!</v>
      </c>
      <c r="E853" s="97" t="str">
        <f>_xlfn.XLOOKUP(A853,[1]CPD_SOP_new!$A:$A,[1]CPD_SOP_new!$K:$K,"not found",0 )</f>
        <v>3L</v>
      </c>
      <c r="F853" t="s">
        <v>27</v>
      </c>
      <c r="G853" t="s">
        <v>28</v>
      </c>
      <c r="H853" t="s">
        <v>28</v>
      </c>
      <c r="I853" t="s">
        <v>28</v>
      </c>
      <c r="J853" t="s">
        <v>29</v>
      </c>
      <c r="K853" s="85" t="str">
        <f t="shared" si="13"/>
        <v>/mnt/measurements/07_CANape/Mitsubishi/5K45/5.3.0_RC6.2/5K457EG11/FP_Test_Cases_Renamed/CSR_XCP_Signals_Recorder_2026-02-02_11-47-51_TC187.MF4.xz,child,RadarFC_Master,child (ncap1,2),CPD,dummy</v>
      </c>
      <c r="L853" s="85" t="s">
        <v>3930</v>
      </c>
      <c r="M853" t="s">
        <v>1265</v>
      </c>
      <c r="N853" t="s">
        <v>767</v>
      </c>
    </row>
    <row r="854" spans="1:14">
      <c r="A854" s="77">
        <v>188</v>
      </c>
      <c r="B854" t="s">
        <v>38</v>
      </c>
      <c r="C854" t="s">
        <v>48</v>
      </c>
      <c r="D854" s="97" t="e">
        <f>_xlfn.XLOOKUP(A854,[1]CPD_SOP_new!$A:$A,[1]CPD_SOP_new!#REF!,"not found",0 )</f>
        <v>#REF!</v>
      </c>
      <c r="E854" s="97" t="s">
        <v>26</v>
      </c>
      <c r="F854" t="s">
        <v>27</v>
      </c>
      <c r="G854" t="s">
        <v>28</v>
      </c>
      <c r="H854" t="s">
        <v>27</v>
      </c>
      <c r="I854" t="s">
        <v>28</v>
      </c>
      <c r="J854" t="s">
        <v>29</v>
      </c>
      <c r="K854" s="85" t="str">
        <f t="shared" si="13"/>
        <v>/mnt/measurements/07_CANape/Mitsubishi/5K45/MMC4.1.2/Validation/child/Awake/TC_188.MF4.xz,child,RadarFC_Master,child (ncap1,2),CPD,dummy</v>
      </c>
      <c r="L854" s="85" t="s">
        <v>3931</v>
      </c>
      <c r="M854" t="s">
        <v>1182</v>
      </c>
      <c r="N854" s="132" t="s">
        <v>93</v>
      </c>
    </row>
    <row r="855" spans="1:14">
      <c r="A855" s="77">
        <v>188</v>
      </c>
      <c r="B855" t="s">
        <v>38</v>
      </c>
      <c r="C855" t="s">
        <v>48</v>
      </c>
      <c r="D855" s="97" t="e">
        <f>_xlfn.XLOOKUP(A855,[1]CPD_SOP_new!$A:$A,[1]CPD_SOP_new!#REF!,"not found",0 )</f>
        <v>#REF!</v>
      </c>
      <c r="E855" s="97" t="s">
        <v>26</v>
      </c>
      <c r="F855" t="s">
        <v>27</v>
      </c>
      <c r="G855" t="s">
        <v>28</v>
      </c>
      <c r="H855" t="s">
        <v>27</v>
      </c>
      <c r="I855" t="s">
        <v>28</v>
      </c>
      <c r="J855" t="s">
        <v>29</v>
      </c>
      <c r="K855" s="85" t="str">
        <f t="shared" si="13"/>
        <v>/mnt/measurements/07_CANape/Mitsubishi/5K45/MMC4.1.2/Validation/2025_11_29/child/part3/Awake/TC_188_Try1.MF4.xz,child,RadarFC_Master,child (ncap1,2),CPD,dummy</v>
      </c>
      <c r="L855" s="85" t="s">
        <v>3932</v>
      </c>
      <c r="M855" t="s">
        <v>1184</v>
      </c>
      <c r="N855" s="132" t="s">
        <v>752</v>
      </c>
    </row>
    <row r="856" spans="1:14" s="130" customFormat="1" hidden="1">
      <c r="A856" s="78">
        <v>207</v>
      </c>
      <c r="B856" s="130" t="s">
        <v>124</v>
      </c>
      <c r="C856" s="130" t="s">
        <v>66</v>
      </c>
      <c r="D856" s="97" t="e">
        <f>_xlfn.XLOOKUP(A856,[1]CPD_SOP_new!$A:$A,[1]CPD_SOP_new!#REF!,"not found",0 )</f>
        <v>#REF!</v>
      </c>
      <c r="E856" s="97" t="str">
        <f>_xlfn.XLOOKUP(A856,[1]CPD_SOP_new!$A:$A,[1]CPD_SOP_new!$K:$K,"not found",0 )</f>
        <v>2C</v>
      </c>
      <c r="F856" s="130" t="s">
        <v>27</v>
      </c>
      <c r="G856" s="130" t="s">
        <v>28</v>
      </c>
      <c r="H856" s="130" t="s">
        <v>28</v>
      </c>
      <c r="I856" s="130" t="s">
        <v>27</v>
      </c>
      <c r="J856" s="137" t="s">
        <v>68</v>
      </c>
      <c r="K856" s="85" t="str">
        <f t="shared" si="13"/>
        <v>/mnt/measurements/07_CANape/Mitsubishi/5K45/MMC5.0.0_RC3_with_resetfix/CPD/TC207_Try_1.MF4.xz,remove, real child mea available,RadarFC_Master,remove, real child mea available (ncap3),CPD,dummy</v>
      </c>
      <c r="L856" s="85" t="s">
        <v>3933</v>
      </c>
      <c r="M856" s="130" t="s">
        <v>1311</v>
      </c>
      <c r="N856" s="131" t="s">
        <v>475</v>
      </c>
    </row>
    <row r="857" spans="1:14" s="130" customFormat="1" hidden="1">
      <c r="A857" s="78">
        <v>207</v>
      </c>
      <c r="B857" s="130" t="s">
        <v>124</v>
      </c>
      <c r="C857" s="130" t="s">
        <v>66</v>
      </c>
      <c r="D857" s="97" t="e">
        <f>_xlfn.XLOOKUP(A857,[1]CPD_SOP_new!$A:$A,[1]CPD_SOP_new!#REF!,"not found",0 )</f>
        <v>#REF!</v>
      </c>
      <c r="E857" s="97" t="str">
        <f>_xlfn.XLOOKUP(A857,[1]CPD_SOP_new!$A:$A,[1]CPD_SOP_new!$K:$K,"not found",0 )</f>
        <v>2C</v>
      </c>
      <c r="F857" s="130" t="s">
        <v>27</v>
      </c>
      <c r="G857" s="130" t="s">
        <v>28</v>
      </c>
      <c r="H857" s="130" t="s">
        <v>28</v>
      </c>
      <c r="I857" s="130" t="s">
        <v>27</v>
      </c>
      <c r="J857" s="137" t="s">
        <v>68</v>
      </c>
      <c r="K857" s="85" t="str">
        <f t="shared" si="13"/>
        <v>/mnt/measurements/07_CANape/Mitsubishi/5K45/MMC5.0.0_RC3_with_resetfix/CPD/TC207_Try_2.MF4.xz,remove, real child mea available,RadarFC_Master,remove, real child mea available (ncap3),CPD,dummy</v>
      </c>
      <c r="L857" s="85" t="s">
        <v>3934</v>
      </c>
      <c r="M857" s="130" t="s">
        <v>1312</v>
      </c>
      <c r="N857" s="131" t="s">
        <v>475</v>
      </c>
    </row>
    <row r="858" spans="1:14" s="130" customFormat="1" hidden="1">
      <c r="A858" s="78">
        <v>207</v>
      </c>
      <c r="B858" s="130" t="s">
        <v>124</v>
      </c>
      <c r="C858" s="130" t="s">
        <v>66</v>
      </c>
      <c r="D858" s="97" t="e">
        <f>_xlfn.XLOOKUP(A858,[1]CPD_SOP_new!$A:$A,[1]CPD_SOP_new!#REF!,"not found",0 )</f>
        <v>#REF!</v>
      </c>
      <c r="E858" s="97" t="str">
        <f>_xlfn.XLOOKUP(A858,[1]CPD_SOP_new!$A:$A,[1]CPD_SOP_new!$K:$K,"not found",0 )</f>
        <v>2C</v>
      </c>
      <c r="F858" s="130" t="s">
        <v>27</v>
      </c>
      <c r="G858" s="130" t="s">
        <v>28</v>
      </c>
      <c r="H858" s="130" t="s">
        <v>28</v>
      </c>
      <c r="I858" s="130" t="s">
        <v>27</v>
      </c>
      <c r="J858" s="137" t="s">
        <v>68</v>
      </c>
      <c r="K858" s="85" t="str">
        <f t="shared" si="13"/>
        <v>/mnt/measurements/07_CANape/Mitsubishi/5K45/MMC5.0.0_RC3_with_resetfix/CPD/TC207_Try_3.MF4.xz,remove, real child mea available,RadarFC_Master,remove, real child mea available (ncap3),CPD,dummy</v>
      </c>
      <c r="L858" s="85" t="s">
        <v>3935</v>
      </c>
      <c r="M858" s="130" t="s">
        <v>1313</v>
      </c>
      <c r="N858" s="131" t="s">
        <v>475</v>
      </c>
    </row>
    <row r="859" spans="1:14">
      <c r="A859" s="77">
        <v>188</v>
      </c>
      <c r="B859" t="s">
        <v>38</v>
      </c>
      <c r="C859" t="s">
        <v>48</v>
      </c>
      <c r="D859" s="97" t="e">
        <f>_xlfn.XLOOKUP(A859,[1]CPD_SOP_new!$A:$A,[1]CPD_SOP_new!#REF!,"not found",0 )</f>
        <v>#REF!</v>
      </c>
      <c r="E859" s="97" t="s">
        <v>26</v>
      </c>
      <c r="F859" t="s">
        <v>27</v>
      </c>
      <c r="G859" t="s">
        <v>28</v>
      </c>
      <c r="H859" t="s">
        <v>27</v>
      </c>
      <c r="I859" t="s">
        <v>28</v>
      </c>
      <c r="J859" t="s">
        <v>29</v>
      </c>
      <c r="K859" s="85" t="str">
        <f t="shared" si="13"/>
        <v>/mnt/measurements/07_CANape/Mitsubishi/5K45/MMC4.1.2/Validation/2025_11_29/child/part3/Awake/TC_188_Try2.MF4.xz,child,RadarFC_Master,child (ncap1,2),CPD,dummy</v>
      </c>
      <c r="L859" s="85" t="s">
        <v>3936</v>
      </c>
      <c r="M859" t="s">
        <v>1186</v>
      </c>
      <c r="N859" s="132" t="s">
        <v>752</v>
      </c>
    </row>
    <row r="860" spans="1:14" s="137" customFormat="1">
      <c r="A860" s="103">
        <v>189</v>
      </c>
      <c r="B860" s="85" t="s">
        <v>38</v>
      </c>
      <c r="C860" s="85" t="s">
        <v>48</v>
      </c>
      <c r="D860" s="97" t="e">
        <f>_xlfn.XLOOKUP(A860,[1]CPD_SOP_new!$A:$A,[1]CPD_SOP_new!#REF!,"not found",0 )</f>
        <v>#REF!</v>
      </c>
      <c r="E860" s="97" t="str">
        <f>_xlfn.XLOOKUP(A860,[1]CPD_SOP_new!$A:$A,[1]CPD_SOP_new!$K:$K,"not found",0 )</f>
        <v>2R</v>
      </c>
      <c r="F860" t="s">
        <v>27</v>
      </c>
      <c r="G860" t="s">
        <v>28</v>
      </c>
      <c r="H860" t="s">
        <v>27</v>
      </c>
      <c r="I860" t="s">
        <v>28</v>
      </c>
      <c r="J860" t="s">
        <v>29</v>
      </c>
      <c r="K860" s="85" t="str">
        <f t="shared" si="13"/>
        <v>/mnt/measurements/07_CANape/Mitsubishi/5K45/MMC5.0.0_RC3_with_resetfix/CPD/TC189_Try_1.MF4.xz,child,RadarFC_Master,child (ncap1,2),CPD,dummy</v>
      </c>
      <c r="L860" s="85" t="s">
        <v>3937</v>
      </c>
      <c r="M860" s="132" t="s">
        <v>1192</v>
      </c>
      <c r="N860" s="132" t="s">
        <v>475</v>
      </c>
    </row>
    <row r="861" spans="1:14">
      <c r="A861" s="103">
        <v>189</v>
      </c>
      <c r="B861" s="85" t="s">
        <v>38</v>
      </c>
      <c r="C861" s="85" t="s">
        <v>48</v>
      </c>
      <c r="D861" s="97" t="e">
        <f>_xlfn.XLOOKUP(A861,[1]CPD_SOP_new!$A:$A,[1]CPD_SOP_new!#REF!,"not found",0 )</f>
        <v>#REF!</v>
      </c>
      <c r="E861" s="97" t="str">
        <f>_xlfn.XLOOKUP(A861,[1]CPD_SOP_new!$A:$A,[1]CPD_SOP_new!$K:$K,"not found",0 )</f>
        <v>2R</v>
      </c>
      <c r="F861" t="s">
        <v>27</v>
      </c>
      <c r="G861" t="s">
        <v>28</v>
      </c>
      <c r="H861" t="s">
        <v>27</v>
      </c>
      <c r="I861" t="s">
        <v>28</v>
      </c>
      <c r="J861" t="s">
        <v>29</v>
      </c>
      <c r="K861" s="85" t="str">
        <f t="shared" si="13"/>
        <v>/mnt/measurements/07_CANape/Mitsubishi/5K45/MMC5.0.0_RC3_with_resetfix/CPD/TC189_Try_2.MF4.xz,child,RadarFC_Master,child (ncap1,2),CPD,dummy</v>
      </c>
      <c r="L861" s="85" t="s">
        <v>3938</v>
      </c>
      <c r="M861" s="132" t="s">
        <v>1194</v>
      </c>
      <c r="N861" s="132" t="s">
        <v>475</v>
      </c>
    </row>
    <row r="862" spans="1:14">
      <c r="A862" s="103">
        <v>189</v>
      </c>
      <c r="B862" s="85" t="s">
        <v>38</v>
      </c>
      <c r="C862" s="85" t="s">
        <v>48</v>
      </c>
      <c r="D862" s="97" t="e">
        <f>_xlfn.XLOOKUP(A862,[1]CPD_SOP_new!$A:$A,[1]CPD_SOP_new!#REF!,"not found",0 )</f>
        <v>#REF!</v>
      </c>
      <c r="E862" s="97" t="str">
        <f>_xlfn.XLOOKUP(A862,[1]CPD_SOP_new!$A:$A,[1]CPD_SOP_new!$K:$K,"not found",0 )</f>
        <v>2R</v>
      </c>
      <c r="F862" t="s">
        <v>27</v>
      </c>
      <c r="G862" t="s">
        <v>28</v>
      </c>
      <c r="H862" t="s">
        <v>27</v>
      </c>
      <c r="I862" t="s">
        <v>28</v>
      </c>
      <c r="J862" t="s">
        <v>29</v>
      </c>
      <c r="K862" s="85" t="str">
        <f t="shared" si="13"/>
        <v>/mnt/measurements/07_CANape/Mitsubishi/5K45/MMC5.0.0_RC3_with_resetfix/CPD/TC189_Try_3.MF4.xz,child,RadarFC_Master,child (ncap1,2),CPD,dummy</v>
      </c>
      <c r="L862" s="85" t="s">
        <v>3939</v>
      </c>
      <c r="M862" s="132" t="s">
        <v>1195</v>
      </c>
      <c r="N862" s="132" t="s">
        <v>475</v>
      </c>
    </row>
    <row r="863" spans="1:14">
      <c r="A863" s="77">
        <v>190</v>
      </c>
      <c r="B863" t="s">
        <v>38</v>
      </c>
      <c r="C863" t="s">
        <v>48</v>
      </c>
      <c r="D863" s="97" t="e">
        <f>_xlfn.XLOOKUP(A863,[1]CPD_SOP_new!$A:$A,[1]CPD_SOP_new!#REF!,"not found",0 )</f>
        <v>#REF!</v>
      </c>
      <c r="E863" s="97" t="str">
        <f>_xlfn.XLOOKUP(A863,[1]CPD_SOP_new!$A:$A,[1]CPD_SOP_new!$K:$K,"not found",0 )</f>
        <v>2L</v>
      </c>
      <c r="F863" t="s">
        <v>27</v>
      </c>
      <c r="G863" t="s">
        <v>28</v>
      </c>
      <c r="H863" t="s">
        <v>27</v>
      </c>
      <c r="I863" t="s">
        <v>28</v>
      </c>
      <c r="J863" t="s">
        <v>29</v>
      </c>
      <c r="K863" s="85" t="str">
        <f t="shared" si="13"/>
        <v>/mnt/measurements/07_CANape/Mitsubishi/5K45/MMC4.1.2/Validation/child/Awake/TC_190.MF4.xz,child,RadarFC_Master,child (ncap1,2),CPD,dummy</v>
      </c>
      <c r="L863" s="85" t="s">
        <v>3940</v>
      </c>
      <c r="M863" t="s">
        <v>722</v>
      </c>
      <c r="N863" s="132" t="s">
        <v>93</v>
      </c>
    </row>
    <row r="864" spans="1:14">
      <c r="A864" s="77">
        <v>190</v>
      </c>
      <c r="B864" t="s">
        <v>38</v>
      </c>
      <c r="C864" t="s">
        <v>48</v>
      </c>
      <c r="D864" s="97" t="e">
        <f>_xlfn.XLOOKUP(A864,[1]CPD_SOP_new!$A:$A,[1]CPD_SOP_new!#REF!,"not found",0 )</f>
        <v>#REF!</v>
      </c>
      <c r="E864" s="97" t="str">
        <f>_xlfn.XLOOKUP(A864,[1]CPD_SOP_new!$A:$A,[1]CPD_SOP_new!$K:$K,"not found",0 )</f>
        <v>2L</v>
      </c>
      <c r="F864" t="s">
        <v>27</v>
      </c>
      <c r="G864" t="s">
        <v>28</v>
      </c>
      <c r="H864" t="s">
        <v>27</v>
      </c>
      <c r="I864" t="s">
        <v>28</v>
      </c>
      <c r="J864" t="s">
        <v>29</v>
      </c>
      <c r="K864" s="85" t="str">
        <f t="shared" si="13"/>
        <v>/mnt/measurements/07_CANape/Mitsubishi/5K45/MMC4.1.2/Validation/2025_11_29/child/part3/Awake/TC_190_Try1.MF4.xz,child,RadarFC_Master,child (ncap1,2),CPD,dummy</v>
      </c>
      <c r="L864" s="85" t="s">
        <v>3941</v>
      </c>
      <c r="M864" t="s">
        <v>1197</v>
      </c>
      <c r="N864" s="132" t="s">
        <v>752</v>
      </c>
    </row>
    <row r="865" spans="1:14">
      <c r="A865" s="77">
        <v>190</v>
      </c>
      <c r="B865" t="s">
        <v>38</v>
      </c>
      <c r="C865" t="s">
        <v>48</v>
      </c>
      <c r="D865" s="97" t="e">
        <f>_xlfn.XLOOKUP(A865,[1]CPD_SOP_new!$A:$A,[1]CPD_SOP_new!#REF!,"not found",0 )</f>
        <v>#REF!</v>
      </c>
      <c r="E865" s="97" t="str">
        <f>_xlfn.XLOOKUP(A865,[1]CPD_SOP_new!$A:$A,[1]CPD_SOP_new!$K:$K,"not found",0 )</f>
        <v>2L</v>
      </c>
      <c r="F865" t="s">
        <v>27</v>
      </c>
      <c r="G865" t="s">
        <v>28</v>
      </c>
      <c r="H865" t="s">
        <v>27</v>
      </c>
      <c r="I865" t="s">
        <v>28</v>
      </c>
      <c r="J865" t="s">
        <v>29</v>
      </c>
      <c r="K865" s="85" t="str">
        <f t="shared" si="13"/>
        <v>/mnt/measurements/07_CANape/Mitsubishi/5K45/MMC4.1.2/Validation/2025_11_29/child/part3/Awake/TC_190_Try2.MF4.xz,child,RadarFC_Master,child (ncap1,2),CPD,dummy</v>
      </c>
      <c r="L865" s="85" t="s">
        <v>3942</v>
      </c>
      <c r="M865" t="s">
        <v>1199</v>
      </c>
      <c r="N865" s="132" t="s">
        <v>752</v>
      </c>
    </row>
    <row r="866" spans="1:14">
      <c r="A866" s="77">
        <v>190</v>
      </c>
      <c r="B866" t="s">
        <v>38</v>
      </c>
      <c r="C866" t="s">
        <v>48</v>
      </c>
      <c r="D866" s="97" t="e">
        <f>_xlfn.XLOOKUP(A866,[1]CPD_SOP_new!$A:$A,[1]CPD_SOP_new!#REF!,"not found",0 )</f>
        <v>#REF!</v>
      </c>
      <c r="E866" s="97" t="str">
        <f>_xlfn.XLOOKUP(A866,[1]CPD_SOP_new!$A:$A,[1]CPD_SOP_new!$K:$K,"not found",0 )</f>
        <v>2L</v>
      </c>
      <c r="F866" t="s">
        <v>27</v>
      </c>
      <c r="G866" t="s">
        <v>28</v>
      </c>
      <c r="H866" t="s">
        <v>27</v>
      </c>
      <c r="I866" t="s">
        <v>28</v>
      </c>
      <c r="J866" t="s">
        <v>29</v>
      </c>
      <c r="K866" s="85" t="str">
        <f t="shared" si="13"/>
        <v>/mnt/measurements/07_CANape/Mitsubishi/5K45/MMC4.1.2/Validation/2025_11_29/child/part3/Awake/TC_190_Try3.MF4.xz,child,RadarFC_Master,child (ncap1,2),CPD,dummy</v>
      </c>
      <c r="L866" s="85" t="s">
        <v>3943</v>
      </c>
      <c r="M866" t="s">
        <v>751</v>
      </c>
      <c r="N866" s="132" t="s">
        <v>752</v>
      </c>
    </row>
    <row r="867" spans="1:14" s="137" customFormat="1" hidden="1">
      <c r="A867" s="78">
        <v>208</v>
      </c>
      <c r="B867" s="137" t="s">
        <v>124</v>
      </c>
      <c r="C867" s="137" t="s">
        <v>253</v>
      </c>
      <c r="D867" s="97" t="e">
        <f>_xlfn.XLOOKUP(A867,[1]CPD_SOP_new!$A:$A,[1]CPD_SOP_new!#REF!,"not found",0 )</f>
        <v>#REF!</v>
      </c>
      <c r="E867" s="97" t="str">
        <f>_xlfn.XLOOKUP(A867,[1]CPD_SOP_new!$A:$A,[1]CPD_SOP_new!$K:$K,"not found",0 )</f>
        <v>3R</v>
      </c>
      <c r="F867" s="137" t="s">
        <v>28</v>
      </c>
      <c r="G867" s="137" t="s">
        <v>27</v>
      </c>
      <c r="H867" s="137" t="s">
        <v>27</v>
      </c>
      <c r="I867" s="137" t="s">
        <v>27</v>
      </c>
      <c r="J867" s="88" t="s">
        <v>1324</v>
      </c>
      <c r="K867" s="85" t="str">
        <f t="shared" si="13"/>
        <v>/mnt/measurements/07_CANape/Mitsubishi/5K45/MMC5.1.0/5K457EG11/CSR_XCP_Signals_Recorder_2025-12-22_16-13-42_TC208_CPD.MF4.xz,Radar stays in INIT, "m_CpdFuncActive": 8;,RadarFC_Master,Radar stays in INIT, "m_CpdFuncActive": 8; (ncap3),CPD,realchild</v>
      </c>
      <c r="L867" s="85" t="s">
        <v>3944</v>
      </c>
      <c r="M867" s="137" t="s">
        <v>1325</v>
      </c>
      <c r="N867" s="89" t="s">
        <v>202</v>
      </c>
    </row>
    <row r="868" spans="1:14" s="137" customFormat="1" hidden="1">
      <c r="A868" s="78">
        <v>208</v>
      </c>
      <c r="B868" s="137" t="s">
        <v>124</v>
      </c>
      <c r="C868" s="137" t="s">
        <v>253</v>
      </c>
      <c r="D868" s="97" t="e">
        <f>_xlfn.XLOOKUP(A868,[1]CPD_SOP_new!$A:$A,[1]CPD_SOP_new!#REF!,"not found",0 )</f>
        <v>#REF!</v>
      </c>
      <c r="E868" s="97" t="str">
        <f>_xlfn.XLOOKUP(A868,[1]CPD_SOP_new!$A:$A,[1]CPD_SOP_new!$K:$K,"not found",0 )</f>
        <v>3R</v>
      </c>
      <c r="F868" s="137" t="s">
        <v>28</v>
      </c>
      <c r="G868" s="137" t="s">
        <v>27</v>
      </c>
      <c r="H868" s="137" t="s">
        <v>27</v>
      </c>
      <c r="I868" s="137" t="s">
        <v>27</v>
      </c>
      <c r="J868" s="88" t="s">
        <v>1324</v>
      </c>
      <c r="K868" s="85" t="str">
        <f t="shared" si="13"/>
        <v>/mnt/measurements/07_CANape/Mitsubishi/5K45/MMC5.1.0/5K457EG11/CSR_XCP_Signals_Recorder_2025-12-22_16-15-26_TC208_CPD.MF4.xz,Radar stays in INIT, "m_CpdFuncActive": 8;,RadarFC_Master,Radar stays in INIT, "m_CpdFuncActive": 8; (ncap3),CPD,realchild</v>
      </c>
      <c r="L868" s="85" t="s">
        <v>3945</v>
      </c>
      <c r="M868" s="137" t="s">
        <v>1326</v>
      </c>
      <c r="N868" s="89" t="s">
        <v>202</v>
      </c>
    </row>
    <row r="869" spans="1:14">
      <c r="A869" s="59">
        <v>190</v>
      </c>
      <c r="B869" t="s">
        <v>38</v>
      </c>
      <c r="C869" t="s">
        <v>48</v>
      </c>
      <c r="D869" s="97" t="e">
        <f>_xlfn.XLOOKUP(A869,[1]CPD_SOP_new!$A:$A,[1]CPD_SOP_new!#REF!,"not found",0 )</f>
        <v>#REF!</v>
      </c>
      <c r="E869" s="97" t="str">
        <f>_xlfn.XLOOKUP(A869,[1]CPD_SOP_new!$A:$A,[1]CPD_SOP_new!$K:$K,"not found",0 )</f>
        <v>2L</v>
      </c>
      <c r="F869" t="s">
        <v>27</v>
      </c>
      <c r="G869" t="s">
        <v>28</v>
      </c>
      <c r="H869" t="s">
        <v>27</v>
      </c>
      <c r="I869" t="s">
        <v>28</v>
      </c>
      <c r="J869" t="s">
        <v>29</v>
      </c>
      <c r="K869" s="85" t="str">
        <f t="shared" si="13"/>
        <v>/mnt/measurements/07_CANape/Mitsubishi/5K45/5.3.0_RC6.2/5K457EG11/FP_Test_Cases_Renamed/CSR_XCP_Signals_Recorder_2026-02-02_11-39-26_TC190.MF4.xz,child,RadarFC_Master,child (ncap1,2),CPD,dummy</v>
      </c>
      <c r="L869" s="85" t="s">
        <v>3946</v>
      </c>
      <c r="M869" t="s">
        <v>1457</v>
      </c>
      <c r="N869" t="s">
        <v>767</v>
      </c>
    </row>
    <row r="870" spans="1:14">
      <c r="A870" s="77">
        <v>191</v>
      </c>
      <c r="B870" t="s">
        <v>38</v>
      </c>
      <c r="C870" t="s">
        <v>48</v>
      </c>
      <c r="D870" s="97" t="e">
        <f>_xlfn.XLOOKUP(A870,[1]CPD_SOP_new!$A:$A,[1]CPD_SOP_new!#REF!,"not found",0 )</f>
        <v>#REF!</v>
      </c>
      <c r="E870" s="97" t="str">
        <f>_xlfn.XLOOKUP(A870,[1]CPD_SOP_new!$A:$A,[1]CPD_SOP_new!$K:$K,"not found",0 )</f>
        <v>2C</v>
      </c>
      <c r="F870" t="s">
        <v>27</v>
      </c>
      <c r="G870" t="s">
        <v>28</v>
      </c>
      <c r="H870" t="s">
        <v>27</v>
      </c>
      <c r="I870" t="s">
        <v>28</v>
      </c>
      <c r="J870" t="s">
        <v>29</v>
      </c>
      <c r="K870" s="85" t="str">
        <f t="shared" si="13"/>
        <v>/mnt/measurements/07_CANape/Mitsubishi/5K45/MMC5.0.0_RC3_with_resetfix/CPD/TC191_Try_1.MF4.xz,child,RadarFC_Master,child (ncap1,2),CPD,dummy</v>
      </c>
      <c r="L870" s="85" t="s">
        <v>3947</v>
      </c>
      <c r="M870" t="s">
        <v>1202</v>
      </c>
      <c r="N870" s="132" t="s">
        <v>475</v>
      </c>
    </row>
    <row r="871" spans="1:14">
      <c r="A871" s="77">
        <v>191</v>
      </c>
      <c r="B871" t="s">
        <v>38</v>
      </c>
      <c r="C871" t="s">
        <v>48</v>
      </c>
      <c r="D871" s="97" t="e">
        <f>_xlfn.XLOOKUP(A871,[1]CPD_SOP_new!$A:$A,[1]CPD_SOP_new!#REF!,"not found",0 )</f>
        <v>#REF!</v>
      </c>
      <c r="E871" s="97" t="str">
        <f>_xlfn.XLOOKUP(A871,[1]CPD_SOP_new!$A:$A,[1]CPD_SOP_new!$K:$K,"not found",0 )</f>
        <v>2C</v>
      </c>
      <c r="F871" t="s">
        <v>27</v>
      </c>
      <c r="G871" t="s">
        <v>28</v>
      </c>
      <c r="H871" t="s">
        <v>27</v>
      </c>
      <c r="I871" t="s">
        <v>28</v>
      </c>
      <c r="J871" t="s">
        <v>29</v>
      </c>
      <c r="K871" s="85" t="str">
        <f t="shared" si="13"/>
        <v>/mnt/measurements/07_CANape/Mitsubishi/5K45/MMC5.0.0_RC3_with_resetfix/CPD/TC191_Try_2.MF4.xz,child,RadarFC_Master,child (ncap1,2),CPD,dummy</v>
      </c>
      <c r="L871" s="85" t="s">
        <v>3948</v>
      </c>
      <c r="M871" t="s">
        <v>1204</v>
      </c>
      <c r="N871" s="132" t="s">
        <v>475</v>
      </c>
    </row>
    <row r="872" spans="1:14">
      <c r="A872" s="77">
        <v>191</v>
      </c>
      <c r="B872" t="s">
        <v>38</v>
      </c>
      <c r="C872" t="s">
        <v>48</v>
      </c>
      <c r="D872" s="97" t="e">
        <f>_xlfn.XLOOKUP(A872,[1]CPD_SOP_new!$A:$A,[1]CPD_SOP_new!#REF!,"not found",0 )</f>
        <v>#REF!</v>
      </c>
      <c r="E872" s="97" t="str">
        <f>_xlfn.XLOOKUP(A872,[1]CPD_SOP_new!$A:$A,[1]CPD_SOP_new!$K:$K,"not found",0 )</f>
        <v>2C</v>
      </c>
      <c r="F872" t="s">
        <v>27</v>
      </c>
      <c r="G872" t="s">
        <v>28</v>
      </c>
      <c r="H872" t="s">
        <v>27</v>
      </c>
      <c r="I872" t="s">
        <v>28</v>
      </c>
      <c r="J872" t="s">
        <v>29</v>
      </c>
      <c r="K872" s="85" t="str">
        <f t="shared" si="13"/>
        <v>/mnt/measurements/07_CANape/Mitsubishi/5K45/MMC5.0.0_RC3_with_resetfix/CPD/TC191_Try_3.MF4.xz,child,RadarFC_Master,child (ncap1,2),CPD,dummy</v>
      </c>
      <c r="L872" s="85" t="s">
        <v>3949</v>
      </c>
      <c r="M872" t="s">
        <v>1205</v>
      </c>
      <c r="N872" s="132" t="s">
        <v>475</v>
      </c>
    </row>
    <row r="873" spans="1:14">
      <c r="A873" s="77">
        <v>192</v>
      </c>
      <c r="B873" t="s">
        <v>38</v>
      </c>
      <c r="C873" t="s">
        <v>48</v>
      </c>
      <c r="D873" s="97" t="e">
        <f>_xlfn.XLOOKUP(A873,[1]CPD_SOP_new!$A:$A,[1]CPD_SOP_new!#REF!,"not found",0 )</f>
        <v>#REF!</v>
      </c>
      <c r="E873" s="97" t="str">
        <f>_xlfn.XLOOKUP(A873,[1]CPD_SOP_new!$A:$A,[1]CPD_SOP_new!$K:$K,"not found",0 )</f>
        <v>3R</v>
      </c>
      <c r="F873" t="s">
        <v>27</v>
      </c>
      <c r="G873" t="s">
        <v>28</v>
      </c>
      <c r="H873" t="s">
        <v>27</v>
      </c>
      <c r="I873" t="s">
        <v>28</v>
      </c>
      <c r="J873" t="s">
        <v>29</v>
      </c>
      <c r="K873" s="85" t="str">
        <f t="shared" si="13"/>
        <v>/mnt/measurements/07_CANape/Mitsubishi/5K45/MMC4.1.2/Validation/child/Awake/TC_192.MF4.xz,child,RadarFC_Master,child (ncap1,2),CPD,dummy</v>
      </c>
      <c r="L873" s="85" t="s">
        <v>3950</v>
      </c>
      <c r="M873" t="s">
        <v>1206</v>
      </c>
      <c r="N873" s="132" t="s">
        <v>93</v>
      </c>
    </row>
    <row r="874" spans="1:14">
      <c r="A874" s="77">
        <v>192</v>
      </c>
      <c r="B874" t="s">
        <v>38</v>
      </c>
      <c r="C874" t="s">
        <v>48</v>
      </c>
      <c r="D874" s="97" t="e">
        <f>_xlfn.XLOOKUP(A874,[1]CPD_SOP_new!$A:$A,[1]CPD_SOP_new!#REF!,"not found",0 )</f>
        <v>#REF!</v>
      </c>
      <c r="E874" s="97" t="str">
        <f>_xlfn.XLOOKUP(A874,[1]CPD_SOP_new!$A:$A,[1]CPD_SOP_new!$K:$K,"not found",0 )</f>
        <v>3R</v>
      </c>
      <c r="F874" t="s">
        <v>27</v>
      </c>
      <c r="G874" t="s">
        <v>28</v>
      </c>
      <c r="H874" t="s">
        <v>27</v>
      </c>
      <c r="I874" t="s">
        <v>28</v>
      </c>
      <c r="J874" t="s">
        <v>29</v>
      </c>
      <c r="K874" s="85" t="str">
        <f t="shared" si="13"/>
        <v>/mnt/measurements/07_CANape/Mitsubishi/5K45/MMC4.1.2/Validation/2025_11_29/child/part3/Awake/TC_192_Try1.MF4.xz,child,RadarFC_Master,child (ncap1,2),CPD,dummy</v>
      </c>
      <c r="L874" s="85" t="s">
        <v>3951</v>
      </c>
      <c r="M874" t="s">
        <v>1208</v>
      </c>
      <c r="N874" s="132" t="s">
        <v>752</v>
      </c>
    </row>
    <row r="875" spans="1:14">
      <c r="A875" s="77">
        <v>192</v>
      </c>
      <c r="B875" t="s">
        <v>38</v>
      </c>
      <c r="C875" t="s">
        <v>48</v>
      </c>
      <c r="D875" s="97" t="e">
        <f>_xlfn.XLOOKUP(A875,[1]CPD_SOP_new!$A:$A,[1]CPD_SOP_new!#REF!,"not found",0 )</f>
        <v>#REF!</v>
      </c>
      <c r="E875" s="97" t="str">
        <f>_xlfn.XLOOKUP(A875,[1]CPD_SOP_new!$A:$A,[1]CPD_SOP_new!$K:$K,"not found",0 )</f>
        <v>3R</v>
      </c>
      <c r="F875" t="s">
        <v>27</v>
      </c>
      <c r="G875" t="s">
        <v>28</v>
      </c>
      <c r="H875" t="s">
        <v>27</v>
      </c>
      <c r="I875" t="s">
        <v>28</v>
      </c>
      <c r="J875" t="s">
        <v>29</v>
      </c>
      <c r="K875" s="85" t="str">
        <f t="shared" si="13"/>
        <v>/mnt/measurements/07_CANape/Mitsubishi/5K45/MMC4.1.2/Validation/2025_11_29/child/part3/Awake/TC_192_Try2.MF4.xz,child,RadarFC_Master,child (ncap1,2),CPD,dummy</v>
      </c>
      <c r="L875" s="85" t="s">
        <v>3952</v>
      </c>
      <c r="M875" t="s">
        <v>1209</v>
      </c>
      <c r="N875" s="132" t="s">
        <v>752</v>
      </c>
    </row>
    <row r="876" spans="1:14">
      <c r="A876" s="77">
        <v>192</v>
      </c>
      <c r="B876" t="s">
        <v>38</v>
      </c>
      <c r="C876" t="s">
        <v>48</v>
      </c>
      <c r="D876" s="97" t="e">
        <f>_xlfn.XLOOKUP(A876,[1]CPD_SOP_new!$A:$A,[1]CPD_SOP_new!#REF!,"not found",0 )</f>
        <v>#REF!</v>
      </c>
      <c r="E876" s="97" t="str">
        <f>_xlfn.XLOOKUP(A876,[1]CPD_SOP_new!$A:$A,[1]CPD_SOP_new!$K:$K,"not found",0 )</f>
        <v>3R</v>
      </c>
      <c r="F876" t="s">
        <v>27</v>
      </c>
      <c r="G876" t="s">
        <v>28</v>
      </c>
      <c r="H876" t="s">
        <v>27</v>
      </c>
      <c r="I876" t="s">
        <v>28</v>
      </c>
      <c r="J876" t="s">
        <v>29</v>
      </c>
      <c r="K876" s="85" t="str">
        <f t="shared" si="13"/>
        <v>/mnt/measurements/07_CANape/Mitsubishi/5K45/MMC4.1.2/Validation/2025_11_29/child/part3/Awake/TC_192_Try3.MF4.xz,child,RadarFC_Master,child (ncap1,2),CPD,dummy</v>
      </c>
      <c r="L876" s="85" t="s">
        <v>3953</v>
      </c>
      <c r="M876" t="s">
        <v>1210</v>
      </c>
      <c r="N876" s="132" t="s">
        <v>752</v>
      </c>
    </row>
    <row r="877" spans="1:14">
      <c r="A877" s="77">
        <v>192</v>
      </c>
      <c r="B877" t="s">
        <v>38</v>
      </c>
      <c r="C877" t="s">
        <v>48</v>
      </c>
      <c r="D877" s="97" t="e">
        <f>_xlfn.XLOOKUP(A877,[1]CPD_SOP_new!$A:$A,[1]CPD_SOP_new!#REF!,"not found",0 )</f>
        <v>#REF!</v>
      </c>
      <c r="E877" s="97" t="str">
        <f>_xlfn.XLOOKUP(A877,[1]CPD_SOP_new!$A:$A,[1]CPD_SOP_new!$K:$K,"not found",0 )</f>
        <v>3R</v>
      </c>
      <c r="F877" t="s">
        <v>28</v>
      </c>
      <c r="G877" t="s">
        <v>28</v>
      </c>
      <c r="H877" t="s">
        <v>27</v>
      </c>
      <c r="I877" t="s">
        <v>28</v>
      </c>
      <c r="J877" t="s">
        <v>29</v>
      </c>
      <c r="K877" s="85" t="str">
        <f t="shared" si="13"/>
        <v>/mnt/measurements/07_CANape/Mitsubishi/5K45/5.2.0/5K457EG11/Real_Childs/CPD_TC192_Try1.MF4.xz,child,RadarFC_Master,child (ncap1,2),CPD,realchild</v>
      </c>
      <c r="L877" s="85" t="s">
        <v>3954</v>
      </c>
      <c r="M877" t="s">
        <v>1211</v>
      </c>
      <c r="N877" s="132" t="s">
        <v>191</v>
      </c>
    </row>
    <row r="878" spans="1:14">
      <c r="A878" s="77">
        <v>192</v>
      </c>
      <c r="B878" t="s">
        <v>38</v>
      </c>
      <c r="C878" t="s">
        <v>48</v>
      </c>
      <c r="D878" s="97" t="e">
        <f>_xlfn.XLOOKUP(A878,[1]CPD_SOP_new!$A:$A,[1]CPD_SOP_new!#REF!,"not found",0 )</f>
        <v>#REF!</v>
      </c>
      <c r="E878" s="97" t="str">
        <f>_xlfn.XLOOKUP(A878,[1]CPD_SOP_new!$A:$A,[1]CPD_SOP_new!$K:$K,"not found",0 )</f>
        <v>3R</v>
      </c>
      <c r="F878" t="s">
        <v>28</v>
      </c>
      <c r="G878" t="s">
        <v>28</v>
      </c>
      <c r="H878" t="s">
        <v>27</v>
      </c>
      <c r="I878" t="s">
        <v>28</v>
      </c>
      <c r="J878" t="s">
        <v>29</v>
      </c>
      <c r="K878" s="85" t="str">
        <f t="shared" si="13"/>
        <v>/mnt/measurements/07_CANape/Mitsubishi/5K45/5.2.0/5K457EG11/Real_Childs/CPD_TC192_Try2.MF4.xz,child,RadarFC_Master,child (ncap1,2),CPD,realchild</v>
      </c>
      <c r="L878" s="85" t="s">
        <v>3955</v>
      </c>
      <c r="M878" t="s">
        <v>1213</v>
      </c>
      <c r="N878" s="132" t="s">
        <v>191</v>
      </c>
    </row>
    <row r="879" spans="1:14">
      <c r="A879" s="77">
        <v>192</v>
      </c>
      <c r="B879" t="s">
        <v>38</v>
      </c>
      <c r="C879" t="s">
        <v>48</v>
      </c>
      <c r="D879" s="97" t="e">
        <f>_xlfn.XLOOKUP(A879,[1]CPD_SOP_new!$A:$A,[1]CPD_SOP_new!#REF!,"not found",0 )</f>
        <v>#REF!</v>
      </c>
      <c r="E879" s="97" t="str">
        <f>_xlfn.XLOOKUP(A879,[1]CPD_SOP_new!$A:$A,[1]CPD_SOP_new!$K:$K,"not found",0 )</f>
        <v>3R</v>
      </c>
      <c r="F879" t="s">
        <v>28</v>
      </c>
      <c r="G879" t="s">
        <v>28</v>
      </c>
      <c r="H879" t="s">
        <v>27</v>
      </c>
      <c r="I879" t="s">
        <v>28</v>
      </c>
      <c r="J879" t="s">
        <v>29</v>
      </c>
      <c r="K879" s="85" t="str">
        <f t="shared" si="13"/>
        <v>/mnt/measurements/07_CANape/Mitsubishi/5K45/5.2.0/5K457EG11/Real_Childs/CPD_TC192_Try3.MF4.xz,child,RadarFC_Master,child (ncap1,2),CPD,realchild</v>
      </c>
      <c r="L879" s="85" t="s">
        <v>3956</v>
      </c>
      <c r="M879" t="s">
        <v>1214</v>
      </c>
      <c r="N879" s="132" t="s">
        <v>191</v>
      </c>
    </row>
    <row r="880" spans="1:14">
      <c r="A880" s="77">
        <v>192</v>
      </c>
      <c r="B880" t="s">
        <v>38</v>
      </c>
      <c r="C880" t="s">
        <v>48</v>
      </c>
      <c r="D880" s="97" t="e">
        <f>_xlfn.XLOOKUP(A880,[1]CPD_SOP_new!$A:$A,[1]CPD_SOP_new!#REF!,"not found",0 )</f>
        <v>#REF!</v>
      </c>
      <c r="E880" s="97" t="str">
        <f>_xlfn.XLOOKUP(A880,[1]CPD_SOP_new!$A:$A,[1]CPD_SOP_new!$K:$K,"not found",0 )</f>
        <v>3R</v>
      </c>
      <c r="F880" t="s">
        <v>28</v>
      </c>
      <c r="G880" t="s">
        <v>28</v>
      </c>
      <c r="H880" t="s">
        <v>27</v>
      </c>
      <c r="I880" t="s">
        <v>28</v>
      </c>
      <c r="J880" t="s">
        <v>29</v>
      </c>
      <c r="K880" s="85" t="str">
        <f t="shared" si="13"/>
        <v>/mnt/measurements/07_CANape/Mitsubishi/5K45/5.2.0/5K457EG11/Real_Childs/CPD_TC192_Try4.MF4.xz,child,RadarFC_Master,child (ncap1,2),CPD,realchild</v>
      </c>
      <c r="L880" s="85" t="s">
        <v>3957</v>
      </c>
      <c r="M880" t="s">
        <v>1215</v>
      </c>
      <c r="N880" s="132" t="s">
        <v>191</v>
      </c>
    </row>
    <row r="881" spans="1:14">
      <c r="A881" s="77">
        <v>192</v>
      </c>
      <c r="B881" t="s">
        <v>38</v>
      </c>
      <c r="C881" t="s">
        <v>48</v>
      </c>
      <c r="D881" s="97" t="e">
        <f>_xlfn.XLOOKUP(A881,[1]CPD_SOP_new!$A:$A,[1]CPD_SOP_new!#REF!,"not found",0 )</f>
        <v>#REF!</v>
      </c>
      <c r="E881" s="97" t="str">
        <f>_xlfn.XLOOKUP(A881,[1]CPD_SOP_new!$A:$A,[1]CPD_SOP_new!$K:$K,"not found",0 )</f>
        <v>3R</v>
      </c>
      <c r="F881" t="s">
        <v>28</v>
      </c>
      <c r="G881" t="s">
        <v>28</v>
      </c>
      <c r="H881" t="s">
        <v>27</v>
      </c>
      <c r="I881" t="s">
        <v>28</v>
      </c>
      <c r="J881" t="s">
        <v>29</v>
      </c>
      <c r="K881" s="85" t="str">
        <f t="shared" si="13"/>
        <v>/mnt/measurements/07_CANape/Mitsubishi/5K45/5.2.0/5K457EG11/Real_Childs/CPD_TC192_Try5.MF4.xz,child,RadarFC_Master,child (ncap1,2),CPD,realchild</v>
      </c>
      <c r="L881" s="85" t="s">
        <v>3958</v>
      </c>
      <c r="M881" t="s">
        <v>1216</v>
      </c>
      <c r="N881" s="132" t="s">
        <v>191</v>
      </c>
    </row>
    <row r="882" spans="1:14">
      <c r="A882" s="77">
        <v>193</v>
      </c>
      <c r="B882" t="s">
        <v>38</v>
      </c>
      <c r="C882" t="s">
        <v>48</v>
      </c>
      <c r="D882" s="97" t="e">
        <f>_xlfn.XLOOKUP(A882,[1]CPD_SOP_new!$A:$A,[1]CPD_SOP_new!#REF!,"not found",0 )</f>
        <v>#REF!</v>
      </c>
      <c r="E882" s="97" t="str">
        <f>_xlfn.XLOOKUP(A882,[1]CPD_SOP_new!$A:$A,[1]CPD_SOP_new!$K:$K,"not found",0 )</f>
        <v>3L</v>
      </c>
      <c r="F882" t="s">
        <v>27</v>
      </c>
      <c r="G882" t="s">
        <v>28</v>
      </c>
      <c r="H882" t="s">
        <v>27</v>
      </c>
      <c r="I882" t="s">
        <v>28</v>
      </c>
      <c r="J882" t="s">
        <v>29</v>
      </c>
      <c r="K882" s="85" t="str">
        <f t="shared" si="13"/>
        <v>/mnt/measurements/07_CANape/Mitsubishi/5K45/MMC5.0.0_RC3_with_resetfix/CPD/TC193_Try_1.MF4.xz,child,RadarFC_Master,child (ncap1,2),CPD,dummy</v>
      </c>
      <c r="L882" s="85" t="s">
        <v>3959</v>
      </c>
      <c r="M882" t="s">
        <v>1217</v>
      </c>
      <c r="N882" s="132" t="s">
        <v>475</v>
      </c>
    </row>
    <row r="883" spans="1:14">
      <c r="A883" s="77">
        <v>193</v>
      </c>
      <c r="B883" t="s">
        <v>38</v>
      </c>
      <c r="C883" t="s">
        <v>48</v>
      </c>
      <c r="D883" s="97" t="e">
        <f>_xlfn.XLOOKUP(A883,[1]CPD_SOP_new!$A:$A,[1]CPD_SOP_new!#REF!,"not found",0 )</f>
        <v>#REF!</v>
      </c>
      <c r="E883" s="97" t="str">
        <f>_xlfn.XLOOKUP(A883,[1]CPD_SOP_new!$A:$A,[1]CPD_SOP_new!$K:$K,"not found",0 )</f>
        <v>3L</v>
      </c>
      <c r="F883" t="s">
        <v>27</v>
      </c>
      <c r="G883" t="s">
        <v>28</v>
      </c>
      <c r="H883" t="s">
        <v>27</v>
      </c>
      <c r="I883" t="s">
        <v>28</v>
      </c>
      <c r="J883" t="s">
        <v>29</v>
      </c>
      <c r="K883" s="85" t="str">
        <f t="shared" si="13"/>
        <v>/mnt/measurements/07_CANape/Mitsubishi/5K45/MMC5.0.0_RC3_with_resetfix/CPD/TC193_Try_2.MF4.xz,child,RadarFC_Master,child (ncap1,2),CPD,dummy</v>
      </c>
      <c r="L883" s="85" t="s">
        <v>3960</v>
      </c>
      <c r="M883" t="s">
        <v>1219</v>
      </c>
      <c r="N883" s="132" t="s">
        <v>475</v>
      </c>
    </row>
    <row r="884" spans="1:14">
      <c r="A884" s="77">
        <v>193</v>
      </c>
      <c r="B884" t="s">
        <v>38</v>
      </c>
      <c r="C884" t="s">
        <v>48</v>
      </c>
      <c r="D884" s="97" t="e">
        <f>_xlfn.XLOOKUP(A884,[1]CPD_SOP_new!$A:$A,[1]CPD_SOP_new!#REF!,"not found",0 )</f>
        <v>#REF!</v>
      </c>
      <c r="E884" s="97" t="str">
        <f>_xlfn.XLOOKUP(A884,[1]CPD_SOP_new!$A:$A,[1]CPD_SOP_new!$K:$K,"not found",0 )</f>
        <v>3L</v>
      </c>
      <c r="F884" t="s">
        <v>27</v>
      </c>
      <c r="G884" t="s">
        <v>28</v>
      </c>
      <c r="H884" t="s">
        <v>27</v>
      </c>
      <c r="I884" t="s">
        <v>28</v>
      </c>
      <c r="J884" t="s">
        <v>29</v>
      </c>
      <c r="K884" s="85" t="str">
        <f t="shared" si="13"/>
        <v>/mnt/measurements/07_CANape/Mitsubishi/5K45/MMC5.0.0_RC3_with_resetfix/CPD/TC193_Try_3.MF4.xz,child,RadarFC_Master,child (ncap1,2),CPD,dummy</v>
      </c>
      <c r="L884" s="85" t="s">
        <v>3961</v>
      </c>
      <c r="M884" t="s">
        <v>1220</v>
      </c>
      <c r="N884" s="132" t="s">
        <v>475</v>
      </c>
    </row>
    <row r="885" spans="1:14">
      <c r="A885" s="77">
        <v>194</v>
      </c>
      <c r="B885" t="s">
        <v>1221</v>
      </c>
      <c r="C885" t="s">
        <v>43</v>
      </c>
      <c r="D885" s="97" t="e">
        <f>_xlfn.XLOOKUP(A885,[1]CPD_SOP_new!$A:$A,[1]CPD_SOP_new!#REF!,"not found",0 )</f>
        <v>#REF!</v>
      </c>
      <c r="E885" s="97" t="s">
        <v>26</v>
      </c>
      <c r="F885" t="s">
        <v>27</v>
      </c>
      <c r="G885" t="s">
        <v>27</v>
      </c>
      <c r="H885" t="s">
        <v>27</v>
      </c>
      <c r="I885" t="s">
        <v>28</v>
      </c>
      <c r="J885" t="s">
        <v>29</v>
      </c>
      <c r="K885" s="85" t="str">
        <f t="shared" si="13"/>
        <v>/mnt/measurements/07_CANape/Mitsubishi/5K45/MMC4.1.2\Validation\child\Awake/TC_194.MF4.xz,child,RadarFC_Master,child (ncap1,2),CPD,dummy</v>
      </c>
      <c r="L885" s="85" t="s">
        <v>3962</v>
      </c>
      <c r="M885" t="s">
        <v>1222</v>
      </c>
      <c r="N885" s="132" t="s">
        <v>2708</v>
      </c>
    </row>
    <row r="886" spans="1:14" s="137" customFormat="1" hidden="1">
      <c r="A886" s="79">
        <v>214</v>
      </c>
      <c r="B886" s="137" t="s">
        <v>124</v>
      </c>
      <c r="C886" s="137" t="s">
        <v>253</v>
      </c>
      <c r="D886" s="97" t="e">
        <f>_xlfn.XLOOKUP(A886,[1]CPD_SOP_new!$A:$A,[1]CPD_SOP_new!#REF!,"not found",0 )</f>
        <v>#REF!</v>
      </c>
      <c r="E886" s="97" t="s">
        <v>26</v>
      </c>
      <c r="F886" s="137" t="s">
        <v>28</v>
      </c>
      <c r="G886" s="137" t="s">
        <v>27</v>
      </c>
      <c r="H886" s="137" t="s">
        <v>27</v>
      </c>
      <c r="I886" s="137" t="s">
        <v>27</v>
      </c>
      <c r="J886" s="88" t="s">
        <v>1031</v>
      </c>
      <c r="K886" s="85" t="str">
        <f t="shared" si="13"/>
        <v>/mnt/measurements/07_CANape/Mitsubishi/5K45/MMC5.1.0/5K457EG11/CSR_XCP_Signals_Recorder_2025-12-22_16-36-43_TC214_CPD.MF4.xz,Radar stays in INIT, "m_CpdFuncActive": 8,RadarFC_Master,Radar stays in INIT, "m_CpdFuncActive": 8 (ncap3),CPD,realchild</v>
      </c>
      <c r="L886" s="85" t="s">
        <v>3963</v>
      </c>
      <c r="M886" s="137" t="s">
        <v>1348</v>
      </c>
      <c r="N886" s="89" t="s">
        <v>202</v>
      </c>
    </row>
    <row r="887" spans="1:14">
      <c r="A887" s="77">
        <v>194</v>
      </c>
      <c r="B887" t="s">
        <v>1221</v>
      </c>
      <c r="C887" t="s">
        <v>43</v>
      </c>
      <c r="D887" s="97" t="e">
        <f>_xlfn.XLOOKUP(A887,[1]CPD_SOP_new!$A:$A,[1]CPD_SOP_new!#REF!,"not found",0 )</f>
        <v>#REF!</v>
      </c>
      <c r="E887" s="97" t="s">
        <v>26</v>
      </c>
      <c r="F887" t="s">
        <v>27</v>
      </c>
      <c r="G887" t="s">
        <v>27</v>
      </c>
      <c r="H887" t="s">
        <v>27</v>
      </c>
      <c r="I887" t="s">
        <v>28</v>
      </c>
      <c r="J887" t="s">
        <v>29</v>
      </c>
      <c r="K887" s="85" t="str">
        <f t="shared" si="13"/>
        <v>/mnt/measurements/07_CANape/Mitsubishi/5K45/MMC4.1.2\Validation\2025_11_29\child\part3\Awake/TC_194_Try1.MF4.xz,child,RadarFC_Master,child (ncap1,2),CPD,dummy</v>
      </c>
      <c r="L887" s="85" t="s">
        <v>3964</v>
      </c>
      <c r="M887" t="s">
        <v>1223</v>
      </c>
      <c r="N887" s="132" t="s">
        <v>2710</v>
      </c>
    </row>
    <row r="888" spans="1:14">
      <c r="A888" s="77">
        <v>194</v>
      </c>
      <c r="B888" t="s">
        <v>1221</v>
      </c>
      <c r="C888" t="s">
        <v>43</v>
      </c>
      <c r="D888" s="97" t="e">
        <f>_xlfn.XLOOKUP(A888,[1]CPD_SOP_new!$A:$A,[1]CPD_SOP_new!#REF!,"not found",0 )</f>
        <v>#REF!</v>
      </c>
      <c r="E888" s="97" t="s">
        <v>26</v>
      </c>
      <c r="F888" t="s">
        <v>27</v>
      </c>
      <c r="G888" t="s">
        <v>27</v>
      </c>
      <c r="H888" t="s">
        <v>27</v>
      </c>
      <c r="I888" t="s">
        <v>28</v>
      </c>
      <c r="J888" t="s">
        <v>29</v>
      </c>
      <c r="K888" s="85" t="str">
        <f t="shared" si="13"/>
        <v>/mnt/measurements/07_CANape/Mitsubishi/5K45/MMC4.1.2\Validation\2025_11_29\child\part3\Awake/TC_194_Try2.MF4.xz,child,RadarFC_Master,child (ncap1,2),CPD,dummy</v>
      </c>
      <c r="L888" s="85" t="s">
        <v>3965</v>
      </c>
      <c r="M888" t="s">
        <v>1225</v>
      </c>
      <c r="N888" s="132" t="s">
        <v>2710</v>
      </c>
    </row>
    <row r="889" spans="1:14">
      <c r="A889" s="77">
        <v>194</v>
      </c>
      <c r="B889" t="s">
        <v>1221</v>
      </c>
      <c r="C889" t="s">
        <v>43</v>
      </c>
      <c r="D889" s="97" t="e">
        <f>_xlfn.XLOOKUP(A889,[1]CPD_SOP_new!$A:$A,[1]CPD_SOP_new!#REF!,"not found",0 )</f>
        <v>#REF!</v>
      </c>
      <c r="E889" s="97" t="s">
        <v>26</v>
      </c>
      <c r="F889" t="s">
        <v>27</v>
      </c>
      <c r="G889" t="s">
        <v>27</v>
      </c>
      <c r="H889" t="s">
        <v>27</v>
      </c>
      <c r="I889" t="s">
        <v>28</v>
      </c>
      <c r="J889" t="s">
        <v>29</v>
      </c>
      <c r="K889" s="85" t="str">
        <f t="shared" si="13"/>
        <v>/mnt/measurements/07_CANape/Mitsubishi/5K45/MMC4.1.2\Validation\2025_11_29\child\part3\Awake/TC_194_Try3.MF4.xz,child,RadarFC_Master,child (ncap1,2),CPD,dummy</v>
      </c>
      <c r="L889" s="85" t="s">
        <v>3966</v>
      </c>
      <c r="M889" t="s">
        <v>1226</v>
      </c>
      <c r="N889" s="132" t="s">
        <v>2710</v>
      </c>
    </row>
    <row r="890" spans="1:14">
      <c r="A890" s="77">
        <v>195</v>
      </c>
      <c r="B890" t="s">
        <v>1221</v>
      </c>
      <c r="C890" t="s">
        <v>43</v>
      </c>
      <c r="D890" s="97" t="e">
        <f>_xlfn.XLOOKUP(A890,[1]CPD_SOP_new!$A:$A,[1]CPD_SOP_new!#REF!,"not found",0 )</f>
        <v>#REF!</v>
      </c>
      <c r="E890" s="97" t="str">
        <f>_xlfn.XLOOKUP(A890,[1]CPD_SOP_new!$A:$A,[1]CPD_SOP_new!$K:$K,"not found",0 )</f>
        <v>2R</v>
      </c>
      <c r="F890" t="s">
        <v>27</v>
      </c>
      <c r="G890" t="s">
        <v>28</v>
      </c>
      <c r="H890" t="s">
        <v>27</v>
      </c>
      <c r="I890" t="s">
        <v>28</v>
      </c>
      <c r="J890" t="s">
        <v>29</v>
      </c>
      <c r="K890" s="85" t="str">
        <f t="shared" si="13"/>
        <v>/mnt/measurements/07_CANape/Mitsubishi/5K45/MMC5.0.0_RC3_with_resetfix/CPD/TC195_Try_1.MF4.xz,child,RadarFC_Master,child (ncap1,2),CPD,dummy</v>
      </c>
      <c r="L890" s="85" t="s">
        <v>3967</v>
      </c>
      <c r="M890" t="s">
        <v>1227</v>
      </c>
      <c r="N890" s="129" t="s">
        <v>475</v>
      </c>
    </row>
    <row r="891" spans="1:14">
      <c r="A891" s="77">
        <v>195</v>
      </c>
      <c r="B891" t="s">
        <v>1221</v>
      </c>
      <c r="C891" t="s">
        <v>43</v>
      </c>
      <c r="D891" s="97" t="e">
        <f>_xlfn.XLOOKUP(A891,[1]CPD_SOP_new!$A:$A,[1]CPD_SOP_new!#REF!,"not found",0 )</f>
        <v>#REF!</v>
      </c>
      <c r="E891" s="97" t="str">
        <f>_xlfn.XLOOKUP(A891,[1]CPD_SOP_new!$A:$A,[1]CPD_SOP_new!$K:$K,"not found",0 )</f>
        <v>2R</v>
      </c>
      <c r="F891" t="s">
        <v>27</v>
      </c>
      <c r="G891" t="s">
        <v>28</v>
      </c>
      <c r="H891" t="s">
        <v>27</v>
      </c>
      <c r="I891" t="s">
        <v>28</v>
      </c>
      <c r="J891" t="s">
        <v>29</v>
      </c>
      <c r="K891" s="85" t="str">
        <f t="shared" si="13"/>
        <v>/mnt/measurements/07_CANape/Mitsubishi/5K45/MMC5.0.0_RC3_with_resetfix/CPD/TC195_Try_2.MF4.xz,child,RadarFC_Master,child (ncap1,2),CPD,dummy</v>
      </c>
      <c r="L891" s="85" t="s">
        <v>3968</v>
      </c>
      <c r="M891" t="s">
        <v>1229</v>
      </c>
      <c r="N891" s="129" t="s">
        <v>475</v>
      </c>
    </row>
    <row r="892" spans="1:14">
      <c r="A892" s="77">
        <v>195</v>
      </c>
      <c r="B892" t="s">
        <v>1221</v>
      </c>
      <c r="C892" t="s">
        <v>43</v>
      </c>
      <c r="D892" s="97" t="e">
        <f>_xlfn.XLOOKUP(A892,[1]CPD_SOP_new!$A:$A,[1]CPD_SOP_new!#REF!,"not found",0 )</f>
        <v>#REF!</v>
      </c>
      <c r="E892" s="97" t="str">
        <f>_xlfn.XLOOKUP(A892,[1]CPD_SOP_new!$A:$A,[1]CPD_SOP_new!$K:$K,"not found",0 )</f>
        <v>2R</v>
      </c>
      <c r="F892" t="s">
        <v>27</v>
      </c>
      <c r="G892" t="s">
        <v>28</v>
      </c>
      <c r="H892" t="s">
        <v>27</v>
      </c>
      <c r="I892" t="s">
        <v>28</v>
      </c>
      <c r="J892" t="s">
        <v>29</v>
      </c>
      <c r="K892" s="85" t="str">
        <f t="shared" si="13"/>
        <v>/mnt/measurements/07_CANape/Mitsubishi/5K45/MMC5.0.0_RC3_with_resetfix/CPD/TC195_Try_3.MF4.xz,child,RadarFC_Master,child (ncap1,2),CPD,dummy</v>
      </c>
      <c r="L892" s="85" t="s">
        <v>3969</v>
      </c>
      <c r="M892" t="s">
        <v>1230</v>
      </c>
      <c r="N892" s="129" t="s">
        <v>475</v>
      </c>
    </row>
    <row r="893" spans="1:14">
      <c r="A893" s="77">
        <v>195</v>
      </c>
      <c r="B893" t="s">
        <v>1221</v>
      </c>
      <c r="C893" t="s">
        <v>43</v>
      </c>
      <c r="D893" s="97" t="e">
        <f>_xlfn.XLOOKUP(A893,[1]CPD_SOP_new!$A:$A,[1]CPD_SOP_new!#REF!,"not found",0 )</f>
        <v>#REF!</v>
      </c>
      <c r="E893" s="97" t="str">
        <f>_xlfn.XLOOKUP(A893,[1]CPD_SOP_new!$A:$A,[1]CPD_SOP_new!$K:$K,"not found",0 )</f>
        <v>2R</v>
      </c>
      <c r="F893" t="s">
        <v>27</v>
      </c>
      <c r="G893" t="s">
        <v>28</v>
      </c>
      <c r="H893" t="s">
        <v>27</v>
      </c>
      <c r="I893" t="s">
        <v>28</v>
      </c>
      <c r="J893" t="s">
        <v>29</v>
      </c>
      <c r="K893" s="85" t="str">
        <f t="shared" si="13"/>
        <v>/mnt/measurements/07_CANape/Mitsubishi/5K45/5.2.0/5K457EG11/SmokeTest/CPD/CSR_XCP_Signals_Recorder_2026-01-12_13-53-44_TC195.MF4.xz,child,RadarFC_Master,child (ncap1,2),CPD,dummy</v>
      </c>
      <c r="L893" s="85" t="s">
        <v>3970</v>
      </c>
      <c r="M893" s="132" t="s">
        <v>1231</v>
      </c>
      <c r="N893" s="129" t="s">
        <v>41</v>
      </c>
    </row>
    <row r="894" spans="1:14">
      <c r="A894" s="38">
        <v>196</v>
      </c>
      <c r="B894" t="s">
        <v>1221</v>
      </c>
      <c r="C894" t="s">
        <v>43</v>
      </c>
      <c r="D894" s="97" t="e">
        <f>_xlfn.XLOOKUP(A894,[1]CPD_SOP_new!$A:$A,[1]CPD_SOP_new!#REF!,"not found",0 )</f>
        <v>#REF!</v>
      </c>
      <c r="E894" s="97" t="str">
        <f>_xlfn.XLOOKUP(A894,[1]CPD_SOP_new!$A:$A,[1]CPD_SOP_new!$K:$K,"not found",0 )</f>
        <v>2L</v>
      </c>
      <c r="F894" t="s">
        <v>27</v>
      </c>
      <c r="G894" t="s">
        <v>27</v>
      </c>
      <c r="H894" t="s">
        <v>27</v>
      </c>
      <c r="I894" t="s">
        <v>28</v>
      </c>
      <c r="J894" t="s">
        <v>29</v>
      </c>
      <c r="K894" s="85" t="str">
        <f t="shared" si="13"/>
        <v>/mnt/measurements/07_CANape/Mitsubishi/5K45/MMC4.1.2\Validation\child\Awake/TC_196.MF4.xz,child,RadarFC_Master,child (ncap1,2),CPD,dummy</v>
      </c>
      <c r="L894" s="85" t="s">
        <v>3971</v>
      </c>
      <c r="M894" t="s">
        <v>1232</v>
      </c>
      <c r="N894" s="132" t="s">
        <v>2708</v>
      </c>
    </row>
    <row r="895" spans="1:14">
      <c r="A895" s="38">
        <v>196</v>
      </c>
      <c r="B895" t="s">
        <v>1221</v>
      </c>
      <c r="C895" t="s">
        <v>43</v>
      </c>
      <c r="D895" s="97" t="e">
        <f>_xlfn.XLOOKUP(A895,[1]CPD_SOP_new!$A:$A,[1]CPD_SOP_new!#REF!,"not found",0 )</f>
        <v>#REF!</v>
      </c>
      <c r="E895" s="97" t="str">
        <f>_xlfn.XLOOKUP(A895,[1]CPD_SOP_new!$A:$A,[1]CPD_SOP_new!$K:$K,"not found",0 )</f>
        <v>2L</v>
      </c>
      <c r="F895" t="s">
        <v>27</v>
      </c>
      <c r="G895" t="s">
        <v>27</v>
      </c>
      <c r="H895" t="s">
        <v>27</v>
      </c>
      <c r="I895" t="s">
        <v>28</v>
      </c>
      <c r="J895" t="s">
        <v>29</v>
      </c>
      <c r="K895" s="85" t="str">
        <f t="shared" si="13"/>
        <v>/mnt/measurements/07_CANape/Mitsubishi/5K45/MMC4.1.2\Validation\2025_11_29\child\part3\Awake/TC_196_Try1.MF4.xz,child,RadarFC_Master,child (ncap1,2),CPD,dummy</v>
      </c>
      <c r="L895" s="85" t="s">
        <v>3972</v>
      </c>
      <c r="M895" t="s">
        <v>1234</v>
      </c>
      <c r="N895" s="132" t="s">
        <v>2710</v>
      </c>
    </row>
    <row r="896" spans="1:14">
      <c r="A896" s="38">
        <v>196</v>
      </c>
      <c r="B896" t="s">
        <v>1221</v>
      </c>
      <c r="C896" t="s">
        <v>43</v>
      </c>
      <c r="D896" s="97" t="e">
        <f>_xlfn.XLOOKUP(A896,[1]CPD_SOP_new!$A:$A,[1]CPD_SOP_new!#REF!,"not found",0 )</f>
        <v>#REF!</v>
      </c>
      <c r="E896" s="97" t="str">
        <f>_xlfn.XLOOKUP(A896,[1]CPD_SOP_new!$A:$A,[1]CPD_SOP_new!$K:$K,"not found",0 )</f>
        <v>2L</v>
      </c>
      <c r="F896" t="s">
        <v>27</v>
      </c>
      <c r="G896" t="s">
        <v>27</v>
      </c>
      <c r="H896" t="s">
        <v>27</v>
      </c>
      <c r="I896" t="s">
        <v>28</v>
      </c>
      <c r="J896" t="s">
        <v>29</v>
      </c>
      <c r="K896" s="85" t="str">
        <f t="shared" si="13"/>
        <v>/mnt/measurements/07_CANape/Mitsubishi/5K45/MMC4.1.2\Validation\2025_11_29\child\part3\Awake/TC_196_Try2.MF4.xz,child,RadarFC_Master,child (ncap1,2),CPD,dummy</v>
      </c>
      <c r="L896" s="85" t="s">
        <v>3973</v>
      </c>
      <c r="M896" t="s">
        <v>1235</v>
      </c>
      <c r="N896" s="132" t="s">
        <v>2710</v>
      </c>
    </row>
    <row r="897" spans="1:14">
      <c r="A897" s="38">
        <v>196</v>
      </c>
      <c r="B897" t="s">
        <v>1221</v>
      </c>
      <c r="C897" t="s">
        <v>43</v>
      </c>
      <c r="D897" s="97" t="e">
        <f>_xlfn.XLOOKUP(A897,[1]CPD_SOP_new!$A:$A,[1]CPD_SOP_new!#REF!,"not found",0 )</f>
        <v>#REF!</v>
      </c>
      <c r="E897" s="97" t="str">
        <f>_xlfn.XLOOKUP(A897,[1]CPD_SOP_new!$A:$A,[1]CPD_SOP_new!$K:$K,"not found",0 )</f>
        <v>2L</v>
      </c>
      <c r="F897" t="s">
        <v>27</v>
      </c>
      <c r="G897" t="s">
        <v>27</v>
      </c>
      <c r="H897" t="s">
        <v>27</v>
      </c>
      <c r="I897" t="s">
        <v>28</v>
      </c>
      <c r="J897" t="s">
        <v>29</v>
      </c>
      <c r="K897" s="85" t="str">
        <f t="shared" si="13"/>
        <v>/mnt/measurements/07_CANape/Mitsubishi/5K45/MMC4.1.2\Validation\2025_11_29\child\part3\Awake/TC_196_Try3.MF4.xz,child,RadarFC_Master,child (ncap1,2),CPD,dummy</v>
      </c>
      <c r="L897" s="85" t="s">
        <v>3974</v>
      </c>
      <c r="M897" t="s">
        <v>1236</v>
      </c>
      <c r="N897" s="132" t="s">
        <v>2710</v>
      </c>
    </row>
    <row r="898" spans="1:14">
      <c r="A898" s="38">
        <v>197</v>
      </c>
      <c r="B898" t="s">
        <v>1221</v>
      </c>
      <c r="C898" t="s">
        <v>43</v>
      </c>
      <c r="D898" s="97" t="e">
        <f>_xlfn.XLOOKUP(A898,[1]CPD_SOP_new!$A:$A,[1]CPD_SOP_new!#REF!,"not found",0 )</f>
        <v>#REF!</v>
      </c>
      <c r="E898" s="97" t="str">
        <f>_xlfn.XLOOKUP(A898,[1]CPD_SOP_new!$A:$A,[1]CPD_SOP_new!$K:$K,"not found",0 )</f>
        <v>2C</v>
      </c>
      <c r="F898" t="s">
        <v>27</v>
      </c>
      <c r="G898" t="s">
        <v>27</v>
      </c>
      <c r="H898" t="s">
        <v>27</v>
      </c>
      <c r="I898" t="s">
        <v>28</v>
      </c>
      <c r="J898" t="s">
        <v>29</v>
      </c>
      <c r="K898" s="85" t="str">
        <f t="shared" ref="K898:K961" si="14">N898&amp;"/"&amp;M898&amp;","&amp;IF(J898="ncap3","child",J898)&amp;",RadarFC_Master,"&amp;IF(J898="ncap3","child",J898)&amp;IF(B898="ncap1,2"," ("&amp;B898&amp;")","")&amp;IF(B898="ncap3"," ("&amp;B898&amp;")","")&amp;IF(B898="multiple children"," (ncap1,2)","")&amp;IF(B898="NB awake"," (ncap1,2)","")&amp;",CPD,"&amp;IF(F898="Y","realchild","dummy")</f>
        <v>/mnt/measurements/07_CANape/Mitsubishi/5K45/MMC4.1.2\Validation\2025_11_29\child\part3\Awake/TC_196_Try3.MF4.xz,child,RadarFC_Master,child (ncap1,2),CPD,dummy</v>
      </c>
      <c r="L898" s="85" t="s">
        <v>3974</v>
      </c>
      <c r="M898" t="s">
        <v>1236</v>
      </c>
      <c r="N898" s="132" t="s">
        <v>2710</v>
      </c>
    </row>
    <row r="899" spans="1:14">
      <c r="A899" s="38">
        <v>197</v>
      </c>
      <c r="B899" t="s">
        <v>1221</v>
      </c>
      <c r="C899" t="s">
        <v>43</v>
      </c>
      <c r="D899" s="97" t="e">
        <f>_xlfn.XLOOKUP(A899,[1]CPD_SOP_new!$A:$A,[1]CPD_SOP_new!#REF!,"not found",0 )</f>
        <v>#REF!</v>
      </c>
      <c r="E899" s="97" t="str">
        <f>_xlfn.XLOOKUP(A899,[1]CPD_SOP_new!$A:$A,[1]CPD_SOP_new!$K:$K,"not found",0 )</f>
        <v>2C</v>
      </c>
      <c r="F899" t="s">
        <v>27</v>
      </c>
      <c r="G899" t="s">
        <v>27</v>
      </c>
      <c r="H899" t="s">
        <v>27</v>
      </c>
      <c r="I899" t="s">
        <v>28</v>
      </c>
      <c r="J899" t="s">
        <v>29</v>
      </c>
      <c r="K899" s="85" t="str">
        <f t="shared" si="14"/>
        <v>/mnt/measurements/07_CANape/Mitsubishi/5K45/MMC4.1.2\Validation\2025_11_29\child\part3\Awake/TC_197_Try1.MF4.xz,child,RadarFC_Master,child (ncap1,2),CPD,dummy</v>
      </c>
      <c r="L899" s="85" t="s">
        <v>3975</v>
      </c>
      <c r="M899" t="s">
        <v>1237</v>
      </c>
      <c r="N899" s="132" t="s">
        <v>2710</v>
      </c>
    </row>
    <row r="900" spans="1:14">
      <c r="A900" s="38">
        <v>197</v>
      </c>
      <c r="B900" t="s">
        <v>1221</v>
      </c>
      <c r="C900" t="s">
        <v>43</v>
      </c>
      <c r="D900" s="97" t="e">
        <f>_xlfn.XLOOKUP(A900,[1]CPD_SOP_new!$A:$A,[1]CPD_SOP_new!#REF!,"not found",0 )</f>
        <v>#REF!</v>
      </c>
      <c r="E900" s="97" t="str">
        <f>_xlfn.XLOOKUP(A900,[1]CPD_SOP_new!$A:$A,[1]CPD_SOP_new!$K:$K,"not found",0 )</f>
        <v>2C</v>
      </c>
      <c r="F900" t="s">
        <v>27</v>
      </c>
      <c r="G900" t="s">
        <v>27</v>
      </c>
      <c r="H900" t="s">
        <v>27</v>
      </c>
      <c r="I900" t="s">
        <v>28</v>
      </c>
      <c r="J900" t="s">
        <v>29</v>
      </c>
      <c r="K900" s="85" t="str">
        <f t="shared" si="14"/>
        <v>/mnt/measurements/07_CANape/Mitsubishi/5K45/MMC4.1.2\Validation\2025_11_29\child\part3\Awake/TC_197_Try2.MF4.xz,child,RadarFC_Master,child (ncap1,2),CPD,dummy</v>
      </c>
      <c r="L900" s="85" t="s">
        <v>3976</v>
      </c>
      <c r="M900" t="s">
        <v>1239</v>
      </c>
      <c r="N900" s="132" t="s">
        <v>2710</v>
      </c>
    </row>
    <row r="901" spans="1:14">
      <c r="A901" s="38">
        <v>197</v>
      </c>
      <c r="B901" t="s">
        <v>1221</v>
      </c>
      <c r="C901" t="s">
        <v>43</v>
      </c>
      <c r="D901" s="97" t="e">
        <f>_xlfn.XLOOKUP(A901,[1]CPD_SOP_new!$A:$A,[1]CPD_SOP_new!#REF!,"not found",0 )</f>
        <v>#REF!</v>
      </c>
      <c r="E901" s="97" t="str">
        <f>_xlfn.XLOOKUP(A901,[1]CPD_SOP_new!$A:$A,[1]CPD_SOP_new!$K:$K,"not found",0 )</f>
        <v>2C</v>
      </c>
      <c r="F901" t="s">
        <v>27</v>
      </c>
      <c r="G901" t="s">
        <v>27</v>
      </c>
      <c r="H901" t="s">
        <v>27</v>
      </c>
      <c r="I901" t="s">
        <v>28</v>
      </c>
      <c r="J901" t="s">
        <v>29</v>
      </c>
      <c r="K901" s="85" t="str">
        <f t="shared" si="14"/>
        <v>/mnt/measurements/07_CANape/Mitsubishi/5K45/MMC4.1.2\Validation\2025_11_29\child\part3\Awake/TC_197_Try3.MF4.xz,child,RadarFC_Master,child (ncap1,2),CPD,dummy</v>
      </c>
      <c r="L901" s="85" t="s">
        <v>3977</v>
      </c>
      <c r="M901" t="s">
        <v>1240</v>
      </c>
      <c r="N901" s="132" t="s">
        <v>2710</v>
      </c>
    </row>
    <row r="902" spans="1:14">
      <c r="A902" s="38">
        <v>198</v>
      </c>
      <c r="B902" t="s">
        <v>1221</v>
      </c>
      <c r="C902" t="s">
        <v>43</v>
      </c>
      <c r="D902" s="97" t="e">
        <f>_xlfn.XLOOKUP(A902,[1]CPD_SOP_new!$A:$A,[1]CPD_SOP_new!#REF!,"not found",0 )</f>
        <v>#REF!</v>
      </c>
      <c r="E902" s="97" t="str">
        <f>_xlfn.XLOOKUP(A902,[1]CPD_SOP_new!$A:$A,[1]CPD_SOP_new!$K:$K,"not found",0 )</f>
        <v>3R</v>
      </c>
      <c r="F902" t="s">
        <v>27</v>
      </c>
      <c r="G902" t="s">
        <v>27</v>
      </c>
      <c r="H902" t="s">
        <v>27</v>
      </c>
      <c r="I902" t="s">
        <v>28</v>
      </c>
      <c r="J902" t="s">
        <v>29</v>
      </c>
      <c r="K902" s="85" t="str">
        <f t="shared" si="14"/>
        <v>/mnt/measurements/07_CANape/Mitsubishi/5K45/MMC4.1.2\Validation\child\Awake/TC_198.MF4.xz,child,RadarFC_Master,child (ncap1,2),CPD,dummy</v>
      </c>
      <c r="L902" s="85" t="s">
        <v>3978</v>
      </c>
      <c r="M902" t="s">
        <v>1241</v>
      </c>
      <c r="N902" s="132" t="s">
        <v>2708</v>
      </c>
    </row>
    <row r="903" spans="1:14">
      <c r="A903" s="38">
        <v>198</v>
      </c>
      <c r="B903" t="s">
        <v>1221</v>
      </c>
      <c r="C903" t="s">
        <v>43</v>
      </c>
      <c r="D903" s="97" t="e">
        <f>_xlfn.XLOOKUP(A903,[1]CPD_SOP_new!$A:$A,[1]CPD_SOP_new!#REF!,"not found",0 )</f>
        <v>#REF!</v>
      </c>
      <c r="E903" s="97" t="str">
        <f>_xlfn.XLOOKUP(A903,[1]CPD_SOP_new!$A:$A,[1]CPD_SOP_new!$K:$K,"not found",0 )</f>
        <v>3R</v>
      </c>
      <c r="F903" t="s">
        <v>27</v>
      </c>
      <c r="G903" t="s">
        <v>27</v>
      </c>
      <c r="H903" t="s">
        <v>27</v>
      </c>
      <c r="I903" t="s">
        <v>28</v>
      </c>
      <c r="J903" t="s">
        <v>29</v>
      </c>
      <c r="K903" s="85" t="str">
        <f t="shared" si="14"/>
        <v>/mnt/measurements/07_CANape/Mitsubishi/5K45/MMC4.1.2\Validation\2025_11_29\child\part3\Awake/TC_198_Try1.MF4.xz,child,RadarFC_Master,child (ncap1,2),CPD,dummy</v>
      </c>
      <c r="L903" s="85" t="s">
        <v>3979</v>
      </c>
      <c r="M903" t="s">
        <v>1243</v>
      </c>
      <c r="N903" s="132" t="s">
        <v>2710</v>
      </c>
    </row>
    <row r="904" spans="1:14">
      <c r="A904" s="38">
        <v>198</v>
      </c>
      <c r="B904" t="s">
        <v>1221</v>
      </c>
      <c r="C904" t="s">
        <v>43</v>
      </c>
      <c r="D904" s="97" t="e">
        <f>_xlfn.XLOOKUP(A904,[1]CPD_SOP_new!$A:$A,[1]CPD_SOP_new!#REF!,"not found",0 )</f>
        <v>#REF!</v>
      </c>
      <c r="E904" s="97" t="str">
        <f>_xlfn.XLOOKUP(A904,[1]CPD_SOP_new!$A:$A,[1]CPD_SOP_new!$K:$K,"not found",0 )</f>
        <v>3R</v>
      </c>
      <c r="F904" t="s">
        <v>27</v>
      </c>
      <c r="G904" t="s">
        <v>27</v>
      </c>
      <c r="H904" t="s">
        <v>27</v>
      </c>
      <c r="I904" t="s">
        <v>28</v>
      </c>
      <c r="J904" t="s">
        <v>29</v>
      </c>
      <c r="K904" s="85" t="str">
        <f t="shared" si="14"/>
        <v>/mnt/measurements/07_CANape/Mitsubishi/5K45/MMC4.1.2\Validation\2025_11_29\child\part3\Awake/TC_198_Try2.MF4.xz,child,RadarFC_Master,child (ncap1,2),CPD,dummy</v>
      </c>
      <c r="L904" s="85" t="s">
        <v>3980</v>
      </c>
      <c r="M904" t="s">
        <v>1244</v>
      </c>
      <c r="N904" s="132" t="s">
        <v>2710</v>
      </c>
    </row>
    <row r="905" spans="1:14">
      <c r="A905" s="38">
        <v>198</v>
      </c>
      <c r="B905" t="s">
        <v>1221</v>
      </c>
      <c r="C905" t="s">
        <v>43</v>
      </c>
      <c r="D905" s="97" t="e">
        <f>_xlfn.XLOOKUP(A905,[1]CPD_SOP_new!$A:$A,[1]CPD_SOP_new!#REF!,"not found",0 )</f>
        <v>#REF!</v>
      </c>
      <c r="E905" s="97" t="str">
        <f>_xlfn.XLOOKUP(A905,[1]CPD_SOP_new!$A:$A,[1]CPD_SOP_new!$K:$K,"not found",0 )</f>
        <v>3R</v>
      </c>
      <c r="F905" t="s">
        <v>27</v>
      </c>
      <c r="G905" t="s">
        <v>27</v>
      </c>
      <c r="H905" t="s">
        <v>27</v>
      </c>
      <c r="I905" t="s">
        <v>28</v>
      </c>
      <c r="J905" t="s">
        <v>29</v>
      </c>
      <c r="K905" s="85" t="str">
        <f t="shared" si="14"/>
        <v>/mnt/measurements/07_CANape/Mitsubishi/5K45/MMC4.1.2\Validation\2025_11_29\child\part3\Awake/TC_198_Try3.MF4.xz,child,RadarFC_Master,child (ncap1,2),CPD,dummy</v>
      </c>
      <c r="L905" s="85" t="s">
        <v>3981</v>
      </c>
      <c r="M905" t="s">
        <v>1245</v>
      </c>
      <c r="N905" s="132" t="s">
        <v>2710</v>
      </c>
    </row>
    <row r="906" spans="1:14">
      <c r="A906" s="77">
        <v>200</v>
      </c>
      <c r="B906" t="s">
        <v>38</v>
      </c>
      <c r="C906" t="s">
        <v>48</v>
      </c>
      <c r="D906" s="97" t="e">
        <f>_xlfn.XLOOKUP(A906,[1]CPD_SOP_new!$A:$A,[1]CPD_SOP_new!#REF!,"not found",0 )</f>
        <v>#REF!</v>
      </c>
      <c r="E906" s="97" t="s">
        <v>26</v>
      </c>
      <c r="F906" t="s">
        <v>27</v>
      </c>
      <c r="G906" t="s">
        <v>28</v>
      </c>
      <c r="H906" t="s">
        <v>28</v>
      </c>
      <c r="I906" t="s">
        <v>28</v>
      </c>
      <c r="J906" t="s">
        <v>29</v>
      </c>
      <c r="K906" s="85" t="str">
        <f t="shared" si="14"/>
        <v>/mnt/measurements/07_CANape/Mitsubishi/5K45/MMC4.1.2/Validation/child/Awake/TC_200.MF4.xz,child,RadarFC_Master,child (ncap1,2),CPD,dummy</v>
      </c>
      <c r="L906" s="85" t="s">
        <v>3982</v>
      </c>
      <c r="M906" t="s">
        <v>1246</v>
      </c>
      <c r="N906" s="129" t="s">
        <v>93</v>
      </c>
    </row>
    <row r="907" spans="1:14">
      <c r="A907" s="77">
        <v>200</v>
      </c>
      <c r="B907" t="s">
        <v>38</v>
      </c>
      <c r="C907" t="s">
        <v>48</v>
      </c>
      <c r="D907" s="97" t="e">
        <f>_xlfn.XLOOKUP(A907,[1]CPD_SOP_new!$A:$A,[1]CPD_SOP_new!#REF!,"not found",0 )</f>
        <v>#REF!</v>
      </c>
      <c r="E907" s="97" t="s">
        <v>26</v>
      </c>
      <c r="F907" t="s">
        <v>27</v>
      </c>
      <c r="G907" t="s">
        <v>28</v>
      </c>
      <c r="H907" t="s">
        <v>28</v>
      </c>
      <c r="I907" t="s">
        <v>28</v>
      </c>
      <c r="J907" t="s">
        <v>29</v>
      </c>
      <c r="K907" s="85" t="str">
        <f t="shared" si="14"/>
        <v>/mnt/measurements/07_CANape/Mitsubishi/5K45/MMC4.1.2/Validation/2025_11_29/child/part3/Awake//TC_200_Try1.MF4.xz,child,RadarFC_Master,child (ncap1,2),CPD,dummy</v>
      </c>
      <c r="L907" s="85" t="s">
        <v>3983</v>
      </c>
      <c r="M907" t="s">
        <v>1248</v>
      </c>
      <c r="N907" s="129" t="s">
        <v>1249</v>
      </c>
    </row>
    <row r="908" spans="1:14">
      <c r="A908" s="77">
        <v>200</v>
      </c>
      <c r="B908" t="s">
        <v>38</v>
      </c>
      <c r="C908" t="s">
        <v>48</v>
      </c>
      <c r="D908" s="97" t="e">
        <f>_xlfn.XLOOKUP(A908,[1]CPD_SOP_new!$A:$A,[1]CPD_SOP_new!#REF!,"not found",0 )</f>
        <v>#REF!</v>
      </c>
      <c r="E908" s="97" t="s">
        <v>26</v>
      </c>
      <c r="F908" t="s">
        <v>27</v>
      </c>
      <c r="G908" t="s">
        <v>28</v>
      </c>
      <c r="H908" t="s">
        <v>28</v>
      </c>
      <c r="I908" t="s">
        <v>28</v>
      </c>
      <c r="J908" t="s">
        <v>29</v>
      </c>
      <c r="K908" s="85" t="str">
        <f t="shared" si="14"/>
        <v>/mnt/measurements/07_CANape/Mitsubishi/5K45/MMC4.1.2/Validation/2025_11_29/child/part3/Awake//TC_200_Try2.MF4.xz,child,RadarFC_Master,child (ncap1,2),CPD,dummy</v>
      </c>
      <c r="L908" s="85" t="s">
        <v>3984</v>
      </c>
      <c r="M908" t="s">
        <v>1250</v>
      </c>
      <c r="N908" s="129" t="s">
        <v>1249</v>
      </c>
    </row>
    <row r="909" spans="1:14" s="130" customFormat="1" hidden="1">
      <c r="A909" s="78">
        <v>216</v>
      </c>
      <c r="B909" s="130" t="s">
        <v>124</v>
      </c>
      <c r="C909" s="137" t="s">
        <v>253</v>
      </c>
      <c r="D909" s="97" t="e">
        <f>_xlfn.XLOOKUP(A909,[1]CPD_SOP_new!$A:$A,[1]CPD_SOP_new!#REF!,"not found",0 )</f>
        <v>#REF!</v>
      </c>
      <c r="E909" s="97" t="str">
        <f>_xlfn.XLOOKUP(A909,[1]CPD_SOP_new!$A:$A,[1]CPD_SOP_new!$K:$K,"not found",0 )</f>
        <v>3L</v>
      </c>
      <c r="F909" s="130" t="s">
        <v>28</v>
      </c>
      <c r="G909" s="130" t="s">
        <v>28</v>
      </c>
      <c r="H909" s="130" t="s">
        <v>28</v>
      </c>
      <c r="I909" s="130" t="s">
        <v>27</v>
      </c>
      <c r="J909" s="130" t="s">
        <v>1368</v>
      </c>
      <c r="K909" s="85" t="str">
        <f t="shared" si="14"/>
        <v>5.2.0/5K457EG11/Real_Childs//CPD_TC216_Try1.MF4.xz,degraded measurement,RadarFC_Master,degraded measurement (ncap3),CPD,realchild</v>
      </c>
      <c r="L909" s="85" t="s">
        <v>3985</v>
      </c>
      <c r="M909" s="130" t="s">
        <v>1369</v>
      </c>
      <c r="N909" s="130" t="s">
        <v>1370</v>
      </c>
    </row>
    <row r="910" spans="1:14" s="130" customFormat="1" hidden="1">
      <c r="A910" s="78">
        <v>216</v>
      </c>
      <c r="B910" s="130" t="s">
        <v>124</v>
      </c>
      <c r="C910" s="137" t="s">
        <v>253</v>
      </c>
      <c r="D910" s="97" t="e">
        <f>_xlfn.XLOOKUP(A910,[1]CPD_SOP_new!$A:$A,[1]CPD_SOP_new!#REF!,"not found",0 )</f>
        <v>#REF!</v>
      </c>
      <c r="E910" s="97" t="str">
        <f>_xlfn.XLOOKUP(A910,[1]CPD_SOP_new!$A:$A,[1]CPD_SOP_new!$K:$K,"not found",0 )</f>
        <v>3L</v>
      </c>
      <c r="F910" s="130" t="s">
        <v>28</v>
      </c>
      <c r="G910" s="130" t="s">
        <v>28</v>
      </c>
      <c r="H910" s="130" t="s">
        <v>28</v>
      </c>
      <c r="I910" s="130" t="s">
        <v>27</v>
      </c>
      <c r="J910" s="130" t="s">
        <v>1368</v>
      </c>
      <c r="K910" s="85" t="str">
        <f t="shared" si="14"/>
        <v>5.2.0/5K457EG11/Real_Childs//CPD_TC216_Try2.MF4.xz,degraded measurement,RadarFC_Master,degraded measurement (ncap3),CPD,realchild</v>
      </c>
      <c r="L910" s="85" t="s">
        <v>3986</v>
      </c>
      <c r="M910" s="130" t="s">
        <v>1371</v>
      </c>
      <c r="N910" s="130" t="s">
        <v>1370</v>
      </c>
    </row>
    <row r="911" spans="1:14" s="130" customFormat="1" hidden="1">
      <c r="A911" s="78">
        <v>216</v>
      </c>
      <c r="B911" s="130" t="s">
        <v>124</v>
      </c>
      <c r="C911" s="137" t="s">
        <v>253</v>
      </c>
      <c r="D911" s="97" t="e">
        <f>_xlfn.XLOOKUP(A911,[1]CPD_SOP_new!$A:$A,[1]CPD_SOP_new!#REF!,"not found",0 )</f>
        <v>#REF!</v>
      </c>
      <c r="E911" s="97" t="str">
        <f>_xlfn.XLOOKUP(A911,[1]CPD_SOP_new!$A:$A,[1]CPD_SOP_new!$K:$K,"not found",0 )</f>
        <v>3L</v>
      </c>
      <c r="F911" s="130" t="s">
        <v>28</v>
      </c>
      <c r="G911" s="130" t="s">
        <v>28</v>
      </c>
      <c r="H911" s="130" t="s">
        <v>28</v>
      </c>
      <c r="I911" s="130" t="s">
        <v>27</v>
      </c>
      <c r="J911" s="130" t="s">
        <v>1368</v>
      </c>
      <c r="K911" s="85" t="str">
        <f t="shared" si="14"/>
        <v>5.2.0/5K457EG11/Real_Childs//CPD_TC216_Try3.MF4.xz,degraded measurement,RadarFC_Master,degraded measurement (ncap3),CPD,realchild</v>
      </c>
      <c r="L911" s="85" t="s">
        <v>3987</v>
      </c>
      <c r="M911" s="130" t="s">
        <v>1372</v>
      </c>
      <c r="N911" s="130" t="s">
        <v>1370</v>
      </c>
    </row>
    <row r="912" spans="1:14" s="130" customFormat="1" hidden="1">
      <c r="A912" s="78">
        <v>216</v>
      </c>
      <c r="B912" s="130" t="s">
        <v>124</v>
      </c>
      <c r="C912" s="137" t="s">
        <v>253</v>
      </c>
      <c r="D912" s="97" t="e">
        <f>_xlfn.XLOOKUP(A912,[1]CPD_SOP_new!$A:$A,[1]CPD_SOP_new!#REF!,"not found",0 )</f>
        <v>#REF!</v>
      </c>
      <c r="E912" s="97" t="str">
        <f>_xlfn.XLOOKUP(A912,[1]CPD_SOP_new!$A:$A,[1]CPD_SOP_new!$K:$K,"not found",0 )</f>
        <v>3L</v>
      </c>
      <c r="F912" s="130" t="s">
        <v>28</v>
      </c>
      <c r="G912" s="130" t="s">
        <v>28</v>
      </c>
      <c r="H912" s="130" t="s">
        <v>28</v>
      </c>
      <c r="I912" s="130" t="s">
        <v>27</v>
      </c>
      <c r="J912" s="130" t="s">
        <v>1368</v>
      </c>
      <c r="K912" s="85" t="str">
        <f t="shared" si="14"/>
        <v>5.2.0/5K457EG11/Real_Childs//CPD_TC216_Try4.MF4.xz,degraded measurement,RadarFC_Master,degraded measurement (ncap3),CPD,realchild</v>
      </c>
      <c r="L912" s="85" t="s">
        <v>3988</v>
      </c>
      <c r="M912" s="130" t="s">
        <v>1373</v>
      </c>
      <c r="N912" s="130" t="s">
        <v>1370</v>
      </c>
    </row>
    <row r="913" spans="1:21" s="130" customFormat="1" hidden="1">
      <c r="A913" s="78">
        <v>217</v>
      </c>
      <c r="B913" s="130" t="s">
        <v>24</v>
      </c>
      <c r="C913" s="130" t="s">
        <v>253</v>
      </c>
      <c r="D913" s="97" t="e">
        <f>_xlfn.XLOOKUP(A913,[1]CPD_SOP_new!$A:$A,[1]CPD_SOP_new!#REF!,"not found",0 )</f>
        <v>#REF!</v>
      </c>
      <c r="E913" s="97" t="str">
        <f>_xlfn.XLOOKUP(A913,[1]CPD_SOP_new!$A:$A,[1]CPD_SOP_new!$K:$K,"not found",0 )</f>
        <v>3L</v>
      </c>
      <c r="F913" s="130" t="s">
        <v>27</v>
      </c>
      <c r="G913" s="130" t="s">
        <v>28</v>
      </c>
      <c r="H913" s="130" t="s">
        <v>28</v>
      </c>
      <c r="I913" s="130" t="s">
        <v>27</v>
      </c>
      <c r="J913" s="137" t="s">
        <v>68</v>
      </c>
      <c r="K913" s="85" t="str">
        <f t="shared" si="14"/>
        <v>/mnt/measurements/07_CANape/Mitsubishi/5K45/MMC5.0.0_RC3_with_resetfix/CPD/TC217_Try_1.MF4.xz,remove, real child mea available,RadarFC_Master,remove, real child mea available,CPD,dummy</v>
      </c>
      <c r="L913" s="85" t="s">
        <v>3989</v>
      </c>
      <c r="M913" s="130" t="s">
        <v>1374</v>
      </c>
      <c r="N913" s="131" t="s">
        <v>475</v>
      </c>
    </row>
    <row r="914" spans="1:21" s="130" customFormat="1" hidden="1">
      <c r="A914" s="78">
        <v>217</v>
      </c>
      <c r="B914" s="130" t="s">
        <v>24</v>
      </c>
      <c r="C914" s="130" t="s">
        <v>253</v>
      </c>
      <c r="D914" s="97" t="e">
        <f>_xlfn.XLOOKUP(A914,[1]CPD_SOP_new!$A:$A,[1]CPD_SOP_new!#REF!,"not found",0 )</f>
        <v>#REF!</v>
      </c>
      <c r="E914" s="97" t="str">
        <f>_xlfn.XLOOKUP(A914,[1]CPD_SOP_new!$A:$A,[1]CPD_SOP_new!$K:$K,"not found",0 )</f>
        <v>3L</v>
      </c>
      <c r="F914" s="130" t="s">
        <v>27</v>
      </c>
      <c r="G914" s="130" t="s">
        <v>28</v>
      </c>
      <c r="H914" s="130" t="s">
        <v>28</v>
      </c>
      <c r="I914" s="130" t="s">
        <v>27</v>
      </c>
      <c r="J914" s="137" t="s">
        <v>68</v>
      </c>
      <c r="K914" s="85" t="str">
        <f t="shared" si="14"/>
        <v>/mnt/measurements/07_CANape/Mitsubishi/5K45/MMC5.0.0_RC3_with_resetfix/CPD/TC217_Try_2.MF4.xz,remove, real child mea available,RadarFC_Master,remove, real child mea available,CPD,dummy</v>
      </c>
      <c r="L914" s="85" t="s">
        <v>3990</v>
      </c>
      <c r="M914" s="130" t="s">
        <v>1375</v>
      </c>
      <c r="N914" s="131" t="s">
        <v>475</v>
      </c>
    </row>
    <row r="915" spans="1:21" s="130" customFormat="1" hidden="1">
      <c r="A915" s="78">
        <v>217</v>
      </c>
      <c r="B915" s="130" t="s">
        <v>24</v>
      </c>
      <c r="C915" s="130" t="s">
        <v>253</v>
      </c>
      <c r="D915" s="97" t="e">
        <f>_xlfn.XLOOKUP(A915,[1]CPD_SOP_new!$A:$A,[1]CPD_SOP_new!#REF!,"not found",0 )</f>
        <v>#REF!</v>
      </c>
      <c r="E915" s="97" t="str">
        <f>_xlfn.XLOOKUP(A915,[1]CPD_SOP_new!$A:$A,[1]CPD_SOP_new!$K:$K,"not found",0 )</f>
        <v>3L</v>
      </c>
      <c r="F915" s="130" t="s">
        <v>27</v>
      </c>
      <c r="G915" s="130" t="s">
        <v>28</v>
      </c>
      <c r="H915" s="130" t="s">
        <v>28</v>
      </c>
      <c r="I915" s="130" t="s">
        <v>27</v>
      </c>
      <c r="J915" s="137" t="s">
        <v>68</v>
      </c>
      <c r="K915" s="85" t="str">
        <f t="shared" si="14"/>
        <v>/mnt/measurements/07_CANape/Mitsubishi/5K45/MMC5.0.0_RC3_with_resetfix/CPD/TC217_Try_3.MF4.xz,remove, real child mea available,RadarFC_Master,remove, real child mea available,CPD,dummy</v>
      </c>
      <c r="L915" s="85" t="s">
        <v>3991</v>
      </c>
      <c r="M915" s="130" t="s">
        <v>1376</v>
      </c>
      <c r="N915" s="131" t="s">
        <v>475</v>
      </c>
    </row>
    <row r="916" spans="1:21">
      <c r="A916" s="77">
        <v>200</v>
      </c>
      <c r="B916" t="s">
        <v>38</v>
      </c>
      <c r="C916" t="s">
        <v>48</v>
      </c>
      <c r="D916" s="97" t="e">
        <f>_xlfn.XLOOKUP(A916,[1]CPD_SOP_new!$A:$A,[1]CPD_SOP_new!#REF!,"not found",0 )</f>
        <v>#REF!</v>
      </c>
      <c r="E916" s="97" t="s">
        <v>26</v>
      </c>
      <c r="F916" t="s">
        <v>27</v>
      </c>
      <c r="G916" t="s">
        <v>28</v>
      </c>
      <c r="H916" t="s">
        <v>28</v>
      </c>
      <c r="I916" t="s">
        <v>28</v>
      </c>
      <c r="J916" t="s">
        <v>29</v>
      </c>
      <c r="K916" s="85" t="str">
        <f t="shared" si="14"/>
        <v>/mnt/measurements/07_CANape/Mitsubishi/5K45/MMC4.1.2/Validation/2025_11_29/child/part3/Awake//TC_200_Try3.MF4.xz,child,RadarFC_Master,child (ncap1,2),CPD,dummy</v>
      </c>
      <c r="L916" s="85" t="s">
        <v>3992</v>
      </c>
      <c r="M916" t="s">
        <v>1251</v>
      </c>
      <c r="N916" s="129" t="s">
        <v>1249</v>
      </c>
    </row>
    <row r="917" spans="1:21">
      <c r="A917" s="77">
        <v>200</v>
      </c>
      <c r="B917" t="s">
        <v>38</v>
      </c>
      <c r="C917" t="s">
        <v>48</v>
      </c>
      <c r="D917" s="97" t="e">
        <f>_xlfn.XLOOKUP(A917,[1]CPD_SOP_new!$A:$A,[1]CPD_SOP_new!#REF!,"not found",0 )</f>
        <v>#REF!</v>
      </c>
      <c r="E917" s="97" t="s">
        <v>26</v>
      </c>
      <c r="F917" t="s">
        <v>27</v>
      </c>
      <c r="G917" t="s">
        <v>28</v>
      </c>
      <c r="H917" t="s">
        <v>28</v>
      </c>
      <c r="I917" t="s">
        <v>28</v>
      </c>
      <c r="J917" t="s">
        <v>29</v>
      </c>
      <c r="K917" s="85" t="str">
        <f t="shared" si="14"/>
        <v>/mnt/measurements/07_CANape/Mitsubishi/5K45/5.3.0_RC6/Customer_Testing/CSR_XCP_Signals_Recorder_2026-01-30_16-42-31_TC200.MF4.xz,child,RadarFC_Master,child (ncap1,2),CPD,dummy</v>
      </c>
      <c r="L917" s="85" t="s">
        <v>3993</v>
      </c>
      <c r="M917" t="s">
        <v>1252</v>
      </c>
      <c r="N917" t="s">
        <v>353</v>
      </c>
      <c r="O917" t="s">
        <v>29</v>
      </c>
      <c r="P917" t="s">
        <v>29</v>
      </c>
      <c r="Q917">
        <v>1</v>
      </c>
      <c r="T917">
        <v>0</v>
      </c>
      <c r="U917">
        <v>0</v>
      </c>
    </row>
    <row r="918" spans="1:21">
      <c r="A918" s="77">
        <v>200</v>
      </c>
      <c r="B918" t="s">
        <v>38</v>
      </c>
      <c r="C918" t="s">
        <v>48</v>
      </c>
      <c r="D918" s="97" t="e">
        <f>_xlfn.XLOOKUP(A918,[1]CPD_SOP_new!$A:$A,[1]CPD_SOP_new!#REF!,"not found",0 )</f>
        <v>#REF!</v>
      </c>
      <c r="E918" s="97" t="s">
        <v>26</v>
      </c>
      <c r="F918" t="s">
        <v>27</v>
      </c>
      <c r="G918" t="s">
        <v>28</v>
      </c>
      <c r="H918" t="s">
        <v>28</v>
      </c>
      <c r="I918" t="s">
        <v>28</v>
      </c>
      <c r="J918" t="s">
        <v>29</v>
      </c>
      <c r="K918" s="85" t="str">
        <f t="shared" si="14"/>
        <v>/mnt/measurements/07_CANape/Mitsubishi/5K45/5.3.0_RC6/Customer_Testing/CSR_XCP_Signals_Recorder_2026-01-30_16-43-08_TC200.MF4.xz,child,RadarFC_Master,child (ncap1,2),CPD,dummy</v>
      </c>
      <c r="L918" s="85" t="s">
        <v>3994</v>
      </c>
      <c r="M918" t="s">
        <v>1254</v>
      </c>
      <c r="N918" t="s">
        <v>353</v>
      </c>
      <c r="O918" t="s">
        <v>29</v>
      </c>
      <c r="P918" t="s">
        <v>29</v>
      </c>
      <c r="Q918">
        <v>1</v>
      </c>
      <c r="T918">
        <v>0</v>
      </c>
      <c r="U918">
        <v>0</v>
      </c>
    </row>
    <row r="919" spans="1:21">
      <c r="A919" s="77">
        <v>200</v>
      </c>
      <c r="B919" t="s">
        <v>38</v>
      </c>
      <c r="C919" t="s">
        <v>48</v>
      </c>
      <c r="D919" s="97" t="e">
        <f>_xlfn.XLOOKUP(A919,[1]CPD_SOP_new!$A:$A,[1]CPD_SOP_new!#REF!,"not found",0 )</f>
        <v>#REF!</v>
      </c>
      <c r="E919" s="97" t="s">
        <v>26</v>
      </c>
      <c r="F919" t="s">
        <v>27</v>
      </c>
      <c r="G919" t="s">
        <v>28</v>
      </c>
      <c r="H919" t="s">
        <v>28</v>
      </c>
      <c r="I919" t="s">
        <v>28</v>
      </c>
      <c r="J919" t="s">
        <v>29</v>
      </c>
      <c r="K919" s="85" t="str">
        <f t="shared" si="14"/>
        <v>/mnt/measurements/07_CANape/Mitsubishi/5K45/5.3.0_RC6/Customer_Testing/CSR_XCP_Signals_Recorder_2026-01-30_16-43-43_TC200.MF4.xz,child,RadarFC_Master,child (ncap1,2),CPD,dummy</v>
      </c>
      <c r="L919" s="85" t="s">
        <v>3995</v>
      </c>
      <c r="M919" t="s">
        <v>1255</v>
      </c>
      <c r="N919" t="s">
        <v>353</v>
      </c>
      <c r="O919" t="s">
        <v>29</v>
      </c>
      <c r="P919" t="s">
        <v>29</v>
      </c>
      <c r="Q919">
        <v>1</v>
      </c>
      <c r="T919">
        <v>0</v>
      </c>
      <c r="U919">
        <v>0</v>
      </c>
    </row>
    <row r="920" spans="1:21">
      <c r="A920" s="59">
        <v>200</v>
      </c>
      <c r="B920" t="s">
        <v>38</v>
      </c>
      <c r="C920" t="s">
        <v>48</v>
      </c>
      <c r="D920" s="97" t="e">
        <f>_xlfn.XLOOKUP(A920,[1]CPD_SOP_new!$A:$A,[1]CPD_SOP_new!#REF!,"not found",0 )</f>
        <v>#REF!</v>
      </c>
      <c r="E920" s="97" t="s">
        <v>26</v>
      </c>
      <c r="F920" t="s">
        <v>27</v>
      </c>
      <c r="G920" t="s">
        <v>28</v>
      </c>
      <c r="H920" t="s">
        <v>28</v>
      </c>
      <c r="I920" t="s">
        <v>28</v>
      </c>
      <c r="J920" s="85" t="s">
        <v>29</v>
      </c>
      <c r="K920" s="85" t="str">
        <f t="shared" si="14"/>
        <v>/mnt/measurements/07_CANape/Mitsubishi/5K45/5.3.0_RC6.2/5K457EG11/NB_Awake_with_Blanket/CSR_XCP_Signals_Recorder_2026-01-31_13-33-25_TC200_Reset.MF4.xz,child,RadarFC_Master,child (ncap1,2),CPD,dummy</v>
      </c>
      <c r="L920" s="85" t="s">
        <v>3996</v>
      </c>
      <c r="M920" s="129" t="s">
        <v>1256</v>
      </c>
      <c r="N920" t="s">
        <v>1257</v>
      </c>
    </row>
    <row r="921" spans="1:21">
      <c r="A921" s="59">
        <v>200</v>
      </c>
      <c r="B921" t="s">
        <v>38</v>
      </c>
      <c r="C921" t="s">
        <v>48</v>
      </c>
      <c r="D921" s="97" t="e">
        <f>_xlfn.XLOOKUP(A921,[1]CPD_SOP_new!$A:$A,[1]CPD_SOP_new!#REF!,"not found",0 )</f>
        <v>#REF!</v>
      </c>
      <c r="E921" s="97" t="s">
        <v>26</v>
      </c>
      <c r="F921" t="s">
        <v>27</v>
      </c>
      <c r="G921" t="s">
        <v>28</v>
      </c>
      <c r="H921" t="s">
        <v>28</v>
      </c>
      <c r="I921" t="s">
        <v>28</v>
      </c>
      <c r="J921" s="85" t="s">
        <v>29</v>
      </c>
      <c r="K921" s="85" t="str">
        <f t="shared" si="14"/>
        <v>/mnt/measurements/07_CANape/Mitsubishi/5K45/5.3.0_RC6.2/5K457EG11/NB_Awake_with_Blanket/CSR_XCP_Signals_Recorder_2026-01-31_13-25-44_TC200_No_Reset.MF4.xz,child,RadarFC_Master,child (ncap1,2),CPD,dummy</v>
      </c>
      <c r="L921" s="85" t="s">
        <v>3997</v>
      </c>
      <c r="M921" t="s">
        <v>1258</v>
      </c>
      <c r="N921" t="s">
        <v>1257</v>
      </c>
    </row>
    <row r="922" spans="1:21">
      <c r="A922" s="59">
        <v>200</v>
      </c>
      <c r="B922" t="s">
        <v>38</v>
      </c>
      <c r="C922" t="s">
        <v>48</v>
      </c>
      <c r="D922" s="97" t="e">
        <f>_xlfn.XLOOKUP(A922,[1]CPD_SOP_new!$A:$A,[1]CPD_SOP_new!#REF!,"not found",0 )</f>
        <v>#REF!</v>
      </c>
      <c r="E922" s="97" t="s">
        <v>26</v>
      </c>
      <c r="F922" t="s">
        <v>27</v>
      </c>
      <c r="G922" t="s">
        <v>28</v>
      </c>
      <c r="H922" t="s">
        <v>28</v>
      </c>
      <c r="I922" t="s">
        <v>28</v>
      </c>
      <c r="J922" s="85" t="s">
        <v>29</v>
      </c>
      <c r="K922" s="85" t="str">
        <f t="shared" si="14"/>
        <v>/mnt/measurements/07_CANape/Mitsubishi/5K45/5.3.0_RC6.2/5K457EG11/NB_Awake_with_Blanket/CSR_XCP_Signals_Recorder_2026-01-31_13-26-47_TC200_No_Reset.MF4.xz,child,RadarFC_Master,child (ncap1,2),CPD,dummy</v>
      </c>
      <c r="L922" s="85" t="s">
        <v>3998</v>
      </c>
      <c r="M922" t="s">
        <v>1259</v>
      </c>
      <c r="N922" t="s">
        <v>1257</v>
      </c>
    </row>
    <row r="923" spans="1:21">
      <c r="A923" s="59">
        <v>200</v>
      </c>
      <c r="B923" t="s">
        <v>38</v>
      </c>
      <c r="C923" t="s">
        <v>48</v>
      </c>
      <c r="D923" s="97" t="e">
        <f>_xlfn.XLOOKUP(A923,[1]CPD_SOP_new!$A:$A,[1]CPD_SOP_new!#REF!,"not found",0 )</f>
        <v>#REF!</v>
      </c>
      <c r="E923" s="97" t="s">
        <v>26</v>
      </c>
      <c r="F923" t="s">
        <v>27</v>
      </c>
      <c r="G923" t="s">
        <v>28</v>
      </c>
      <c r="H923" t="s">
        <v>28</v>
      </c>
      <c r="I923" t="s">
        <v>28</v>
      </c>
      <c r="J923" s="85" t="s">
        <v>29</v>
      </c>
      <c r="K923" s="85" t="str">
        <f t="shared" si="14"/>
        <v>/mnt/measurements/07_CANape/Mitsubishi/5K45/5.3.0_RC6.2/5K457EG11/NB_Awake_with_Blanket/CSR_XCP_Signals_Recorder_2026-01-31_13-28-02_TC200_No_Reset.MF4.xz,child,RadarFC_Master,child (ncap1,2),CPD,dummy</v>
      </c>
      <c r="L923" s="85" t="s">
        <v>3999</v>
      </c>
      <c r="M923" t="s">
        <v>1260</v>
      </c>
      <c r="N923" t="s">
        <v>1257</v>
      </c>
    </row>
    <row r="924" spans="1:21">
      <c r="A924" s="59">
        <v>200</v>
      </c>
      <c r="B924" t="s">
        <v>38</v>
      </c>
      <c r="C924" t="s">
        <v>48</v>
      </c>
      <c r="D924" s="97" t="e">
        <f>_xlfn.XLOOKUP(A924,[1]CPD_SOP_new!$A:$A,[1]CPD_SOP_new!#REF!,"not found",0 )</f>
        <v>#REF!</v>
      </c>
      <c r="E924" s="97" t="s">
        <v>26</v>
      </c>
      <c r="F924" t="s">
        <v>27</v>
      </c>
      <c r="G924" t="s">
        <v>28</v>
      </c>
      <c r="H924" t="s">
        <v>28</v>
      </c>
      <c r="I924" t="s">
        <v>28</v>
      </c>
      <c r="J924" s="85" t="s">
        <v>29</v>
      </c>
      <c r="K924" s="85" t="str">
        <f t="shared" si="14"/>
        <v>/mnt/measurements/07_CANape/Mitsubishi/5K45/5.3.0_RC6.2/5K457EG11/NB_Awake_with_Blanket/CSR_XCP_Signals_Recorder_2026-01-31_13-29-23_TC200_Reset.MF4.xz,child,RadarFC_Master,child (ncap1,2),CPD,dummy</v>
      </c>
      <c r="L924" s="85" t="s">
        <v>4000</v>
      </c>
      <c r="M924" t="s">
        <v>1261</v>
      </c>
      <c r="N924" t="s">
        <v>1257</v>
      </c>
    </row>
    <row r="925" spans="1:21">
      <c r="A925" s="59">
        <v>200</v>
      </c>
      <c r="B925" t="s">
        <v>38</v>
      </c>
      <c r="C925" t="s">
        <v>48</v>
      </c>
      <c r="D925" s="97" t="e">
        <f>_xlfn.XLOOKUP(A925,[1]CPD_SOP_new!$A:$A,[1]CPD_SOP_new!#REF!,"not found",0 )</f>
        <v>#REF!</v>
      </c>
      <c r="E925" s="97" t="s">
        <v>26</v>
      </c>
      <c r="F925" t="s">
        <v>27</v>
      </c>
      <c r="G925" t="s">
        <v>28</v>
      </c>
      <c r="H925" t="s">
        <v>28</v>
      </c>
      <c r="I925" t="s">
        <v>28</v>
      </c>
      <c r="J925" s="85" t="s">
        <v>29</v>
      </c>
      <c r="K925" s="85" t="str">
        <f t="shared" si="14"/>
        <v>/mnt/measurements/07_CANape/Mitsubishi/5K45/5.3.0_RC6.2/5K457EG11/NB_Awake_with_Blanket/CSR_XCP_Signals_Recorder_2026-01-31_13-31-56_TC200_Reset.MF4.xz,child,RadarFC_Master,child (ncap1,2),CPD,dummy</v>
      </c>
      <c r="L925" s="85" t="s">
        <v>4001</v>
      </c>
      <c r="M925" t="s">
        <v>1262</v>
      </c>
      <c r="N925" t="s">
        <v>1257</v>
      </c>
    </row>
    <row r="926" spans="1:21">
      <c r="A926" s="77">
        <v>201</v>
      </c>
      <c r="B926" t="s">
        <v>38</v>
      </c>
      <c r="C926" t="s">
        <v>48</v>
      </c>
      <c r="D926" s="97" t="e">
        <f>_xlfn.XLOOKUP(A926,[1]CPD_SOP_new!$A:$A,[1]CPD_SOP_new!#REF!,"not found",0 )</f>
        <v>#REF!</v>
      </c>
      <c r="E926" s="97" t="str">
        <f>_xlfn.XLOOKUP(A926,[1]CPD_SOP_new!$A:$A,[1]CPD_SOP_new!$K:$K,"not found",0 )</f>
        <v>2R</v>
      </c>
      <c r="F926" t="s">
        <v>27</v>
      </c>
      <c r="G926" t="s">
        <v>28</v>
      </c>
      <c r="H926" t="s">
        <v>28</v>
      </c>
      <c r="I926" t="s">
        <v>28</v>
      </c>
      <c r="J926" t="s">
        <v>29</v>
      </c>
      <c r="K926" s="85" t="str">
        <f t="shared" si="14"/>
        <v>/mnt/measurements/07_CANape/Mitsubishi/5K45/MMC5.0.0_RC3_with_resetfix/CPD/TC201_Try_1.MF4.xz,child,RadarFC_Master,child (ncap1,2),CPD,dummy</v>
      </c>
      <c r="L926" s="85" t="s">
        <v>4002</v>
      </c>
      <c r="M926" t="s">
        <v>1266</v>
      </c>
      <c r="N926" t="s">
        <v>475</v>
      </c>
    </row>
    <row r="927" spans="1:21">
      <c r="A927" s="77">
        <v>201</v>
      </c>
      <c r="B927" t="s">
        <v>38</v>
      </c>
      <c r="C927" t="s">
        <v>48</v>
      </c>
      <c r="D927" s="97" t="e">
        <f>_xlfn.XLOOKUP(A927,[1]CPD_SOP_new!$A:$A,[1]CPD_SOP_new!#REF!,"not found",0 )</f>
        <v>#REF!</v>
      </c>
      <c r="E927" s="97" t="str">
        <f>_xlfn.XLOOKUP(A927,[1]CPD_SOP_new!$A:$A,[1]CPD_SOP_new!$K:$K,"not found",0 )</f>
        <v>2R</v>
      </c>
      <c r="F927" t="s">
        <v>27</v>
      </c>
      <c r="G927" t="s">
        <v>28</v>
      </c>
      <c r="H927" t="s">
        <v>28</v>
      </c>
      <c r="I927" t="s">
        <v>28</v>
      </c>
      <c r="J927" t="s">
        <v>29</v>
      </c>
      <c r="K927" s="85" t="str">
        <f t="shared" si="14"/>
        <v>/mnt/measurements/07_CANape/Mitsubishi/5K45/MMC5.0.0_RC3_with_resetfix/CPD/TC201_Try_2.MF4.xz,child,RadarFC_Master,child (ncap1,2),CPD,dummy</v>
      </c>
      <c r="L927" s="85" t="s">
        <v>4003</v>
      </c>
      <c r="M927" t="s">
        <v>1268</v>
      </c>
      <c r="N927" t="s">
        <v>475</v>
      </c>
    </row>
    <row r="928" spans="1:21">
      <c r="A928" s="77">
        <v>201</v>
      </c>
      <c r="B928" t="s">
        <v>38</v>
      </c>
      <c r="C928" t="s">
        <v>48</v>
      </c>
      <c r="D928" s="97" t="e">
        <f>_xlfn.XLOOKUP(A928,[1]CPD_SOP_new!$A:$A,[1]CPD_SOP_new!#REF!,"not found",0 )</f>
        <v>#REF!</v>
      </c>
      <c r="E928" s="97" t="str">
        <f>_xlfn.XLOOKUP(A928,[1]CPD_SOP_new!$A:$A,[1]CPD_SOP_new!$K:$K,"not found",0 )</f>
        <v>2R</v>
      </c>
      <c r="F928" t="s">
        <v>27</v>
      </c>
      <c r="G928" t="s">
        <v>28</v>
      </c>
      <c r="H928" t="s">
        <v>28</v>
      </c>
      <c r="I928" t="s">
        <v>28</v>
      </c>
      <c r="J928" t="s">
        <v>29</v>
      </c>
      <c r="K928" s="85" t="str">
        <f t="shared" si="14"/>
        <v>/mnt/measurements/07_CANape/Mitsubishi/5K45/MMC5.0.0_RC3_with_resetfix/CPD/TC201_Try_3.MF4.xz,child,RadarFC_Master,child (ncap1,2),CPD,dummy</v>
      </c>
      <c r="L928" s="85" t="s">
        <v>4004</v>
      </c>
      <c r="M928" t="s">
        <v>1269</v>
      </c>
      <c r="N928" t="s">
        <v>475</v>
      </c>
    </row>
    <row r="929" spans="1:14">
      <c r="A929" s="77">
        <v>201</v>
      </c>
      <c r="B929" t="s">
        <v>38</v>
      </c>
      <c r="C929" t="s">
        <v>48</v>
      </c>
      <c r="D929" s="97" t="e">
        <f>_xlfn.XLOOKUP(A929,[1]CPD_SOP_new!$A:$A,[1]CPD_SOP_new!#REF!,"not found",0 )</f>
        <v>#REF!</v>
      </c>
      <c r="E929" s="97" t="str">
        <f>_xlfn.XLOOKUP(A929,[1]CPD_SOP_new!$A:$A,[1]CPD_SOP_new!$K:$K,"not found",0 )</f>
        <v>2R</v>
      </c>
      <c r="F929" t="s">
        <v>28</v>
      </c>
      <c r="G929" t="s">
        <v>28</v>
      </c>
      <c r="H929" t="s">
        <v>28</v>
      </c>
      <c r="I929" t="s">
        <v>28</v>
      </c>
      <c r="J929" t="s">
        <v>29</v>
      </c>
      <c r="K929" s="85" t="str">
        <f t="shared" si="14"/>
        <v>/mnt/measurements/07_CANape/Mitsubishi/5K45/MMC5.0.2/5K457EG11/RealChild/CPD_TC201_Try1.MF4.xz,child,RadarFC_Master,child (ncap1,2),CPD,realchild</v>
      </c>
      <c r="L929" s="85" t="s">
        <v>4005</v>
      </c>
      <c r="M929" s="132" t="s">
        <v>1270</v>
      </c>
      <c r="N929" t="s">
        <v>86</v>
      </c>
    </row>
    <row r="930" spans="1:14">
      <c r="A930" s="77">
        <v>201</v>
      </c>
      <c r="B930" t="s">
        <v>38</v>
      </c>
      <c r="C930" t="s">
        <v>48</v>
      </c>
      <c r="D930" s="97" t="e">
        <f>_xlfn.XLOOKUP(A930,[1]CPD_SOP_new!$A:$A,[1]CPD_SOP_new!#REF!,"not found",0 )</f>
        <v>#REF!</v>
      </c>
      <c r="E930" s="97" t="str">
        <f>_xlfn.XLOOKUP(A930,[1]CPD_SOP_new!$A:$A,[1]CPD_SOP_new!$K:$K,"not found",0 )</f>
        <v>2R</v>
      </c>
      <c r="F930" t="s">
        <v>28</v>
      </c>
      <c r="G930" t="s">
        <v>28</v>
      </c>
      <c r="H930" t="s">
        <v>28</v>
      </c>
      <c r="I930" t="s">
        <v>28</v>
      </c>
      <c r="J930" t="s">
        <v>29</v>
      </c>
      <c r="K930" s="85" t="str">
        <f t="shared" si="14"/>
        <v>/mnt/measurements/07_CANape/Mitsubishi/5K45/MMC5.0.2/5K457EG11/RealChild/CPD_TC201_Try2.MF4.xz,child,RadarFC_Master,child (ncap1,2),CPD,realchild</v>
      </c>
      <c r="L930" s="85" t="s">
        <v>4006</v>
      </c>
      <c r="M930" s="132" t="s">
        <v>1272</v>
      </c>
      <c r="N930" t="s">
        <v>86</v>
      </c>
    </row>
    <row r="931" spans="1:14" s="130" customFormat="1" hidden="1">
      <c r="A931" s="78">
        <v>221</v>
      </c>
      <c r="B931" s="130" t="s">
        <v>124</v>
      </c>
      <c r="C931" s="85" t="s">
        <v>253</v>
      </c>
      <c r="D931" s="97" t="e">
        <f>_xlfn.XLOOKUP(A931,[1]CPD_SOP_new!$A:$A,[1]CPD_SOP_new!#REF!,"not found",0 )</f>
        <v>#REF!</v>
      </c>
      <c r="E931" s="97" t="s">
        <v>26</v>
      </c>
      <c r="F931" s="130" t="s">
        <v>28</v>
      </c>
      <c r="G931" s="130" t="s">
        <v>28</v>
      </c>
      <c r="H931" s="130" t="s">
        <v>28</v>
      </c>
      <c r="I931" s="130" t="s">
        <v>27</v>
      </c>
      <c r="J931" s="130" t="s">
        <v>723</v>
      </c>
      <c r="K931" s="85" t="str">
        <f t="shared" si="14"/>
        <v>/mnt/measurements/07_CANape/Mitsubishi/5K45/MMC5.0.1/5K457EG-11/Real_Child_Measurements/CSR_XCP_Signals_Recorder_2025-12-15_11-21-43_TC221_6YO_1R_CPD.MF4.xz,Wrong measurement,RadarFC_Master,Wrong measurement (ncap3),CPD,realchild</v>
      </c>
      <c r="L931" s="85" t="s">
        <v>4007</v>
      </c>
      <c r="M931" s="130" t="s">
        <v>1397</v>
      </c>
      <c r="N931" s="131" t="s">
        <v>102</v>
      </c>
    </row>
    <row r="932" spans="1:14">
      <c r="A932" s="77">
        <v>201</v>
      </c>
      <c r="B932" t="s">
        <v>38</v>
      </c>
      <c r="C932" t="s">
        <v>48</v>
      </c>
      <c r="D932" s="97" t="e">
        <f>_xlfn.XLOOKUP(A932,[1]CPD_SOP_new!$A:$A,[1]CPD_SOP_new!#REF!,"not found",0 )</f>
        <v>#REF!</v>
      </c>
      <c r="E932" s="97" t="str">
        <f>_xlfn.XLOOKUP(A932,[1]CPD_SOP_new!$A:$A,[1]CPD_SOP_new!$K:$K,"not found",0 )</f>
        <v>2R</v>
      </c>
      <c r="F932" t="s">
        <v>28</v>
      </c>
      <c r="G932" t="s">
        <v>28</v>
      </c>
      <c r="H932" t="s">
        <v>28</v>
      </c>
      <c r="I932" t="s">
        <v>28</v>
      </c>
      <c r="J932" t="s">
        <v>29</v>
      </c>
      <c r="K932" s="85" t="str">
        <f t="shared" si="14"/>
        <v>/mnt/measurements/07_CANape/Mitsubishi/5K45/MMC5.0.2/5K457EG11/RealChild/CPD_TC201_Try3.MF4.xz,child,RadarFC_Master,child (ncap1,2),CPD,realchild</v>
      </c>
      <c r="L932" s="85" t="s">
        <v>4008</v>
      </c>
      <c r="M932" s="132" t="s">
        <v>1273</v>
      </c>
      <c r="N932" t="s">
        <v>86</v>
      </c>
    </row>
    <row r="933" spans="1:14">
      <c r="A933" s="77">
        <v>201</v>
      </c>
      <c r="B933" t="s">
        <v>38</v>
      </c>
      <c r="C933" t="s">
        <v>48</v>
      </c>
      <c r="D933" s="97" t="e">
        <f>_xlfn.XLOOKUP(A933,[1]CPD_SOP_new!$A:$A,[1]CPD_SOP_new!#REF!,"not found",0 )</f>
        <v>#REF!</v>
      </c>
      <c r="E933" s="97" t="str">
        <f>_xlfn.XLOOKUP(A933,[1]CPD_SOP_new!$A:$A,[1]CPD_SOP_new!$K:$K,"not found",0 )</f>
        <v>2R</v>
      </c>
      <c r="F933" t="s">
        <v>28</v>
      </c>
      <c r="G933" t="s">
        <v>28</v>
      </c>
      <c r="H933" t="s">
        <v>28</v>
      </c>
      <c r="I933" t="s">
        <v>28</v>
      </c>
      <c r="J933" t="s">
        <v>29</v>
      </c>
      <c r="K933" s="85" t="str">
        <f t="shared" si="14"/>
        <v>/mnt/measurements/07_CANape/Mitsubishi/5K45/MMC5.0.2/5K457EG11/RealChild/CPD_TC201_Try4.MF4.xz,child,RadarFC_Master,child (ncap1,2),CPD,realchild</v>
      </c>
      <c r="L933" s="85" t="s">
        <v>4009</v>
      </c>
      <c r="M933" s="132" t="s">
        <v>1274</v>
      </c>
      <c r="N933" t="s">
        <v>86</v>
      </c>
    </row>
    <row r="934" spans="1:14">
      <c r="A934" s="77">
        <v>201</v>
      </c>
      <c r="B934" t="s">
        <v>38</v>
      </c>
      <c r="C934" t="s">
        <v>48</v>
      </c>
      <c r="D934" s="97" t="e">
        <f>_xlfn.XLOOKUP(A934,[1]CPD_SOP_new!$A:$A,[1]CPD_SOP_new!#REF!,"not found",0 )</f>
        <v>#REF!</v>
      </c>
      <c r="E934" s="97" t="str">
        <f>_xlfn.XLOOKUP(A934,[1]CPD_SOP_new!$A:$A,[1]CPD_SOP_new!$K:$K,"not found",0 )</f>
        <v>2R</v>
      </c>
      <c r="F934" t="s">
        <v>28</v>
      </c>
      <c r="G934" t="s">
        <v>28</v>
      </c>
      <c r="H934" t="s">
        <v>28</v>
      </c>
      <c r="I934" t="s">
        <v>28</v>
      </c>
      <c r="J934" t="s">
        <v>29</v>
      </c>
      <c r="K934" s="85" t="str">
        <f t="shared" si="14"/>
        <v>/mnt/measurements/07_CANape/Mitsubishi/5K45/MMC5.0.2/5K457EG11/RealChild/CPD_TC201_Try5.MF4.xz,child,RadarFC_Master,child (ncap1,2),CPD,realchild</v>
      </c>
      <c r="L934" s="85" t="s">
        <v>4010</v>
      </c>
      <c r="M934" s="132" t="s">
        <v>1275</v>
      </c>
      <c r="N934" t="s">
        <v>86</v>
      </c>
    </row>
    <row r="935" spans="1:14">
      <c r="A935" s="77">
        <v>202</v>
      </c>
      <c r="B935" t="s">
        <v>38</v>
      </c>
      <c r="C935" t="s">
        <v>48</v>
      </c>
      <c r="D935" s="97" t="e">
        <f>_xlfn.XLOOKUP(A935,[1]CPD_SOP_new!$A:$A,[1]CPD_SOP_new!#REF!,"not found",0 )</f>
        <v>#REF!</v>
      </c>
      <c r="E935" s="97" t="str">
        <f>_xlfn.XLOOKUP(A935,[1]CPD_SOP_new!$A:$A,[1]CPD_SOP_new!$K:$K,"not found",0 )</f>
        <v>2C</v>
      </c>
      <c r="F935" t="s">
        <v>27</v>
      </c>
      <c r="G935" t="s">
        <v>28</v>
      </c>
      <c r="H935" t="s">
        <v>28</v>
      </c>
      <c r="I935" t="s">
        <v>28</v>
      </c>
      <c r="J935" t="s">
        <v>29</v>
      </c>
      <c r="K935" s="85" t="str">
        <f t="shared" si="14"/>
        <v>/mnt/measurements/07_CANape/Mitsubishi/5K45/MMC4.1.2/Validation/child/Awake/TC_202.MF4.xz,child,RadarFC_Master,child (ncap1,2),CPD,dummy</v>
      </c>
      <c r="L935" s="85" t="s">
        <v>4011</v>
      </c>
      <c r="M935" t="s">
        <v>1276</v>
      </c>
      <c r="N935" s="129" t="s">
        <v>93</v>
      </c>
    </row>
    <row r="936" spans="1:14">
      <c r="A936" s="77">
        <v>202</v>
      </c>
      <c r="B936" t="s">
        <v>38</v>
      </c>
      <c r="C936" t="s">
        <v>48</v>
      </c>
      <c r="D936" s="97" t="e">
        <f>_xlfn.XLOOKUP(A936,[1]CPD_SOP_new!$A:$A,[1]CPD_SOP_new!#REF!,"not found",0 )</f>
        <v>#REF!</v>
      </c>
      <c r="E936" s="97" t="str">
        <f>_xlfn.XLOOKUP(A936,[1]CPD_SOP_new!$A:$A,[1]CPD_SOP_new!$K:$K,"not found",0 )</f>
        <v>2C</v>
      </c>
      <c r="F936" t="s">
        <v>27</v>
      </c>
      <c r="G936" t="s">
        <v>28</v>
      </c>
      <c r="H936" t="s">
        <v>28</v>
      </c>
      <c r="I936" t="s">
        <v>28</v>
      </c>
      <c r="J936" t="s">
        <v>29</v>
      </c>
      <c r="K936" s="85" t="str">
        <f t="shared" si="14"/>
        <v>/mnt/measurements/07_CANape/Mitsubishi/5K45/MMC4.1.2/Validation/2025_11_29/child/part3/Awake/TC_202_Try1.MF4.xz,child,RadarFC_Master,child (ncap1,2),CPD,dummy</v>
      </c>
      <c r="L936" s="85" t="s">
        <v>4012</v>
      </c>
      <c r="M936" t="s">
        <v>1278</v>
      </c>
      <c r="N936" s="129" t="s">
        <v>752</v>
      </c>
    </row>
    <row r="937" spans="1:14">
      <c r="A937" s="77">
        <v>202</v>
      </c>
      <c r="B937" t="s">
        <v>38</v>
      </c>
      <c r="C937" t="s">
        <v>48</v>
      </c>
      <c r="D937" s="97" t="e">
        <f>_xlfn.XLOOKUP(A937,[1]CPD_SOP_new!$A:$A,[1]CPD_SOP_new!#REF!,"not found",0 )</f>
        <v>#REF!</v>
      </c>
      <c r="E937" s="97" t="str">
        <f>_xlfn.XLOOKUP(A937,[1]CPD_SOP_new!$A:$A,[1]CPD_SOP_new!$K:$K,"not found",0 )</f>
        <v>2C</v>
      </c>
      <c r="F937" t="s">
        <v>27</v>
      </c>
      <c r="G937" t="s">
        <v>28</v>
      </c>
      <c r="H937" t="s">
        <v>28</v>
      </c>
      <c r="I937" t="s">
        <v>28</v>
      </c>
      <c r="J937" t="s">
        <v>29</v>
      </c>
      <c r="K937" s="85" t="str">
        <f t="shared" si="14"/>
        <v>/mnt/measurements/07_CANape/Mitsubishi/5K45/MMC4.1.2/Validation/2025_11_29/child/part3/Awake/TC_202_Try2.MF4.xz,child,RadarFC_Master,child (ncap1,2),CPD,dummy</v>
      </c>
      <c r="L937" s="85" t="s">
        <v>4013</v>
      </c>
      <c r="M937" t="s">
        <v>1279</v>
      </c>
      <c r="N937" s="129" t="s">
        <v>752</v>
      </c>
    </row>
    <row r="938" spans="1:14">
      <c r="A938" s="77">
        <v>202</v>
      </c>
      <c r="B938" t="s">
        <v>38</v>
      </c>
      <c r="C938" t="s">
        <v>48</v>
      </c>
      <c r="D938" s="97" t="e">
        <f>_xlfn.XLOOKUP(A938,[1]CPD_SOP_new!$A:$A,[1]CPD_SOP_new!#REF!,"not found",0 )</f>
        <v>#REF!</v>
      </c>
      <c r="E938" s="97" t="str">
        <f>_xlfn.XLOOKUP(A938,[1]CPD_SOP_new!$A:$A,[1]CPD_SOP_new!$K:$K,"not found",0 )</f>
        <v>2C</v>
      </c>
      <c r="F938" t="s">
        <v>27</v>
      </c>
      <c r="G938" t="s">
        <v>28</v>
      </c>
      <c r="H938" t="s">
        <v>28</v>
      </c>
      <c r="I938" t="s">
        <v>28</v>
      </c>
      <c r="J938" t="s">
        <v>29</v>
      </c>
      <c r="K938" s="85" t="str">
        <f t="shared" si="14"/>
        <v>/mnt/measurements/07_CANape/Mitsubishi/5K45/MMC4.1.2/Validation/2025_11_29/child/part3/Awake/TC_202_Try3.MF4.xz,child,RadarFC_Master,child (ncap1,2),CPD,dummy</v>
      </c>
      <c r="L938" s="85" t="s">
        <v>4014</v>
      </c>
      <c r="M938" t="s">
        <v>1280</v>
      </c>
      <c r="N938" s="129" t="s">
        <v>752</v>
      </c>
    </row>
    <row r="939" spans="1:14">
      <c r="A939" s="77">
        <v>203</v>
      </c>
      <c r="B939" t="s">
        <v>38</v>
      </c>
      <c r="C939" t="s">
        <v>48</v>
      </c>
      <c r="D939" s="97" t="e">
        <f>_xlfn.XLOOKUP(A939,[1]CPD_SOP_new!$A:$A,[1]CPD_SOP_new!#REF!,"not found",0 )</f>
        <v>#REF!</v>
      </c>
      <c r="E939" s="97" t="str">
        <f>_xlfn.XLOOKUP(A939,[1]CPD_SOP_new!$A:$A,[1]CPD_SOP_new!$K:$K,"not found",0 )</f>
        <v>3L</v>
      </c>
      <c r="F939" t="s">
        <v>27</v>
      </c>
      <c r="G939" t="s">
        <v>28</v>
      </c>
      <c r="H939" t="s">
        <v>28</v>
      </c>
      <c r="I939" t="s">
        <v>28</v>
      </c>
      <c r="J939" t="s">
        <v>29</v>
      </c>
      <c r="K939" s="85" t="str">
        <f t="shared" si="14"/>
        <v>/mnt/measurements/07_CANape/Mitsubishi/5K45/MMC5.0.0_RC3_with_resetfix/CPD/TC203_Try_1.MF4.xz,child,RadarFC_Master,child (ncap1,2),CPD,dummy</v>
      </c>
      <c r="L939" s="85" t="s">
        <v>4015</v>
      </c>
      <c r="M939" t="s">
        <v>1281</v>
      </c>
      <c r="N939" t="s">
        <v>475</v>
      </c>
    </row>
    <row r="940" spans="1:14">
      <c r="A940" s="77">
        <v>203</v>
      </c>
      <c r="B940" t="s">
        <v>38</v>
      </c>
      <c r="C940" t="s">
        <v>48</v>
      </c>
      <c r="D940" s="97" t="e">
        <f>_xlfn.XLOOKUP(A940,[1]CPD_SOP_new!$A:$A,[1]CPD_SOP_new!#REF!,"not found",0 )</f>
        <v>#REF!</v>
      </c>
      <c r="E940" s="97" t="str">
        <f>_xlfn.XLOOKUP(A940,[1]CPD_SOP_new!$A:$A,[1]CPD_SOP_new!$K:$K,"not found",0 )</f>
        <v>3L</v>
      </c>
      <c r="F940" t="s">
        <v>27</v>
      </c>
      <c r="G940" t="s">
        <v>28</v>
      </c>
      <c r="H940" t="s">
        <v>28</v>
      </c>
      <c r="I940" t="s">
        <v>28</v>
      </c>
      <c r="J940" t="s">
        <v>29</v>
      </c>
      <c r="K940" s="85" t="str">
        <f t="shared" si="14"/>
        <v>/mnt/measurements/07_CANape/Mitsubishi/5K45/MMC5.0.0_RC3_with_resetfix/CPD/TC203_Try_2.MF4.xz,child,RadarFC_Master,child (ncap1,2),CPD,dummy</v>
      </c>
      <c r="L940" s="85" t="s">
        <v>4016</v>
      </c>
      <c r="M940" t="s">
        <v>1283</v>
      </c>
      <c r="N940" t="s">
        <v>475</v>
      </c>
    </row>
    <row r="941" spans="1:14" s="137" customFormat="1">
      <c r="A941" s="77">
        <v>203</v>
      </c>
      <c r="B941" t="s">
        <v>38</v>
      </c>
      <c r="C941" t="s">
        <v>48</v>
      </c>
      <c r="D941" s="97" t="e">
        <f>_xlfn.XLOOKUP(A941,[1]CPD_SOP_new!$A:$A,[1]CPD_SOP_new!#REF!,"not found",0 )</f>
        <v>#REF!</v>
      </c>
      <c r="E941" s="97" t="str">
        <f>_xlfn.XLOOKUP(A941,[1]CPD_SOP_new!$A:$A,[1]CPD_SOP_new!$K:$K,"not found",0 )</f>
        <v>3L</v>
      </c>
      <c r="F941" t="s">
        <v>27</v>
      </c>
      <c r="G941" t="s">
        <v>28</v>
      </c>
      <c r="H941" t="s">
        <v>28</v>
      </c>
      <c r="I941" t="s">
        <v>28</v>
      </c>
      <c r="J941" t="s">
        <v>29</v>
      </c>
      <c r="K941" s="85" t="str">
        <f t="shared" si="14"/>
        <v>/mnt/measurements/07_CANape/Mitsubishi/5K45/MMC5.0.0_RC3_with_resetfix/CPD/TC203_Try_3.MF4.xz,child,RadarFC_Master,child (ncap1,2),CPD,dummy</v>
      </c>
      <c r="L941" s="85" t="s">
        <v>4017</v>
      </c>
      <c r="M941" t="s">
        <v>1284</v>
      </c>
      <c r="N941" t="s">
        <v>475</v>
      </c>
    </row>
    <row r="942" spans="1:14">
      <c r="A942" s="77">
        <v>204</v>
      </c>
      <c r="B942" t="s">
        <v>124</v>
      </c>
      <c r="C942" t="s">
        <v>66</v>
      </c>
      <c r="D942" s="97" t="e">
        <f>_xlfn.XLOOKUP(A942,[1]CPD_SOP_new!$A:$A,[1]CPD_SOP_new!#REF!,"not found",0 )</f>
        <v>#REF!</v>
      </c>
      <c r="E942" s="97" t="str">
        <f>_xlfn.XLOOKUP(A942,[1]CPD_SOP_new!$A:$A,[1]CPD_SOP_new!$K:$K,"not found",0 )</f>
        <v>3L</v>
      </c>
      <c r="F942" t="s">
        <v>28</v>
      </c>
      <c r="G942" t="s">
        <v>28</v>
      </c>
      <c r="H942" t="s">
        <v>28</v>
      </c>
      <c r="I942" t="s">
        <v>28</v>
      </c>
      <c r="J942" t="s">
        <v>124</v>
      </c>
      <c r="K942" s="85" t="str">
        <f t="shared" si="14"/>
        <v>/mnt/measurements/07_CANape/Mitsubishi/5K45/MMC5.0.2/5K457EG11/RealChild/CPD_TC204_Try1.MF4.xz,child,RadarFC_Master,child (ncap3),CPD,realchild</v>
      </c>
      <c r="L942" s="85" t="s">
        <v>4018</v>
      </c>
      <c r="M942" s="132" t="s">
        <v>1285</v>
      </c>
      <c r="N942" s="132" t="s">
        <v>86</v>
      </c>
    </row>
    <row r="943" spans="1:14">
      <c r="A943" s="77">
        <v>204</v>
      </c>
      <c r="B943" t="s">
        <v>124</v>
      </c>
      <c r="C943" t="s">
        <v>66</v>
      </c>
      <c r="D943" s="97" t="e">
        <f>_xlfn.XLOOKUP(A943,[1]CPD_SOP_new!$A:$A,[1]CPD_SOP_new!#REF!,"not found",0 )</f>
        <v>#REF!</v>
      </c>
      <c r="E943" s="97" t="str">
        <f>_xlfn.XLOOKUP(A943,[1]CPD_SOP_new!$A:$A,[1]CPD_SOP_new!$K:$K,"not found",0 )</f>
        <v>3L</v>
      </c>
      <c r="F943" t="s">
        <v>28</v>
      </c>
      <c r="G943" t="s">
        <v>28</v>
      </c>
      <c r="H943" t="s">
        <v>28</v>
      </c>
      <c r="I943" t="s">
        <v>28</v>
      </c>
      <c r="J943" t="s">
        <v>124</v>
      </c>
      <c r="K943" s="85" t="str">
        <f t="shared" si="14"/>
        <v>/mnt/measurements/07_CANape/Mitsubishi/5K45/MMC5.0.2/5K457EG11/RealChild/CPD_TC204_Try2.MF4.xz,child,RadarFC_Master,child (ncap3),CPD,realchild</v>
      </c>
      <c r="L943" s="85" t="s">
        <v>4019</v>
      </c>
      <c r="M943" s="132" t="s">
        <v>1287</v>
      </c>
      <c r="N943" s="132" t="s">
        <v>86</v>
      </c>
    </row>
    <row r="944" spans="1:14">
      <c r="A944" s="77">
        <v>204</v>
      </c>
      <c r="B944" t="s">
        <v>124</v>
      </c>
      <c r="C944" t="s">
        <v>66</v>
      </c>
      <c r="D944" s="97" t="e">
        <f>_xlfn.XLOOKUP(A944,[1]CPD_SOP_new!$A:$A,[1]CPD_SOP_new!#REF!,"not found",0 )</f>
        <v>#REF!</v>
      </c>
      <c r="E944" s="97" t="str">
        <f>_xlfn.XLOOKUP(A944,[1]CPD_SOP_new!$A:$A,[1]CPD_SOP_new!$K:$K,"not found",0 )</f>
        <v>3L</v>
      </c>
      <c r="F944" t="s">
        <v>28</v>
      </c>
      <c r="G944" t="s">
        <v>28</v>
      </c>
      <c r="H944" t="s">
        <v>28</v>
      </c>
      <c r="I944" t="s">
        <v>28</v>
      </c>
      <c r="J944" t="s">
        <v>124</v>
      </c>
      <c r="K944" s="85" t="str">
        <f t="shared" si="14"/>
        <v>/mnt/measurements/07_CANape/Mitsubishi/5K45/MMC5.0.2/5K457EG11/RealChild/CPD_TC204_Try3.MF4.xz,child,RadarFC_Master,child (ncap3),CPD,realchild</v>
      </c>
      <c r="L944" s="85" t="s">
        <v>4020</v>
      </c>
      <c r="M944" s="132" t="s">
        <v>1288</v>
      </c>
      <c r="N944" s="132" t="s">
        <v>86</v>
      </c>
    </row>
    <row r="945" spans="1:21">
      <c r="A945" s="77">
        <v>204</v>
      </c>
      <c r="B945" t="s">
        <v>124</v>
      </c>
      <c r="C945" t="s">
        <v>66</v>
      </c>
      <c r="D945" s="97" t="e">
        <f>_xlfn.XLOOKUP(A945,[1]CPD_SOP_new!$A:$A,[1]CPD_SOP_new!#REF!,"not found",0 )</f>
        <v>#REF!</v>
      </c>
      <c r="E945" s="97" t="str">
        <f>_xlfn.XLOOKUP(A945,[1]CPD_SOP_new!$A:$A,[1]CPD_SOP_new!$K:$K,"not found",0 )</f>
        <v>3L</v>
      </c>
      <c r="F945" t="s">
        <v>28</v>
      </c>
      <c r="G945" t="s">
        <v>28</v>
      </c>
      <c r="H945" t="s">
        <v>28</v>
      </c>
      <c r="I945" t="s">
        <v>28</v>
      </c>
      <c r="J945" t="s">
        <v>124</v>
      </c>
      <c r="K945" s="85" t="str">
        <f t="shared" si="14"/>
        <v>/mnt/measurements/07_CANape/Mitsubishi/5K45/MMC5.0.2/5K457EG11/RealChild/CPD_TC204_Try4.MF4.xz,child,RadarFC_Master,child (ncap3),CPD,realchild</v>
      </c>
      <c r="L945" s="85" t="s">
        <v>4021</v>
      </c>
      <c r="M945" s="132" t="s">
        <v>1289</v>
      </c>
      <c r="N945" s="132" t="s">
        <v>86</v>
      </c>
    </row>
    <row r="946" spans="1:21">
      <c r="A946" s="77">
        <v>204</v>
      </c>
      <c r="B946" t="s">
        <v>124</v>
      </c>
      <c r="C946" t="s">
        <v>66</v>
      </c>
      <c r="D946" s="97" t="e">
        <f>_xlfn.XLOOKUP(A946,[1]CPD_SOP_new!$A:$A,[1]CPD_SOP_new!#REF!,"not found",0 )</f>
        <v>#REF!</v>
      </c>
      <c r="E946" s="97" t="str">
        <f>_xlfn.XLOOKUP(A946,[1]CPD_SOP_new!$A:$A,[1]CPD_SOP_new!$K:$K,"not found",0 )</f>
        <v>3L</v>
      </c>
      <c r="F946" t="s">
        <v>28</v>
      </c>
      <c r="G946" t="s">
        <v>28</v>
      </c>
      <c r="H946" t="s">
        <v>28</v>
      </c>
      <c r="I946" t="s">
        <v>28</v>
      </c>
      <c r="J946" t="s">
        <v>124</v>
      </c>
      <c r="K946" s="85" t="str">
        <f t="shared" si="14"/>
        <v>/mnt/measurements/07_CANape/Mitsubishi/5K45/MMC5.0.2/5K457EG11/RealChild/CPD_TC204_Try5.MF4.xz,child,RadarFC_Master,child (ncap3),CPD,realchild</v>
      </c>
      <c r="L946" s="85" t="s">
        <v>4022</v>
      </c>
      <c r="M946" s="132" t="s">
        <v>1290</v>
      </c>
      <c r="N946" s="73" t="s">
        <v>86</v>
      </c>
    </row>
    <row r="947" spans="1:21">
      <c r="A947" s="77">
        <v>204</v>
      </c>
      <c r="B947" t="s">
        <v>124</v>
      </c>
      <c r="C947" t="s">
        <v>66</v>
      </c>
      <c r="D947" s="97" t="e">
        <f>_xlfn.XLOOKUP(A947,[1]CPD_SOP_new!$A:$A,[1]CPD_SOP_new!#REF!,"not found",0 )</f>
        <v>#REF!</v>
      </c>
      <c r="E947" s="97" t="str">
        <f>_xlfn.XLOOKUP(A947,[1]CPD_SOP_new!$A:$A,[1]CPD_SOP_new!$K:$K,"not found",0 )</f>
        <v>3L</v>
      </c>
      <c r="F947" t="s">
        <v>28</v>
      </c>
      <c r="G947" t="s">
        <v>28</v>
      </c>
      <c r="H947" t="s">
        <v>28</v>
      </c>
      <c r="I947" t="s">
        <v>28</v>
      </c>
      <c r="J947" t="s">
        <v>124</v>
      </c>
      <c r="K947" s="85" t="str">
        <f t="shared" si="14"/>
        <v>/mnt/measurements/07_CANape/Mitsubishi/5K45/5.3.0_RC6/Customer_Testing/Real_Child_Measurements/CSR_XCP_Signals_Recorder_2026-01-29_16-32-52_TC204.MF4.xz,child,RadarFC_Master,child (ncap3),CPD,realchild</v>
      </c>
      <c r="L947" s="85" t="s">
        <v>4023</v>
      </c>
      <c r="M947" t="s">
        <v>1291</v>
      </c>
      <c r="N947" t="s">
        <v>213</v>
      </c>
      <c r="O947" t="s">
        <v>124</v>
      </c>
      <c r="P947" t="s">
        <v>29</v>
      </c>
      <c r="Q947">
        <v>1</v>
      </c>
      <c r="T947">
        <v>0</v>
      </c>
      <c r="U947">
        <v>0</v>
      </c>
    </row>
    <row r="948" spans="1:21">
      <c r="A948" s="77">
        <v>204</v>
      </c>
      <c r="B948" t="s">
        <v>124</v>
      </c>
      <c r="C948" t="s">
        <v>66</v>
      </c>
      <c r="D948" s="97" t="e">
        <f>_xlfn.XLOOKUP(A948,[1]CPD_SOP_new!$A:$A,[1]CPD_SOP_new!#REF!,"not found",0 )</f>
        <v>#REF!</v>
      </c>
      <c r="E948" s="97" t="str">
        <f>_xlfn.XLOOKUP(A948,[1]CPD_SOP_new!$A:$A,[1]CPD_SOP_new!$K:$K,"not found",0 )</f>
        <v>3L</v>
      </c>
      <c r="F948" t="s">
        <v>28</v>
      </c>
      <c r="G948" t="s">
        <v>28</v>
      </c>
      <c r="H948" t="s">
        <v>28</v>
      </c>
      <c r="I948" t="s">
        <v>28</v>
      </c>
      <c r="J948" t="s">
        <v>124</v>
      </c>
      <c r="K948" s="85" t="str">
        <f t="shared" si="14"/>
        <v>/mnt/measurements/07_CANape/Mitsubishi/5K45/5.3.0_RC6/Customer_Testing/Real_Child_Measurements/CSR_XCP_Signals_Recorder_2026-01-29_16-34-37_TC204.MF4.xz,child,RadarFC_Master,child (ncap3),CPD,realchild</v>
      </c>
      <c r="L948" s="85" t="s">
        <v>4024</v>
      </c>
      <c r="M948" t="s">
        <v>1292</v>
      </c>
      <c r="N948" t="s">
        <v>213</v>
      </c>
      <c r="O948" t="s">
        <v>124</v>
      </c>
      <c r="P948" t="s">
        <v>29</v>
      </c>
      <c r="Q948">
        <v>1</v>
      </c>
      <c r="T948">
        <v>0</v>
      </c>
      <c r="U948">
        <v>0</v>
      </c>
    </row>
    <row r="949" spans="1:21">
      <c r="A949" s="77">
        <v>204</v>
      </c>
      <c r="B949" t="s">
        <v>124</v>
      </c>
      <c r="C949" t="s">
        <v>66</v>
      </c>
      <c r="D949" s="97" t="e">
        <f>_xlfn.XLOOKUP(A949,[1]CPD_SOP_new!$A:$A,[1]CPD_SOP_new!#REF!,"not found",0 )</f>
        <v>#REF!</v>
      </c>
      <c r="E949" s="97" t="str">
        <f>_xlfn.XLOOKUP(A949,[1]CPD_SOP_new!$A:$A,[1]CPD_SOP_new!$K:$K,"not found",0 )</f>
        <v>3L</v>
      </c>
      <c r="F949" t="s">
        <v>28</v>
      </c>
      <c r="G949" t="s">
        <v>28</v>
      </c>
      <c r="H949" t="s">
        <v>28</v>
      </c>
      <c r="I949" t="s">
        <v>28</v>
      </c>
      <c r="J949" t="s">
        <v>124</v>
      </c>
      <c r="K949" s="85" t="str">
        <f t="shared" si="14"/>
        <v>/mnt/measurements/07_CANape/Mitsubishi/5K45/5.3.0_RC6/Customer_Testing/Real_Child_Measurements/CSR_XCP_Signals_Recorder_2026-01-29_16-36-18_TC204.MF4.xz,child,RadarFC_Master,child (ncap3),CPD,realchild</v>
      </c>
      <c r="L949" s="85" t="s">
        <v>4025</v>
      </c>
      <c r="M949" t="s">
        <v>1293</v>
      </c>
      <c r="N949" t="s">
        <v>213</v>
      </c>
      <c r="O949" t="s">
        <v>124</v>
      </c>
      <c r="P949" t="s">
        <v>29</v>
      </c>
      <c r="Q949">
        <v>1</v>
      </c>
      <c r="T949">
        <v>0</v>
      </c>
      <c r="U949">
        <v>0</v>
      </c>
    </row>
    <row r="950" spans="1:21">
      <c r="A950" s="77">
        <v>205</v>
      </c>
      <c r="B950" t="s">
        <v>124</v>
      </c>
      <c r="C950" t="s">
        <v>66</v>
      </c>
      <c r="D950" s="97" t="e">
        <f>_xlfn.XLOOKUP(A950,[1]CPD_SOP_new!$A:$A,[1]CPD_SOP_new!#REF!,"not found",0 )</f>
        <v>#REF!</v>
      </c>
      <c r="E950" s="97" t="str">
        <f>_xlfn.XLOOKUP(A950,[1]CPD_SOP_new!$A:$A,[1]CPD_SOP_new!$K:$K,"not found",0 )</f>
        <v>3R</v>
      </c>
      <c r="F950" t="s">
        <v>28</v>
      </c>
      <c r="G950" t="s">
        <v>28</v>
      </c>
      <c r="H950" t="s">
        <v>28</v>
      </c>
      <c r="I950" t="s">
        <v>28</v>
      </c>
      <c r="J950" t="s">
        <v>124</v>
      </c>
      <c r="K950" s="85" t="str">
        <f t="shared" si="14"/>
        <v>/mnt/measurements/07_CANape/Mitsubishi/5K45/MMC5.0.2/5K457EG11/RealChild/CPD_TC205_Try1.MF4.xz,child,RadarFC_Master,child (ncap3),CPD,realchild</v>
      </c>
      <c r="L950" s="85" t="s">
        <v>4026</v>
      </c>
      <c r="M950" s="132" t="s">
        <v>1297</v>
      </c>
      <c r="N950" s="129" t="s">
        <v>86</v>
      </c>
    </row>
    <row r="951" spans="1:21">
      <c r="A951" s="77">
        <v>205</v>
      </c>
      <c r="B951" t="s">
        <v>124</v>
      </c>
      <c r="C951" t="s">
        <v>66</v>
      </c>
      <c r="D951" s="97" t="e">
        <f>_xlfn.XLOOKUP(A951,[1]CPD_SOP_new!$A:$A,[1]CPD_SOP_new!#REF!,"not found",0 )</f>
        <v>#REF!</v>
      </c>
      <c r="E951" s="97" t="str">
        <f>_xlfn.XLOOKUP(A951,[1]CPD_SOP_new!$A:$A,[1]CPD_SOP_new!$K:$K,"not found",0 )</f>
        <v>3R</v>
      </c>
      <c r="F951" t="s">
        <v>28</v>
      </c>
      <c r="G951" t="s">
        <v>28</v>
      </c>
      <c r="H951" t="s">
        <v>28</v>
      </c>
      <c r="I951" t="s">
        <v>28</v>
      </c>
      <c r="J951" t="s">
        <v>124</v>
      </c>
      <c r="K951" s="85" t="str">
        <f t="shared" si="14"/>
        <v>/mnt/measurements/07_CANape/Mitsubishi/5K45/MMC5.0.2/5K457EG11/RealChild/CPD_TC205_Try2.MF4.xz,child,RadarFC_Master,child (ncap3),CPD,realchild</v>
      </c>
      <c r="L951" s="85" t="s">
        <v>4027</v>
      </c>
      <c r="M951" s="132" t="s">
        <v>1299</v>
      </c>
      <c r="N951" s="129" t="s">
        <v>86</v>
      </c>
    </row>
    <row r="952" spans="1:21">
      <c r="A952" s="77">
        <v>205</v>
      </c>
      <c r="B952" t="s">
        <v>124</v>
      </c>
      <c r="C952" t="s">
        <v>66</v>
      </c>
      <c r="D952" s="97" t="e">
        <f>_xlfn.XLOOKUP(A952,[1]CPD_SOP_new!$A:$A,[1]CPD_SOP_new!#REF!,"not found",0 )</f>
        <v>#REF!</v>
      </c>
      <c r="E952" s="97" t="str">
        <f>_xlfn.XLOOKUP(A952,[1]CPD_SOP_new!$A:$A,[1]CPD_SOP_new!$K:$K,"not found",0 )</f>
        <v>3R</v>
      </c>
      <c r="F952" t="s">
        <v>28</v>
      </c>
      <c r="G952" t="s">
        <v>28</v>
      </c>
      <c r="H952" t="s">
        <v>28</v>
      </c>
      <c r="I952" t="s">
        <v>28</v>
      </c>
      <c r="J952" t="s">
        <v>124</v>
      </c>
      <c r="K952" s="85" t="str">
        <f t="shared" si="14"/>
        <v>/mnt/measurements/07_CANape/Mitsubishi/5K45/MMC5.0.2/5K457EG11/RealChild/CPD_TC205_Try3.MF4.xz,child,RadarFC_Master,child (ncap3),CPD,realchild</v>
      </c>
      <c r="L952" s="85" t="s">
        <v>4028</v>
      </c>
      <c r="M952" s="132" t="s">
        <v>1300</v>
      </c>
      <c r="N952" s="129" t="s">
        <v>86</v>
      </c>
    </row>
    <row r="953" spans="1:21">
      <c r="A953" s="77">
        <v>205</v>
      </c>
      <c r="B953" t="s">
        <v>124</v>
      </c>
      <c r="C953" t="s">
        <v>66</v>
      </c>
      <c r="D953" s="97" t="e">
        <f>_xlfn.XLOOKUP(A953,[1]CPD_SOP_new!$A:$A,[1]CPD_SOP_new!#REF!,"not found",0 )</f>
        <v>#REF!</v>
      </c>
      <c r="E953" s="97" t="str">
        <f>_xlfn.XLOOKUP(A953,[1]CPD_SOP_new!$A:$A,[1]CPD_SOP_new!$K:$K,"not found",0 )</f>
        <v>3R</v>
      </c>
      <c r="F953" t="s">
        <v>28</v>
      </c>
      <c r="G953" t="s">
        <v>28</v>
      </c>
      <c r="H953" t="s">
        <v>28</v>
      </c>
      <c r="I953" t="s">
        <v>28</v>
      </c>
      <c r="J953" t="s">
        <v>124</v>
      </c>
      <c r="K953" s="85" t="str">
        <f t="shared" si="14"/>
        <v>/mnt/measurements/07_CANape/Mitsubishi/5K45/MMC5.0.2/5K457EG11/RealChild/CPD_TC205_Try4.MF4.xz,child,RadarFC_Master,child (ncap3),CPD,realchild</v>
      </c>
      <c r="L953" s="85" t="s">
        <v>4029</v>
      </c>
      <c r="M953" s="132" t="s">
        <v>1301</v>
      </c>
      <c r="N953" s="129" t="s">
        <v>86</v>
      </c>
    </row>
    <row r="954" spans="1:21">
      <c r="A954" s="77">
        <v>205</v>
      </c>
      <c r="B954" t="s">
        <v>124</v>
      </c>
      <c r="C954" t="s">
        <v>66</v>
      </c>
      <c r="D954" s="97" t="e">
        <f>_xlfn.XLOOKUP(A954,[1]CPD_SOP_new!$A:$A,[1]CPD_SOP_new!#REF!,"not found",0 )</f>
        <v>#REF!</v>
      </c>
      <c r="E954" s="97" t="str">
        <f>_xlfn.XLOOKUP(A954,[1]CPD_SOP_new!$A:$A,[1]CPD_SOP_new!$K:$K,"not found",0 )</f>
        <v>3R</v>
      </c>
      <c r="F954" t="s">
        <v>28</v>
      </c>
      <c r="G954" t="s">
        <v>28</v>
      </c>
      <c r="H954" t="s">
        <v>28</v>
      </c>
      <c r="I954" t="s">
        <v>28</v>
      </c>
      <c r="J954" t="s">
        <v>124</v>
      </c>
      <c r="K954" s="85" t="str">
        <f t="shared" si="14"/>
        <v>/mnt/measurements/07_CANape/Mitsubishi/5K45/MMC5.0.2/5K457EG11/RealChild/CPD_TC205_Try5.MF4.xz,child,RadarFC_Master,child (ncap3),CPD,realchild</v>
      </c>
      <c r="L954" s="85" t="s">
        <v>4030</v>
      </c>
      <c r="M954" s="132" t="s">
        <v>1302</v>
      </c>
      <c r="N954" s="129" t="s">
        <v>86</v>
      </c>
    </row>
    <row r="955" spans="1:21">
      <c r="A955" s="77">
        <v>206</v>
      </c>
      <c r="B955" t="s">
        <v>124</v>
      </c>
      <c r="C955" t="s">
        <v>253</v>
      </c>
      <c r="D955" s="97" t="e">
        <f>_xlfn.XLOOKUP(A955,[1]CPD_SOP_new!$A:$A,[1]CPD_SOP_new!#REF!,"not found",0 )</f>
        <v>#REF!</v>
      </c>
      <c r="E955" s="97" t="str">
        <f>_xlfn.XLOOKUP(A955,[1]CPD_SOP_new!$A:$A,[1]CPD_SOP_new!$K:$K,"not found",0 )</f>
        <v>3L</v>
      </c>
      <c r="F955" t="s">
        <v>28</v>
      </c>
      <c r="G955" t="s">
        <v>28</v>
      </c>
      <c r="H955" t="s">
        <v>28</v>
      </c>
      <c r="I955" t="s">
        <v>28</v>
      </c>
      <c r="J955" t="s">
        <v>124</v>
      </c>
      <c r="K955" s="85" t="str">
        <f t="shared" si="14"/>
        <v>/mnt/measurements/07_CANape/Mitsubishi/5K45/MMC5.0.2/5K457EG11/RealChild/CPD_TC206_Try2.MF4.xz,child,RadarFC_Master,child (ncap3),CPD,realchild</v>
      </c>
      <c r="L955" s="85" t="s">
        <v>4031</v>
      </c>
      <c r="M955" s="132" t="s">
        <v>1306</v>
      </c>
      <c r="N955" s="129" t="s">
        <v>86</v>
      </c>
    </row>
    <row r="956" spans="1:21">
      <c r="A956" s="77">
        <v>206</v>
      </c>
      <c r="B956" t="s">
        <v>124</v>
      </c>
      <c r="C956" t="s">
        <v>253</v>
      </c>
      <c r="D956" s="97" t="e">
        <f>_xlfn.XLOOKUP(A956,[1]CPD_SOP_new!$A:$A,[1]CPD_SOP_new!#REF!,"not found",0 )</f>
        <v>#REF!</v>
      </c>
      <c r="E956" s="97" t="str">
        <f>_xlfn.XLOOKUP(A956,[1]CPD_SOP_new!$A:$A,[1]CPD_SOP_new!$K:$K,"not found",0 )</f>
        <v>3L</v>
      </c>
      <c r="F956" t="s">
        <v>28</v>
      </c>
      <c r="G956" t="s">
        <v>28</v>
      </c>
      <c r="H956" t="s">
        <v>28</v>
      </c>
      <c r="I956" t="s">
        <v>28</v>
      </c>
      <c r="J956" t="s">
        <v>124</v>
      </c>
      <c r="K956" s="85" t="str">
        <f t="shared" si="14"/>
        <v>/mnt/measurements/07_CANape/Mitsubishi/5K45/MMC5.0.2/5K457EG11/RealChild/CPD_TC206_Try3.MF4.xz,child,RadarFC_Master,child (ncap3),CPD,realchild</v>
      </c>
      <c r="L956" s="85" t="s">
        <v>4032</v>
      </c>
      <c r="M956" s="132" t="s">
        <v>1308</v>
      </c>
      <c r="N956" s="129" t="s">
        <v>86</v>
      </c>
    </row>
    <row r="957" spans="1:21" s="130" customFormat="1" hidden="1">
      <c r="A957" s="78">
        <v>226</v>
      </c>
      <c r="B957" s="130" t="s">
        <v>105</v>
      </c>
      <c r="C957" s="85" t="s">
        <v>66</v>
      </c>
      <c r="D957" s="97" t="e">
        <f>_xlfn.XLOOKUP(A957,[1]CPD_SOP_new!$A:$A,[1]CPD_SOP_new!#REF!,"not found",0 )</f>
        <v>#REF!</v>
      </c>
      <c r="E957" s="97" t="s">
        <v>26</v>
      </c>
      <c r="F957" s="130" t="s">
        <v>28</v>
      </c>
      <c r="G957" s="130" t="s">
        <v>28</v>
      </c>
      <c r="H957" s="130" t="s">
        <v>28</v>
      </c>
      <c r="I957" s="130" t="s">
        <v>27</v>
      </c>
      <c r="J957" s="130" t="s">
        <v>105</v>
      </c>
      <c r="K957" s="85" t="str">
        <f t="shared" si="14"/>
        <v>/mnt/measurements/07_CANape/Mitsubishi/5K45/5.3.0_RC6/Customer_Testing/Real_Child_Measurements/3YO/CSR_XCP_Signals_Recorder_2026-01-30_10-59-13_TC226.MF4.xz,error,RadarFC_Master,error,CPD,realchild</v>
      </c>
      <c r="L957" s="85" t="s">
        <v>4033</v>
      </c>
      <c r="M957" s="130" t="s">
        <v>1426</v>
      </c>
      <c r="N957" s="130" t="s">
        <v>391</v>
      </c>
      <c r="O957" s="130" t="s">
        <v>105</v>
      </c>
      <c r="P957" s="130" t="s">
        <v>105</v>
      </c>
      <c r="Q957" s="130" t="s">
        <v>105</v>
      </c>
      <c r="T957" s="130" t="s">
        <v>105</v>
      </c>
      <c r="U957" s="130" t="s">
        <v>105</v>
      </c>
    </row>
    <row r="958" spans="1:21">
      <c r="A958" s="77">
        <v>206</v>
      </c>
      <c r="B958" t="s">
        <v>124</v>
      </c>
      <c r="C958" t="s">
        <v>253</v>
      </c>
      <c r="D958" s="97" t="e">
        <f>_xlfn.XLOOKUP(A958,[1]CPD_SOP_new!$A:$A,[1]CPD_SOP_new!#REF!,"not found",0 )</f>
        <v>#REF!</v>
      </c>
      <c r="E958" s="97" t="str">
        <f>_xlfn.XLOOKUP(A958,[1]CPD_SOP_new!$A:$A,[1]CPD_SOP_new!$K:$K,"not found",0 )</f>
        <v>3L</v>
      </c>
      <c r="F958" t="s">
        <v>28</v>
      </c>
      <c r="G958" t="s">
        <v>28</v>
      </c>
      <c r="H958" t="s">
        <v>28</v>
      </c>
      <c r="I958" t="s">
        <v>28</v>
      </c>
      <c r="J958" t="s">
        <v>124</v>
      </c>
      <c r="K958" s="85" t="str">
        <f t="shared" si="14"/>
        <v>/mnt/measurements/07_CANape/Mitsubishi/5K45/MMC5.0.2/5K457EG11/RealChild/CPD_TC206_Try4.MF4.xz,child,RadarFC_Master,child (ncap3),CPD,realchild</v>
      </c>
      <c r="L958" s="85" t="s">
        <v>4034</v>
      </c>
      <c r="M958" s="132" t="s">
        <v>1309</v>
      </c>
      <c r="N958" s="129" t="s">
        <v>86</v>
      </c>
    </row>
    <row r="959" spans="1:21">
      <c r="A959" s="77">
        <v>206</v>
      </c>
      <c r="B959" t="s">
        <v>124</v>
      </c>
      <c r="C959" t="s">
        <v>253</v>
      </c>
      <c r="D959" s="97" t="e">
        <f>_xlfn.XLOOKUP(A959,[1]CPD_SOP_new!$A:$A,[1]CPD_SOP_new!#REF!,"not found",0 )</f>
        <v>#REF!</v>
      </c>
      <c r="E959" s="97" t="str">
        <f>_xlfn.XLOOKUP(A959,[1]CPD_SOP_new!$A:$A,[1]CPD_SOP_new!$K:$K,"not found",0 )</f>
        <v>3L</v>
      </c>
      <c r="F959" t="s">
        <v>28</v>
      </c>
      <c r="G959" t="s">
        <v>28</v>
      </c>
      <c r="H959" t="s">
        <v>28</v>
      </c>
      <c r="I959" t="s">
        <v>28</v>
      </c>
      <c r="J959" t="s">
        <v>124</v>
      </c>
      <c r="K959" s="85" t="str">
        <f t="shared" si="14"/>
        <v>/mnt/measurements/07_CANape/Mitsubishi/5K45/MMC5.0.2/5K457EG11/RealChild/CPD_TC206_Try7.MF4.xz,child,RadarFC_Master,child (ncap3),CPD,realchild</v>
      </c>
      <c r="L959" s="85" t="s">
        <v>4035</v>
      </c>
      <c r="M959" s="132" t="s">
        <v>1310</v>
      </c>
      <c r="N959" s="129" t="s">
        <v>86</v>
      </c>
    </row>
    <row r="960" spans="1:21">
      <c r="A960" s="77">
        <v>207</v>
      </c>
      <c r="B960" t="s">
        <v>124</v>
      </c>
      <c r="C960" t="s">
        <v>66</v>
      </c>
      <c r="D960" s="97" t="e">
        <f>_xlfn.XLOOKUP(A960,[1]CPD_SOP_new!$A:$A,[1]CPD_SOP_new!#REF!,"not found",0 )</f>
        <v>#REF!</v>
      </c>
      <c r="E960" s="97" t="str">
        <f>_xlfn.XLOOKUP(A960,[1]CPD_SOP_new!$A:$A,[1]CPD_SOP_new!$K:$K,"not found",0 )</f>
        <v>2C</v>
      </c>
      <c r="F960" t="s">
        <v>28</v>
      </c>
      <c r="G960" t="s">
        <v>28</v>
      </c>
      <c r="H960" t="s">
        <v>28</v>
      </c>
      <c r="I960" t="s">
        <v>28</v>
      </c>
      <c r="J960" t="s">
        <v>124</v>
      </c>
      <c r="K960" s="85" t="str">
        <f t="shared" si="14"/>
        <v>/mnt/measurements/07_CANape/Mitsubishi/5K45/MMC5.0.2/5K457EG11/RealChild/CPD_TC207_Try1.MF4.xz,child,RadarFC_Master,child (ncap3),CPD,realchild</v>
      </c>
      <c r="L960" s="85" t="s">
        <v>4036</v>
      </c>
      <c r="M960" s="132" t="s">
        <v>1314</v>
      </c>
      <c r="N960" s="129" t="s">
        <v>86</v>
      </c>
    </row>
    <row r="961" spans="1:14">
      <c r="A961" s="77">
        <v>207</v>
      </c>
      <c r="B961" t="s">
        <v>124</v>
      </c>
      <c r="C961" t="s">
        <v>66</v>
      </c>
      <c r="D961" s="97" t="e">
        <f>_xlfn.XLOOKUP(A961,[1]CPD_SOP_new!$A:$A,[1]CPD_SOP_new!#REF!,"not found",0 )</f>
        <v>#REF!</v>
      </c>
      <c r="E961" s="97" t="str">
        <f>_xlfn.XLOOKUP(A961,[1]CPD_SOP_new!$A:$A,[1]CPD_SOP_new!$K:$K,"not found",0 )</f>
        <v>2C</v>
      </c>
      <c r="F961" t="s">
        <v>28</v>
      </c>
      <c r="G961" t="s">
        <v>28</v>
      </c>
      <c r="H961" t="s">
        <v>28</v>
      </c>
      <c r="I961" t="s">
        <v>28</v>
      </c>
      <c r="J961" t="s">
        <v>124</v>
      </c>
      <c r="K961" s="85" t="str">
        <f t="shared" si="14"/>
        <v>/mnt/measurements/07_CANape/Mitsubishi/5K45/MMC5.0.2/5K457EG11/RealChild/CPD_TC207_Try2.MF4.xz,child,RadarFC_Master,child (ncap3),CPD,realchild</v>
      </c>
      <c r="L961" s="85" t="s">
        <v>4037</v>
      </c>
      <c r="M961" s="132" t="s">
        <v>1316</v>
      </c>
      <c r="N961" s="129" t="s">
        <v>86</v>
      </c>
    </row>
    <row r="962" spans="1:14">
      <c r="A962" s="77">
        <v>207</v>
      </c>
      <c r="B962" t="s">
        <v>124</v>
      </c>
      <c r="C962" t="s">
        <v>66</v>
      </c>
      <c r="D962" s="97" t="e">
        <f>_xlfn.XLOOKUP(A962,[1]CPD_SOP_new!$A:$A,[1]CPD_SOP_new!#REF!,"not found",0 )</f>
        <v>#REF!</v>
      </c>
      <c r="E962" s="97" t="str">
        <f>_xlfn.XLOOKUP(A962,[1]CPD_SOP_new!$A:$A,[1]CPD_SOP_new!$K:$K,"not found",0 )</f>
        <v>2C</v>
      </c>
      <c r="F962" t="s">
        <v>28</v>
      </c>
      <c r="G962" t="s">
        <v>28</v>
      </c>
      <c r="H962" t="s">
        <v>28</v>
      </c>
      <c r="I962" t="s">
        <v>28</v>
      </c>
      <c r="J962" t="s">
        <v>124</v>
      </c>
      <c r="K962" s="85" t="str">
        <f t="shared" ref="K962:K1025" si="15">N962&amp;"/"&amp;M962&amp;","&amp;IF(J962="ncap3","child",J962)&amp;",RadarFC_Master,"&amp;IF(J962="ncap3","child",J962)&amp;IF(B962="ncap1,2"," ("&amp;B962&amp;")","")&amp;IF(B962="ncap3"," ("&amp;B962&amp;")","")&amp;IF(B962="multiple children"," (ncap1,2)","")&amp;IF(B962="NB awake"," (ncap1,2)","")&amp;",CPD,"&amp;IF(F962="Y","realchild","dummy")</f>
        <v>/mnt/measurements/07_CANape/Mitsubishi/5K45/MMC5.0.2/5K457EG11/RealChild/CPD_TC207_Try3.MF4.xz,child,RadarFC_Master,child (ncap3),CPD,realchild</v>
      </c>
      <c r="L962" s="85" t="s">
        <v>4038</v>
      </c>
      <c r="M962" s="132" t="s">
        <v>1317</v>
      </c>
      <c r="N962" s="129" t="s">
        <v>86</v>
      </c>
    </row>
    <row r="963" spans="1:14">
      <c r="A963" s="77">
        <v>207</v>
      </c>
      <c r="B963" t="s">
        <v>124</v>
      </c>
      <c r="C963" t="s">
        <v>66</v>
      </c>
      <c r="D963" s="97" t="e">
        <f>_xlfn.XLOOKUP(A963,[1]CPD_SOP_new!$A:$A,[1]CPD_SOP_new!#REF!,"not found",0 )</f>
        <v>#REF!</v>
      </c>
      <c r="E963" s="97" t="str">
        <f>_xlfn.XLOOKUP(A963,[1]CPD_SOP_new!$A:$A,[1]CPD_SOP_new!$K:$K,"not found",0 )</f>
        <v>2C</v>
      </c>
      <c r="F963" t="s">
        <v>28</v>
      </c>
      <c r="G963" t="s">
        <v>28</v>
      </c>
      <c r="H963" t="s">
        <v>28</v>
      </c>
      <c r="I963" t="s">
        <v>28</v>
      </c>
      <c r="J963" t="s">
        <v>124</v>
      </c>
      <c r="K963" s="85" t="str">
        <f t="shared" si="15"/>
        <v>/mnt/measurements/07_CANape/Mitsubishi/5K45/MMC5.0.2/5K457EG11/RealChild/CPD_TC207_Try4.MF4.xz,child,RadarFC_Master,child (ncap3),CPD,realchild</v>
      </c>
      <c r="L963" s="85" t="s">
        <v>4039</v>
      </c>
      <c r="M963" s="132" t="s">
        <v>1318</v>
      </c>
      <c r="N963" s="129" t="s">
        <v>86</v>
      </c>
    </row>
    <row r="964" spans="1:14">
      <c r="A964" s="77">
        <v>207</v>
      </c>
      <c r="B964" t="s">
        <v>124</v>
      </c>
      <c r="C964" t="s">
        <v>66</v>
      </c>
      <c r="D964" s="97" t="e">
        <f>_xlfn.XLOOKUP(A964,[1]CPD_SOP_new!$A:$A,[1]CPD_SOP_new!#REF!,"not found",0 )</f>
        <v>#REF!</v>
      </c>
      <c r="E964" s="97" t="str">
        <f>_xlfn.XLOOKUP(A964,[1]CPD_SOP_new!$A:$A,[1]CPD_SOP_new!$K:$K,"not found",0 )</f>
        <v>2C</v>
      </c>
      <c r="F964" t="s">
        <v>28</v>
      </c>
      <c r="G964" t="s">
        <v>28</v>
      </c>
      <c r="H964" t="s">
        <v>28</v>
      </c>
      <c r="I964" t="s">
        <v>28</v>
      </c>
      <c r="J964" t="s">
        <v>124</v>
      </c>
      <c r="K964" s="85" t="str">
        <f t="shared" si="15"/>
        <v>/mnt/measurements/07_CANape/Mitsubishi/5K45/MMC5.0.2/5K457EG11/RealChild/CPD_TC207_Try5.MF4.xz,child,RadarFC_Master,child (ncap3),CPD,realchild</v>
      </c>
      <c r="L964" s="85" t="s">
        <v>4040</v>
      </c>
      <c r="M964" s="132" t="s">
        <v>1319</v>
      </c>
      <c r="N964" s="129" t="s">
        <v>86</v>
      </c>
    </row>
    <row r="965" spans="1:14">
      <c r="A965" s="77">
        <v>208</v>
      </c>
      <c r="B965" t="s">
        <v>124</v>
      </c>
      <c r="C965" t="s">
        <v>253</v>
      </c>
      <c r="D965" s="97" t="e">
        <f>_xlfn.XLOOKUP(A965,[1]CPD_SOP_new!$A:$A,[1]CPD_SOP_new!#REF!,"not found",0 )</f>
        <v>#REF!</v>
      </c>
      <c r="E965" s="97" t="str">
        <f>_xlfn.XLOOKUP(A965,[1]CPD_SOP_new!$A:$A,[1]CPD_SOP_new!$K:$K,"not found",0 )</f>
        <v>3R</v>
      </c>
      <c r="F965" t="s">
        <v>28</v>
      </c>
      <c r="G965" t="s">
        <v>27</v>
      </c>
      <c r="H965" t="s">
        <v>27</v>
      </c>
      <c r="I965" t="s">
        <v>28</v>
      </c>
      <c r="J965" t="s">
        <v>124</v>
      </c>
      <c r="K965" s="85" t="str">
        <f t="shared" si="15"/>
        <v>/mnt/measurements/07_CANape/Mitsubishi/5K45/MMC5.1.0/5K457EG11/CSR_XCP_Signals_Recorder_2025-12-22_16-08-38_TC208_CPD.MF4.xz,child,RadarFC_Master,child (ncap3),CPD,realchild</v>
      </c>
      <c r="L965" s="85" t="s">
        <v>4041</v>
      </c>
      <c r="M965" t="s">
        <v>1320</v>
      </c>
      <c r="N965" s="1" t="s">
        <v>202</v>
      </c>
    </row>
    <row r="966" spans="1:14">
      <c r="A966" s="77">
        <v>208</v>
      </c>
      <c r="B966" t="s">
        <v>124</v>
      </c>
      <c r="C966" t="s">
        <v>253</v>
      </c>
      <c r="D966" s="97" t="e">
        <f>_xlfn.XLOOKUP(A966,[1]CPD_SOP_new!$A:$A,[1]CPD_SOP_new!#REF!,"not found",0 )</f>
        <v>#REF!</v>
      </c>
      <c r="E966" s="97" t="str">
        <f>_xlfn.XLOOKUP(A966,[1]CPD_SOP_new!$A:$A,[1]CPD_SOP_new!$K:$K,"not found",0 )</f>
        <v>3R</v>
      </c>
      <c r="F966" t="s">
        <v>28</v>
      </c>
      <c r="G966" t="s">
        <v>27</v>
      </c>
      <c r="H966" t="s">
        <v>27</v>
      </c>
      <c r="I966" t="s">
        <v>28</v>
      </c>
      <c r="J966" t="s">
        <v>124</v>
      </c>
      <c r="K966" s="85" t="str">
        <f t="shared" si="15"/>
        <v>/mnt/measurements/07_CANape/Mitsubishi/5K45/MMC5.1.0/5K457EG11/CSR_XCP_Signals_Recorder_2025-12-22_16-10-19_TC208_CPD.MF4.xz,child,RadarFC_Master,child (ncap3),CPD,realchild</v>
      </c>
      <c r="L966" s="85" t="s">
        <v>4042</v>
      </c>
      <c r="M966" t="s">
        <v>1322</v>
      </c>
      <c r="N966" s="1" t="s">
        <v>202</v>
      </c>
    </row>
    <row r="967" spans="1:14">
      <c r="A967" s="77">
        <v>208</v>
      </c>
      <c r="B967" t="s">
        <v>124</v>
      </c>
      <c r="C967" t="s">
        <v>253</v>
      </c>
      <c r="D967" s="97" t="e">
        <f>_xlfn.XLOOKUP(A967,[1]CPD_SOP_new!$A:$A,[1]CPD_SOP_new!#REF!,"not found",0 )</f>
        <v>#REF!</v>
      </c>
      <c r="E967" s="97" t="str">
        <f>_xlfn.XLOOKUP(A967,[1]CPD_SOP_new!$A:$A,[1]CPD_SOP_new!$K:$K,"not found",0 )</f>
        <v>3R</v>
      </c>
      <c r="F967" t="s">
        <v>28</v>
      </c>
      <c r="G967" t="s">
        <v>27</v>
      </c>
      <c r="H967" t="s">
        <v>27</v>
      </c>
      <c r="I967" t="s">
        <v>28</v>
      </c>
      <c r="J967" t="s">
        <v>124</v>
      </c>
      <c r="K967" s="85" t="str">
        <f t="shared" si="15"/>
        <v>/mnt/measurements/07_CANape/Mitsubishi/5K45/MMC5.1.0/5K457EG11/CSR_XCP_Signals_Recorder_2025-12-22_16-12-00_TC208_CPD.MF4.xz,child,RadarFC_Master,child (ncap3),CPD,realchild</v>
      </c>
      <c r="L967" s="85" t="s">
        <v>4043</v>
      </c>
      <c r="M967" t="s">
        <v>1323</v>
      </c>
      <c r="N967" s="1" t="s">
        <v>202</v>
      </c>
    </row>
    <row r="968" spans="1:14">
      <c r="A968" s="77">
        <v>209</v>
      </c>
      <c r="B968" t="s">
        <v>124</v>
      </c>
      <c r="C968" t="s">
        <v>253</v>
      </c>
      <c r="D968" s="97" t="e">
        <f>_xlfn.XLOOKUP(A968,[1]CPD_SOP_new!$A:$A,[1]CPD_SOP_new!#REF!,"not found",0 )</f>
        <v>#REF!</v>
      </c>
      <c r="E968" s="97" t="str">
        <f>_xlfn.XLOOKUP(A968,[1]CPD_SOP_new!$A:$A,[1]CPD_SOP_new!$K:$K,"not found",0 )</f>
        <v>3L</v>
      </c>
      <c r="F968" t="s">
        <v>27</v>
      </c>
      <c r="G968" t="s">
        <v>28</v>
      </c>
      <c r="H968" t="s">
        <v>27</v>
      </c>
      <c r="I968" t="s">
        <v>28</v>
      </c>
      <c r="J968" t="s">
        <v>124</v>
      </c>
      <c r="K968" s="85" t="str">
        <f t="shared" si="15"/>
        <v>/mnt/measurements/07_CANape/Mitsubishi/5K45/MMC5.0.0_RC3_with_resetfix/CPD/TC209_Try_1.MF4.xz,child,RadarFC_Master,child (ncap3),CPD,dummy</v>
      </c>
      <c r="L968" s="85" t="s">
        <v>4044</v>
      </c>
      <c r="M968" t="s">
        <v>1327</v>
      </c>
      <c r="N968" s="129" t="s">
        <v>475</v>
      </c>
    </row>
    <row r="969" spans="1:14">
      <c r="A969" s="77">
        <v>209</v>
      </c>
      <c r="B969" t="s">
        <v>124</v>
      </c>
      <c r="C969" t="s">
        <v>253</v>
      </c>
      <c r="D969" s="97" t="e">
        <f>_xlfn.XLOOKUP(A969,[1]CPD_SOP_new!$A:$A,[1]CPD_SOP_new!#REF!,"not found",0 )</f>
        <v>#REF!</v>
      </c>
      <c r="E969" s="97" t="str">
        <f>_xlfn.XLOOKUP(A969,[1]CPD_SOP_new!$A:$A,[1]CPD_SOP_new!$K:$K,"not found",0 )</f>
        <v>3L</v>
      </c>
      <c r="F969" t="s">
        <v>27</v>
      </c>
      <c r="G969" t="s">
        <v>28</v>
      </c>
      <c r="H969" t="s">
        <v>27</v>
      </c>
      <c r="I969" t="s">
        <v>28</v>
      </c>
      <c r="J969" t="s">
        <v>124</v>
      </c>
      <c r="K969" s="85" t="str">
        <f t="shared" si="15"/>
        <v>/mnt/measurements/07_CANape/Mitsubishi/5K45/MMC5.0.0_RC3_with_resetfix/CPD/TC209_Try_2.MF4.xz,child,RadarFC_Master,child (ncap3),CPD,dummy</v>
      </c>
      <c r="L969" s="85" t="s">
        <v>4045</v>
      </c>
      <c r="M969" t="s">
        <v>1329</v>
      </c>
      <c r="N969" s="129" t="s">
        <v>475</v>
      </c>
    </row>
    <row r="970" spans="1:14">
      <c r="A970" s="77">
        <v>209</v>
      </c>
      <c r="B970" t="s">
        <v>124</v>
      </c>
      <c r="C970" t="s">
        <v>253</v>
      </c>
      <c r="D970" s="97" t="e">
        <f>_xlfn.XLOOKUP(A970,[1]CPD_SOP_new!$A:$A,[1]CPD_SOP_new!#REF!,"not found",0 )</f>
        <v>#REF!</v>
      </c>
      <c r="E970" s="97" t="str">
        <f>_xlfn.XLOOKUP(A970,[1]CPD_SOP_new!$A:$A,[1]CPD_SOP_new!$K:$K,"not found",0 )</f>
        <v>3L</v>
      </c>
      <c r="F970" t="s">
        <v>27</v>
      </c>
      <c r="G970" t="s">
        <v>28</v>
      </c>
      <c r="H970" t="s">
        <v>27</v>
      </c>
      <c r="I970" t="s">
        <v>28</v>
      </c>
      <c r="J970" t="s">
        <v>124</v>
      </c>
      <c r="K970" s="85" t="str">
        <f t="shared" si="15"/>
        <v>/mnt/measurements/07_CANape/Mitsubishi/5K45/MMC5.0.0_RC3_with_resetfix/CPD/TC209_Try_3.MF4.xz,child,RadarFC_Master,child (ncap3),CPD,dummy</v>
      </c>
      <c r="L970" s="85" t="s">
        <v>4046</v>
      </c>
      <c r="M970" t="s">
        <v>1330</v>
      </c>
      <c r="N970" s="129" t="s">
        <v>475</v>
      </c>
    </row>
    <row r="971" spans="1:14">
      <c r="A971" s="77">
        <v>210</v>
      </c>
      <c r="B971" t="s">
        <v>124</v>
      </c>
      <c r="C971" t="s">
        <v>253</v>
      </c>
      <c r="D971" s="97" t="e">
        <f>_xlfn.XLOOKUP(A971,[1]CPD_SOP_new!$A:$A,[1]CPD_SOP_new!#REF!,"not found",0 )</f>
        <v>#REF!</v>
      </c>
      <c r="E971" s="97" t="str">
        <f>_xlfn.XLOOKUP(A971,[1]CPD_SOP_new!$A:$A,[1]CPD_SOP_new!$K:$K,"not found",0 )</f>
        <v>3R</v>
      </c>
      <c r="F971" t="s">
        <v>27</v>
      </c>
      <c r="G971" t="s">
        <v>28</v>
      </c>
      <c r="H971" t="s">
        <v>27</v>
      </c>
      <c r="I971" t="s">
        <v>28</v>
      </c>
      <c r="J971" t="s">
        <v>124</v>
      </c>
      <c r="K971" s="85" t="str">
        <f t="shared" si="15"/>
        <v>/mnt/measurements/07_CANape/Mitsubishi/5K45/MMC5.0.0_RC3_with_resetfix/CPD/TC210_Try_1.MF4.xz,child,RadarFC_Master,child (ncap3),CPD,dummy</v>
      </c>
      <c r="L971" s="85" t="s">
        <v>4047</v>
      </c>
      <c r="M971" t="s">
        <v>1331</v>
      </c>
      <c r="N971" s="129" t="s">
        <v>475</v>
      </c>
    </row>
    <row r="972" spans="1:14">
      <c r="A972" s="77">
        <v>210</v>
      </c>
      <c r="B972" t="s">
        <v>124</v>
      </c>
      <c r="C972" t="s">
        <v>253</v>
      </c>
      <c r="D972" s="97" t="e">
        <f>_xlfn.XLOOKUP(A972,[1]CPD_SOP_new!$A:$A,[1]CPD_SOP_new!#REF!,"not found",0 )</f>
        <v>#REF!</v>
      </c>
      <c r="E972" s="97" t="str">
        <f>_xlfn.XLOOKUP(A972,[1]CPD_SOP_new!$A:$A,[1]CPD_SOP_new!$K:$K,"not found",0 )</f>
        <v>3R</v>
      </c>
      <c r="F972" t="s">
        <v>27</v>
      </c>
      <c r="G972" t="s">
        <v>28</v>
      </c>
      <c r="H972" t="s">
        <v>27</v>
      </c>
      <c r="I972" t="s">
        <v>28</v>
      </c>
      <c r="J972" t="s">
        <v>124</v>
      </c>
      <c r="K972" s="85" t="str">
        <f t="shared" si="15"/>
        <v>/mnt/measurements/07_CANape/Mitsubishi/5K45/MMC5.0.0_RC3_with_resetfix/CPD/TC210_Try_2.MF4.xz,child,RadarFC_Master,child (ncap3),CPD,dummy</v>
      </c>
      <c r="L972" s="85" t="s">
        <v>4048</v>
      </c>
      <c r="M972" t="s">
        <v>1333</v>
      </c>
      <c r="N972" s="129" t="s">
        <v>475</v>
      </c>
    </row>
    <row r="973" spans="1:14">
      <c r="A973" s="77">
        <v>210</v>
      </c>
      <c r="B973" t="s">
        <v>124</v>
      </c>
      <c r="C973" t="s">
        <v>253</v>
      </c>
      <c r="D973" s="97" t="e">
        <f>_xlfn.XLOOKUP(A973,[1]CPD_SOP_new!$A:$A,[1]CPD_SOP_new!#REF!,"not found",0 )</f>
        <v>#REF!</v>
      </c>
      <c r="E973" s="97" t="str">
        <f>_xlfn.XLOOKUP(A973,[1]CPD_SOP_new!$A:$A,[1]CPD_SOP_new!$K:$K,"not found",0 )</f>
        <v>3R</v>
      </c>
      <c r="F973" t="s">
        <v>27</v>
      </c>
      <c r="G973" t="s">
        <v>28</v>
      </c>
      <c r="H973" t="s">
        <v>27</v>
      </c>
      <c r="I973" t="s">
        <v>28</v>
      </c>
      <c r="J973" t="s">
        <v>124</v>
      </c>
      <c r="K973" s="85" t="str">
        <f t="shared" si="15"/>
        <v>/mnt/measurements/07_CANape/Mitsubishi/5K45/MMC5.0.0_RC3_with_resetfix/CPD/TC210_Try_3.MF4.xz,child,RadarFC_Master,child (ncap3),CPD,dummy</v>
      </c>
      <c r="L973" s="85" t="s">
        <v>4049</v>
      </c>
      <c r="M973" t="s">
        <v>1334</v>
      </c>
      <c r="N973" s="129" t="s">
        <v>475</v>
      </c>
    </row>
    <row r="974" spans="1:14">
      <c r="A974" s="38">
        <v>211</v>
      </c>
      <c r="B974" t="s">
        <v>124</v>
      </c>
      <c r="C974" t="s">
        <v>253</v>
      </c>
      <c r="D974" s="97" t="e">
        <f>_xlfn.XLOOKUP(A974,[1]CPD_SOP_new!$A:$A,[1]CPD_SOP_new!#REF!,"not found",0 )</f>
        <v>#REF!</v>
      </c>
      <c r="E974" s="97" t="s">
        <v>26</v>
      </c>
      <c r="F974" t="s">
        <v>27</v>
      </c>
      <c r="G974" t="s">
        <v>27</v>
      </c>
      <c r="H974" t="s">
        <v>27</v>
      </c>
      <c r="I974" t="s">
        <v>28</v>
      </c>
      <c r="J974" t="s">
        <v>124</v>
      </c>
      <c r="K974" s="85" t="str">
        <f t="shared" si="15"/>
        <v>/mnt/measurements/07_CANape/Mitsubishi/5K45/MMC4.1.2/Validation/2025_12_02/ChildAwake/TC_211_Try1.MF4.xz,child,RadarFC_Master,child (ncap3),CPD,dummy</v>
      </c>
      <c r="L974" s="85" t="s">
        <v>4050</v>
      </c>
      <c r="M974" t="s">
        <v>1335</v>
      </c>
      <c r="N974" s="129" t="s">
        <v>371</v>
      </c>
    </row>
    <row r="975" spans="1:14">
      <c r="A975" s="38">
        <v>211</v>
      </c>
      <c r="B975" t="s">
        <v>124</v>
      </c>
      <c r="C975" t="s">
        <v>253</v>
      </c>
      <c r="D975" s="97" t="e">
        <f>_xlfn.XLOOKUP(A975,[1]CPD_SOP_new!$A:$A,[1]CPD_SOP_new!#REF!,"not found",0 )</f>
        <v>#REF!</v>
      </c>
      <c r="E975" s="97" t="s">
        <v>26</v>
      </c>
      <c r="F975" t="s">
        <v>27</v>
      </c>
      <c r="G975" t="s">
        <v>27</v>
      </c>
      <c r="H975" t="s">
        <v>27</v>
      </c>
      <c r="I975" t="s">
        <v>28</v>
      </c>
      <c r="J975" t="s">
        <v>124</v>
      </c>
      <c r="K975" s="85" t="str">
        <f t="shared" si="15"/>
        <v>/mnt/measurements/07_CANape/Mitsubishi/5K45/MMC4.1.2/Validation/2025_12_02/ChildAwake/TC_211_Try2.MF4.xz,child,RadarFC_Master,child (ncap3),CPD,dummy</v>
      </c>
      <c r="L975" s="85" t="s">
        <v>4051</v>
      </c>
      <c r="M975" t="s">
        <v>1336</v>
      </c>
      <c r="N975" s="129" t="s">
        <v>371</v>
      </c>
    </row>
    <row r="976" spans="1:14">
      <c r="A976" s="38">
        <v>211</v>
      </c>
      <c r="B976" t="s">
        <v>124</v>
      </c>
      <c r="C976" t="s">
        <v>253</v>
      </c>
      <c r="D976" s="97" t="e">
        <f>_xlfn.XLOOKUP(A976,[1]CPD_SOP_new!$A:$A,[1]CPD_SOP_new!#REF!,"not found",0 )</f>
        <v>#REF!</v>
      </c>
      <c r="E976" s="97" t="s">
        <v>26</v>
      </c>
      <c r="F976" t="s">
        <v>27</v>
      </c>
      <c r="G976" t="s">
        <v>27</v>
      </c>
      <c r="H976" t="s">
        <v>27</v>
      </c>
      <c r="I976" t="s">
        <v>28</v>
      </c>
      <c r="J976" t="s">
        <v>124</v>
      </c>
      <c r="K976" s="85" t="str">
        <f t="shared" si="15"/>
        <v>/mnt/measurements/07_CANape/Mitsubishi/5K45/MMC4.1.2/Validation/2025_12_02/ChildAwake/TC_211_Try3.MF4.xz,child,RadarFC_Master,child (ncap3),CPD,dummy</v>
      </c>
      <c r="L976" s="85" t="s">
        <v>4052</v>
      </c>
      <c r="M976" t="s">
        <v>1337</v>
      </c>
      <c r="N976" s="129" t="s">
        <v>371</v>
      </c>
    </row>
    <row r="977" spans="1:21">
      <c r="A977" s="77">
        <v>212</v>
      </c>
      <c r="B977" t="s">
        <v>124</v>
      </c>
      <c r="C977" t="s">
        <v>253</v>
      </c>
      <c r="D977" s="97" t="e">
        <f>_xlfn.XLOOKUP(A977,[1]CPD_SOP_new!$A:$A,[1]CPD_SOP_new!#REF!,"not found",0 )</f>
        <v>#REF!</v>
      </c>
      <c r="E977" s="97" t="s">
        <v>112</v>
      </c>
      <c r="F977" t="s">
        <v>27</v>
      </c>
      <c r="G977" t="s">
        <v>28</v>
      </c>
      <c r="H977" t="s">
        <v>27</v>
      </c>
      <c r="I977" t="s">
        <v>28</v>
      </c>
      <c r="J977" t="s">
        <v>124</v>
      </c>
      <c r="K977" s="85" t="str">
        <f t="shared" si="15"/>
        <v>/mnt/measurements/07_CANape/Mitsubishi/5K45/MMC5.0.0_RC3_with_resetfix/CPD/TC212_Try_1.MF4.xz,child,RadarFC_Master,child (ncap3),CPD,dummy</v>
      </c>
      <c r="L977" s="85" t="s">
        <v>4053</v>
      </c>
      <c r="M977" t="s">
        <v>1338</v>
      </c>
      <c r="N977" s="129" t="s">
        <v>475</v>
      </c>
    </row>
    <row r="978" spans="1:21">
      <c r="A978" s="77">
        <v>212</v>
      </c>
      <c r="B978" t="s">
        <v>124</v>
      </c>
      <c r="C978" t="s">
        <v>253</v>
      </c>
      <c r="D978" s="97" t="e">
        <f>_xlfn.XLOOKUP(A978,[1]CPD_SOP_new!$A:$A,[1]CPD_SOP_new!#REF!,"not found",0 )</f>
        <v>#REF!</v>
      </c>
      <c r="E978" s="97" t="s">
        <v>112</v>
      </c>
      <c r="F978" t="s">
        <v>27</v>
      </c>
      <c r="G978" t="s">
        <v>28</v>
      </c>
      <c r="H978" t="s">
        <v>27</v>
      </c>
      <c r="I978" t="s">
        <v>28</v>
      </c>
      <c r="J978" t="s">
        <v>124</v>
      </c>
      <c r="K978" s="85" t="str">
        <f t="shared" si="15"/>
        <v>/mnt/measurements/07_CANape/Mitsubishi/5K45/MMC5.0.0_RC3_with_resetfix/CPD/TC212_Try_2.MF4.xz,child,RadarFC_Master,child (ncap3),CPD,dummy</v>
      </c>
      <c r="L978" s="85" t="s">
        <v>4054</v>
      </c>
      <c r="M978" t="s">
        <v>1340</v>
      </c>
      <c r="N978" s="129" t="s">
        <v>475</v>
      </c>
    </row>
    <row r="979" spans="1:21">
      <c r="A979" s="77">
        <v>212</v>
      </c>
      <c r="B979" t="s">
        <v>124</v>
      </c>
      <c r="C979" t="s">
        <v>253</v>
      </c>
      <c r="D979" s="97" t="e">
        <f>_xlfn.XLOOKUP(A979,[1]CPD_SOP_new!$A:$A,[1]CPD_SOP_new!#REF!,"not found",0 )</f>
        <v>#REF!</v>
      </c>
      <c r="E979" s="97" t="s">
        <v>112</v>
      </c>
      <c r="F979" t="s">
        <v>27</v>
      </c>
      <c r="G979" t="s">
        <v>28</v>
      </c>
      <c r="H979" t="s">
        <v>27</v>
      </c>
      <c r="I979" t="s">
        <v>28</v>
      </c>
      <c r="J979" t="s">
        <v>124</v>
      </c>
      <c r="K979" s="85" t="str">
        <f t="shared" si="15"/>
        <v>/mnt/measurements/07_CANape/Mitsubishi/5K45/MMC5.0.0_RC3_with_resetfix/CPD/TC212_Try_3.MF4.xz,child,RadarFC_Master,child (ncap3),CPD,dummy</v>
      </c>
      <c r="L979" s="85" t="s">
        <v>4055</v>
      </c>
      <c r="M979" t="s">
        <v>1341</v>
      </c>
      <c r="N979" s="129" t="s">
        <v>475</v>
      </c>
    </row>
    <row r="980" spans="1:21">
      <c r="A980" s="38">
        <v>213</v>
      </c>
      <c r="B980" t="s">
        <v>124</v>
      </c>
      <c r="C980" t="s">
        <v>253</v>
      </c>
      <c r="D980" s="97" t="e">
        <f>_xlfn.XLOOKUP(A980,[1]CPD_SOP_new!$A:$A,[1]CPD_SOP_new!#REF!,"not found",0 )</f>
        <v>#REF!</v>
      </c>
      <c r="E980" s="97" t="s">
        <v>26</v>
      </c>
      <c r="F980" t="s">
        <v>27</v>
      </c>
      <c r="G980" t="s">
        <v>27</v>
      </c>
      <c r="H980" t="s">
        <v>27</v>
      </c>
      <c r="I980" t="s">
        <v>28</v>
      </c>
      <c r="J980" t="s">
        <v>124</v>
      </c>
      <c r="K980" s="85" t="str">
        <f t="shared" si="15"/>
        <v>/mnt/measurements/07_CANape/Mitsubishi/5K45/MMC4.1.2/Validation/2025_12_02/ChildSleep/TC_213_Try1.MF4.xz,child,RadarFC_Master,child (ncap3),CPD,dummy</v>
      </c>
      <c r="L980" s="85" t="s">
        <v>4056</v>
      </c>
      <c r="M980" t="s">
        <v>1342</v>
      </c>
      <c r="N980" s="129" t="s">
        <v>380</v>
      </c>
    </row>
    <row r="981" spans="1:21">
      <c r="A981" s="38">
        <v>213</v>
      </c>
      <c r="B981" t="s">
        <v>124</v>
      </c>
      <c r="C981" t="s">
        <v>253</v>
      </c>
      <c r="D981" s="97" t="e">
        <f>_xlfn.XLOOKUP(A981,[1]CPD_SOP_new!$A:$A,[1]CPD_SOP_new!#REF!,"not found",0 )</f>
        <v>#REF!</v>
      </c>
      <c r="E981" s="97" t="s">
        <v>26</v>
      </c>
      <c r="F981" t="s">
        <v>27</v>
      </c>
      <c r="G981" t="s">
        <v>27</v>
      </c>
      <c r="H981" t="s">
        <v>27</v>
      </c>
      <c r="I981" t="s">
        <v>28</v>
      </c>
      <c r="J981" t="s">
        <v>124</v>
      </c>
      <c r="K981" s="85" t="str">
        <f t="shared" si="15"/>
        <v>/mnt/measurements/07_CANape/Mitsubishi/5K45/MMC4.1.2/Validation/2025_12_02/ChildSleep/TC_213_Try2.MF4.xz,child,RadarFC_Master,child (ncap3),CPD,dummy</v>
      </c>
      <c r="L981" s="85" t="s">
        <v>4057</v>
      </c>
      <c r="M981" t="s">
        <v>1344</v>
      </c>
      <c r="N981" s="129" t="s">
        <v>380</v>
      </c>
    </row>
    <row r="982" spans="1:21">
      <c r="A982" s="38">
        <v>213</v>
      </c>
      <c r="B982" t="s">
        <v>124</v>
      </c>
      <c r="C982" t="s">
        <v>253</v>
      </c>
      <c r="D982" s="97" t="e">
        <f>_xlfn.XLOOKUP(A982,[1]CPD_SOP_new!$A:$A,[1]CPD_SOP_new!#REF!,"not found",0 )</f>
        <v>#REF!</v>
      </c>
      <c r="E982" s="97" t="s">
        <v>26</v>
      </c>
      <c r="F982" t="s">
        <v>27</v>
      </c>
      <c r="G982" t="s">
        <v>27</v>
      </c>
      <c r="H982" t="s">
        <v>27</v>
      </c>
      <c r="I982" t="s">
        <v>28</v>
      </c>
      <c r="J982" t="s">
        <v>124</v>
      </c>
      <c r="K982" s="85" t="str">
        <f t="shared" si="15"/>
        <v>/mnt/measurements/07_CANape/Mitsubishi/5K45/MMC4.1.2/Validation/2025_12_02/ChildSleep/TC_213_Try3.MF4.xz,child,RadarFC_Master,child (ncap3),CPD,dummy</v>
      </c>
      <c r="L982" s="85" t="s">
        <v>4058</v>
      </c>
      <c r="M982" t="s">
        <v>1345</v>
      </c>
      <c r="N982" s="129" t="s">
        <v>380</v>
      </c>
    </row>
    <row r="983" spans="1:21">
      <c r="A983" s="38">
        <v>214</v>
      </c>
      <c r="B983" t="s">
        <v>124</v>
      </c>
      <c r="C983" t="s">
        <v>253</v>
      </c>
      <c r="D983" s="97" t="e">
        <f>_xlfn.XLOOKUP(A983,[1]CPD_SOP_new!$A:$A,[1]CPD_SOP_new!#REF!,"not found",0 )</f>
        <v>#REF!</v>
      </c>
      <c r="E983" s="97" t="s">
        <v>26</v>
      </c>
      <c r="F983" t="s">
        <v>28</v>
      </c>
      <c r="G983" t="s">
        <v>27</v>
      </c>
      <c r="H983" t="s">
        <v>27</v>
      </c>
      <c r="I983" t="s">
        <v>28</v>
      </c>
      <c r="J983" t="s">
        <v>124</v>
      </c>
      <c r="K983" s="85" t="str">
        <f t="shared" si="15"/>
        <v>/mnt/measurements/07_CANape/Mitsubishi/5K45/MMC5.1.0/5K457EG11/CSR_XCP_Signals_Recorder_2025-12-22_16-33-26_TC214_CPD.MF4.xz,child,RadarFC_Master,child (ncap3),CPD,realchild</v>
      </c>
      <c r="L983" s="85" t="s">
        <v>4059</v>
      </c>
      <c r="M983" t="s">
        <v>1346</v>
      </c>
      <c r="N983" s="1" t="s">
        <v>202</v>
      </c>
    </row>
    <row r="984" spans="1:21" s="137" customFormat="1">
      <c r="A984" s="38">
        <v>214</v>
      </c>
      <c r="B984" t="s">
        <v>124</v>
      </c>
      <c r="C984" t="s">
        <v>253</v>
      </c>
      <c r="D984" s="97" t="e">
        <f>_xlfn.XLOOKUP(A984,[1]CPD_SOP_new!$A:$A,[1]CPD_SOP_new!#REF!,"not found",0 )</f>
        <v>#REF!</v>
      </c>
      <c r="E984" s="97" t="s">
        <v>26</v>
      </c>
      <c r="F984" t="s">
        <v>28</v>
      </c>
      <c r="G984" t="s">
        <v>27</v>
      </c>
      <c r="H984" t="s">
        <v>27</v>
      </c>
      <c r="I984" t="s">
        <v>28</v>
      </c>
      <c r="J984" t="s">
        <v>124</v>
      </c>
      <c r="K984" s="85" t="str">
        <f t="shared" si="15"/>
        <v>/mnt/measurements/07_CANape/Mitsubishi/5K45/MMC5.1.0/5K457EG11/CSR_XCP_Signals_Recorder_2025-12-22_16-35-05_TC214_CPD.MF4.xz,child,RadarFC_Master,child (ncap3),CPD,realchild</v>
      </c>
      <c r="L984" s="85" t="s">
        <v>4060</v>
      </c>
      <c r="M984" t="s">
        <v>1347</v>
      </c>
      <c r="N984" s="1" t="s">
        <v>202</v>
      </c>
    </row>
    <row r="985" spans="1:21">
      <c r="A985" s="38">
        <v>214</v>
      </c>
      <c r="B985" t="s">
        <v>124</v>
      </c>
      <c r="C985" t="s">
        <v>253</v>
      </c>
      <c r="D985" s="97" t="e">
        <f>_xlfn.XLOOKUP(A985,[1]CPD_SOP_new!$A:$A,[1]CPD_SOP_new!#REF!,"not found",0 )</f>
        <v>#REF!</v>
      </c>
      <c r="E985" s="97" t="s">
        <v>26</v>
      </c>
      <c r="F985" t="s">
        <v>28</v>
      </c>
      <c r="G985" t="s">
        <v>27</v>
      </c>
      <c r="H985" t="s">
        <v>27</v>
      </c>
      <c r="I985" t="s">
        <v>28</v>
      </c>
      <c r="J985" t="s">
        <v>124</v>
      </c>
      <c r="K985" s="85" t="str">
        <f t="shared" si="15"/>
        <v>/mnt/measurements/07_CANape/Mitsubishi/5K45/MMC5.1.0/5K457EG11/CSR_XCP_Signals_Recorder_2025-12-22_16-38-22_TC214_CPD.MF4.xz,child,RadarFC_Master,child (ncap3),CPD,realchild</v>
      </c>
      <c r="L985" s="85" t="s">
        <v>4061</v>
      </c>
      <c r="M985" t="s">
        <v>1349</v>
      </c>
      <c r="N985" s="1" t="s">
        <v>202</v>
      </c>
    </row>
    <row r="986" spans="1:21" s="137" customFormat="1">
      <c r="A986" s="38">
        <v>214</v>
      </c>
      <c r="B986" t="s">
        <v>124</v>
      </c>
      <c r="C986" t="s">
        <v>253</v>
      </c>
      <c r="D986" s="97" t="e">
        <f>_xlfn.XLOOKUP(A986,[1]CPD_SOP_new!$A:$A,[1]CPD_SOP_new!#REF!,"not found",0 )</f>
        <v>#REF!</v>
      </c>
      <c r="E986" s="97" t="s">
        <v>26</v>
      </c>
      <c r="F986" t="s">
        <v>28</v>
      </c>
      <c r="G986" t="s">
        <v>27</v>
      </c>
      <c r="H986" t="s">
        <v>27</v>
      </c>
      <c r="I986" t="s">
        <v>28</v>
      </c>
      <c r="J986" t="s">
        <v>124</v>
      </c>
      <c r="K986" s="85" t="str">
        <f t="shared" si="15"/>
        <v>/mnt/measurements/07_CANape/Mitsubishi/5K45/MMC5.1.0/5K457EG11/CSR_XCP_Signals_Recorder_2025-12-22_16-40-01_TC214_CPD.MF4.xz,child,RadarFC_Master,child (ncap3),CPD,realchild</v>
      </c>
      <c r="L986" s="85" t="s">
        <v>4062</v>
      </c>
      <c r="M986" t="s">
        <v>1350</v>
      </c>
      <c r="N986" s="1" t="s">
        <v>202</v>
      </c>
    </row>
    <row r="987" spans="1:21" s="137" customFormat="1" hidden="1">
      <c r="A987" s="78">
        <v>235</v>
      </c>
      <c r="B987" s="137" t="s">
        <v>124</v>
      </c>
      <c r="C987" s="137" t="s">
        <v>253</v>
      </c>
      <c r="D987" s="97" t="e">
        <f>_xlfn.XLOOKUP(A987,[1]CPD_SOP_new!$A:$A,[1]CPD_SOP_new!#REF!,"not found",0 )</f>
        <v>#REF!</v>
      </c>
      <c r="E987" s="97" t="s">
        <v>112</v>
      </c>
      <c r="F987" s="137" t="s">
        <v>28</v>
      </c>
      <c r="G987" s="137" t="s">
        <v>28</v>
      </c>
      <c r="H987" s="137" t="s">
        <v>28</v>
      </c>
      <c r="I987" s="137" t="s">
        <v>27</v>
      </c>
      <c r="J987" s="88" t="s">
        <v>1031</v>
      </c>
      <c r="K987" s="85" t="str">
        <f t="shared" si="15"/>
        <v>/mnt/measurements/07_CANape/Mitsubishi/5K45/5.3.0_RC6/Customer_Testing/Real_Child_Measurements/CSR_XCP_Signals_Recorder_2026-01-30_16-00-17_TC235.MF4.xz,Radar stays in INIT, "m_CpdFuncActive": 8,RadarFC_Master,Radar stays in INIT, "m_CpdFuncActive": 8 (ncap3),CPD,realchild</v>
      </c>
      <c r="L987" s="85" t="s">
        <v>4063</v>
      </c>
      <c r="M987" s="137" t="s">
        <v>1032</v>
      </c>
      <c r="N987" s="137" t="s">
        <v>213</v>
      </c>
      <c r="O987" s="137" t="s">
        <v>124</v>
      </c>
      <c r="P987" s="137" t="s">
        <v>29</v>
      </c>
      <c r="Q987" s="137">
        <v>1</v>
      </c>
      <c r="T987" s="137">
        <v>0</v>
      </c>
      <c r="U987" s="137">
        <v>0</v>
      </c>
    </row>
    <row r="988" spans="1:21">
      <c r="A988" s="77">
        <v>215</v>
      </c>
      <c r="B988" t="s">
        <v>124</v>
      </c>
      <c r="C988" t="s">
        <v>66</v>
      </c>
      <c r="D988" s="97" t="e">
        <f>_xlfn.XLOOKUP(A988,[1]CPD_SOP_new!$A:$A,[1]CPD_SOP_new!#REF!,"not found",0 )</f>
        <v>#REF!</v>
      </c>
      <c r="E988" s="97" t="s">
        <v>112</v>
      </c>
      <c r="F988" t="s">
        <v>28</v>
      </c>
      <c r="G988" t="s">
        <v>27</v>
      </c>
      <c r="H988" t="s">
        <v>27</v>
      </c>
      <c r="I988" t="s">
        <v>28</v>
      </c>
      <c r="J988" t="s">
        <v>124</v>
      </c>
      <c r="K988" s="85" t="str">
        <f t="shared" si="15"/>
        <v>/mnt/measurements/07_CANape/Mitsubishi/5K45/5.3.0_RC6/Customer_Testing/Real_Child_Measurements/3YO/CSR_XCP_Signals_Recorder_2026-01-30_10-37-25_TC215.MF4.xz,child,RadarFC_Master,child (ncap3),CPD,realchild</v>
      </c>
      <c r="L988" s="85" t="s">
        <v>4064</v>
      </c>
      <c r="M988" t="s">
        <v>1351</v>
      </c>
      <c r="N988" t="s">
        <v>391</v>
      </c>
      <c r="O988" t="s">
        <v>124</v>
      </c>
      <c r="P988" t="s">
        <v>29</v>
      </c>
      <c r="Q988">
        <v>1</v>
      </c>
      <c r="T988">
        <v>0</v>
      </c>
      <c r="U988">
        <v>0</v>
      </c>
    </row>
    <row r="989" spans="1:21">
      <c r="A989" s="77">
        <v>215</v>
      </c>
      <c r="B989" t="s">
        <v>124</v>
      </c>
      <c r="C989" t="s">
        <v>66</v>
      </c>
      <c r="D989" s="97" t="e">
        <f>_xlfn.XLOOKUP(A989,[1]CPD_SOP_new!$A:$A,[1]CPD_SOP_new!#REF!,"not found",0 )</f>
        <v>#REF!</v>
      </c>
      <c r="E989" s="97" t="s">
        <v>112</v>
      </c>
      <c r="F989" t="s">
        <v>28</v>
      </c>
      <c r="G989" t="s">
        <v>27</v>
      </c>
      <c r="H989" t="s">
        <v>27</v>
      </c>
      <c r="I989" t="s">
        <v>28</v>
      </c>
      <c r="J989" t="s">
        <v>124</v>
      </c>
      <c r="K989" s="85" t="str">
        <f t="shared" si="15"/>
        <v>/mnt/measurements/07_CANape/Mitsubishi/5K45/5.3.0_RC6/Customer_Testing/Real_Child_Measurements/3YO/CSR_XCP_Signals_Recorder_2026-01-30_10-39-48_TC215.MF4.xz,child,RadarFC_Master,child (ncap3),CPD,realchild</v>
      </c>
      <c r="L989" s="85" t="s">
        <v>4065</v>
      </c>
      <c r="M989" t="s">
        <v>1353</v>
      </c>
      <c r="N989" t="s">
        <v>391</v>
      </c>
      <c r="O989" t="s">
        <v>124</v>
      </c>
      <c r="P989" t="s">
        <v>29</v>
      </c>
      <c r="Q989">
        <v>1</v>
      </c>
      <c r="T989">
        <v>0</v>
      </c>
      <c r="U989">
        <v>0</v>
      </c>
    </row>
    <row r="990" spans="1:21" s="130" customFormat="1" hidden="1">
      <c r="A990" s="78">
        <v>235</v>
      </c>
      <c r="B990" s="130" t="s">
        <v>105</v>
      </c>
      <c r="C990" s="130" t="s">
        <v>253</v>
      </c>
      <c r="D990" s="97" t="e">
        <f>_xlfn.XLOOKUP(A990,[1]CPD_SOP_new!$A:$A,[1]CPD_SOP_new!#REF!,"not found",0 )</f>
        <v>#REF!</v>
      </c>
      <c r="E990" s="97" t="s">
        <v>112</v>
      </c>
      <c r="F990" s="130" t="s">
        <v>28</v>
      </c>
      <c r="G990" s="130" t="s">
        <v>28</v>
      </c>
      <c r="H990" s="130" t="s">
        <v>28</v>
      </c>
      <c r="I990" s="130" t="s">
        <v>27</v>
      </c>
      <c r="J990" s="130" t="s">
        <v>105</v>
      </c>
      <c r="K990" s="85" t="str">
        <f t="shared" si="15"/>
        <v>/mnt/measurements/07_CANape/Mitsubishi/5K45/5.3.0_RC6/Customer_Testing/Real_Child_Measurements/6YO/CSR_XCP_Signals_Recorder_2026-01-30_14-50-35_TC235.MF4.xz,error,RadarFC_Master,error,CPD,realchild</v>
      </c>
      <c r="L990" s="85" t="s">
        <v>4066</v>
      </c>
      <c r="M990" s="130" t="s">
        <v>1024</v>
      </c>
      <c r="N990" s="130" t="s">
        <v>271</v>
      </c>
      <c r="O990" s="130" t="s">
        <v>105</v>
      </c>
      <c r="P990" s="130" t="s">
        <v>105</v>
      </c>
      <c r="Q990" s="130" t="s">
        <v>105</v>
      </c>
      <c r="T990" s="130" t="s">
        <v>105</v>
      </c>
      <c r="U990" s="130" t="s">
        <v>105</v>
      </c>
    </row>
    <row r="991" spans="1:21">
      <c r="A991" s="77">
        <v>215</v>
      </c>
      <c r="B991" t="s">
        <v>124</v>
      </c>
      <c r="C991" t="s">
        <v>66</v>
      </c>
      <c r="D991" s="97" t="e">
        <f>_xlfn.XLOOKUP(A991,[1]CPD_SOP_new!$A:$A,[1]CPD_SOP_new!#REF!,"not found",0 )</f>
        <v>#REF!</v>
      </c>
      <c r="E991" s="97" t="s">
        <v>112</v>
      </c>
      <c r="F991" t="s">
        <v>28</v>
      </c>
      <c r="G991" t="s">
        <v>27</v>
      </c>
      <c r="H991" t="s">
        <v>27</v>
      </c>
      <c r="I991" t="s">
        <v>28</v>
      </c>
      <c r="J991" t="s">
        <v>124</v>
      </c>
      <c r="K991" s="85" t="str">
        <f t="shared" si="15"/>
        <v>/mnt/measurements/07_CANape/Mitsubishi/5K45/5.3.0_RC6/Customer_Testing/Real_Child_Measurements/3YO/CSR_XCP_Signals_Recorder_2026-01-30_10-43-02_TC215.MF4.xz,child,RadarFC_Master,child (ncap3),CPD,realchild</v>
      </c>
      <c r="L991" s="85" t="s">
        <v>4067</v>
      </c>
      <c r="M991" t="s">
        <v>1354</v>
      </c>
      <c r="N991" t="s">
        <v>391</v>
      </c>
      <c r="O991" t="s">
        <v>124</v>
      </c>
      <c r="P991" t="s">
        <v>29</v>
      </c>
      <c r="Q991">
        <v>1</v>
      </c>
      <c r="T991">
        <v>0</v>
      </c>
      <c r="U991">
        <v>0</v>
      </c>
    </row>
    <row r="992" spans="1:21">
      <c r="A992" s="77">
        <v>215</v>
      </c>
      <c r="B992" t="s">
        <v>124</v>
      </c>
      <c r="C992" t="s">
        <v>66</v>
      </c>
      <c r="D992" s="97" t="e">
        <f>_xlfn.XLOOKUP(A992,[1]CPD_SOP_new!$A:$A,[1]CPD_SOP_new!#REF!,"not found",0 )</f>
        <v>#REF!</v>
      </c>
      <c r="E992" s="97" t="s">
        <v>112</v>
      </c>
      <c r="F992" t="s">
        <v>28</v>
      </c>
      <c r="G992" t="s">
        <v>27</v>
      </c>
      <c r="H992" t="s">
        <v>27</v>
      </c>
      <c r="I992" t="s">
        <v>28</v>
      </c>
      <c r="J992" t="s">
        <v>124</v>
      </c>
      <c r="K992" s="85" t="str">
        <f t="shared" si="15"/>
        <v>/mnt/measurements/07_CANape/Mitsubishi/5K45/5.3.0_RC6/Customer_Testing/Real_Child_Measurements/3YO/CSR_XCP_Signals_Recorder_2026-01-30_10-45-45_TC215.MF4.xz,child,RadarFC_Master,child (ncap3),CPD,realchild</v>
      </c>
      <c r="L992" s="85" t="s">
        <v>4068</v>
      </c>
      <c r="M992" t="s">
        <v>1355</v>
      </c>
      <c r="N992" t="s">
        <v>391</v>
      </c>
      <c r="O992" t="s">
        <v>124</v>
      </c>
      <c r="P992" t="s">
        <v>29</v>
      </c>
      <c r="Q992">
        <v>1</v>
      </c>
      <c r="T992">
        <v>0</v>
      </c>
      <c r="U992">
        <v>0</v>
      </c>
    </row>
    <row r="993" spans="1:21">
      <c r="A993" s="77">
        <v>215</v>
      </c>
      <c r="B993" t="s">
        <v>124</v>
      </c>
      <c r="C993" t="s">
        <v>66</v>
      </c>
      <c r="D993" s="97" t="e">
        <f>_xlfn.XLOOKUP(A993,[1]CPD_SOP_new!$A:$A,[1]CPD_SOP_new!#REF!,"not found",0 )</f>
        <v>#REF!</v>
      </c>
      <c r="E993" s="97" t="s">
        <v>112</v>
      </c>
      <c r="F993" t="s">
        <v>28</v>
      </c>
      <c r="G993" t="s">
        <v>27</v>
      </c>
      <c r="H993" t="s">
        <v>27</v>
      </c>
      <c r="I993" t="s">
        <v>28</v>
      </c>
      <c r="J993" t="s">
        <v>124</v>
      </c>
      <c r="K993" s="85" t="str">
        <f t="shared" si="15"/>
        <v>/mnt/measurements/07_CANape/Mitsubishi/5K45/5.3.0_RC6/Customer_Testing/Real_Child_Measurements/3YO/CSR_XCP_Signals_Recorder_2026-01-30_10-47-10_TC215.MF4.xz,child,RadarFC_Master,child (ncap3),CPD,realchild</v>
      </c>
      <c r="L993" s="85" t="s">
        <v>4069</v>
      </c>
      <c r="M993" t="s">
        <v>1356</v>
      </c>
      <c r="N993" t="s">
        <v>391</v>
      </c>
      <c r="O993" t="s">
        <v>124</v>
      </c>
      <c r="P993" t="s">
        <v>29</v>
      </c>
      <c r="Q993">
        <v>1</v>
      </c>
      <c r="T993">
        <v>0</v>
      </c>
      <c r="U993">
        <v>0</v>
      </c>
    </row>
    <row r="994" spans="1:21">
      <c r="A994" s="77">
        <v>216</v>
      </c>
      <c r="B994" t="s">
        <v>124</v>
      </c>
      <c r="C994" t="s">
        <v>253</v>
      </c>
      <c r="D994" s="97" t="e">
        <f>_xlfn.XLOOKUP(A994,[1]CPD_SOP_new!$A:$A,[1]CPD_SOP_new!#REF!,"not found",0 )</f>
        <v>#REF!</v>
      </c>
      <c r="E994" s="97" t="str">
        <f>_xlfn.XLOOKUP(A994,[1]CPD_SOP_new!$A:$A,[1]CPD_SOP_new!$K:$K,"not found",0 )</f>
        <v>3L</v>
      </c>
      <c r="F994" t="s">
        <v>28</v>
      </c>
      <c r="G994" t="s">
        <v>28</v>
      </c>
      <c r="H994" t="s">
        <v>28</v>
      </c>
      <c r="I994" t="s">
        <v>28</v>
      </c>
      <c r="J994" t="s">
        <v>124</v>
      </c>
      <c r="K994" s="85" t="str">
        <f t="shared" si="15"/>
        <v>/mnt/measurements/07_CANape/Mitsubishi/5K45/MMC5.1.0/5K457EG11/CSR_XCP_Signals_Recorder_2025-12-18_16-13-48_TC216_CPD.MF4.xz,child,RadarFC_Master,child (ncap3),CPD,realchild</v>
      </c>
      <c r="L994" s="85" t="s">
        <v>4070</v>
      </c>
      <c r="M994" s="132" t="s">
        <v>1357</v>
      </c>
      <c r="N994" s="132" t="s">
        <v>202</v>
      </c>
    </row>
    <row r="995" spans="1:21">
      <c r="A995" s="77">
        <v>216</v>
      </c>
      <c r="B995" t="s">
        <v>124</v>
      </c>
      <c r="C995" t="s">
        <v>253</v>
      </c>
      <c r="D995" s="97" t="e">
        <f>_xlfn.XLOOKUP(A995,[1]CPD_SOP_new!$A:$A,[1]CPD_SOP_new!#REF!,"not found",0 )</f>
        <v>#REF!</v>
      </c>
      <c r="E995" s="97" t="str">
        <f>_xlfn.XLOOKUP(A995,[1]CPD_SOP_new!$A:$A,[1]CPD_SOP_new!$K:$K,"not found",0 )</f>
        <v>3L</v>
      </c>
      <c r="F995" t="s">
        <v>28</v>
      </c>
      <c r="G995" t="s">
        <v>28</v>
      </c>
      <c r="H995" t="s">
        <v>28</v>
      </c>
      <c r="I995" t="s">
        <v>28</v>
      </c>
      <c r="J995" t="s">
        <v>124</v>
      </c>
      <c r="K995" s="85" t="str">
        <f t="shared" si="15"/>
        <v>/mnt/measurements/07_CANape/Mitsubishi/5K45/MMC5.1.0/5K457EG11/CSR_XCP_Signals_Recorder_2025-12-18_16-15-31_TC216_CPD.MF4.xz,child,RadarFC_Master,child (ncap3),CPD,realchild</v>
      </c>
      <c r="L995" s="85" t="s">
        <v>4071</v>
      </c>
      <c r="M995" s="132" t="s">
        <v>1359</v>
      </c>
      <c r="N995" s="132" t="s">
        <v>202</v>
      </c>
    </row>
    <row r="996" spans="1:21">
      <c r="A996" s="77">
        <v>216</v>
      </c>
      <c r="B996" t="s">
        <v>124</v>
      </c>
      <c r="C996" t="s">
        <v>253</v>
      </c>
      <c r="D996" s="97" t="e">
        <f>_xlfn.XLOOKUP(A996,[1]CPD_SOP_new!$A:$A,[1]CPD_SOP_new!#REF!,"not found",0 )</f>
        <v>#REF!</v>
      </c>
      <c r="E996" s="97" t="str">
        <f>_xlfn.XLOOKUP(A996,[1]CPD_SOP_new!$A:$A,[1]CPD_SOP_new!$K:$K,"not found",0 )</f>
        <v>3L</v>
      </c>
      <c r="F996" t="s">
        <v>28</v>
      </c>
      <c r="G996" t="s">
        <v>28</v>
      </c>
      <c r="H996" t="s">
        <v>28</v>
      </c>
      <c r="I996" t="s">
        <v>28</v>
      </c>
      <c r="J996" t="s">
        <v>124</v>
      </c>
      <c r="K996" s="85" t="str">
        <f t="shared" si="15"/>
        <v>/mnt/measurements/07_CANape/Mitsubishi/5K45/MMC5.1.0/5K457EG11/CSR_XCP_Signals_Recorder_2025-12-18_16-17-05_TC216_CPD.MF4.xz,child,RadarFC_Master,child (ncap3),CPD,realchild</v>
      </c>
      <c r="L996" s="85" t="s">
        <v>4072</v>
      </c>
      <c r="M996" s="132" t="s">
        <v>1360</v>
      </c>
      <c r="N996" s="132" t="s">
        <v>202</v>
      </c>
    </row>
    <row r="997" spans="1:21">
      <c r="A997" s="77">
        <v>216</v>
      </c>
      <c r="B997" t="s">
        <v>124</v>
      </c>
      <c r="C997" t="s">
        <v>253</v>
      </c>
      <c r="D997" s="97" t="e">
        <f>_xlfn.XLOOKUP(A997,[1]CPD_SOP_new!$A:$A,[1]CPD_SOP_new!#REF!,"not found",0 )</f>
        <v>#REF!</v>
      </c>
      <c r="E997" s="97" t="str">
        <f>_xlfn.XLOOKUP(A997,[1]CPD_SOP_new!$A:$A,[1]CPD_SOP_new!$K:$K,"not found",0 )</f>
        <v>3L</v>
      </c>
      <c r="F997" t="s">
        <v>28</v>
      </c>
      <c r="G997" t="s">
        <v>28</v>
      </c>
      <c r="H997" t="s">
        <v>28</v>
      </c>
      <c r="I997" t="s">
        <v>28</v>
      </c>
      <c r="J997" t="s">
        <v>124</v>
      </c>
      <c r="K997" s="85" t="str">
        <f t="shared" si="15"/>
        <v>/mnt/measurements/07_CANape/Mitsubishi/5K45/MMC5.1.0/5K457EG11/CSR_XCP_Signals_Recorder_2025-12-18_16-18-38_TC216_CPD.MF4.xz,child,RadarFC_Master,child (ncap3),CPD,realchild</v>
      </c>
      <c r="L997" s="85" t="s">
        <v>4073</v>
      </c>
      <c r="M997" s="132" t="s">
        <v>1361</v>
      </c>
      <c r="N997" s="132" t="s">
        <v>202</v>
      </c>
    </row>
    <row r="998" spans="1:21">
      <c r="A998" s="77">
        <v>216</v>
      </c>
      <c r="B998" t="s">
        <v>124</v>
      </c>
      <c r="C998" t="s">
        <v>253</v>
      </c>
      <c r="D998" s="97" t="e">
        <f>_xlfn.XLOOKUP(A998,[1]CPD_SOP_new!$A:$A,[1]CPD_SOP_new!#REF!,"not found",0 )</f>
        <v>#REF!</v>
      </c>
      <c r="E998" s="97" t="str">
        <f>_xlfn.XLOOKUP(A998,[1]CPD_SOP_new!$A:$A,[1]CPD_SOP_new!$K:$K,"not found",0 )</f>
        <v>3L</v>
      </c>
      <c r="F998" t="s">
        <v>28</v>
      </c>
      <c r="G998" t="s">
        <v>28</v>
      </c>
      <c r="H998" t="s">
        <v>28</v>
      </c>
      <c r="I998" t="s">
        <v>28</v>
      </c>
      <c r="J998" t="s">
        <v>124</v>
      </c>
      <c r="K998" s="85" t="str">
        <f t="shared" si="15"/>
        <v>/mnt/measurements/07_CANape/Mitsubishi/5K45/MMC5.1.0/5K457EG11/CSR_XCP_Signals_Recorder_2025-12-18_16-20-14_TC216_CPD.MF4.xz,child,RadarFC_Master,child (ncap3),CPD,realchild</v>
      </c>
      <c r="L998" s="85" t="s">
        <v>4074</v>
      </c>
      <c r="M998" s="132" t="s">
        <v>1362</v>
      </c>
      <c r="N998" s="132" t="s">
        <v>202</v>
      </c>
    </row>
    <row r="999" spans="1:21">
      <c r="A999" s="77">
        <v>216</v>
      </c>
      <c r="B999" t="s">
        <v>124</v>
      </c>
      <c r="C999" t="s">
        <v>253</v>
      </c>
      <c r="D999" s="97" t="e">
        <f>_xlfn.XLOOKUP(A999,[1]CPD_SOP_new!$A:$A,[1]CPD_SOP_new!#REF!,"not found",0 )</f>
        <v>#REF!</v>
      </c>
      <c r="E999" s="97" t="str">
        <f>_xlfn.XLOOKUP(A999,[1]CPD_SOP_new!$A:$A,[1]CPD_SOP_new!$K:$K,"not found",0 )</f>
        <v>3L</v>
      </c>
      <c r="F999" t="s">
        <v>28</v>
      </c>
      <c r="G999" t="s">
        <v>28</v>
      </c>
      <c r="H999" t="s">
        <v>28</v>
      </c>
      <c r="I999" t="s">
        <v>28</v>
      </c>
      <c r="J999" t="s">
        <v>124</v>
      </c>
      <c r="K999" s="85" t="str">
        <f t="shared" si="15"/>
        <v>/mnt/measurements/07_CANape/Mitsubishi/5K45/MMC5.0.2/5K457EG11/RealChild/CSR_XCP_Signals_Recorder_2026-01-20_16-23-48_CPD_TC216_Try5.MF4.xz,child,RadarFC_Master,child (ncap3),CPD,realchild</v>
      </c>
      <c r="L999" s="85" t="s">
        <v>4075</v>
      </c>
      <c r="M999" t="s">
        <v>1363</v>
      </c>
      <c r="N999" t="s">
        <v>86</v>
      </c>
    </row>
    <row r="1000" spans="1:21">
      <c r="A1000" s="77">
        <v>216</v>
      </c>
      <c r="B1000" t="s">
        <v>124</v>
      </c>
      <c r="C1000" t="s">
        <v>253</v>
      </c>
      <c r="D1000" s="97" t="e">
        <f>_xlfn.XLOOKUP(A1000,[1]CPD_SOP_new!$A:$A,[1]CPD_SOP_new!#REF!,"not found",0 )</f>
        <v>#REF!</v>
      </c>
      <c r="E1000" s="97" t="str">
        <f>_xlfn.XLOOKUP(A1000,[1]CPD_SOP_new!$A:$A,[1]CPD_SOP_new!$K:$K,"not found",0 )</f>
        <v>3L</v>
      </c>
      <c r="F1000" t="s">
        <v>28</v>
      </c>
      <c r="G1000" t="s">
        <v>28</v>
      </c>
      <c r="H1000" t="s">
        <v>28</v>
      </c>
      <c r="I1000" t="s">
        <v>28</v>
      </c>
      <c r="J1000" t="s">
        <v>124</v>
      </c>
      <c r="K1000" s="85" t="str">
        <f t="shared" si="15"/>
        <v>/mnt/measurements/07_CANape/Mitsubishi/5K45/MMC5.0.2/5K457EG11/RealChild/CSR_XCP_Signals_Recorder_2026-01-20_16-12-57_CPD_TC216_Try_1.MF4.xz,child,RadarFC_Master,child (ncap3),CPD,realchild</v>
      </c>
      <c r="L1000" s="85" t="s">
        <v>4076</v>
      </c>
      <c r="M1000" t="s">
        <v>1364</v>
      </c>
      <c r="N1000" t="s">
        <v>86</v>
      </c>
    </row>
    <row r="1001" spans="1:21">
      <c r="A1001" s="77">
        <v>216</v>
      </c>
      <c r="B1001" t="s">
        <v>124</v>
      </c>
      <c r="C1001" t="s">
        <v>253</v>
      </c>
      <c r="D1001" s="97" t="e">
        <f>_xlfn.XLOOKUP(A1001,[1]CPD_SOP_new!$A:$A,[1]CPD_SOP_new!#REF!,"not found",0 )</f>
        <v>#REF!</v>
      </c>
      <c r="E1001" s="97" t="str">
        <f>_xlfn.XLOOKUP(A1001,[1]CPD_SOP_new!$A:$A,[1]CPD_SOP_new!$K:$K,"not found",0 )</f>
        <v>3L</v>
      </c>
      <c r="F1001" t="s">
        <v>28</v>
      </c>
      <c r="G1001" t="s">
        <v>28</v>
      </c>
      <c r="H1001" t="s">
        <v>28</v>
      </c>
      <c r="I1001" t="s">
        <v>28</v>
      </c>
      <c r="J1001" t="s">
        <v>124</v>
      </c>
      <c r="K1001" s="85" t="str">
        <f t="shared" si="15"/>
        <v>/mnt/measurements/07_CANape/Mitsubishi/5K45/MMC5.0.2/5K457EG11/RealChild/CSR_XCP_Signals_Recorder_2026-01-20_16-14-45_CPD_TC216_Try2.MF4.xz,child,RadarFC_Master,child (ncap3),CPD,realchild</v>
      </c>
      <c r="L1001" s="85" t="s">
        <v>4077</v>
      </c>
      <c r="M1001" t="s">
        <v>1365</v>
      </c>
      <c r="N1001" t="s">
        <v>86</v>
      </c>
    </row>
    <row r="1002" spans="1:21">
      <c r="A1002" s="77">
        <v>216</v>
      </c>
      <c r="B1002" t="s">
        <v>124</v>
      </c>
      <c r="C1002" t="s">
        <v>253</v>
      </c>
      <c r="D1002" s="97" t="e">
        <f>_xlfn.XLOOKUP(A1002,[1]CPD_SOP_new!$A:$A,[1]CPD_SOP_new!#REF!,"not found",0 )</f>
        <v>#REF!</v>
      </c>
      <c r="E1002" s="97" t="str">
        <f>_xlfn.XLOOKUP(A1002,[1]CPD_SOP_new!$A:$A,[1]CPD_SOP_new!$K:$K,"not found",0 )</f>
        <v>3L</v>
      </c>
      <c r="F1002" t="s">
        <v>28</v>
      </c>
      <c r="G1002" t="s">
        <v>28</v>
      </c>
      <c r="H1002" t="s">
        <v>28</v>
      </c>
      <c r="I1002" t="s">
        <v>28</v>
      </c>
      <c r="J1002" t="s">
        <v>124</v>
      </c>
      <c r="K1002" s="85" t="str">
        <f t="shared" si="15"/>
        <v>/mnt/measurements/07_CANape/Mitsubishi/5K45/MMC5.0.2/5K457EG11/RealChild/CSR_XCP_Signals_Recorder_2026-01-20_16-17-46_CPD_TC216_Try3.MF4.xz,child,RadarFC_Master,child (ncap3),CPD,realchild</v>
      </c>
      <c r="L1002" s="85" t="s">
        <v>4078</v>
      </c>
      <c r="M1002" t="s">
        <v>1366</v>
      </c>
      <c r="N1002" t="s">
        <v>86</v>
      </c>
    </row>
    <row r="1003" spans="1:21">
      <c r="A1003" s="77">
        <v>216</v>
      </c>
      <c r="B1003" t="s">
        <v>124</v>
      </c>
      <c r="C1003" t="s">
        <v>253</v>
      </c>
      <c r="D1003" s="97" t="e">
        <f>_xlfn.XLOOKUP(A1003,[1]CPD_SOP_new!$A:$A,[1]CPD_SOP_new!#REF!,"not found",0 )</f>
        <v>#REF!</v>
      </c>
      <c r="E1003" s="97" t="str">
        <f>_xlfn.XLOOKUP(A1003,[1]CPD_SOP_new!$A:$A,[1]CPD_SOP_new!$K:$K,"not found",0 )</f>
        <v>3L</v>
      </c>
      <c r="F1003" t="s">
        <v>28</v>
      </c>
      <c r="G1003" t="s">
        <v>28</v>
      </c>
      <c r="H1003" t="s">
        <v>28</v>
      </c>
      <c r="I1003" t="s">
        <v>28</v>
      </c>
      <c r="J1003" t="s">
        <v>124</v>
      </c>
      <c r="K1003" s="85" t="str">
        <f t="shared" si="15"/>
        <v>/mnt/measurements/07_CANape/Mitsubishi/5K45/MMC5.0.2/5K457EG11/RealChild/CSR_XCP_Signals_Recorder_2026-01-20_16-22-17_CPD_TC216_Try4.MF4.xz,child,RadarFC_Master,child (ncap3),CPD,realchild</v>
      </c>
      <c r="L1003" s="85" t="s">
        <v>4079</v>
      </c>
      <c r="M1003" t="s">
        <v>1367</v>
      </c>
      <c r="N1003" t="s">
        <v>86</v>
      </c>
    </row>
    <row r="1004" spans="1:21">
      <c r="A1004" s="77">
        <v>216</v>
      </c>
      <c r="B1004" t="s">
        <v>124</v>
      </c>
      <c r="C1004" t="s">
        <v>253</v>
      </c>
      <c r="D1004" s="97" t="e">
        <f>_xlfn.XLOOKUP(A1004,[1]CPD_SOP_new!$A:$A,[1]CPD_SOP_new!#REF!,"not found",0 )</f>
        <v>#REF!</v>
      </c>
      <c r="E1004" s="97" t="str">
        <f>_xlfn.XLOOKUP(A1004,[1]CPD_SOP_new!$A:$A,[1]CPD_SOP_new!$K:$K,"not found",0 )</f>
        <v>3L</v>
      </c>
      <c r="F1004" t="s">
        <v>28</v>
      </c>
      <c r="G1004" t="s">
        <v>28</v>
      </c>
      <c r="H1004" t="s">
        <v>28</v>
      </c>
      <c r="I1004" t="s">
        <v>28</v>
      </c>
      <c r="J1004" t="s">
        <v>124</v>
      </c>
      <c r="K1004" s="85" t="str">
        <f t="shared" si="15"/>
        <v>/mnt/measurements/07_CANape/Mitsubishi/5K45/MMC5.0.2/5K457EG11/RealChild/CSR_XCP_Signals_Recorder_2026-01-20_16-12-57_CPD_TC216_Try_1.MF4.xz,child,RadarFC_Master,child (ncap3),CPD,realchild</v>
      </c>
      <c r="L1004" s="85" t="s">
        <v>4076</v>
      </c>
      <c r="M1004" t="s">
        <v>1364</v>
      </c>
      <c r="N1004" t="s">
        <v>86</v>
      </c>
    </row>
    <row r="1005" spans="1:21">
      <c r="A1005" s="77">
        <v>216</v>
      </c>
      <c r="B1005" t="s">
        <v>124</v>
      </c>
      <c r="C1005" t="s">
        <v>253</v>
      </c>
      <c r="D1005" s="97" t="e">
        <f>_xlfn.XLOOKUP(A1005,[1]CPD_SOP_new!$A:$A,[1]CPD_SOP_new!#REF!,"not found",0 )</f>
        <v>#REF!</v>
      </c>
      <c r="E1005" s="97" t="str">
        <f>_xlfn.XLOOKUP(A1005,[1]CPD_SOP_new!$A:$A,[1]CPD_SOP_new!$K:$K,"not found",0 )</f>
        <v>3L</v>
      </c>
      <c r="F1005" t="s">
        <v>28</v>
      </c>
      <c r="G1005" t="s">
        <v>28</v>
      </c>
      <c r="H1005" t="s">
        <v>28</v>
      </c>
      <c r="I1005" t="s">
        <v>28</v>
      </c>
      <c r="J1005" t="s">
        <v>124</v>
      </c>
      <c r="K1005" s="85" t="str">
        <f t="shared" si="15"/>
        <v>/mnt/measurements/07_CANape/Mitsubishi/5K45/MMC5.0.2/5K457EG11/RealChild/CSR_XCP_Signals_Recorder_2026-01-20_16-14-45_CPD_TC216_Try2.MF4.xz,child,RadarFC_Master,child (ncap3),CPD,realchild</v>
      </c>
      <c r="L1005" s="85" t="s">
        <v>4077</v>
      </c>
      <c r="M1005" t="s">
        <v>1365</v>
      </c>
      <c r="N1005" t="s">
        <v>86</v>
      </c>
    </row>
    <row r="1006" spans="1:21">
      <c r="A1006" s="77">
        <v>216</v>
      </c>
      <c r="B1006" t="s">
        <v>124</v>
      </c>
      <c r="C1006" t="s">
        <v>253</v>
      </c>
      <c r="D1006" s="97" t="e">
        <f>_xlfn.XLOOKUP(A1006,[1]CPD_SOP_new!$A:$A,[1]CPD_SOP_new!#REF!,"not found",0 )</f>
        <v>#REF!</v>
      </c>
      <c r="E1006" s="97" t="str">
        <f>_xlfn.XLOOKUP(A1006,[1]CPD_SOP_new!$A:$A,[1]CPD_SOP_new!$K:$K,"not found",0 )</f>
        <v>3L</v>
      </c>
      <c r="F1006" t="s">
        <v>28</v>
      </c>
      <c r="G1006" t="s">
        <v>28</v>
      </c>
      <c r="H1006" t="s">
        <v>28</v>
      </c>
      <c r="I1006" t="s">
        <v>28</v>
      </c>
      <c r="J1006" t="s">
        <v>124</v>
      </c>
      <c r="K1006" s="85" t="str">
        <f t="shared" si="15"/>
        <v>/mnt/measurements/07_CANape/Mitsubishi/5K45/MMC5.0.2/5K457EG11/RealChild/CSR_XCP_Signals_Recorder_2026-01-20_16-17-46_CPD_TC216_Try3.MF4.xz,child,RadarFC_Master,child (ncap3),CPD,realchild</v>
      </c>
      <c r="L1006" s="85" t="s">
        <v>4078</v>
      </c>
      <c r="M1006" t="s">
        <v>1366</v>
      </c>
      <c r="N1006" t="s">
        <v>86</v>
      </c>
    </row>
    <row r="1007" spans="1:21">
      <c r="A1007" s="77">
        <v>216</v>
      </c>
      <c r="B1007" t="s">
        <v>124</v>
      </c>
      <c r="C1007" t="s">
        <v>253</v>
      </c>
      <c r="D1007" s="97" t="e">
        <f>_xlfn.XLOOKUP(A1007,[1]CPD_SOP_new!$A:$A,[1]CPD_SOP_new!#REF!,"not found",0 )</f>
        <v>#REF!</v>
      </c>
      <c r="E1007" s="97" t="str">
        <f>_xlfn.XLOOKUP(A1007,[1]CPD_SOP_new!$A:$A,[1]CPD_SOP_new!$K:$K,"not found",0 )</f>
        <v>3L</v>
      </c>
      <c r="F1007" t="s">
        <v>28</v>
      </c>
      <c r="G1007" t="s">
        <v>28</v>
      </c>
      <c r="H1007" t="s">
        <v>28</v>
      </c>
      <c r="I1007" t="s">
        <v>28</v>
      </c>
      <c r="J1007" t="s">
        <v>124</v>
      </c>
      <c r="K1007" s="85" t="str">
        <f t="shared" si="15"/>
        <v>/mnt/measurements/07_CANape/Mitsubishi/5K45/MMC5.0.2/5K457EG11/RealChild/CSR_XCP_Signals_Recorder_2026-01-20_16-22-17_CPD_TC216_Try4.MF4.xz,child,RadarFC_Master,child (ncap3),CPD,realchild</v>
      </c>
      <c r="L1007" s="85" t="s">
        <v>4079</v>
      </c>
      <c r="M1007" t="s">
        <v>1367</v>
      </c>
      <c r="N1007" t="s">
        <v>86</v>
      </c>
    </row>
    <row r="1008" spans="1:21">
      <c r="A1008" s="77">
        <v>216</v>
      </c>
      <c r="B1008" t="s">
        <v>124</v>
      </c>
      <c r="C1008" t="s">
        <v>253</v>
      </c>
      <c r="D1008" s="97" t="e">
        <f>_xlfn.XLOOKUP(A1008,[1]CPD_SOP_new!$A:$A,[1]CPD_SOP_new!#REF!,"not found",0 )</f>
        <v>#REF!</v>
      </c>
      <c r="E1008" s="97" t="str">
        <f>_xlfn.XLOOKUP(A1008,[1]CPD_SOP_new!$A:$A,[1]CPD_SOP_new!$K:$K,"not found",0 )</f>
        <v>3L</v>
      </c>
      <c r="F1008" t="s">
        <v>28</v>
      </c>
      <c r="G1008" t="s">
        <v>28</v>
      </c>
      <c r="H1008" t="s">
        <v>28</v>
      </c>
      <c r="I1008" t="s">
        <v>28</v>
      </c>
      <c r="J1008" t="s">
        <v>124</v>
      </c>
      <c r="K1008" s="85" t="str">
        <f t="shared" si="15"/>
        <v>/mnt/measurements/07_CANape/Mitsubishi/5K45/MMC5.0.2/5K457EG11/RealChild/CSR_XCP_Signals_Recorder_2026-01-20_16-23-48_CPD_TC216_Try5.MF4.xz,child,RadarFC_Master,child (ncap3),CPD,realchild</v>
      </c>
      <c r="L1008" s="85" t="s">
        <v>4075</v>
      </c>
      <c r="M1008" t="s">
        <v>1363</v>
      </c>
      <c r="N1008" t="s">
        <v>86</v>
      </c>
    </row>
    <row r="1009" spans="1:21">
      <c r="A1009" s="77">
        <v>217</v>
      </c>
      <c r="B1009" t="s">
        <v>124</v>
      </c>
      <c r="C1009" s="85" t="s">
        <v>253</v>
      </c>
      <c r="D1009" s="97" t="e">
        <f>_xlfn.XLOOKUP(A1009,[1]CPD_SOP_new!$A:$A,[1]CPD_SOP_new!#REF!,"not found",0 )</f>
        <v>#REF!</v>
      </c>
      <c r="E1009" s="97" t="str">
        <f>_xlfn.XLOOKUP(A1009,[1]CPD_SOP_new!$A:$A,[1]CPD_SOP_new!$K:$K,"not found",0 )</f>
        <v>3L</v>
      </c>
      <c r="F1009" t="s">
        <v>28</v>
      </c>
      <c r="G1009" t="s">
        <v>28</v>
      </c>
      <c r="H1009" t="s">
        <v>28</v>
      </c>
      <c r="I1009" t="s">
        <v>28</v>
      </c>
      <c r="J1009" t="s">
        <v>124</v>
      </c>
      <c r="K1009" s="85" t="str">
        <f t="shared" si="15"/>
        <v>/mnt/measurements/07_CANape/Mitsubishi/5K45/MMC5.0.2/5K457EG11/RealChild/CSR_XCP_Signals_Recorder_2026-01-23_17-48-47_CPD_TC217_Try1.MF4.xz,child,RadarFC_Master,child (ncap3),CPD,realchild</v>
      </c>
      <c r="L1009" s="85" t="s">
        <v>4080</v>
      </c>
      <c r="M1009" t="s">
        <v>1377</v>
      </c>
      <c r="N1009" t="s">
        <v>86</v>
      </c>
    </row>
    <row r="1010" spans="1:21">
      <c r="A1010" s="77">
        <v>217</v>
      </c>
      <c r="B1010" t="s">
        <v>124</v>
      </c>
      <c r="C1010" s="85" t="s">
        <v>253</v>
      </c>
      <c r="D1010" s="97" t="e">
        <f>_xlfn.XLOOKUP(A1010,[1]CPD_SOP_new!$A:$A,[1]CPD_SOP_new!#REF!,"not found",0 )</f>
        <v>#REF!</v>
      </c>
      <c r="E1010" s="97" t="str">
        <f>_xlfn.XLOOKUP(A1010,[1]CPD_SOP_new!$A:$A,[1]CPD_SOP_new!$K:$K,"not found",0 )</f>
        <v>3L</v>
      </c>
      <c r="F1010" t="s">
        <v>28</v>
      </c>
      <c r="G1010" t="s">
        <v>28</v>
      </c>
      <c r="H1010" t="s">
        <v>28</v>
      </c>
      <c r="I1010" t="s">
        <v>28</v>
      </c>
      <c r="J1010" t="s">
        <v>124</v>
      </c>
      <c r="K1010" s="85" t="str">
        <f t="shared" si="15"/>
        <v>/mnt/measurements/07_CANape/Mitsubishi/5K45/MMC5.0.2/5K457EG11/RealChild/CSR_XCP_Signals_Recorder_2026-01-23_17-50-11_CPD_TC217_Try2.MF4.xz,child,RadarFC_Master,child (ncap3),CPD,realchild</v>
      </c>
      <c r="L1010" s="85" t="s">
        <v>4081</v>
      </c>
      <c r="M1010" t="s">
        <v>1379</v>
      </c>
      <c r="N1010" t="s">
        <v>86</v>
      </c>
    </row>
    <row r="1011" spans="1:21">
      <c r="A1011" s="77">
        <v>217</v>
      </c>
      <c r="B1011" t="s">
        <v>124</v>
      </c>
      <c r="C1011" s="85" t="s">
        <v>253</v>
      </c>
      <c r="D1011" s="97" t="e">
        <f>_xlfn.XLOOKUP(A1011,[1]CPD_SOP_new!$A:$A,[1]CPD_SOP_new!#REF!,"not found",0 )</f>
        <v>#REF!</v>
      </c>
      <c r="E1011" s="97" t="str">
        <f>_xlfn.XLOOKUP(A1011,[1]CPD_SOP_new!$A:$A,[1]CPD_SOP_new!$K:$K,"not found",0 )</f>
        <v>3L</v>
      </c>
      <c r="F1011" t="s">
        <v>28</v>
      </c>
      <c r="G1011" t="s">
        <v>28</v>
      </c>
      <c r="H1011" t="s">
        <v>28</v>
      </c>
      <c r="I1011" t="s">
        <v>28</v>
      </c>
      <c r="J1011" t="s">
        <v>124</v>
      </c>
      <c r="K1011" s="85" t="str">
        <f t="shared" si="15"/>
        <v>/mnt/measurements/07_CANape/Mitsubishi/5K45/MMC5.0.2/5K457EG11/RealChild/CSR_XCP_Signals_Recorder_2026-01-23_17-53-09_CPD_TC217_Try4.MF4.xz,child,RadarFC_Master,child (ncap3),CPD,realchild</v>
      </c>
      <c r="L1011" s="85" t="s">
        <v>4082</v>
      </c>
      <c r="M1011" t="s">
        <v>1380</v>
      </c>
      <c r="N1011" t="s">
        <v>86</v>
      </c>
    </row>
    <row r="1012" spans="1:21">
      <c r="A1012" s="77">
        <v>217</v>
      </c>
      <c r="B1012" t="s">
        <v>124</v>
      </c>
      <c r="C1012" s="85" t="s">
        <v>253</v>
      </c>
      <c r="D1012" s="97" t="e">
        <f>_xlfn.XLOOKUP(A1012,[1]CPD_SOP_new!$A:$A,[1]CPD_SOP_new!#REF!,"not found",0 )</f>
        <v>#REF!</v>
      </c>
      <c r="E1012" s="97" t="str">
        <f>_xlfn.XLOOKUP(A1012,[1]CPD_SOP_new!$A:$A,[1]CPD_SOP_new!$K:$K,"not found",0 )</f>
        <v>3L</v>
      </c>
      <c r="F1012" t="s">
        <v>28</v>
      </c>
      <c r="G1012" t="s">
        <v>28</v>
      </c>
      <c r="H1012" t="s">
        <v>28</v>
      </c>
      <c r="I1012" t="s">
        <v>28</v>
      </c>
      <c r="J1012" t="s">
        <v>124</v>
      </c>
      <c r="K1012" s="85" t="str">
        <f t="shared" si="15"/>
        <v>/mnt/measurements/07_CANape/Mitsubishi/5K45/MMC5.0.2/5K457EG11/RealChild/CSR_XCP_Signals_Recorder_2026-01-23_17-54-42_CPD_TC217_Try5.MF4.xz,child,RadarFC_Master,child (ncap3),CPD,realchild</v>
      </c>
      <c r="L1012" s="85" t="s">
        <v>4083</v>
      </c>
      <c r="M1012" t="s">
        <v>1381</v>
      </c>
      <c r="N1012" t="s">
        <v>86</v>
      </c>
    </row>
    <row r="1013" spans="1:21" s="137" customFormat="1">
      <c r="A1013" s="77">
        <v>217</v>
      </c>
      <c r="B1013" t="s">
        <v>124</v>
      </c>
      <c r="C1013" s="85" t="s">
        <v>253</v>
      </c>
      <c r="D1013" s="97" t="e">
        <f>_xlfn.XLOOKUP(A1013,[1]CPD_SOP_new!$A:$A,[1]CPD_SOP_new!#REF!,"not found",0 )</f>
        <v>#REF!</v>
      </c>
      <c r="E1013" s="97" t="str">
        <f>_xlfn.XLOOKUP(A1013,[1]CPD_SOP_new!$A:$A,[1]CPD_SOP_new!$K:$K,"not found",0 )</f>
        <v>3L</v>
      </c>
      <c r="F1013" t="s">
        <v>28</v>
      </c>
      <c r="G1013" t="s">
        <v>28</v>
      </c>
      <c r="H1013" t="s">
        <v>28</v>
      </c>
      <c r="I1013" t="s">
        <v>28</v>
      </c>
      <c r="J1013" t="s">
        <v>124</v>
      </c>
      <c r="K1013" s="85" t="str">
        <f t="shared" si="15"/>
        <v>/mnt/measurements/07_CANape/Mitsubishi/5K45/5.3.0_RC6/Customer_Testing/Real_Child_Measurements/6YO/CSR_XCP_Signals_Recorder_2026-01-30_14-28-16_TC217.MF4.xz,child,RadarFC_Master,child (ncap3),CPD,realchild</v>
      </c>
      <c r="L1013" s="85" t="s">
        <v>4084</v>
      </c>
      <c r="M1013" t="s">
        <v>1382</v>
      </c>
      <c r="N1013" t="s">
        <v>271</v>
      </c>
      <c r="O1013" t="s">
        <v>124</v>
      </c>
      <c r="P1013" t="s">
        <v>29</v>
      </c>
      <c r="Q1013">
        <v>1</v>
      </c>
      <c r="T1013">
        <v>0</v>
      </c>
      <c r="U1013">
        <v>0</v>
      </c>
    </row>
    <row r="1014" spans="1:21">
      <c r="A1014" s="77">
        <v>217</v>
      </c>
      <c r="B1014" t="s">
        <v>124</v>
      </c>
      <c r="C1014" s="85" t="s">
        <v>253</v>
      </c>
      <c r="D1014" s="97" t="e">
        <f>_xlfn.XLOOKUP(A1014,[1]CPD_SOP_new!$A:$A,[1]CPD_SOP_new!#REF!,"not found",0 )</f>
        <v>#REF!</v>
      </c>
      <c r="E1014" s="97" t="str">
        <f>_xlfn.XLOOKUP(A1014,[1]CPD_SOP_new!$A:$A,[1]CPD_SOP_new!$K:$K,"not found",0 )</f>
        <v>3L</v>
      </c>
      <c r="F1014" t="s">
        <v>28</v>
      </c>
      <c r="G1014" t="s">
        <v>28</v>
      </c>
      <c r="H1014" t="s">
        <v>28</v>
      </c>
      <c r="I1014" t="s">
        <v>28</v>
      </c>
      <c r="J1014" t="s">
        <v>124</v>
      </c>
      <c r="K1014" s="85" t="str">
        <f t="shared" si="15"/>
        <v>/mnt/measurements/07_CANape/Mitsubishi/5K45/5.3.0_RC6/Customer_Testing/Real_Child_Measurements/6YO/CSR_XCP_Signals_Recorder_2026-01-30_14-30-42_TC217.MF4.xz,child,RadarFC_Master,child (ncap3),CPD,realchild</v>
      </c>
      <c r="L1014" s="85" t="s">
        <v>4085</v>
      </c>
      <c r="M1014" t="s">
        <v>1383</v>
      </c>
      <c r="N1014" t="s">
        <v>271</v>
      </c>
      <c r="O1014" t="s">
        <v>124</v>
      </c>
      <c r="P1014" t="s">
        <v>29</v>
      </c>
      <c r="Q1014">
        <v>1</v>
      </c>
      <c r="T1014">
        <v>0</v>
      </c>
      <c r="U1014">
        <v>0</v>
      </c>
    </row>
    <row r="1015" spans="1:21">
      <c r="A1015" s="77">
        <v>217</v>
      </c>
      <c r="B1015" t="s">
        <v>124</v>
      </c>
      <c r="C1015" s="85" t="s">
        <v>253</v>
      </c>
      <c r="D1015" s="97" t="e">
        <f>_xlfn.XLOOKUP(A1015,[1]CPD_SOP_new!$A:$A,[1]CPD_SOP_new!#REF!,"not found",0 )</f>
        <v>#REF!</v>
      </c>
      <c r="E1015" s="97" t="str">
        <f>_xlfn.XLOOKUP(A1015,[1]CPD_SOP_new!$A:$A,[1]CPD_SOP_new!$K:$K,"not found",0 )</f>
        <v>3L</v>
      </c>
      <c r="F1015" t="s">
        <v>28</v>
      </c>
      <c r="G1015" t="s">
        <v>28</v>
      </c>
      <c r="H1015" t="s">
        <v>28</v>
      </c>
      <c r="I1015" t="s">
        <v>28</v>
      </c>
      <c r="J1015" t="s">
        <v>124</v>
      </c>
      <c r="K1015" s="85" t="str">
        <f t="shared" si="15"/>
        <v>/mnt/measurements/07_CANape/Mitsubishi/5K45/5.3.0_RC6/Customer_Testing/Real_Child_Measurements/6YO/CSR_XCP_Signals_Recorder_2026-01-30_14-33-45_TC217.MF4.xz,child,RadarFC_Master,child (ncap3),CPD,realchild</v>
      </c>
      <c r="L1015" s="85" t="s">
        <v>4086</v>
      </c>
      <c r="M1015" t="s">
        <v>1384</v>
      </c>
      <c r="N1015" t="s">
        <v>271</v>
      </c>
      <c r="O1015" t="s">
        <v>124</v>
      </c>
      <c r="P1015" t="s">
        <v>29</v>
      </c>
      <c r="Q1015">
        <v>1</v>
      </c>
      <c r="T1015">
        <v>0</v>
      </c>
      <c r="U1015">
        <v>0</v>
      </c>
    </row>
    <row r="1016" spans="1:21">
      <c r="A1016" s="59">
        <v>217</v>
      </c>
      <c r="B1016" t="s">
        <v>124</v>
      </c>
      <c r="C1016" t="s">
        <v>253</v>
      </c>
      <c r="D1016" s="97" t="e">
        <f>_xlfn.XLOOKUP(A1016,[1]CPD_SOP_new!$A:$A,[1]CPD_SOP_new!#REF!,"not found",0 )</f>
        <v>#REF!</v>
      </c>
      <c r="E1016" s="97" t="str">
        <f>_xlfn.XLOOKUP(A1016,[1]CPD_SOP_new!$A:$A,[1]CPD_SOP_new!$K:$K,"not found",0 )</f>
        <v>3L</v>
      </c>
      <c r="F1016" t="s">
        <v>28</v>
      </c>
      <c r="G1016" t="s">
        <v>28</v>
      </c>
      <c r="H1016" t="s">
        <v>28</v>
      </c>
      <c r="I1016" t="s">
        <v>28</v>
      </c>
      <c r="J1016" s="85" t="s">
        <v>124</v>
      </c>
      <c r="K1016" s="85" t="str">
        <f t="shared" si="15"/>
        <v>/mnt/measurements/07_CANape/Mitsubishi/5K45/5.3.0_RC7/5K457EG11/RealChild/CSR_XCP_Signals_Recorder_2026-02-04_17-33-15_CPD_TC217_with_reset.MF4.xz,child,RadarFC_Master,child (ncap3),CPD,realchild</v>
      </c>
      <c r="L1016" s="85" t="s">
        <v>4087</v>
      </c>
      <c r="M1016" s="59" t="s">
        <v>1385</v>
      </c>
      <c r="N1016" t="s">
        <v>277</v>
      </c>
    </row>
    <row r="1017" spans="1:21">
      <c r="A1017" s="59">
        <v>217</v>
      </c>
      <c r="B1017" t="s">
        <v>124</v>
      </c>
      <c r="C1017" t="s">
        <v>253</v>
      </c>
      <c r="D1017" s="97" t="e">
        <f>_xlfn.XLOOKUP(A1017,[1]CPD_SOP_new!$A:$A,[1]CPD_SOP_new!#REF!,"not found",0 )</f>
        <v>#REF!</v>
      </c>
      <c r="E1017" s="97" t="str">
        <f>_xlfn.XLOOKUP(A1017,[1]CPD_SOP_new!$A:$A,[1]CPD_SOP_new!$K:$K,"not found",0 )</f>
        <v>3L</v>
      </c>
      <c r="F1017" t="s">
        <v>28</v>
      </c>
      <c r="G1017" t="s">
        <v>28</v>
      </c>
      <c r="H1017" t="s">
        <v>28</v>
      </c>
      <c r="I1017" t="s">
        <v>28</v>
      </c>
      <c r="J1017" s="85" t="s">
        <v>124</v>
      </c>
      <c r="K1017" s="85" t="str">
        <f t="shared" si="15"/>
        <v>/mnt/measurements/07_CANape/Mitsubishi/5K45/5.3.0_RC7/5K457EG11/RealChild/CSR_XCP_Signals_Recorder_2026-02-04_17-35-19_CPD_TC217_with_reset.MF4.xz,child,RadarFC_Master,child (ncap3),CPD,realchild</v>
      </c>
      <c r="L1017" s="85" t="s">
        <v>4088</v>
      </c>
      <c r="M1017" s="59" t="s">
        <v>1386</v>
      </c>
      <c r="N1017" t="s">
        <v>277</v>
      </c>
    </row>
    <row r="1018" spans="1:21">
      <c r="A1018" s="59">
        <v>217</v>
      </c>
      <c r="B1018" t="s">
        <v>124</v>
      </c>
      <c r="C1018" t="s">
        <v>253</v>
      </c>
      <c r="D1018" s="97" t="e">
        <f>_xlfn.XLOOKUP(A1018,[1]CPD_SOP_new!$A:$A,[1]CPD_SOP_new!#REF!,"not found",0 )</f>
        <v>#REF!</v>
      </c>
      <c r="E1018" s="97" t="str">
        <f>_xlfn.XLOOKUP(A1018,[1]CPD_SOP_new!$A:$A,[1]CPD_SOP_new!$K:$K,"not found",0 )</f>
        <v>3L</v>
      </c>
      <c r="F1018" t="s">
        <v>28</v>
      </c>
      <c r="G1018" t="s">
        <v>28</v>
      </c>
      <c r="H1018" t="s">
        <v>28</v>
      </c>
      <c r="I1018" t="s">
        <v>28</v>
      </c>
      <c r="J1018" s="85" t="s">
        <v>124</v>
      </c>
      <c r="K1018" s="85" t="str">
        <f t="shared" si="15"/>
        <v>/mnt/measurements/07_CANape/Mitsubishi/5K45/5.3.0_RC7/5K457EG11/RealChild/CSR_XCP_Signals_Recorder_2026-02-04_17-37-19_CPD_TC217_with_reset.MF4.xz,child,RadarFC_Master,child (ncap3),CPD,realchild</v>
      </c>
      <c r="L1018" s="85" t="s">
        <v>4089</v>
      </c>
      <c r="M1018" s="59" t="s">
        <v>1387</v>
      </c>
      <c r="N1018" t="s">
        <v>277</v>
      </c>
    </row>
    <row r="1019" spans="1:21">
      <c r="A1019" s="38">
        <v>218</v>
      </c>
      <c r="B1019" t="s">
        <v>124</v>
      </c>
      <c r="C1019" s="85" t="s">
        <v>66</v>
      </c>
      <c r="D1019" s="97" t="e">
        <f>_xlfn.XLOOKUP(A1019,[1]CPD_SOP_new!$A:$A,[1]CPD_SOP_new!#REF!,"not found",0 )</f>
        <v>#REF!</v>
      </c>
      <c r="E1019" s="97" t="s">
        <v>112</v>
      </c>
      <c r="F1019" t="s">
        <v>27</v>
      </c>
      <c r="G1019" t="s">
        <v>27</v>
      </c>
      <c r="H1019" t="s">
        <v>27</v>
      </c>
      <c r="I1019" t="s">
        <v>28</v>
      </c>
      <c r="J1019" t="s">
        <v>124</v>
      </c>
      <c r="K1019" s="85" t="str">
        <f t="shared" si="15"/>
        <v>/mnt/measurements/07_CANape/Mitsubishi/5K45/MMC5.0.0_RC3_with_resetfix/CPD/TC218_Try_1.MF4.xz,child,RadarFC_Master,child (ncap3),CPD,dummy</v>
      </c>
      <c r="L1019" s="85" t="s">
        <v>4090</v>
      </c>
      <c r="M1019" t="s">
        <v>1388</v>
      </c>
      <c r="N1019" s="134" t="s">
        <v>475</v>
      </c>
    </row>
    <row r="1020" spans="1:21">
      <c r="A1020" s="38">
        <v>218</v>
      </c>
      <c r="B1020" t="s">
        <v>124</v>
      </c>
      <c r="C1020" s="85" t="s">
        <v>66</v>
      </c>
      <c r="D1020" s="97" t="e">
        <f>_xlfn.XLOOKUP(A1020,[1]CPD_SOP_new!$A:$A,[1]CPD_SOP_new!#REF!,"not found",0 )</f>
        <v>#REF!</v>
      </c>
      <c r="E1020" s="97" t="s">
        <v>112</v>
      </c>
      <c r="F1020" t="s">
        <v>27</v>
      </c>
      <c r="G1020" t="s">
        <v>27</v>
      </c>
      <c r="H1020" t="s">
        <v>27</v>
      </c>
      <c r="I1020" t="s">
        <v>28</v>
      </c>
      <c r="J1020" t="s">
        <v>124</v>
      </c>
      <c r="K1020" s="85" t="str">
        <f t="shared" si="15"/>
        <v>/mnt/measurements/07_CANape/Mitsubishi/5K45/MMC5.0.0_RC3_with_resetfix/CPD/TC218_Try_2.MF4.xz,child,RadarFC_Master,child (ncap3),CPD,dummy</v>
      </c>
      <c r="L1020" s="85" t="s">
        <v>4091</v>
      </c>
      <c r="M1020" t="s">
        <v>1389</v>
      </c>
      <c r="N1020" s="134" t="s">
        <v>475</v>
      </c>
    </row>
    <row r="1021" spans="1:21" s="130" customFormat="1" hidden="1">
      <c r="A1021" s="78">
        <v>244</v>
      </c>
      <c r="B1021" s="130" t="s">
        <v>124</v>
      </c>
      <c r="C1021" s="130" t="s">
        <v>66</v>
      </c>
      <c r="D1021" s="97" t="e">
        <f>_xlfn.XLOOKUP(A1021,[1]CPD_SOP_new!$A:$A,[1]CPD_SOP_new!#REF!,"not found",0 )</f>
        <v>#REF!</v>
      </c>
      <c r="E1021" s="97" t="str">
        <f>_xlfn.XLOOKUP(A1021,[1]CPD_SOP_new!$A:$A,[1]CPD_SOP_new!$K:$K,"not found",0 )</f>
        <v>F3R</v>
      </c>
      <c r="F1021" s="130" t="s">
        <v>28</v>
      </c>
      <c r="G1021" s="130" t="s">
        <v>28</v>
      </c>
      <c r="H1021" s="130" t="s">
        <v>28</v>
      </c>
      <c r="I1021" s="130" t="s">
        <v>27</v>
      </c>
      <c r="J1021" s="130" t="s">
        <v>124</v>
      </c>
      <c r="K1021" s="85" t="str">
        <f t="shared" si="15"/>
        <v>/mnt/measurements/07_CANape/Mitsubishi/5K45/MMC5.0.2/5K457EG11/RealChild/CSR_XCP_Signals_Recorder_2026-01-20_09-38-41_CPD_TC244_Try2.MF4.xz,child,RadarFC_Master,child (ncap3),CPD,realchild</v>
      </c>
      <c r="L1021" s="85" t="s">
        <v>4092</v>
      </c>
      <c r="M1021" s="130" t="s">
        <v>152</v>
      </c>
      <c r="N1021" s="130" t="s">
        <v>86</v>
      </c>
    </row>
    <row r="1022" spans="1:21">
      <c r="A1022" s="38">
        <v>218</v>
      </c>
      <c r="B1022" t="s">
        <v>124</v>
      </c>
      <c r="C1022" s="85" t="s">
        <v>66</v>
      </c>
      <c r="D1022" s="97" t="e">
        <f>_xlfn.XLOOKUP(A1022,[1]CPD_SOP_new!$A:$A,[1]CPD_SOP_new!#REF!,"not found",0 )</f>
        <v>#REF!</v>
      </c>
      <c r="E1022" s="97" t="s">
        <v>112</v>
      </c>
      <c r="F1022" t="s">
        <v>27</v>
      </c>
      <c r="G1022" t="s">
        <v>27</v>
      </c>
      <c r="H1022" t="s">
        <v>27</v>
      </c>
      <c r="I1022" t="s">
        <v>28</v>
      </c>
      <c r="J1022" t="s">
        <v>124</v>
      </c>
      <c r="K1022" s="85" t="str">
        <f t="shared" si="15"/>
        <v>/mnt/measurements/07_CANape/Mitsubishi/5K45/MMC5.0.0_RC3_with_resetfix/CPD/TC218_Try_3.MF4.xz,child,RadarFC_Master,child (ncap3),CPD,dummy</v>
      </c>
      <c r="L1022" s="85" t="s">
        <v>4093</v>
      </c>
      <c r="M1022" t="s">
        <v>1390</v>
      </c>
      <c r="N1022" s="134" t="s">
        <v>475</v>
      </c>
    </row>
    <row r="1023" spans="1:21">
      <c r="A1023" s="38">
        <v>219</v>
      </c>
      <c r="B1023" t="s">
        <v>124</v>
      </c>
      <c r="C1023" s="85" t="s">
        <v>253</v>
      </c>
      <c r="D1023" s="97" t="e">
        <f>_xlfn.XLOOKUP(A1023,[1]CPD_SOP_new!$A:$A,[1]CPD_SOP_new!#REF!,"not found",0 )</f>
        <v>#REF!</v>
      </c>
      <c r="E1023" s="97" t="s">
        <v>26</v>
      </c>
      <c r="F1023" t="s">
        <v>27</v>
      </c>
      <c r="G1023" t="s">
        <v>27</v>
      </c>
      <c r="H1023" t="s">
        <v>27</v>
      </c>
      <c r="I1023" t="s">
        <v>28</v>
      </c>
      <c r="J1023" t="s">
        <v>124</v>
      </c>
      <c r="K1023" s="85" t="str">
        <f t="shared" si="15"/>
        <v>/mnt/measurements/07_CANape/Mitsubishi/5K45/MMC4.1.2/Validation/2025_12_02/ChildAwake/TC_219_Try1.MF4.xz,child,RadarFC_Master,child (ncap3),CPD,dummy</v>
      </c>
      <c r="L1023" s="85" t="s">
        <v>4094</v>
      </c>
      <c r="M1023" t="s">
        <v>1391</v>
      </c>
      <c r="N1023" s="129" t="s">
        <v>371</v>
      </c>
    </row>
    <row r="1024" spans="1:21">
      <c r="A1024" s="38">
        <v>219</v>
      </c>
      <c r="B1024" t="s">
        <v>124</v>
      </c>
      <c r="C1024" s="85" t="s">
        <v>253</v>
      </c>
      <c r="D1024" s="97" t="e">
        <f>_xlfn.XLOOKUP(A1024,[1]CPD_SOP_new!$A:$A,[1]CPD_SOP_new!#REF!,"not found",0 )</f>
        <v>#REF!</v>
      </c>
      <c r="E1024" s="97" t="s">
        <v>26</v>
      </c>
      <c r="F1024" t="s">
        <v>27</v>
      </c>
      <c r="G1024" t="s">
        <v>27</v>
      </c>
      <c r="H1024" t="s">
        <v>27</v>
      </c>
      <c r="I1024" t="s">
        <v>28</v>
      </c>
      <c r="J1024" t="s">
        <v>124</v>
      </c>
      <c r="K1024" s="85" t="str">
        <f t="shared" si="15"/>
        <v>/mnt/measurements/07_CANape/Mitsubishi/5K45/MMC4.1.2/Validation/2025_12_02/ChildAwake/TC_219_Try2.MF4.xz,child,RadarFC_Master,child (ncap3),CPD,dummy</v>
      </c>
      <c r="L1024" s="85" t="s">
        <v>4095</v>
      </c>
      <c r="M1024" t="s">
        <v>1392</v>
      </c>
      <c r="N1024" s="129" t="s">
        <v>371</v>
      </c>
    </row>
    <row r="1025" spans="1:14">
      <c r="A1025" s="38">
        <v>219</v>
      </c>
      <c r="B1025" t="s">
        <v>124</v>
      </c>
      <c r="C1025" s="85" t="s">
        <v>253</v>
      </c>
      <c r="D1025" s="97" t="e">
        <f>_xlfn.XLOOKUP(A1025,[1]CPD_SOP_new!$A:$A,[1]CPD_SOP_new!#REF!,"not found",0 )</f>
        <v>#REF!</v>
      </c>
      <c r="E1025" s="97" t="s">
        <v>26</v>
      </c>
      <c r="F1025" t="s">
        <v>27</v>
      </c>
      <c r="G1025" t="s">
        <v>27</v>
      </c>
      <c r="H1025" t="s">
        <v>27</v>
      </c>
      <c r="I1025" t="s">
        <v>28</v>
      </c>
      <c r="J1025" t="s">
        <v>124</v>
      </c>
      <c r="K1025" s="85" t="str">
        <f t="shared" si="15"/>
        <v>/mnt/measurements/07_CANape/Mitsubishi/5K45/MMC4.1.2/Validation/2025_12_02/ChildAwake/TC_219_Try3.MF4.xz,child,RadarFC_Master,child (ncap3),CPD,dummy</v>
      </c>
      <c r="L1025" s="85" t="s">
        <v>4096</v>
      </c>
      <c r="M1025" t="s">
        <v>1393</v>
      </c>
      <c r="N1025" s="129" t="s">
        <v>371</v>
      </c>
    </row>
    <row r="1026" spans="1:14">
      <c r="A1026" s="77">
        <v>221</v>
      </c>
      <c r="B1026" t="s">
        <v>124</v>
      </c>
      <c r="C1026" s="85" t="s">
        <v>253</v>
      </c>
      <c r="D1026" s="97" t="e">
        <f>_xlfn.XLOOKUP(A1026,[1]CPD_SOP_new!$A:$A,[1]CPD_SOP_new!#REF!,"not found",0 )</f>
        <v>#REF!</v>
      </c>
      <c r="E1026" s="97" t="s">
        <v>26</v>
      </c>
      <c r="F1026" t="s">
        <v>28</v>
      </c>
      <c r="G1026" t="s">
        <v>28</v>
      </c>
      <c r="H1026" t="s">
        <v>28</v>
      </c>
      <c r="I1026" t="s">
        <v>28</v>
      </c>
      <c r="J1026" t="s">
        <v>124</v>
      </c>
      <c r="K1026" s="85" t="str">
        <f t="shared" ref="K1026:K1089" si="16">N1026&amp;"/"&amp;M1026&amp;","&amp;IF(J1026="ncap3","child",J1026)&amp;",RadarFC_Master,"&amp;IF(J1026="ncap3","child",J1026)&amp;IF(B1026="ncap1,2"," ("&amp;B1026&amp;")","")&amp;IF(B1026="ncap3"," ("&amp;B1026&amp;")","")&amp;IF(B1026="multiple children"," (ncap1,2)","")&amp;IF(B1026="NB awake"," (ncap1,2)","")&amp;",CPD,"&amp;IF(F1026="Y","realchild","dummy")</f>
        <v>/mnt/measurements/07_CANape/Mitsubishi/5K45/MMC5.0.1/5K457EG-11/Real_Child_Measurements/CSR_XCP_Signals_Recorder_2025-12-15_11-18-09_TC221_6YO_1R_CPD.MF4.xz,child,RadarFC_Master,child (ncap3),CPD,realchild</v>
      </c>
      <c r="L1026" s="85" t="s">
        <v>4097</v>
      </c>
      <c r="M1026" t="s">
        <v>1394</v>
      </c>
      <c r="N1026" s="129" t="s">
        <v>102</v>
      </c>
    </row>
    <row r="1027" spans="1:14">
      <c r="A1027" s="77">
        <v>221</v>
      </c>
      <c r="B1027" t="s">
        <v>124</v>
      </c>
      <c r="C1027" s="85" t="s">
        <v>253</v>
      </c>
      <c r="D1027" s="97" t="e">
        <f>_xlfn.XLOOKUP(A1027,[1]CPD_SOP_new!$A:$A,[1]CPD_SOP_new!#REF!,"not found",0 )</f>
        <v>#REF!</v>
      </c>
      <c r="E1027" s="97" t="s">
        <v>26</v>
      </c>
      <c r="F1027" t="s">
        <v>28</v>
      </c>
      <c r="G1027" t="s">
        <v>28</v>
      </c>
      <c r="H1027" t="s">
        <v>28</v>
      </c>
      <c r="I1027" t="s">
        <v>28</v>
      </c>
      <c r="J1027" t="s">
        <v>124</v>
      </c>
      <c r="K1027" s="85" t="str">
        <f t="shared" si="16"/>
        <v>/mnt/measurements/07_CANape/Mitsubishi/5K45/MMC5.0.1/5K457EG-11/Real_Child_Measurements/CSR_XCP_Signals_Recorder_2025-12-15_11-19-57_TC221_6YO_1R_CPD.MF4.xz,child,RadarFC_Master,child (ncap3),CPD,realchild</v>
      </c>
      <c r="L1027" s="85" t="s">
        <v>4098</v>
      </c>
      <c r="M1027" t="s">
        <v>1396</v>
      </c>
      <c r="N1027" s="129" t="s">
        <v>102</v>
      </c>
    </row>
    <row r="1028" spans="1:14">
      <c r="A1028" s="77">
        <v>221</v>
      </c>
      <c r="B1028" t="s">
        <v>124</v>
      </c>
      <c r="C1028" s="85" t="s">
        <v>253</v>
      </c>
      <c r="D1028" s="97" t="e">
        <f>_xlfn.XLOOKUP(A1028,[1]CPD_SOP_new!$A:$A,[1]CPD_SOP_new!#REF!,"not found",0 )</f>
        <v>#REF!</v>
      </c>
      <c r="E1028" s="97" t="s">
        <v>26</v>
      </c>
      <c r="F1028" t="s">
        <v>28</v>
      </c>
      <c r="G1028" t="s">
        <v>28</v>
      </c>
      <c r="H1028" t="s">
        <v>28</v>
      </c>
      <c r="I1028" t="s">
        <v>28</v>
      </c>
      <c r="J1028" t="s">
        <v>124</v>
      </c>
      <c r="K1028" s="85" t="str">
        <f t="shared" si="16"/>
        <v>/mnt/measurements/07_CANape/Mitsubishi/5K45/MMC5.0.1/5K457EG-11/Real_Child_Measurements/CSR_XCP_Signals_Recorder_2025-12-15_11-23-12_TC221_6YO_1R_CPD.MF4.xz,child,RadarFC_Master,child (ncap3),CPD,realchild</v>
      </c>
      <c r="L1028" s="85" t="s">
        <v>4099</v>
      </c>
      <c r="M1028" t="s">
        <v>1398</v>
      </c>
      <c r="N1028" s="129" t="s">
        <v>102</v>
      </c>
    </row>
    <row r="1029" spans="1:14">
      <c r="A1029" s="77">
        <v>221</v>
      </c>
      <c r="B1029" t="s">
        <v>124</v>
      </c>
      <c r="C1029" s="85" t="s">
        <v>253</v>
      </c>
      <c r="D1029" s="97" t="e">
        <f>_xlfn.XLOOKUP(A1029,[1]CPD_SOP_new!$A:$A,[1]CPD_SOP_new!#REF!,"not found",0 )</f>
        <v>#REF!</v>
      </c>
      <c r="E1029" s="97" t="s">
        <v>26</v>
      </c>
      <c r="F1029" t="s">
        <v>28</v>
      </c>
      <c r="G1029" t="s">
        <v>28</v>
      </c>
      <c r="H1029" t="s">
        <v>28</v>
      </c>
      <c r="I1029" t="s">
        <v>28</v>
      </c>
      <c r="J1029" t="s">
        <v>124</v>
      </c>
      <c r="K1029" s="85" t="str">
        <f t="shared" si="16"/>
        <v>/mnt/measurements/07_CANape/Mitsubishi/5K45/MMC5.0.1/5K457EG-11/Real_Child_Measurements/CSR_XCP_Signals_Recorder_2025-12-15_11-25-41_TC221_6YO_1R_CPD.MF4.xz,child,RadarFC_Master,child (ncap3),CPD,realchild</v>
      </c>
      <c r="L1029" s="85" t="s">
        <v>4100</v>
      </c>
      <c r="M1029" t="s">
        <v>1399</v>
      </c>
      <c r="N1029" s="129" t="s">
        <v>102</v>
      </c>
    </row>
    <row r="1030" spans="1:14">
      <c r="A1030" s="77">
        <v>221</v>
      </c>
      <c r="B1030" t="s">
        <v>124</v>
      </c>
      <c r="C1030" s="85" t="s">
        <v>253</v>
      </c>
      <c r="D1030" s="97" t="e">
        <f>_xlfn.XLOOKUP(A1030,[1]CPD_SOP_new!$A:$A,[1]CPD_SOP_new!#REF!,"not found",0 )</f>
        <v>#REF!</v>
      </c>
      <c r="E1030" s="97" t="s">
        <v>26</v>
      </c>
      <c r="F1030" t="s">
        <v>28</v>
      </c>
      <c r="G1030" t="s">
        <v>28</v>
      </c>
      <c r="H1030" t="s">
        <v>28</v>
      </c>
      <c r="I1030" t="s">
        <v>28</v>
      </c>
      <c r="J1030" t="s">
        <v>124</v>
      </c>
      <c r="K1030" s="85" t="str">
        <f t="shared" si="16"/>
        <v>/mnt/measurements/07_CANape/Mitsubishi/5K45/MMC5.0.1/5K457EG-11/Real_Child_Measurements/CSR_XCP_Signals_Recorder_2025-12-15_11-27-14_TC221_6YO_1R_CPD.MF4.xz,child,RadarFC_Master,child (ncap3),CPD,realchild</v>
      </c>
      <c r="L1030" s="85" t="s">
        <v>4101</v>
      </c>
      <c r="M1030" t="s">
        <v>1400</v>
      </c>
      <c r="N1030" s="129" t="s">
        <v>102</v>
      </c>
    </row>
    <row r="1031" spans="1:14">
      <c r="A1031" s="77">
        <v>221</v>
      </c>
      <c r="B1031" t="s">
        <v>124</v>
      </c>
      <c r="C1031" s="85" t="s">
        <v>253</v>
      </c>
      <c r="D1031" s="97" t="e">
        <f>_xlfn.XLOOKUP(A1031,[1]CPD_SOP_new!$A:$A,[1]CPD_SOP_new!#REF!,"not found",0 )</f>
        <v>#REF!</v>
      </c>
      <c r="E1031" s="97" t="s">
        <v>26</v>
      </c>
      <c r="F1031" t="s">
        <v>28</v>
      </c>
      <c r="G1031" t="s">
        <v>28</v>
      </c>
      <c r="H1031" t="s">
        <v>28</v>
      </c>
      <c r="I1031" t="s">
        <v>28</v>
      </c>
      <c r="J1031" t="s">
        <v>124</v>
      </c>
      <c r="K1031" s="85" t="str">
        <f t="shared" si="16"/>
        <v>/mnt/measurements/07_CANape/Mitsubishi/5K45/MMC5.1.0/5K457EG11/CSR_XCP_Signals_Recorder_2025-12-18_17-27-53_TC221_CPD.MF4.xz,child,RadarFC_Master,child (ncap3),CPD,realchild</v>
      </c>
      <c r="L1031" s="85" t="s">
        <v>4102</v>
      </c>
      <c r="M1031" s="132" t="s">
        <v>1401</v>
      </c>
      <c r="N1031" s="129" t="s">
        <v>202</v>
      </c>
    </row>
    <row r="1032" spans="1:14">
      <c r="A1032" s="77">
        <v>221</v>
      </c>
      <c r="B1032" t="s">
        <v>124</v>
      </c>
      <c r="C1032" s="85" t="s">
        <v>253</v>
      </c>
      <c r="D1032" s="97" t="e">
        <f>_xlfn.XLOOKUP(A1032,[1]CPD_SOP_new!$A:$A,[1]CPD_SOP_new!#REF!,"not found",0 )</f>
        <v>#REF!</v>
      </c>
      <c r="E1032" s="97" t="s">
        <v>26</v>
      </c>
      <c r="F1032" t="s">
        <v>28</v>
      </c>
      <c r="G1032" t="s">
        <v>28</v>
      </c>
      <c r="H1032" t="s">
        <v>28</v>
      </c>
      <c r="I1032" t="s">
        <v>28</v>
      </c>
      <c r="J1032" t="s">
        <v>124</v>
      </c>
      <c r="K1032" s="85" t="str">
        <f t="shared" si="16"/>
        <v>/mnt/measurements/07_CANape/Mitsubishi/5K45/MMC5.1.0/5K457EG11/CSR_XCP_Signals_Recorder_2025-12-18_17-29-21_TC221_CPD.MF4.xz,child,RadarFC_Master,child (ncap3),CPD,realchild</v>
      </c>
      <c r="L1032" s="85" t="s">
        <v>4103</v>
      </c>
      <c r="M1032" s="132" t="s">
        <v>1402</v>
      </c>
      <c r="N1032" s="129" t="s">
        <v>202</v>
      </c>
    </row>
    <row r="1033" spans="1:14">
      <c r="A1033" s="77">
        <v>221</v>
      </c>
      <c r="B1033" t="s">
        <v>124</v>
      </c>
      <c r="C1033" s="85" t="s">
        <v>253</v>
      </c>
      <c r="D1033" s="97" t="e">
        <f>_xlfn.XLOOKUP(A1033,[1]CPD_SOP_new!$A:$A,[1]CPD_SOP_new!#REF!,"not found",0 )</f>
        <v>#REF!</v>
      </c>
      <c r="E1033" s="97" t="s">
        <v>26</v>
      </c>
      <c r="F1033" t="s">
        <v>28</v>
      </c>
      <c r="G1033" t="s">
        <v>28</v>
      </c>
      <c r="H1033" t="s">
        <v>28</v>
      </c>
      <c r="I1033" t="s">
        <v>28</v>
      </c>
      <c r="J1033" t="s">
        <v>124</v>
      </c>
      <c r="K1033" s="85" t="str">
        <f t="shared" si="16"/>
        <v>/mnt/measurements/07_CANape/Mitsubishi/5K45/MMC5.1.0/5K457EG11/CSR_XCP_Signals_Recorder_2025-12-18_17-30-52_TC221_CPD.MF4.xz,child,RadarFC_Master,child (ncap3),CPD,realchild</v>
      </c>
      <c r="L1033" s="85" t="s">
        <v>4104</v>
      </c>
      <c r="M1033" s="132" t="s">
        <v>1403</v>
      </c>
      <c r="N1033" s="129" t="s">
        <v>202</v>
      </c>
    </row>
    <row r="1034" spans="1:14">
      <c r="A1034" s="77">
        <v>221</v>
      </c>
      <c r="B1034" t="s">
        <v>124</v>
      </c>
      <c r="C1034" s="85" t="s">
        <v>253</v>
      </c>
      <c r="D1034" s="97" t="e">
        <f>_xlfn.XLOOKUP(A1034,[1]CPD_SOP_new!$A:$A,[1]CPD_SOP_new!#REF!,"not found",0 )</f>
        <v>#REF!</v>
      </c>
      <c r="E1034" s="97" t="s">
        <v>26</v>
      </c>
      <c r="F1034" t="s">
        <v>28</v>
      </c>
      <c r="G1034" t="s">
        <v>28</v>
      </c>
      <c r="H1034" t="s">
        <v>28</v>
      </c>
      <c r="I1034" t="s">
        <v>28</v>
      </c>
      <c r="J1034" t="s">
        <v>124</v>
      </c>
      <c r="K1034" s="85" t="str">
        <f t="shared" si="16"/>
        <v>/mnt/measurements/07_CANape/Mitsubishi/5K45/MMC5.1.0/5K457EG11/CSR_XCP_Signals_Recorder_2025-12-18_17-32-23_TC221_CPD.MF4.xz,child,RadarFC_Master,child (ncap3),CPD,realchild</v>
      </c>
      <c r="L1034" s="85" t="s">
        <v>4105</v>
      </c>
      <c r="M1034" s="132" t="s">
        <v>1404</v>
      </c>
      <c r="N1034" s="129" t="s">
        <v>202</v>
      </c>
    </row>
    <row r="1035" spans="1:14">
      <c r="A1035" s="77">
        <v>221</v>
      </c>
      <c r="B1035" t="s">
        <v>124</v>
      </c>
      <c r="C1035" s="85" t="s">
        <v>253</v>
      </c>
      <c r="D1035" s="97" t="e">
        <f>_xlfn.XLOOKUP(A1035,[1]CPD_SOP_new!$A:$A,[1]CPD_SOP_new!#REF!,"not found",0 )</f>
        <v>#REF!</v>
      </c>
      <c r="E1035" s="97" t="s">
        <v>26</v>
      </c>
      <c r="F1035" t="s">
        <v>28</v>
      </c>
      <c r="G1035" t="s">
        <v>28</v>
      </c>
      <c r="H1035" t="s">
        <v>28</v>
      </c>
      <c r="I1035" t="s">
        <v>28</v>
      </c>
      <c r="J1035" t="s">
        <v>124</v>
      </c>
      <c r="K1035" s="85" t="str">
        <f t="shared" si="16"/>
        <v>/mnt/measurements/07_CANape/Mitsubishi/5K45/MMC5.1.0/5K457EG11/CSR_XCP_Signals_Recorder_2025-12-18_17-33-53_TC221_CPD.MF4.xz,child,RadarFC_Master,child (ncap3),CPD,realchild</v>
      </c>
      <c r="L1035" s="85" t="s">
        <v>4106</v>
      </c>
      <c r="M1035" s="132" t="s">
        <v>1405</v>
      </c>
      <c r="N1035" s="129" t="s">
        <v>202</v>
      </c>
    </row>
    <row r="1036" spans="1:14">
      <c r="A1036" s="77">
        <v>221</v>
      </c>
      <c r="B1036" t="s">
        <v>124</v>
      </c>
      <c r="C1036" s="85" t="s">
        <v>253</v>
      </c>
      <c r="D1036" s="97" t="e">
        <f>_xlfn.XLOOKUP(A1036,[1]CPD_SOP_new!$A:$A,[1]CPD_SOP_new!#REF!,"not found",0 )</f>
        <v>#REF!</v>
      </c>
      <c r="E1036" s="97" t="s">
        <v>26</v>
      </c>
      <c r="F1036" t="s">
        <v>28</v>
      </c>
      <c r="G1036" t="s">
        <v>28</v>
      </c>
      <c r="H1036" t="s">
        <v>28</v>
      </c>
      <c r="I1036" t="s">
        <v>28</v>
      </c>
      <c r="J1036" t="s">
        <v>124</v>
      </c>
      <c r="K1036" s="85" t="str">
        <f t="shared" si="16"/>
        <v>/mnt/measurements/07_CANape/Mitsubishi/5K45/MMC5.1.0/5K457EG11/CSR_XCP_Signals_Recorder_2025-12-18_17-40-51_TC221_CPD.MF4.xz,child,RadarFC_Master,child (ncap3),CPD,realchild</v>
      </c>
      <c r="L1036" s="85" t="s">
        <v>4107</v>
      </c>
      <c r="M1036" s="132" t="s">
        <v>1406</v>
      </c>
      <c r="N1036" s="129" t="s">
        <v>202</v>
      </c>
    </row>
    <row r="1037" spans="1:14">
      <c r="A1037" s="77">
        <v>221</v>
      </c>
      <c r="B1037" t="s">
        <v>124</v>
      </c>
      <c r="C1037" s="85" t="s">
        <v>253</v>
      </c>
      <c r="D1037" s="97" t="e">
        <f>_xlfn.XLOOKUP(A1037,[1]CPD_SOP_new!$A:$A,[1]CPD_SOP_new!#REF!,"not found",0 )</f>
        <v>#REF!</v>
      </c>
      <c r="E1037" s="97" t="s">
        <v>26</v>
      </c>
      <c r="F1037" t="s">
        <v>28</v>
      </c>
      <c r="G1037" t="s">
        <v>28</v>
      </c>
      <c r="H1037" t="s">
        <v>28</v>
      </c>
      <c r="I1037" t="s">
        <v>28</v>
      </c>
      <c r="J1037" t="s">
        <v>124</v>
      </c>
      <c r="K1037" s="85" t="str">
        <f t="shared" si="16"/>
        <v>/mnt/measurements/07_CANape/Mitsubishi/5K45/MMC5.1.0/5K457EG11/CSR_XCP_Signals_Recorder_2025-12-18_17-42-20_TC221_CPD.MF4.xz,child,RadarFC_Master,child (ncap3),CPD,realchild</v>
      </c>
      <c r="L1037" s="85" t="s">
        <v>4108</v>
      </c>
      <c r="M1037" s="132" t="s">
        <v>1407</v>
      </c>
      <c r="N1037" s="129" t="s">
        <v>202</v>
      </c>
    </row>
    <row r="1038" spans="1:14">
      <c r="A1038" s="77">
        <v>221</v>
      </c>
      <c r="B1038" t="s">
        <v>124</v>
      </c>
      <c r="C1038" s="85" t="s">
        <v>253</v>
      </c>
      <c r="D1038" s="97" t="e">
        <f>_xlfn.XLOOKUP(A1038,[1]CPD_SOP_new!$A:$A,[1]CPD_SOP_new!#REF!,"not found",0 )</f>
        <v>#REF!</v>
      </c>
      <c r="E1038" s="97" t="s">
        <v>26</v>
      </c>
      <c r="F1038" t="s">
        <v>28</v>
      </c>
      <c r="G1038" t="s">
        <v>28</v>
      </c>
      <c r="H1038" t="s">
        <v>28</v>
      </c>
      <c r="I1038" t="s">
        <v>28</v>
      </c>
      <c r="J1038" t="s">
        <v>124</v>
      </c>
      <c r="K1038" s="85" t="str">
        <f t="shared" si="16"/>
        <v>/mnt/measurements/07_CANape/Mitsubishi/5K45/MMC5.1.0/5K457EG11/CSR_XCP_Signals_Recorder_2025-12-18_17-45-29_TC221_CPD.MF4.xz,child,RadarFC_Master,child (ncap3),CPD,realchild</v>
      </c>
      <c r="L1038" s="85" t="s">
        <v>4109</v>
      </c>
      <c r="M1038" s="132" t="s">
        <v>1408</v>
      </c>
      <c r="N1038" s="129" t="s">
        <v>202</v>
      </c>
    </row>
    <row r="1039" spans="1:14">
      <c r="A1039" s="77">
        <v>221</v>
      </c>
      <c r="B1039" t="s">
        <v>124</v>
      </c>
      <c r="C1039" s="85" t="s">
        <v>253</v>
      </c>
      <c r="D1039" s="97" t="e">
        <f>_xlfn.XLOOKUP(A1039,[1]CPD_SOP_new!$A:$A,[1]CPD_SOP_new!#REF!,"not found",0 )</f>
        <v>#REF!</v>
      </c>
      <c r="E1039" s="97" t="s">
        <v>26</v>
      </c>
      <c r="F1039" t="s">
        <v>28</v>
      </c>
      <c r="G1039" t="s">
        <v>28</v>
      </c>
      <c r="H1039" t="s">
        <v>28</v>
      </c>
      <c r="I1039" t="s">
        <v>28</v>
      </c>
      <c r="J1039" t="s">
        <v>124</v>
      </c>
      <c r="K1039" s="85" t="str">
        <f t="shared" si="16"/>
        <v>/mnt/measurements/07_CANape/Mitsubishi/5K45/MMC5.1.0/5K457EG11/CSR_XCP_Signals_Recorder_2025-12-18_17-47-01_TC221_CPD.MF4.xz,child,RadarFC_Master,child (ncap3),CPD,realchild</v>
      </c>
      <c r="L1039" s="85" t="s">
        <v>4110</v>
      </c>
      <c r="M1039" s="132" t="s">
        <v>1409</v>
      </c>
      <c r="N1039" s="129" t="s">
        <v>202</v>
      </c>
    </row>
    <row r="1040" spans="1:14">
      <c r="A1040" s="77">
        <v>223</v>
      </c>
      <c r="B1040" t="s">
        <v>124</v>
      </c>
      <c r="C1040" s="85" t="s">
        <v>253</v>
      </c>
      <c r="D1040" s="97" t="e">
        <f>_xlfn.XLOOKUP(A1040,[1]CPD_SOP_new!$A:$A,[1]CPD_SOP_new!#REF!,"not found",0 )</f>
        <v>#REF!</v>
      </c>
      <c r="E1040" s="97" t="str">
        <f>_xlfn.XLOOKUP(A1040,[1]CPD_SOP_new!$A:$A,[1]CPD_SOP_new!$K:$K,"not found",0 )</f>
        <v>2L</v>
      </c>
      <c r="F1040" t="s">
        <v>28</v>
      </c>
      <c r="G1040" t="s">
        <v>28</v>
      </c>
      <c r="H1040" t="s">
        <v>28</v>
      </c>
      <c r="I1040" t="s">
        <v>28</v>
      </c>
      <c r="J1040" t="s">
        <v>124</v>
      </c>
      <c r="K1040" s="85" t="str">
        <f t="shared" si="16"/>
        <v>/mnt/measurements/07_CANape/Mitsubishi/5K45/MMC5.0.1/5K457EG-11/Real_Child_Measurements/CSR_XCP_Signals_Recorder_2025-12-15_14-08-28_TC223_6YO2L_CPD.MF4.xz,child,RadarFC_Master,child (ncap3),CPD,realchild</v>
      </c>
      <c r="L1040" s="85" t="s">
        <v>4111</v>
      </c>
      <c r="M1040" t="s">
        <v>1410</v>
      </c>
      <c r="N1040" s="129" t="s">
        <v>102</v>
      </c>
    </row>
    <row r="1041" spans="1:21">
      <c r="A1041" s="77">
        <v>223</v>
      </c>
      <c r="B1041" t="s">
        <v>124</v>
      </c>
      <c r="C1041" s="85" t="s">
        <v>253</v>
      </c>
      <c r="D1041" s="97" t="e">
        <f>_xlfn.XLOOKUP(A1041,[1]CPD_SOP_new!$A:$A,[1]CPD_SOP_new!#REF!,"not found",0 )</f>
        <v>#REF!</v>
      </c>
      <c r="E1041" s="97" t="str">
        <f>_xlfn.XLOOKUP(A1041,[1]CPD_SOP_new!$A:$A,[1]CPD_SOP_new!$K:$K,"not found",0 )</f>
        <v>2L</v>
      </c>
      <c r="F1041" t="s">
        <v>28</v>
      </c>
      <c r="G1041" t="s">
        <v>28</v>
      </c>
      <c r="H1041" t="s">
        <v>28</v>
      </c>
      <c r="I1041" t="s">
        <v>28</v>
      </c>
      <c r="J1041" t="s">
        <v>124</v>
      </c>
      <c r="K1041" s="85" t="str">
        <f t="shared" si="16"/>
        <v>/mnt/measurements/07_CANape/Mitsubishi/5K45/MMC5.0.1/5K457EG-11/Real_Child_Measurements/CSR_XCP_Signals_Recorder_2025-12-15_14-10-03_TC223_6YO2L_CPD.MF4.xz,child,RadarFC_Master,child (ncap3),CPD,realchild</v>
      </c>
      <c r="L1041" s="85" t="s">
        <v>4112</v>
      </c>
      <c r="M1041" t="s">
        <v>1412</v>
      </c>
      <c r="N1041" s="129" t="s">
        <v>102</v>
      </c>
    </row>
    <row r="1042" spans="1:21">
      <c r="A1042" s="77">
        <v>223</v>
      </c>
      <c r="B1042" t="s">
        <v>124</v>
      </c>
      <c r="C1042" s="85" t="s">
        <v>253</v>
      </c>
      <c r="D1042" s="97" t="e">
        <f>_xlfn.XLOOKUP(A1042,[1]CPD_SOP_new!$A:$A,[1]CPD_SOP_new!#REF!,"not found",0 )</f>
        <v>#REF!</v>
      </c>
      <c r="E1042" s="97" t="str">
        <f>_xlfn.XLOOKUP(A1042,[1]CPD_SOP_new!$A:$A,[1]CPD_SOP_new!$K:$K,"not found",0 )</f>
        <v>2L</v>
      </c>
      <c r="F1042" t="s">
        <v>28</v>
      </c>
      <c r="G1042" t="s">
        <v>28</v>
      </c>
      <c r="H1042" t="s">
        <v>28</v>
      </c>
      <c r="I1042" t="s">
        <v>28</v>
      </c>
      <c r="J1042" t="s">
        <v>124</v>
      </c>
      <c r="K1042" s="85" t="str">
        <f t="shared" si="16"/>
        <v>/mnt/measurements/07_CANape/Mitsubishi/5K45/MMC5.0.1/5K457EG-11/Real_Child_Measurements/CSR_XCP_Signals_Recorder_2025-12-15_14-11-45_TC223_6YO2L_CPD.MF4.xz,child,RadarFC_Master,child (ncap3),CPD,realchild</v>
      </c>
      <c r="L1042" s="85" t="s">
        <v>4113</v>
      </c>
      <c r="M1042" t="s">
        <v>1413</v>
      </c>
      <c r="N1042" s="129" t="s">
        <v>102</v>
      </c>
    </row>
    <row r="1043" spans="1:21">
      <c r="A1043" s="77">
        <v>223</v>
      </c>
      <c r="B1043" t="s">
        <v>124</v>
      </c>
      <c r="C1043" s="85" t="s">
        <v>253</v>
      </c>
      <c r="D1043" s="97" t="e">
        <f>_xlfn.XLOOKUP(A1043,[1]CPD_SOP_new!$A:$A,[1]CPD_SOP_new!#REF!,"not found",0 )</f>
        <v>#REF!</v>
      </c>
      <c r="E1043" s="97" t="str">
        <f>_xlfn.XLOOKUP(A1043,[1]CPD_SOP_new!$A:$A,[1]CPD_SOP_new!$K:$K,"not found",0 )</f>
        <v>2L</v>
      </c>
      <c r="F1043" t="s">
        <v>28</v>
      </c>
      <c r="G1043" t="s">
        <v>28</v>
      </c>
      <c r="H1043" t="s">
        <v>28</v>
      </c>
      <c r="I1043" t="s">
        <v>28</v>
      </c>
      <c r="J1043" t="s">
        <v>124</v>
      </c>
      <c r="K1043" s="85" t="str">
        <f t="shared" si="16"/>
        <v>/mnt/measurements/07_CANape/Mitsubishi/5K45/MMC5.0.1/5K457EG-11/Real_Child_Measurements/CSR_XCP_Signals_Recorder_2025-12-15_14-14-05_TC223_6YO2L_CPD.MF4.xz,child,RadarFC_Master,child (ncap3),CPD,realchild</v>
      </c>
      <c r="L1043" s="85" t="s">
        <v>4114</v>
      </c>
      <c r="M1043" t="s">
        <v>1414</v>
      </c>
      <c r="N1043" s="129" t="s">
        <v>102</v>
      </c>
    </row>
    <row r="1044" spans="1:21">
      <c r="A1044" s="77">
        <v>223</v>
      </c>
      <c r="B1044" t="s">
        <v>124</v>
      </c>
      <c r="C1044" s="85" t="s">
        <v>253</v>
      </c>
      <c r="D1044" s="97" t="e">
        <f>_xlfn.XLOOKUP(A1044,[1]CPD_SOP_new!$A:$A,[1]CPD_SOP_new!#REF!,"not found",0 )</f>
        <v>#REF!</v>
      </c>
      <c r="E1044" s="97" t="str">
        <f>_xlfn.XLOOKUP(A1044,[1]CPD_SOP_new!$A:$A,[1]CPD_SOP_new!$K:$K,"not found",0 )</f>
        <v>2L</v>
      </c>
      <c r="F1044" t="s">
        <v>28</v>
      </c>
      <c r="G1044" t="s">
        <v>28</v>
      </c>
      <c r="H1044" t="s">
        <v>28</v>
      </c>
      <c r="I1044" t="s">
        <v>28</v>
      </c>
      <c r="J1044" t="s">
        <v>124</v>
      </c>
      <c r="K1044" s="85" t="str">
        <f t="shared" si="16"/>
        <v>/mnt/measurements/07_CANape/Mitsubishi/5K45/MMC5.0.1/5K457EG-11/Real_Child_Measurements/CSR_XCP_Signals_Recorder_2025-12-15_14-15-37_TC223_6YO2L_CPD.MF4.xz,child,RadarFC_Master,child (ncap3),CPD,realchild</v>
      </c>
      <c r="L1044" s="85" t="s">
        <v>4115</v>
      </c>
      <c r="M1044" t="s">
        <v>1415</v>
      </c>
      <c r="N1044" s="129" t="s">
        <v>102</v>
      </c>
    </row>
    <row r="1045" spans="1:21">
      <c r="A1045" s="77">
        <v>225</v>
      </c>
      <c r="B1045" t="s">
        <v>124</v>
      </c>
      <c r="C1045" s="85" t="s">
        <v>253</v>
      </c>
      <c r="D1045" s="97" t="e">
        <f>_xlfn.XLOOKUP(A1045,[1]CPD_SOP_new!$A:$A,[1]CPD_SOP_new!#REF!,"not found",0 )</f>
        <v>#REF!</v>
      </c>
      <c r="E1045" s="97" t="str">
        <f>_xlfn.XLOOKUP(A1045,[1]CPD_SOP_new!$A:$A,[1]CPD_SOP_new!$K:$K,"not found",0 )</f>
        <v>3R</v>
      </c>
      <c r="F1045" t="s">
        <v>28</v>
      </c>
      <c r="G1045" t="s">
        <v>28</v>
      </c>
      <c r="H1045" t="s">
        <v>28</v>
      </c>
      <c r="I1045" t="s">
        <v>28</v>
      </c>
      <c r="J1045" t="s">
        <v>124</v>
      </c>
      <c r="K1045" s="85" t="str">
        <f t="shared" si="16"/>
        <v>/mnt/measurements/07_CANape/Mitsubishi/5K45/MMC5.0.1/5K457EG-11/Real_Child_Measurements/CSR_XCP_Signals_Recorder_2025-12-15_16-19-27_TC225_3R_CPD.MF4.xz,child,RadarFC_Master,child (ncap3),CPD,realchild</v>
      </c>
      <c r="L1045" s="85" t="s">
        <v>4116</v>
      </c>
      <c r="M1045" t="s">
        <v>1416</v>
      </c>
      <c r="N1045" s="129" t="s">
        <v>102</v>
      </c>
    </row>
    <row r="1046" spans="1:21">
      <c r="A1046" s="77">
        <v>225</v>
      </c>
      <c r="B1046" t="s">
        <v>124</v>
      </c>
      <c r="C1046" s="85" t="s">
        <v>253</v>
      </c>
      <c r="D1046" s="97" t="e">
        <f>_xlfn.XLOOKUP(A1046,[1]CPD_SOP_new!$A:$A,[1]CPD_SOP_new!#REF!,"not found",0 )</f>
        <v>#REF!</v>
      </c>
      <c r="E1046" s="97" t="str">
        <f>_xlfn.XLOOKUP(A1046,[1]CPD_SOP_new!$A:$A,[1]CPD_SOP_new!$K:$K,"not found",0 )</f>
        <v>3R</v>
      </c>
      <c r="F1046" t="s">
        <v>28</v>
      </c>
      <c r="G1046" t="s">
        <v>28</v>
      </c>
      <c r="H1046" t="s">
        <v>28</v>
      </c>
      <c r="I1046" t="s">
        <v>28</v>
      </c>
      <c r="J1046" t="s">
        <v>124</v>
      </c>
      <c r="K1046" s="85" t="str">
        <f t="shared" si="16"/>
        <v>/mnt/measurements/07_CANape/Mitsubishi/5K45/MMC5.0.1/5K457EG-11/Real_Child_Measurements/CSR_XCP_Signals_Recorder_2025-12-15_16-21-04_TC225_3R_CPD.MF4.xz,child,RadarFC_Master,child (ncap3),CPD,realchild</v>
      </c>
      <c r="L1046" s="85" t="s">
        <v>4117</v>
      </c>
      <c r="M1046" t="s">
        <v>1418</v>
      </c>
      <c r="N1046" s="129" t="s">
        <v>102</v>
      </c>
    </row>
    <row r="1047" spans="1:21">
      <c r="A1047" s="77">
        <v>225</v>
      </c>
      <c r="B1047" t="s">
        <v>124</v>
      </c>
      <c r="C1047" s="85" t="s">
        <v>253</v>
      </c>
      <c r="D1047" s="97" t="e">
        <f>_xlfn.XLOOKUP(A1047,[1]CPD_SOP_new!$A:$A,[1]CPD_SOP_new!#REF!,"not found",0 )</f>
        <v>#REF!</v>
      </c>
      <c r="E1047" s="97" t="str">
        <f>_xlfn.XLOOKUP(A1047,[1]CPD_SOP_new!$A:$A,[1]CPD_SOP_new!$K:$K,"not found",0 )</f>
        <v>3R</v>
      </c>
      <c r="F1047" t="s">
        <v>28</v>
      </c>
      <c r="G1047" t="s">
        <v>28</v>
      </c>
      <c r="H1047" t="s">
        <v>28</v>
      </c>
      <c r="I1047" t="s">
        <v>28</v>
      </c>
      <c r="J1047" t="s">
        <v>124</v>
      </c>
      <c r="K1047" s="85" t="str">
        <f t="shared" si="16"/>
        <v>/mnt/measurements/07_CANape/Mitsubishi/5K45/MMC5.0.1/5K457EG-11/Real_Child_Measurements/CSR_XCP_Signals_Recorder_2025-12-15_16-22-42_TC225_3R_CPD.MF4.xz,child,RadarFC_Master,child (ncap3),CPD,realchild</v>
      </c>
      <c r="L1047" s="85" t="s">
        <v>4118</v>
      </c>
      <c r="M1047" t="s">
        <v>1419</v>
      </c>
      <c r="N1047" s="129" t="s">
        <v>102</v>
      </c>
    </row>
    <row r="1048" spans="1:21" s="130" customFormat="1" hidden="1">
      <c r="A1048" s="78">
        <v>261</v>
      </c>
      <c r="B1048" s="130" t="s">
        <v>24</v>
      </c>
      <c r="C1048" s="130" t="s">
        <v>253</v>
      </c>
      <c r="D1048" s="97" t="e">
        <f>_xlfn.XLOOKUP(A1048,[1]CPD_SOP_new!$A:$A,[1]CPD_SOP_new!#REF!,"not found",0 )</f>
        <v>#REF!</v>
      </c>
      <c r="E1048" s="97" t="str">
        <f>_xlfn.XLOOKUP(A1048,[1]CPD_SOP_new!$A:$A,[1]CPD_SOP_new!$K:$K,"not found",0 )</f>
        <v>3L</v>
      </c>
      <c r="F1048" s="130" t="s">
        <v>27</v>
      </c>
      <c r="G1048" s="130" t="s">
        <v>28</v>
      </c>
      <c r="H1048" s="130" t="s">
        <v>28</v>
      </c>
      <c r="I1048" s="130" t="s">
        <v>27</v>
      </c>
      <c r="J1048" t="s">
        <v>124</v>
      </c>
      <c r="K1048" s="85" t="str">
        <f t="shared" si="16"/>
        <v>/mnt/measurements/07_CANape/Mitsubishi/5K45/MMC5.0.0_RC3_with_resetfix/CPD/TC261_Try_1.MF4.xz,child,RadarFC_Master,child,CPD,dummy</v>
      </c>
      <c r="L1048" s="85" t="s">
        <v>4119</v>
      </c>
      <c r="M1048" s="136" t="s">
        <v>1531</v>
      </c>
      <c r="N1048" s="136" t="s">
        <v>475</v>
      </c>
    </row>
    <row r="1049" spans="1:21" s="130" customFormat="1" hidden="1">
      <c r="A1049" s="78">
        <v>261</v>
      </c>
      <c r="B1049" s="130" t="s">
        <v>24</v>
      </c>
      <c r="C1049" s="130" t="s">
        <v>253</v>
      </c>
      <c r="D1049" s="97" t="e">
        <f>_xlfn.XLOOKUP(A1049,[1]CPD_SOP_new!$A:$A,[1]CPD_SOP_new!#REF!,"not found",0 )</f>
        <v>#REF!</v>
      </c>
      <c r="E1049" s="97" t="str">
        <f>_xlfn.XLOOKUP(A1049,[1]CPD_SOP_new!$A:$A,[1]CPD_SOP_new!$K:$K,"not found",0 )</f>
        <v>3L</v>
      </c>
      <c r="F1049" s="130" t="s">
        <v>27</v>
      </c>
      <c r="G1049" s="130" t="s">
        <v>28</v>
      </c>
      <c r="H1049" s="130" t="s">
        <v>28</v>
      </c>
      <c r="I1049" s="130" t="s">
        <v>27</v>
      </c>
      <c r="J1049" t="s">
        <v>124</v>
      </c>
      <c r="K1049" s="85" t="str">
        <f t="shared" si="16"/>
        <v>/mnt/measurements/07_CANape/Mitsubishi/5K45/MMC5.0.0_RC3_with_resetfix/CPD/TC261_Try_2.MF4.xz,child,RadarFC_Master,child,CPD,dummy</v>
      </c>
      <c r="L1049" s="85" t="s">
        <v>4120</v>
      </c>
      <c r="M1049" s="136" t="s">
        <v>1532</v>
      </c>
      <c r="N1049" s="136" t="s">
        <v>475</v>
      </c>
    </row>
    <row r="1050" spans="1:21" s="130" customFormat="1" hidden="1">
      <c r="A1050" s="78">
        <v>261</v>
      </c>
      <c r="B1050" s="130" t="s">
        <v>24</v>
      </c>
      <c r="C1050" s="130" t="s">
        <v>253</v>
      </c>
      <c r="D1050" s="97" t="e">
        <f>_xlfn.XLOOKUP(A1050,[1]CPD_SOP_new!$A:$A,[1]CPD_SOP_new!#REF!,"not found",0 )</f>
        <v>#REF!</v>
      </c>
      <c r="E1050" s="97" t="str">
        <f>_xlfn.XLOOKUP(A1050,[1]CPD_SOP_new!$A:$A,[1]CPD_SOP_new!$K:$K,"not found",0 )</f>
        <v>3L</v>
      </c>
      <c r="F1050" s="130" t="s">
        <v>27</v>
      </c>
      <c r="G1050" s="130" t="s">
        <v>28</v>
      </c>
      <c r="H1050" s="130" t="s">
        <v>28</v>
      </c>
      <c r="I1050" s="130" t="s">
        <v>27</v>
      </c>
      <c r="J1050" t="s">
        <v>124</v>
      </c>
      <c r="K1050" s="85" t="str">
        <f t="shared" si="16"/>
        <v>/mnt/measurements/07_CANape/Mitsubishi/5K45/MMC5.0.0_RC3_with_resetfix/CPD/TC261_Try_3.MF4.xz,child,RadarFC_Master,child,CPD,dummy</v>
      </c>
      <c r="L1050" s="85" t="s">
        <v>4121</v>
      </c>
      <c r="M1050" s="136" t="s">
        <v>1533</v>
      </c>
      <c r="N1050" s="136" t="s">
        <v>475</v>
      </c>
    </row>
    <row r="1051" spans="1:21">
      <c r="A1051" s="77">
        <v>225</v>
      </c>
      <c r="B1051" t="s">
        <v>124</v>
      </c>
      <c r="C1051" s="85" t="s">
        <v>253</v>
      </c>
      <c r="D1051" s="97" t="e">
        <f>_xlfn.XLOOKUP(A1051,[1]CPD_SOP_new!$A:$A,[1]CPD_SOP_new!#REF!,"not found",0 )</f>
        <v>#REF!</v>
      </c>
      <c r="E1051" s="97" t="str">
        <f>_xlfn.XLOOKUP(A1051,[1]CPD_SOP_new!$A:$A,[1]CPD_SOP_new!$K:$K,"not found",0 )</f>
        <v>3R</v>
      </c>
      <c r="F1051" t="s">
        <v>28</v>
      </c>
      <c r="G1051" t="s">
        <v>28</v>
      </c>
      <c r="H1051" t="s">
        <v>28</v>
      </c>
      <c r="I1051" t="s">
        <v>28</v>
      </c>
      <c r="J1051" t="s">
        <v>124</v>
      </c>
      <c r="K1051" s="85" t="str">
        <f t="shared" si="16"/>
        <v>/mnt/measurements/07_CANape/Mitsubishi/5K45/MMC5.0.1/5K457EG-11/Real_Child_Measurements/CSR_XCP_Signals_Recorder_2025-12-15_16-24-17_TC225_3R_CPD.MF4.xz,child,RadarFC_Master,child (ncap3),CPD,realchild</v>
      </c>
      <c r="L1051" s="85" t="s">
        <v>4122</v>
      </c>
      <c r="M1051" t="s">
        <v>1420</v>
      </c>
      <c r="N1051" s="129" t="s">
        <v>102</v>
      </c>
    </row>
    <row r="1052" spans="1:21">
      <c r="A1052" s="77">
        <v>225</v>
      </c>
      <c r="B1052" t="s">
        <v>124</v>
      </c>
      <c r="C1052" s="85" t="s">
        <v>253</v>
      </c>
      <c r="D1052" s="97" t="e">
        <f>_xlfn.XLOOKUP(A1052,[1]CPD_SOP_new!$A:$A,[1]CPD_SOP_new!#REF!,"not found",0 )</f>
        <v>#REF!</v>
      </c>
      <c r="E1052" s="97" t="str">
        <f>_xlfn.XLOOKUP(A1052,[1]CPD_SOP_new!$A:$A,[1]CPD_SOP_new!$K:$K,"not found",0 )</f>
        <v>3R</v>
      </c>
      <c r="F1052" t="s">
        <v>28</v>
      </c>
      <c r="G1052" t="s">
        <v>28</v>
      </c>
      <c r="H1052" t="s">
        <v>28</v>
      </c>
      <c r="I1052" t="s">
        <v>28</v>
      </c>
      <c r="J1052" t="s">
        <v>124</v>
      </c>
      <c r="K1052" s="85" t="str">
        <f t="shared" si="16"/>
        <v>/mnt/measurements/07_CANape/Mitsubishi/5K45/MMC5.0.1/5K457EG-11/Real_Child_Measurements/CSR_XCP_Signals_Recorder_2025-12-15_16-25-53_TC225_3R_CPD.MF4.xz,child,RadarFC_Master,child (ncap3),CPD,realchild</v>
      </c>
      <c r="L1052" s="85" t="s">
        <v>4123</v>
      </c>
      <c r="M1052" t="s">
        <v>1421</v>
      </c>
      <c r="N1052" s="129" t="s">
        <v>102</v>
      </c>
    </row>
    <row r="1053" spans="1:21">
      <c r="A1053" s="77">
        <v>226</v>
      </c>
      <c r="B1053" t="s">
        <v>124</v>
      </c>
      <c r="C1053" s="85" t="s">
        <v>66</v>
      </c>
      <c r="D1053" s="97" t="e">
        <f>_xlfn.XLOOKUP(A1053,[1]CPD_SOP_new!$A:$A,[1]CPD_SOP_new!#REF!,"not found",0 )</f>
        <v>#REF!</v>
      </c>
      <c r="E1053" s="97" t="s">
        <v>26</v>
      </c>
      <c r="F1053" t="s">
        <v>28</v>
      </c>
      <c r="G1053" t="s">
        <v>28</v>
      </c>
      <c r="H1053" t="s">
        <v>28</v>
      </c>
      <c r="I1053" t="s">
        <v>28</v>
      </c>
      <c r="J1053" t="s">
        <v>124</v>
      </c>
      <c r="K1053" s="85" t="str">
        <f t="shared" si="16"/>
        <v>/mnt/measurements/07_CANape/Mitsubishi/5K45/5.3.0_RC6/Customer_Testing/Real_Child_Measurements/3YO/CSR_XCP_Signals_Recorder_2026-01-30_10-51-53_TC226.MF4.xz,child,RadarFC_Master,child (ncap3),CPD,realchild</v>
      </c>
      <c r="L1053" s="85" t="s">
        <v>4124</v>
      </c>
      <c r="M1053" t="s">
        <v>1422</v>
      </c>
      <c r="N1053" t="s">
        <v>391</v>
      </c>
      <c r="O1053" t="s">
        <v>124</v>
      </c>
      <c r="P1053" t="s">
        <v>29</v>
      </c>
      <c r="Q1053">
        <v>1</v>
      </c>
      <c r="T1053">
        <v>0</v>
      </c>
      <c r="U1053">
        <v>0</v>
      </c>
    </row>
    <row r="1054" spans="1:21">
      <c r="A1054" s="77">
        <v>226</v>
      </c>
      <c r="B1054" t="s">
        <v>124</v>
      </c>
      <c r="C1054" s="85" t="s">
        <v>66</v>
      </c>
      <c r="D1054" s="97" t="e">
        <f>_xlfn.XLOOKUP(A1054,[1]CPD_SOP_new!$A:$A,[1]CPD_SOP_new!#REF!,"not found",0 )</f>
        <v>#REF!</v>
      </c>
      <c r="E1054" s="97" t="s">
        <v>26</v>
      </c>
      <c r="F1054" t="s">
        <v>28</v>
      </c>
      <c r="G1054" t="s">
        <v>28</v>
      </c>
      <c r="H1054" t="s">
        <v>28</v>
      </c>
      <c r="I1054" t="s">
        <v>28</v>
      </c>
      <c r="J1054" t="s">
        <v>124</v>
      </c>
      <c r="K1054" s="85" t="str">
        <f t="shared" si="16"/>
        <v>/mnt/measurements/07_CANape/Mitsubishi/5K45/5.3.0_RC6/Customer_Testing/Real_Child_Measurements/3YO/CSR_XCP_Signals_Recorder_2026-01-30_10-54-26_TC226.MF4.xz,child,RadarFC_Master,child (ncap3),CPD,realchild</v>
      </c>
      <c r="L1054" s="85" t="s">
        <v>4125</v>
      </c>
      <c r="M1054" t="s">
        <v>1424</v>
      </c>
      <c r="N1054" t="s">
        <v>391</v>
      </c>
      <c r="O1054" t="s">
        <v>124</v>
      </c>
      <c r="P1054" t="s">
        <v>29</v>
      </c>
      <c r="Q1054">
        <v>1</v>
      </c>
      <c r="T1054">
        <v>0</v>
      </c>
      <c r="U1054">
        <v>0</v>
      </c>
    </row>
    <row r="1055" spans="1:21">
      <c r="A1055" s="77">
        <v>226</v>
      </c>
      <c r="B1055" t="s">
        <v>124</v>
      </c>
      <c r="C1055" s="85" t="s">
        <v>66</v>
      </c>
      <c r="D1055" s="97" t="e">
        <f>_xlfn.XLOOKUP(A1055,[1]CPD_SOP_new!$A:$A,[1]CPD_SOP_new!#REF!,"not found",0 )</f>
        <v>#REF!</v>
      </c>
      <c r="E1055" s="97" t="s">
        <v>26</v>
      </c>
      <c r="F1055" t="s">
        <v>28</v>
      </c>
      <c r="G1055" t="s">
        <v>28</v>
      </c>
      <c r="H1055" t="s">
        <v>28</v>
      </c>
      <c r="I1055" t="s">
        <v>28</v>
      </c>
      <c r="J1055" t="s">
        <v>124</v>
      </c>
      <c r="K1055" s="85" t="str">
        <f t="shared" si="16"/>
        <v>/mnt/measurements/07_CANape/Mitsubishi/5K45/5.3.0_RC6/Customer_Testing/Real_Child_Measurements/3YO/CSR_XCP_Signals_Recorder_2026-01-30_10-57-00_TC226.MF4.xz,child,RadarFC_Master,child (ncap3),CPD,realchild</v>
      </c>
      <c r="L1055" s="85" t="s">
        <v>4126</v>
      </c>
      <c r="M1055" t="s">
        <v>1425</v>
      </c>
      <c r="N1055" t="s">
        <v>391</v>
      </c>
      <c r="O1055" t="s">
        <v>124</v>
      </c>
      <c r="P1055" t="s">
        <v>29</v>
      </c>
      <c r="Q1055">
        <v>1</v>
      </c>
      <c r="T1055">
        <v>0</v>
      </c>
      <c r="U1055">
        <v>0</v>
      </c>
    </row>
    <row r="1056" spans="1:21">
      <c r="A1056" s="77">
        <v>226</v>
      </c>
      <c r="B1056" t="s">
        <v>124</v>
      </c>
      <c r="C1056" s="85" t="s">
        <v>66</v>
      </c>
      <c r="D1056" s="97" t="e">
        <f>_xlfn.XLOOKUP(A1056,[1]CPD_SOP_new!$A:$A,[1]CPD_SOP_new!#REF!,"not found",0 )</f>
        <v>#REF!</v>
      </c>
      <c r="E1056" s="97" t="s">
        <v>26</v>
      </c>
      <c r="F1056" t="s">
        <v>28</v>
      </c>
      <c r="G1056" t="s">
        <v>28</v>
      </c>
      <c r="H1056" t="s">
        <v>28</v>
      </c>
      <c r="I1056" t="s">
        <v>28</v>
      </c>
      <c r="J1056" t="s">
        <v>124</v>
      </c>
      <c r="K1056" s="85" t="str">
        <f t="shared" si="16"/>
        <v>/mnt/measurements/07_CANape/Mitsubishi/5K45/5.3.0_RC6/Customer_Testing/Real_Child_Measurements/3YO/CSR_XCP_Signals_Recorder_2026-01-30_11-01-43_TC226.MF4.xz,child,RadarFC_Master,child (ncap3),CPD,realchild</v>
      </c>
      <c r="L1056" s="85" t="s">
        <v>4127</v>
      </c>
      <c r="M1056" t="s">
        <v>1427</v>
      </c>
      <c r="N1056" t="s">
        <v>391</v>
      </c>
      <c r="O1056" t="s">
        <v>124</v>
      </c>
      <c r="P1056" t="s">
        <v>29</v>
      </c>
      <c r="Q1056">
        <v>1</v>
      </c>
      <c r="T1056">
        <v>0</v>
      </c>
      <c r="U1056">
        <v>0</v>
      </c>
    </row>
    <row r="1057" spans="1:21">
      <c r="A1057" s="77">
        <v>229</v>
      </c>
      <c r="B1057" t="s">
        <v>124</v>
      </c>
      <c r="C1057" s="85" t="s">
        <v>253</v>
      </c>
      <c r="D1057" s="97" t="e">
        <f>_xlfn.XLOOKUP(A1057,[1]CPD_SOP_new!$A:$A,[1]CPD_SOP_new!#REF!,"not found",0 )</f>
        <v>#REF!</v>
      </c>
      <c r="E1057" s="97" t="s">
        <v>112</v>
      </c>
      <c r="F1057" t="s">
        <v>28</v>
      </c>
      <c r="G1057" t="s">
        <v>28</v>
      </c>
      <c r="H1057" t="s">
        <v>28</v>
      </c>
      <c r="I1057" t="s">
        <v>28</v>
      </c>
      <c r="J1057" t="s">
        <v>124</v>
      </c>
      <c r="K1057" s="85" t="str">
        <f t="shared" si="16"/>
        <v>/mnt/measurements/07_CANape/Mitsubishi/5K45/MMC5.0.1/5K457EG-11/Real_Child_Measurements/CSR_XCP_Signals_Recorder_2025-12-15_11-43-57_TC229_6YO1L_CPD.MF4.xz,child,RadarFC_Master,child (ncap3),CPD,realchild</v>
      </c>
      <c r="L1057" s="85" t="s">
        <v>4128</v>
      </c>
      <c r="M1057" t="s">
        <v>1428</v>
      </c>
      <c r="N1057" s="129" t="s">
        <v>102</v>
      </c>
    </row>
    <row r="1058" spans="1:21">
      <c r="A1058" s="77">
        <v>229</v>
      </c>
      <c r="B1058" t="s">
        <v>124</v>
      </c>
      <c r="C1058" s="85" t="s">
        <v>253</v>
      </c>
      <c r="D1058" s="97" t="e">
        <f>_xlfn.XLOOKUP(A1058,[1]CPD_SOP_new!$A:$A,[1]CPD_SOP_new!#REF!,"not found",0 )</f>
        <v>#REF!</v>
      </c>
      <c r="E1058" s="97" t="s">
        <v>112</v>
      </c>
      <c r="F1058" t="s">
        <v>28</v>
      </c>
      <c r="G1058" t="s">
        <v>28</v>
      </c>
      <c r="H1058" t="s">
        <v>28</v>
      </c>
      <c r="I1058" t="s">
        <v>28</v>
      </c>
      <c r="J1058" t="s">
        <v>124</v>
      </c>
      <c r="K1058" s="85" t="str">
        <f t="shared" si="16"/>
        <v>/mnt/measurements/07_CANape/Mitsubishi/5K45/MMC5.0.1/5K457EG-11/Real_Child_Measurements/CSR_XCP_Signals_Recorder_2025-12-15_11-45-24_TC229_6YO1L_CPD.MF4.xz,child,RadarFC_Master,child (ncap3),CPD,realchild</v>
      </c>
      <c r="L1058" s="85" t="s">
        <v>4129</v>
      </c>
      <c r="M1058" t="s">
        <v>1430</v>
      </c>
      <c r="N1058" s="129" t="s">
        <v>102</v>
      </c>
    </row>
    <row r="1059" spans="1:21">
      <c r="A1059" s="77">
        <v>229</v>
      </c>
      <c r="B1059" t="s">
        <v>124</v>
      </c>
      <c r="C1059" s="85" t="s">
        <v>253</v>
      </c>
      <c r="D1059" s="97" t="e">
        <f>_xlfn.XLOOKUP(A1059,[1]CPD_SOP_new!$A:$A,[1]CPD_SOP_new!#REF!,"not found",0 )</f>
        <v>#REF!</v>
      </c>
      <c r="E1059" s="97" t="s">
        <v>112</v>
      </c>
      <c r="F1059" t="s">
        <v>28</v>
      </c>
      <c r="G1059" t="s">
        <v>28</v>
      </c>
      <c r="H1059" t="s">
        <v>28</v>
      </c>
      <c r="I1059" t="s">
        <v>28</v>
      </c>
      <c r="J1059" t="s">
        <v>124</v>
      </c>
      <c r="K1059" s="85" t="str">
        <f t="shared" si="16"/>
        <v>/mnt/measurements/07_CANape/Mitsubishi/5K45/MMC5.0.1/5K457EG-11/Real_Child_Measurements/CSR_XCP_Signals_Recorder_2025-12-15_11-46-57_TC229_6YO1L_CPD.MF4.xz,child,RadarFC_Master,child (ncap3),CPD,realchild</v>
      </c>
      <c r="L1059" s="85" t="s">
        <v>4130</v>
      </c>
      <c r="M1059" t="s">
        <v>1431</v>
      </c>
      <c r="N1059" s="129" t="s">
        <v>102</v>
      </c>
    </row>
    <row r="1060" spans="1:21">
      <c r="A1060" s="77">
        <v>229</v>
      </c>
      <c r="B1060" t="s">
        <v>124</v>
      </c>
      <c r="C1060" s="85" t="s">
        <v>253</v>
      </c>
      <c r="D1060" s="97" t="e">
        <f>_xlfn.XLOOKUP(A1060,[1]CPD_SOP_new!$A:$A,[1]CPD_SOP_new!#REF!,"not found",0 )</f>
        <v>#REF!</v>
      </c>
      <c r="E1060" s="97" t="s">
        <v>112</v>
      </c>
      <c r="F1060" t="s">
        <v>28</v>
      </c>
      <c r="G1060" t="s">
        <v>28</v>
      </c>
      <c r="H1060" t="s">
        <v>28</v>
      </c>
      <c r="I1060" t="s">
        <v>28</v>
      </c>
      <c r="J1060" t="s">
        <v>124</v>
      </c>
      <c r="K1060" s="85" t="str">
        <f t="shared" si="16"/>
        <v>/mnt/measurements/07_CANape/Mitsubishi/5K45/MMC5.0.1/5K457EG-11/Real_Child_Measurements/CSR_XCP_Signals_Recorder_2025-12-15_11-48-34_TC229_6YO1L_CPD.MF4.xz,child,RadarFC_Master,child (ncap3),CPD,realchild</v>
      </c>
      <c r="L1060" s="85" t="s">
        <v>4131</v>
      </c>
      <c r="M1060" t="s">
        <v>1432</v>
      </c>
      <c r="N1060" s="129" t="s">
        <v>102</v>
      </c>
    </row>
    <row r="1061" spans="1:21">
      <c r="A1061" s="77">
        <v>229</v>
      </c>
      <c r="B1061" t="s">
        <v>124</v>
      </c>
      <c r="C1061" s="85" t="s">
        <v>253</v>
      </c>
      <c r="D1061" s="97" t="e">
        <f>_xlfn.XLOOKUP(A1061,[1]CPD_SOP_new!$A:$A,[1]CPD_SOP_new!#REF!,"not found",0 )</f>
        <v>#REF!</v>
      </c>
      <c r="E1061" s="97" t="s">
        <v>112</v>
      </c>
      <c r="F1061" t="s">
        <v>28</v>
      </c>
      <c r="G1061" t="s">
        <v>28</v>
      </c>
      <c r="H1061" t="s">
        <v>28</v>
      </c>
      <c r="I1061" t="s">
        <v>28</v>
      </c>
      <c r="J1061" t="s">
        <v>124</v>
      </c>
      <c r="K1061" s="85" t="str">
        <f t="shared" si="16"/>
        <v>/mnt/measurements/07_CANape/Mitsubishi/5K45/MMC5.0.1/5K457EG-11/Real_Child_Measurements/CSR_XCP_Signals_Recorder_2025-12-15_11-50-08_TC229_6YO1L_CPD.MF4.xz,child,RadarFC_Master,child (ncap3),CPD,realchild</v>
      </c>
      <c r="L1061" s="85" t="s">
        <v>4132</v>
      </c>
      <c r="M1061" t="s">
        <v>1433</v>
      </c>
      <c r="N1061" s="129" t="s">
        <v>102</v>
      </c>
    </row>
    <row r="1062" spans="1:21">
      <c r="A1062" s="77">
        <v>229</v>
      </c>
      <c r="B1062" t="s">
        <v>124</v>
      </c>
      <c r="C1062" s="85" t="s">
        <v>253</v>
      </c>
      <c r="D1062" s="97" t="e">
        <f>_xlfn.XLOOKUP(A1062,[1]CPD_SOP_new!$A:$A,[1]CPD_SOP_new!#REF!,"not found",0 )</f>
        <v>#REF!</v>
      </c>
      <c r="E1062" s="97" t="s">
        <v>112</v>
      </c>
      <c r="F1062" t="s">
        <v>28</v>
      </c>
      <c r="G1062" t="s">
        <v>28</v>
      </c>
      <c r="H1062" t="s">
        <v>28</v>
      </c>
      <c r="I1062" t="s">
        <v>28</v>
      </c>
      <c r="J1062" t="s">
        <v>124</v>
      </c>
      <c r="K1062" s="85" t="str">
        <f t="shared" si="16"/>
        <v>/mnt/measurements/07_CANape/Mitsubishi/5K45/5.3.0_RC6/Customer_Testing/Real_Child_Measurements/6YO/CSR_XCP_Signals_Recorder_2026-01-30_14-36-58_TC229.MF4.xz,child,RadarFC_Master,child (ncap3),CPD,realchild</v>
      </c>
      <c r="L1062" s="85" t="s">
        <v>4133</v>
      </c>
      <c r="M1062" t="s">
        <v>1434</v>
      </c>
      <c r="N1062" t="s">
        <v>271</v>
      </c>
      <c r="O1062" t="s">
        <v>124</v>
      </c>
      <c r="P1062" t="s">
        <v>29</v>
      </c>
      <c r="Q1062">
        <v>1</v>
      </c>
      <c r="T1062">
        <v>0</v>
      </c>
      <c r="U1062">
        <v>0</v>
      </c>
    </row>
    <row r="1063" spans="1:21">
      <c r="A1063" s="77">
        <v>229</v>
      </c>
      <c r="B1063" t="s">
        <v>124</v>
      </c>
      <c r="C1063" s="85" t="s">
        <v>253</v>
      </c>
      <c r="D1063" s="97" t="e">
        <f>_xlfn.XLOOKUP(A1063,[1]CPD_SOP_new!$A:$A,[1]CPD_SOP_new!#REF!,"not found",0 )</f>
        <v>#REF!</v>
      </c>
      <c r="E1063" s="97" t="s">
        <v>112</v>
      </c>
      <c r="F1063" t="s">
        <v>28</v>
      </c>
      <c r="G1063" t="s">
        <v>28</v>
      </c>
      <c r="H1063" t="s">
        <v>28</v>
      </c>
      <c r="I1063" t="s">
        <v>28</v>
      </c>
      <c r="J1063" t="s">
        <v>124</v>
      </c>
      <c r="K1063" s="85" t="str">
        <f t="shared" si="16"/>
        <v>/mnt/measurements/07_CANape/Mitsubishi/5K45/5.3.0_RC6/Customer_Testing/Real_Child_Measurements/6YO/CSR_XCP_Signals_Recorder_2026-01-30_14-38-50_TC229.MF4.xz,child,RadarFC_Master,child (ncap3),CPD,realchild</v>
      </c>
      <c r="L1063" s="85" t="s">
        <v>4134</v>
      </c>
      <c r="M1063" t="s">
        <v>1435</v>
      </c>
      <c r="N1063" t="s">
        <v>271</v>
      </c>
      <c r="O1063" t="s">
        <v>124</v>
      </c>
      <c r="P1063" t="s">
        <v>29</v>
      </c>
      <c r="Q1063">
        <v>1</v>
      </c>
      <c r="T1063">
        <v>0</v>
      </c>
      <c r="U1063">
        <v>0</v>
      </c>
    </row>
    <row r="1064" spans="1:21" s="137" customFormat="1">
      <c r="A1064" s="77">
        <v>229</v>
      </c>
      <c r="B1064" t="s">
        <v>124</v>
      </c>
      <c r="C1064" s="85" t="s">
        <v>253</v>
      </c>
      <c r="D1064" s="97" t="e">
        <f>_xlfn.XLOOKUP(A1064,[1]CPD_SOP_new!$A:$A,[1]CPD_SOP_new!#REF!,"not found",0 )</f>
        <v>#REF!</v>
      </c>
      <c r="E1064" s="97" t="s">
        <v>112</v>
      </c>
      <c r="F1064" t="s">
        <v>28</v>
      </c>
      <c r="G1064" t="s">
        <v>28</v>
      </c>
      <c r="H1064" t="s">
        <v>28</v>
      </c>
      <c r="I1064" t="s">
        <v>28</v>
      </c>
      <c r="J1064" t="s">
        <v>124</v>
      </c>
      <c r="K1064" s="85" t="str">
        <f t="shared" si="16"/>
        <v>/mnt/measurements/07_CANape/Mitsubishi/5K45/5.3.0_RC6/Customer_Testing/Real_Child_Measurements/6YO/CSR_XCP_Signals_Recorder_2026-01-30_14-41-26_TC229.MF4.xz,child,RadarFC_Master,child (ncap3),CPD,realchild</v>
      </c>
      <c r="L1064" s="85" t="s">
        <v>4135</v>
      </c>
      <c r="M1064" t="s">
        <v>1436</v>
      </c>
      <c r="N1064" t="s">
        <v>271</v>
      </c>
      <c r="O1064" t="s">
        <v>124</v>
      </c>
      <c r="P1064" t="s">
        <v>29</v>
      </c>
      <c r="Q1064">
        <v>1</v>
      </c>
      <c r="T1064">
        <v>0</v>
      </c>
      <c r="U1064">
        <v>0</v>
      </c>
    </row>
    <row r="1065" spans="1:21" s="137" customFormat="1">
      <c r="A1065" s="77">
        <v>230</v>
      </c>
      <c r="B1065" t="s">
        <v>124</v>
      </c>
      <c r="C1065" s="85" t="s">
        <v>253</v>
      </c>
      <c r="D1065" s="97" t="e">
        <f>_xlfn.XLOOKUP(A1065,[1]CPD_SOP_new!$A:$A,[1]CPD_SOP_new!#REF!,"not found",0 )</f>
        <v>#REF!</v>
      </c>
      <c r="E1065" s="97" t="str">
        <f>_xlfn.XLOOKUP(A1065,[1]CPD_SOP_new!$A:$A,[1]CPD_SOP_new!$K:$K,"not found",0 )</f>
        <v>2R</v>
      </c>
      <c r="F1065" t="s">
        <v>28</v>
      </c>
      <c r="G1065" t="s">
        <v>28</v>
      </c>
      <c r="H1065" t="s">
        <v>28</v>
      </c>
      <c r="I1065" t="s">
        <v>28</v>
      </c>
      <c r="J1065" t="s">
        <v>124</v>
      </c>
      <c r="K1065" s="85" t="str">
        <f t="shared" si="16"/>
        <v>/mnt/measurements/07_CANape/Mitsubishi/5K45/MMC5.0.0_RC3/Real_Child_Tests/CSR_XCP_Signals_Recorder_2025-12-11_10-52-08_TC230_6YO_2R_CPD.MF4.xz,child,RadarFC_Master,child (ncap3),CPD,realchild</v>
      </c>
      <c r="L1065" s="85" t="s">
        <v>4136</v>
      </c>
      <c r="M1065" t="s">
        <v>1437</v>
      </c>
      <c r="N1065" s="129" t="s">
        <v>217</v>
      </c>
    </row>
    <row r="1066" spans="1:21">
      <c r="A1066" s="77">
        <v>230</v>
      </c>
      <c r="B1066" t="s">
        <v>124</v>
      </c>
      <c r="C1066" s="85" t="s">
        <v>253</v>
      </c>
      <c r="D1066" s="97" t="e">
        <f>_xlfn.XLOOKUP(A1066,[1]CPD_SOP_new!$A:$A,[1]CPD_SOP_new!#REF!,"not found",0 )</f>
        <v>#REF!</v>
      </c>
      <c r="E1066" s="97" t="str">
        <f>_xlfn.XLOOKUP(A1066,[1]CPD_SOP_new!$A:$A,[1]CPD_SOP_new!$K:$K,"not found",0 )</f>
        <v>2R</v>
      </c>
      <c r="F1066" t="s">
        <v>28</v>
      </c>
      <c r="G1066" t="s">
        <v>28</v>
      </c>
      <c r="H1066" t="s">
        <v>28</v>
      </c>
      <c r="I1066" t="s">
        <v>28</v>
      </c>
      <c r="J1066" t="s">
        <v>124</v>
      </c>
      <c r="K1066" s="85" t="str">
        <f t="shared" si="16"/>
        <v>/mnt/measurements/07_CANape/Mitsubishi/5K45/MMC5.0.0_RC3/Real_Child_Tests/CSR_XCP_Signals_Recorder_2025-12-11_10-54-24_TC230_6YO_2R_CPD.MF4.xz,child,RadarFC_Master,child (ncap3),CPD,realchild</v>
      </c>
      <c r="L1066" s="85" t="s">
        <v>4137</v>
      </c>
      <c r="M1066" t="s">
        <v>1438</v>
      </c>
      <c r="N1066" s="129" t="s">
        <v>217</v>
      </c>
    </row>
    <row r="1067" spans="1:21" s="137" customFormat="1">
      <c r="A1067" s="77">
        <v>230</v>
      </c>
      <c r="B1067" t="s">
        <v>124</v>
      </c>
      <c r="C1067" s="85" t="s">
        <v>253</v>
      </c>
      <c r="D1067" s="97" t="e">
        <f>_xlfn.XLOOKUP(A1067,[1]CPD_SOP_new!$A:$A,[1]CPD_SOP_new!#REF!,"not found",0 )</f>
        <v>#REF!</v>
      </c>
      <c r="E1067" s="97" t="str">
        <f>_xlfn.XLOOKUP(A1067,[1]CPD_SOP_new!$A:$A,[1]CPD_SOP_new!$K:$K,"not found",0 )</f>
        <v>2R</v>
      </c>
      <c r="F1067" t="s">
        <v>28</v>
      </c>
      <c r="G1067" t="s">
        <v>28</v>
      </c>
      <c r="H1067" t="s">
        <v>28</v>
      </c>
      <c r="I1067" t="s">
        <v>28</v>
      </c>
      <c r="J1067" t="s">
        <v>124</v>
      </c>
      <c r="K1067" s="85" t="str">
        <f t="shared" si="16"/>
        <v>/mnt/measurements/07_CANape/Mitsubishi/5K45/MMC5.0.0_RC3/Real_Child_Tests/CSR_XCP_Signals_Recorder_2025-12-11_10-56-40_TC230_6YO_2R_CPD.MF4.xz,child,RadarFC_Master,child (ncap3),CPD,realchild</v>
      </c>
      <c r="L1067" s="85" t="s">
        <v>4138</v>
      </c>
      <c r="M1067" t="s">
        <v>1439</v>
      </c>
      <c r="N1067" s="129" t="s">
        <v>217</v>
      </c>
    </row>
    <row r="1068" spans="1:21" s="137" customFormat="1">
      <c r="A1068" s="77">
        <v>230</v>
      </c>
      <c r="B1068" t="s">
        <v>124</v>
      </c>
      <c r="C1068" s="85" t="s">
        <v>253</v>
      </c>
      <c r="D1068" s="97" t="e">
        <f>_xlfn.XLOOKUP(A1068,[1]CPD_SOP_new!$A:$A,[1]CPD_SOP_new!#REF!,"not found",0 )</f>
        <v>#REF!</v>
      </c>
      <c r="E1068" s="97" t="str">
        <f>_xlfn.XLOOKUP(A1068,[1]CPD_SOP_new!$A:$A,[1]CPD_SOP_new!$K:$K,"not found",0 )</f>
        <v>2R</v>
      </c>
      <c r="F1068" t="s">
        <v>28</v>
      </c>
      <c r="G1068" t="s">
        <v>28</v>
      </c>
      <c r="H1068" t="s">
        <v>28</v>
      </c>
      <c r="I1068" t="s">
        <v>28</v>
      </c>
      <c r="J1068" t="s">
        <v>124</v>
      </c>
      <c r="K1068" s="85" t="str">
        <f t="shared" si="16"/>
        <v>/mnt/measurements/07_CANape/Mitsubishi/5K45/MMC5.0.0_RC3/Real_Child_Tests/CSR_XCP_Signals_Recorder_2025-12-11_10-58-30_TC230_6YO_2R_CPD.MF4.xz,child,RadarFC_Master,child (ncap3),CPD,realchild</v>
      </c>
      <c r="L1068" s="85" t="s">
        <v>4139</v>
      </c>
      <c r="M1068" t="s">
        <v>1440</v>
      </c>
      <c r="N1068" s="129" t="s">
        <v>217</v>
      </c>
    </row>
    <row r="1069" spans="1:21">
      <c r="A1069" s="77">
        <v>230</v>
      </c>
      <c r="B1069" t="s">
        <v>124</v>
      </c>
      <c r="C1069" s="85" t="s">
        <v>253</v>
      </c>
      <c r="D1069" s="97" t="e">
        <f>_xlfn.XLOOKUP(A1069,[1]CPD_SOP_new!$A:$A,[1]CPD_SOP_new!#REF!,"not found",0 )</f>
        <v>#REF!</v>
      </c>
      <c r="E1069" s="97" t="str">
        <f>_xlfn.XLOOKUP(A1069,[1]CPD_SOP_new!$A:$A,[1]CPD_SOP_new!$K:$K,"not found",0 )</f>
        <v>2R</v>
      </c>
      <c r="F1069" t="s">
        <v>28</v>
      </c>
      <c r="G1069" t="s">
        <v>28</v>
      </c>
      <c r="H1069" t="s">
        <v>28</v>
      </c>
      <c r="I1069" t="s">
        <v>28</v>
      </c>
      <c r="J1069" t="s">
        <v>124</v>
      </c>
      <c r="K1069" s="85" t="str">
        <f t="shared" si="16"/>
        <v>/mnt/measurements/07_CANape/Mitsubishi/5K45/MMC5.0.0_RC3/Real_Child_Tests/CSR_XCP_Signals_Recorder_2025-12-11_11-00-28_TC230_6YO_2R_CPD.MF4.xz,child,RadarFC_Master,child (ncap3),CPD,realchild</v>
      </c>
      <c r="L1069" s="85" t="s">
        <v>4140</v>
      </c>
      <c r="M1069" t="s">
        <v>1441</v>
      </c>
      <c r="N1069" s="129" t="s">
        <v>217</v>
      </c>
    </row>
    <row r="1070" spans="1:21" s="137" customFormat="1">
      <c r="A1070" s="77">
        <v>231</v>
      </c>
      <c r="B1070" t="s">
        <v>124</v>
      </c>
      <c r="C1070" s="85" t="s">
        <v>253</v>
      </c>
      <c r="D1070" s="97" t="e">
        <f>_xlfn.XLOOKUP(A1070,[1]CPD_SOP_new!$A:$A,[1]CPD_SOP_new!#REF!,"not found",0 )</f>
        <v>#REF!</v>
      </c>
      <c r="E1070" s="97" t="str">
        <f>_xlfn.XLOOKUP(A1070,[1]CPD_SOP_new!$A:$A,[1]CPD_SOP_new!$K:$K,"not found",0 )</f>
        <v>2C</v>
      </c>
      <c r="F1070" t="s">
        <v>28</v>
      </c>
      <c r="G1070" t="s">
        <v>28</v>
      </c>
      <c r="H1070" t="s">
        <v>28</v>
      </c>
      <c r="I1070" t="s">
        <v>28</v>
      </c>
      <c r="J1070" t="s">
        <v>124</v>
      </c>
      <c r="K1070" s="85" t="str">
        <f t="shared" si="16"/>
        <v>/mnt/measurements/07_CANape/Mitsubishi/5K45/MMC5.0.1/5K457EG-11/Real_Child_Measurements/CSR_XCP_Signals_Recorder_2025-12-15_16-08-47_TC231_6YO2M_CPD.MF4.xzRadarFC_Master_standardized.json,child,RadarFC_Master,child (ncap3),CPD,realchild</v>
      </c>
      <c r="L1070" s="85" t="s">
        <v>4141</v>
      </c>
      <c r="M1070" t="s">
        <v>1442</v>
      </c>
      <c r="N1070" s="1" t="s">
        <v>102</v>
      </c>
    </row>
    <row r="1071" spans="1:21">
      <c r="A1071" s="77">
        <v>231</v>
      </c>
      <c r="B1071" t="s">
        <v>124</v>
      </c>
      <c r="C1071" s="85" t="s">
        <v>253</v>
      </c>
      <c r="D1071" s="97" t="e">
        <f>_xlfn.XLOOKUP(A1071,[1]CPD_SOP_new!$A:$A,[1]CPD_SOP_new!#REF!,"not found",0 )</f>
        <v>#REF!</v>
      </c>
      <c r="E1071" s="97" t="str">
        <f>_xlfn.XLOOKUP(A1071,[1]CPD_SOP_new!$A:$A,[1]CPD_SOP_new!$K:$K,"not found",0 )</f>
        <v>2C</v>
      </c>
      <c r="F1071" t="s">
        <v>28</v>
      </c>
      <c r="G1071" t="s">
        <v>28</v>
      </c>
      <c r="H1071" t="s">
        <v>28</v>
      </c>
      <c r="I1071" t="s">
        <v>28</v>
      </c>
      <c r="J1071" t="s">
        <v>124</v>
      </c>
      <c r="K1071" s="85" t="str">
        <f t="shared" si="16"/>
        <v>/mnt/measurements/07_CANape/Mitsubishi/5K45/MMC5.0.1/5K457EG-11/Real_Child_Measurements/CSR_XCP_Signals_Recorder_2025-12-15_16-10-26_TC231_6YO2M_CPD.MF4.xzRadarFC_Master_standardized.json,child,RadarFC_Master,child (ncap3),CPD,realchild</v>
      </c>
      <c r="L1071" s="85" t="s">
        <v>4142</v>
      </c>
      <c r="M1071" t="s">
        <v>1443</v>
      </c>
      <c r="N1071" s="129" t="s">
        <v>102</v>
      </c>
    </row>
    <row r="1072" spans="1:21">
      <c r="A1072" s="77">
        <v>231</v>
      </c>
      <c r="B1072" t="s">
        <v>124</v>
      </c>
      <c r="C1072" s="85" t="s">
        <v>253</v>
      </c>
      <c r="D1072" s="97" t="e">
        <f>_xlfn.XLOOKUP(A1072,[1]CPD_SOP_new!$A:$A,[1]CPD_SOP_new!#REF!,"not found",0 )</f>
        <v>#REF!</v>
      </c>
      <c r="E1072" s="97" t="str">
        <f>_xlfn.XLOOKUP(A1072,[1]CPD_SOP_new!$A:$A,[1]CPD_SOP_new!$K:$K,"not found",0 )</f>
        <v>2C</v>
      </c>
      <c r="F1072" t="s">
        <v>28</v>
      </c>
      <c r="G1072" t="s">
        <v>28</v>
      </c>
      <c r="H1072" t="s">
        <v>28</v>
      </c>
      <c r="I1072" t="s">
        <v>28</v>
      </c>
      <c r="J1072" t="s">
        <v>124</v>
      </c>
      <c r="K1072" s="85" t="str">
        <f t="shared" si="16"/>
        <v>/mnt/measurements/07_CANape/Mitsubishi/5K45/MMC5.0.1/5K457EG-11/Real_Child_Measurements/CSR_XCP_Signals_Recorder_2025-12-15_16-11-59_TC231_6YO2M_CPD.MF4.xzRadarFC_Master_standardized.json,child,RadarFC_Master,child (ncap3),CPD,realchild</v>
      </c>
      <c r="L1072" s="85" t="s">
        <v>4143</v>
      </c>
      <c r="M1072" t="s">
        <v>1444</v>
      </c>
      <c r="N1072" s="1" t="s">
        <v>102</v>
      </c>
    </row>
    <row r="1073" spans="1:21">
      <c r="A1073" s="77">
        <v>231</v>
      </c>
      <c r="B1073" t="s">
        <v>124</v>
      </c>
      <c r="C1073" s="85" t="s">
        <v>253</v>
      </c>
      <c r="D1073" s="97" t="e">
        <f>_xlfn.XLOOKUP(A1073,[1]CPD_SOP_new!$A:$A,[1]CPD_SOP_new!#REF!,"not found",0 )</f>
        <v>#REF!</v>
      </c>
      <c r="E1073" s="97" t="str">
        <f>_xlfn.XLOOKUP(A1073,[1]CPD_SOP_new!$A:$A,[1]CPD_SOP_new!$K:$K,"not found",0 )</f>
        <v>2C</v>
      </c>
      <c r="F1073" t="s">
        <v>28</v>
      </c>
      <c r="G1073" t="s">
        <v>28</v>
      </c>
      <c r="H1073" t="s">
        <v>28</v>
      </c>
      <c r="I1073" t="s">
        <v>28</v>
      </c>
      <c r="J1073" t="s">
        <v>124</v>
      </c>
      <c r="K1073" s="85" t="str">
        <f t="shared" si="16"/>
        <v>/mnt/measurements/07_CANape/Mitsubishi/5K45/MMC5.0.1/5K457EG-11/Real_Child_Measurements/CSR_XCP_Signals_Recorder_2025-12-15_16-13-35_TC231_6YO2M_CPD.MF4.xzRadarFC_Master_standardized.json,child,RadarFC_Master,child (ncap3),CPD,realchild</v>
      </c>
      <c r="L1073" s="85" t="s">
        <v>4144</v>
      </c>
      <c r="M1073" t="s">
        <v>1445</v>
      </c>
      <c r="N1073" s="1" t="s">
        <v>102</v>
      </c>
    </row>
    <row r="1074" spans="1:21">
      <c r="A1074" s="77">
        <v>231</v>
      </c>
      <c r="B1074" t="s">
        <v>124</v>
      </c>
      <c r="C1074" s="85" t="s">
        <v>253</v>
      </c>
      <c r="D1074" s="97" t="e">
        <f>_xlfn.XLOOKUP(A1074,[1]CPD_SOP_new!$A:$A,[1]CPD_SOP_new!#REF!,"not found",0 )</f>
        <v>#REF!</v>
      </c>
      <c r="E1074" s="97" t="str">
        <f>_xlfn.XLOOKUP(A1074,[1]CPD_SOP_new!$A:$A,[1]CPD_SOP_new!$K:$K,"not found",0 )</f>
        <v>2C</v>
      </c>
      <c r="F1074" t="s">
        <v>28</v>
      </c>
      <c r="G1074" t="s">
        <v>28</v>
      </c>
      <c r="H1074" t="s">
        <v>28</v>
      </c>
      <c r="I1074" t="s">
        <v>28</v>
      </c>
      <c r="J1074" t="s">
        <v>124</v>
      </c>
      <c r="K1074" s="85" t="str">
        <f t="shared" si="16"/>
        <v>/mnt/measurements/07_CANape/Mitsubishi/5K45/MMC5.0.1/5K457EG-11/Real_Child_Measurements/CSR_XCP_Signals_Recorder_2025-12-15_16-15-06_TC231_6YO2M_CPD.MF4.xzRadarFC_Master_standardized.json,child,RadarFC_Master,child (ncap3),CPD,realchild</v>
      </c>
      <c r="L1074" s="85" t="s">
        <v>4145</v>
      </c>
      <c r="M1074" t="s">
        <v>1446</v>
      </c>
      <c r="N1074" s="1" t="s">
        <v>102</v>
      </c>
    </row>
    <row r="1075" spans="1:21">
      <c r="A1075" s="77">
        <v>232</v>
      </c>
      <c r="B1075" t="s">
        <v>124</v>
      </c>
      <c r="C1075" s="85" t="s">
        <v>253</v>
      </c>
      <c r="D1075" s="97" t="e">
        <f>_xlfn.XLOOKUP(A1075,[1]CPD_SOP_new!$A:$A,[1]CPD_SOP_new!#REF!,"not found",0 )</f>
        <v>#REF!</v>
      </c>
      <c r="E1075" s="97" t="str">
        <f>_xlfn.XLOOKUP(A1075,[1]CPD_SOP_new!$A:$A,[1]CPD_SOP_new!$K:$K,"not found",0 )</f>
        <v>3L</v>
      </c>
      <c r="F1075" t="s">
        <v>28</v>
      </c>
      <c r="G1075" t="s">
        <v>28</v>
      </c>
      <c r="H1075" t="s">
        <v>28</v>
      </c>
      <c r="I1075" t="s">
        <v>28</v>
      </c>
      <c r="J1075" t="s">
        <v>124</v>
      </c>
      <c r="K1075" s="85" t="str">
        <f t="shared" si="16"/>
        <v>/mnt/measurements/07_CANape/Mitsubishi/5K45/MMC5.0.1/5K457EG-11/Real_Child_Measurements/CSR_XCP_Signals_Recorder_2025-12-15_16-30-04_TC232_3L_CPD.MF4.xzRadarFC_Master_standardized.json,child,RadarFC_Master,child (ncap3),CPD,realchild</v>
      </c>
      <c r="L1075" s="85" t="s">
        <v>4146</v>
      </c>
      <c r="M1075" t="s">
        <v>1447</v>
      </c>
      <c r="N1075" s="1" t="s">
        <v>102</v>
      </c>
    </row>
    <row r="1076" spans="1:21">
      <c r="A1076" s="77">
        <v>232</v>
      </c>
      <c r="B1076" t="s">
        <v>124</v>
      </c>
      <c r="C1076" s="85" t="s">
        <v>253</v>
      </c>
      <c r="D1076" s="97" t="e">
        <f>_xlfn.XLOOKUP(A1076,[1]CPD_SOP_new!$A:$A,[1]CPD_SOP_new!#REF!,"not found",0 )</f>
        <v>#REF!</v>
      </c>
      <c r="E1076" s="97" t="str">
        <f>_xlfn.XLOOKUP(A1076,[1]CPD_SOP_new!$A:$A,[1]CPD_SOP_new!$K:$K,"not found",0 )</f>
        <v>3L</v>
      </c>
      <c r="F1076" t="s">
        <v>28</v>
      </c>
      <c r="G1076" t="s">
        <v>28</v>
      </c>
      <c r="H1076" t="s">
        <v>28</v>
      </c>
      <c r="I1076" t="s">
        <v>28</v>
      </c>
      <c r="J1076" t="s">
        <v>124</v>
      </c>
      <c r="K1076" s="85" t="str">
        <f t="shared" si="16"/>
        <v>/mnt/measurements/07_CANape/Mitsubishi/5K45/MMC5.0.1/5K457EG-11/Real_Child_Measurements/CSR_XCP_Signals_Recorder_2025-12-15_16-31-34_TC232_3L_CPD.MF4.xzRadarFC_Master_standardized.json,child,RadarFC_Master,child (ncap3),CPD,realchild</v>
      </c>
      <c r="L1076" s="85" t="s">
        <v>4147</v>
      </c>
      <c r="M1076" t="s">
        <v>1448</v>
      </c>
      <c r="N1076" s="1" t="s">
        <v>102</v>
      </c>
    </row>
    <row r="1077" spans="1:21">
      <c r="A1077" s="77">
        <v>232</v>
      </c>
      <c r="B1077" t="s">
        <v>124</v>
      </c>
      <c r="C1077" s="85" t="s">
        <v>253</v>
      </c>
      <c r="D1077" s="97" t="e">
        <f>_xlfn.XLOOKUP(A1077,[1]CPD_SOP_new!$A:$A,[1]CPD_SOP_new!#REF!,"not found",0 )</f>
        <v>#REF!</v>
      </c>
      <c r="E1077" s="97" t="str">
        <f>_xlfn.XLOOKUP(A1077,[1]CPD_SOP_new!$A:$A,[1]CPD_SOP_new!$K:$K,"not found",0 )</f>
        <v>3L</v>
      </c>
      <c r="F1077" t="s">
        <v>28</v>
      </c>
      <c r="G1077" t="s">
        <v>28</v>
      </c>
      <c r="H1077" t="s">
        <v>28</v>
      </c>
      <c r="I1077" t="s">
        <v>28</v>
      </c>
      <c r="J1077" t="s">
        <v>124</v>
      </c>
      <c r="K1077" s="85" t="str">
        <f t="shared" si="16"/>
        <v>/mnt/measurements/07_CANape/Mitsubishi/5K45/MMC5.0.1/5K457EG-11/Real_Child_Measurements/CSR_XCP_Signals_Recorder_2025-12-15_16-33-04_TC232_3L_CPD.MF4.xzRadarFC_Master_standardized.json,child,RadarFC_Master,child (ncap3),CPD,realchild</v>
      </c>
      <c r="L1077" s="85" t="s">
        <v>4148</v>
      </c>
      <c r="M1077" t="s">
        <v>1449</v>
      </c>
      <c r="N1077" s="1" t="s">
        <v>102</v>
      </c>
    </row>
    <row r="1078" spans="1:21">
      <c r="A1078" s="77">
        <v>232</v>
      </c>
      <c r="B1078" t="s">
        <v>124</v>
      </c>
      <c r="C1078" s="85" t="s">
        <v>253</v>
      </c>
      <c r="D1078" s="97" t="e">
        <f>_xlfn.XLOOKUP(A1078,[1]CPD_SOP_new!$A:$A,[1]CPD_SOP_new!#REF!,"not found",0 )</f>
        <v>#REF!</v>
      </c>
      <c r="E1078" s="97" t="str">
        <f>_xlfn.XLOOKUP(A1078,[1]CPD_SOP_new!$A:$A,[1]CPD_SOP_new!$K:$K,"not found",0 )</f>
        <v>3L</v>
      </c>
      <c r="F1078" t="s">
        <v>28</v>
      </c>
      <c r="G1078" t="s">
        <v>28</v>
      </c>
      <c r="H1078" t="s">
        <v>28</v>
      </c>
      <c r="I1078" t="s">
        <v>28</v>
      </c>
      <c r="J1078" t="s">
        <v>124</v>
      </c>
      <c r="K1078" s="85" t="str">
        <f t="shared" si="16"/>
        <v>/mnt/measurements/07_CANape/Mitsubishi/5K45/MMC5.0.1/5K457EG-11/Real_Child_Measurements/CSR_XCP_Signals_Recorder_2025-12-15_16-34-33_TC232_3L_CPD.MF4.xzRadarFC_Master_standardized.json,child,RadarFC_Master,child (ncap3),CPD,realchild</v>
      </c>
      <c r="L1078" s="85" t="s">
        <v>4149</v>
      </c>
      <c r="M1078" t="s">
        <v>1450</v>
      </c>
      <c r="N1078" s="1" t="s">
        <v>102</v>
      </c>
    </row>
    <row r="1079" spans="1:21">
      <c r="A1079" s="77">
        <v>232</v>
      </c>
      <c r="B1079" t="s">
        <v>124</v>
      </c>
      <c r="C1079" s="85" t="s">
        <v>253</v>
      </c>
      <c r="D1079" s="97" t="e">
        <f>_xlfn.XLOOKUP(A1079,[1]CPD_SOP_new!$A:$A,[1]CPD_SOP_new!#REF!,"not found",0 )</f>
        <v>#REF!</v>
      </c>
      <c r="E1079" s="97" t="str">
        <f>_xlfn.XLOOKUP(A1079,[1]CPD_SOP_new!$A:$A,[1]CPD_SOP_new!$K:$K,"not found",0 )</f>
        <v>3L</v>
      </c>
      <c r="F1079" t="s">
        <v>28</v>
      </c>
      <c r="G1079" t="s">
        <v>28</v>
      </c>
      <c r="H1079" t="s">
        <v>28</v>
      </c>
      <c r="I1079" t="s">
        <v>28</v>
      </c>
      <c r="J1079" t="s">
        <v>124</v>
      </c>
      <c r="K1079" s="85" t="str">
        <f t="shared" si="16"/>
        <v>/mnt/measurements/07_CANape/Mitsubishi/5K45/MMC5.0.1/5K457EG-11/Real_Child_Measurements/CSR_XCP_Signals_Recorder_2025-12-15_16-36-03_TC232_3L_CPD.MF4.xzRadarFC_Master_standardized.json,child,RadarFC_Master,child (ncap3),CPD,realchild</v>
      </c>
      <c r="L1079" s="85" t="s">
        <v>4150</v>
      </c>
      <c r="M1079" t="s">
        <v>1451</v>
      </c>
      <c r="N1079" s="1" t="s">
        <v>102</v>
      </c>
    </row>
    <row r="1080" spans="1:21">
      <c r="A1080" s="77">
        <v>235</v>
      </c>
      <c r="B1080" t="s">
        <v>124</v>
      </c>
      <c r="C1080" s="85" t="s">
        <v>253</v>
      </c>
      <c r="D1080" s="97" t="e">
        <f>_xlfn.XLOOKUP(A1080,[1]CPD_SOP_new!$A:$A,[1]CPD_SOP_new!#REF!,"not found",0 )</f>
        <v>#REF!</v>
      </c>
      <c r="E1080" s="97" t="s">
        <v>112</v>
      </c>
      <c r="F1080" t="s">
        <v>28</v>
      </c>
      <c r="G1080" t="s">
        <v>28</v>
      </c>
      <c r="H1080" t="s">
        <v>28</v>
      </c>
      <c r="I1080" t="s">
        <v>28</v>
      </c>
      <c r="J1080" t="s">
        <v>124</v>
      </c>
      <c r="K1080" s="85" t="str">
        <f t="shared" si="16"/>
        <v>/mnt/measurements/07_CANape/Mitsubishi/5K45/MMC5.0.1/5K457EG-11/Real_Child_Measurements/CSR_XCP_Signals_Recorder_2025-12-15_14-21-11_TC235_6YO1L_CPD.MF4.xz,child,RadarFC_Master,child (ncap3),CPD,realchild</v>
      </c>
      <c r="L1080" s="85" t="s">
        <v>4151</v>
      </c>
      <c r="M1080" t="s">
        <v>1452</v>
      </c>
      <c r="N1080" s="129" t="s">
        <v>102</v>
      </c>
    </row>
    <row r="1081" spans="1:21">
      <c r="A1081" s="77">
        <v>235</v>
      </c>
      <c r="B1081" t="s">
        <v>124</v>
      </c>
      <c r="C1081" s="85" t="s">
        <v>253</v>
      </c>
      <c r="D1081" s="97" t="e">
        <f>_xlfn.XLOOKUP(A1081,[1]CPD_SOP_new!$A:$A,[1]CPD_SOP_new!#REF!,"not found",0 )</f>
        <v>#REF!</v>
      </c>
      <c r="E1081" s="97" t="s">
        <v>112</v>
      </c>
      <c r="F1081" t="s">
        <v>28</v>
      </c>
      <c r="G1081" t="s">
        <v>28</v>
      </c>
      <c r="H1081" t="s">
        <v>28</v>
      </c>
      <c r="I1081" t="s">
        <v>28</v>
      </c>
      <c r="J1081" t="s">
        <v>124</v>
      </c>
      <c r="K1081" s="85" t="str">
        <f t="shared" si="16"/>
        <v>/mnt/measurements/07_CANape/Mitsubishi/5K45/MMC5.0.1/5K457EG-11/Real_Child_Measurements/CSR_XCP_Signals_Recorder_2025-12-15_14-22-43_TC235_6YO1L_CPD.MF4.xz,child,RadarFC_Master,child (ncap3),CPD,realchild</v>
      </c>
      <c r="L1081" s="85" t="s">
        <v>4152</v>
      </c>
      <c r="M1081" t="s">
        <v>1453</v>
      </c>
      <c r="N1081" s="129" t="s">
        <v>102</v>
      </c>
    </row>
    <row r="1082" spans="1:21" s="137" customFormat="1">
      <c r="A1082" s="77">
        <v>235</v>
      </c>
      <c r="B1082" t="s">
        <v>124</v>
      </c>
      <c r="C1082" s="85" t="s">
        <v>253</v>
      </c>
      <c r="D1082" s="97" t="e">
        <f>_xlfn.XLOOKUP(A1082,[1]CPD_SOP_new!$A:$A,[1]CPD_SOP_new!#REF!,"not found",0 )</f>
        <v>#REF!</v>
      </c>
      <c r="E1082" s="97" t="s">
        <v>112</v>
      </c>
      <c r="F1082" t="s">
        <v>28</v>
      </c>
      <c r="G1082" t="s">
        <v>28</v>
      </c>
      <c r="H1082" t="s">
        <v>28</v>
      </c>
      <c r="I1082" t="s">
        <v>28</v>
      </c>
      <c r="J1082" t="s">
        <v>124</v>
      </c>
      <c r="K1082" s="85" t="str">
        <f t="shared" si="16"/>
        <v>/mnt/measurements/07_CANape/Mitsubishi/5K45/MMC5.0.1/5K457EG-11/Real_Child_Measurements/CSR_XCP_Signals_Recorder_2025-12-15_14-25-12_TC235_6YO1L_CPD.MF4.xz,child,RadarFC_Master,child (ncap3),CPD,realchild</v>
      </c>
      <c r="L1082" s="85" t="s">
        <v>4153</v>
      </c>
      <c r="M1082" t="s">
        <v>1454</v>
      </c>
      <c r="N1082" s="129" t="s">
        <v>102</v>
      </c>
    </row>
    <row r="1083" spans="1:21">
      <c r="A1083" s="77">
        <v>235</v>
      </c>
      <c r="B1083" t="s">
        <v>124</v>
      </c>
      <c r="C1083" s="85" t="s">
        <v>253</v>
      </c>
      <c r="D1083" s="97" t="e">
        <f>_xlfn.XLOOKUP(A1083,[1]CPD_SOP_new!$A:$A,[1]CPD_SOP_new!#REF!,"not found",0 )</f>
        <v>#REF!</v>
      </c>
      <c r="E1083" s="97" t="s">
        <v>112</v>
      </c>
      <c r="F1083" t="s">
        <v>28</v>
      </c>
      <c r="G1083" t="s">
        <v>28</v>
      </c>
      <c r="H1083" t="s">
        <v>28</v>
      </c>
      <c r="I1083" t="s">
        <v>28</v>
      </c>
      <c r="J1083" t="s">
        <v>124</v>
      </c>
      <c r="K1083" s="85" t="str">
        <f t="shared" si="16"/>
        <v>/mnt/measurements/07_CANape/Mitsubishi/5K45/MMC5.0.1/5K457EG-11/Real_Child_Measurements/CSR_XCP_Signals_Recorder_2025-12-15_14-26-45_TC235_6YO1L_CPD.MF4.xz,child,RadarFC_Master,child (ncap3),CPD,realchild</v>
      </c>
      <c r="L1083" s="85" t="s">
        <v>4154</v>
      </c>
      <c r="M1083" t="s">
        <v>1455</v>
      </c>
      <c r="N1083" s="129" t="s">
        <v>102</v>
      </c>
    </row>
    <row r="1084" spans="1:21">
      <c r="A1084" s="77">
        <v>235</v>
      </c>
      <c r="B1084" t="s">
        <v>124</v>
      </c>
      <c r="C1084" s="85" t="s">
        <v>253</v>
      </c>
      <c r="D1084" s="97" t="e">
        <f>_xlfn.XLOOKUP(A1084,[1]CPD_SOP_new!$A:$A,[1]CPD_SOP_new!#REF!,"not found",0 )</f>
        <v>#REF!</v>
      </c>
      <c r="E1084" s="97" t="s">
        <v>112</v>
      </c>
      <c r="F1084" t="s">
        <v>28</v>
      </c>
      <c r="G1084" t="s">
        <v>28</v>
      </c>
      <c r="H1084" t="s">
        <v>28</v>
      </c>
      <c r="I1084" t="s">
        <v>28</v>
      </c>
      <c r="J1084" t="s">
        <v>124</v>
      </c>
      <c r="K1084" s="85" t="str">
        <f t="shared" si="16"/>
        <v>/mnt/measurements/07_CANape/Mitsubishi/5K45/MMC5.0.1/5K457EG-11/Real_Child_Measurements/CSR_XCP_Signals_Recorder_2025-12-15_14-28-24_TC235_6YO1L_CPD.MF4.xz,child,RadarFC_Master,child (ncap3),CPD,realchild</v>
      </c>
      <c r="L1084" s="85" t="s">
        <v>4155</v>
      </c>
      <c r="M1084" t="s">
        <v>1456</v>
      </c>
      <c r="N1084" s="129" t="s">
        <v>102</v>
      </c>
    </row>
    <row r="1085" spans="1:21">
      <c r="A1085" s="77">
        <v>235</v>
      </c>
      <c r="B1085" t="s">
        <v>124</v>
      </c>
      <c r="C1085" s="85" t="s">
        <v>253</v>
      </c>
      <c r="D1085" s="97" t="e">
        <f>_xlfn.XLOOKUP(A1085,[1]CPD_SOP_new!$A:$A,[1]CPD_SOP_new!#REF!,"not found",0 )</f>
        <v>#REF!</v>
      </c>
      <c r="E1085" s="97" t="s">
        <v>112</v>
      </c>
      <c r="F1085" t="s">
        <v>28</v>
      </c>
      <c r="G1085" t="s">
        <v>28</v>
      </c>
      <c r="H1085" t="s">
        <v>28</v>
      </c>
      <c r="I1085" t="s">
        <v>28</v>
      </c>
      <c r="J1085" t="s">
        <v>124</v>
      </c>
      <c r="K1085" s="85" t="str">
        <f t="shared" si="16"/>
        <v>/mnt/measurements/07_CANape/Mitsubishi/5K45/5.3.0_RC6/Customer_Testing/Real_Child_Measurements/6YO/CSR_XCP_Signals_Recorder_2026-01-30_14-47-44_TC235.MF4.xz,child,RadarFC_Master,child (ncap3),CPD,realchild</v>
      </c>
      <c r="L1085" s="85" t="s">
        <v>4156</v>
      </c>
      <c r="M1085" t="s">
        <v>1458</v>
      </c>
      <c r="N1085" t="s">
        <v>271</v>
      </c>
      <c r="O1085" t="s">
        <v>124</v>
      </c>
      <c r="P1085" t="s">
        <v>29</v>
      </c>
      <c r="Q1085">
        <v>1</v>
      </c>
      <c r="T1085">
        <v>0</v>
      </c>
      <c r="U1085">
        <v>0</v>
      </c>
    </row>
    <row r="1086" spans="1:21">
      <c r="A1086" s="77">
        <v>235</v>
      </c>
      <c r="B1086" t="s">
        <v>124</v>
      </c>
      <c r="C1086" s="85" t="s">
        <v>253</v>
      </c>
      <c r="D1086" s="97" t="e">
        <f>_xlfn.XLOOKUP(A1086,[1]CPD_SOP_new!$A:$A,[1]CPD_SOP_new!#REF!,"not found",0 )</f>
        <v>#REF!</v>
      </c>
      <c r="E1086" s="97" t="s">
        <v>112</v>
      </c>
      <c r="F1086" t="s">
        <v>28</v>
      </c>
      <c r="G1086" t="s">
        <v>28</v>
      </c>
      <c r="H1086" t="s">
        <v>28</v>
      </c>
      <c r="I1086" t="s">
        <v>28</v>
      </c>
      <c r="J1086" t="s">
        <v>124</v>
      </c>
      <c r="K1086" s="85" t="str">
        <f t="shared" si="16"/>
        <v>/mnt/measurements/07_CANape/Mitsubishi/5K45/5.3.0_RC6/Customer_Testing/Real_Child_Measurements/6YO/CSR_XCP_Signals_Recorder_2026-01-30_14-49-11_TC235.MF4.xz,child,RadarFC_Master,child (ncap3),CPD,realchild</v>
      </c>
      <c r="L1086" s="85" t="s">
        <v>4157</v>
      </c>
      <c r="M1086" t="s">
        <v>1459</v>
      </c>
      <c r="N1086" t="s">
        <v>271</v>
      </c>
      <c r="O1086" t="s">
        <v>124</v>
      </c>
      <c r="P1086" t="s">
        <v>29</v>
      </c>
      <c r="Q1086">
        <v>1</v>
      </c>
      <c r="T1086">
        <v>0</v>
      </c>
      <c r="U1086">
        <v>0</v>
      </c>
    </row>
    <row r="1087" spans="1:21">
      <c r="A1087" s="59">
        <v>235</v>
      </c>
      <c r="B1087" t="s">
        <v>124</v>
      </c>
      <c r="C1087" t="s">
        <v>253</v>
      </c>
      <c r="D1087" s="97" t="e">
        <f>_xlfn.XLOOKUP(A1087,[1]CPD_SOP_new!$A:$A,[1]CPD_SOP_new!#REF!,"not found",0 )</f>
        <v>#REF!</v>
      </c>
      <c r="E1087" s="97" t="s">
        <v>112</v>
      </c>
      <c r="F1087" t="s">
        <v>28</v>
      </c>
      <c r="G1087" t="s">
        <v>28</v>
      </c>
      <c r="H1087" t="s">
        <v>28</v>
      </c>
      <c r="I1087" t="s">
        <v>28</v>
      </c>
      <c r="J1087" s="85" t="s">
        <v>124</v>
      </c>
      <c r="K1087" s="85" t="str">
        <f t="shared" si="16"/>
        <v>/mnt/measurements/07_CANape/Mitsubishi/5K45/5.3.0_RC7/5K457EG11/RealChild/CSR_XCP_Signals_Recorder_2026-02-04_17-41-07_CPD_TC235_with_reset.MF4.xz,child,RadarFC_Master,child (ncap3),CPD,realchild</v>
      </c>
      <c r="L1087" s="85" t="s">
        <v>4158</v>
      </c>
      <c r="M1087" s="59" t="s">
        <v>1461</v>
      </c>
      <c r="N1087" t="s">
        <v>277</v>
      </c>
    </row>
    <row r="1088" spans="1:21">
      <c r="A1088" s="59">
        <v>235</v>
      </c>
      <c r="B1088" t="s">
        <v>124</v>
      </c>
      <c r="C1088" t="s">
        <v>253</v>
      </c>
      <c r="D1088" s="97" t="e">
        <f>_xlfn.XLOOKUP(A1088,[1]CPD_SOP_new!$A:$A,[1]CPD_SOP_new!#REF!,"not found",0 )</f>
        <v>#REF!</v>
      </c>
      <c r="E1088" s="97" t="s">
        <v>112</v>
      </c>
      <c r="F1088" t="s">
        <v>28</v>
      </c>
      <c r="G1088" t="s">
        <v>28</v>
      </c>
      <c r="H1088" t="s">
        <v>28</v>
      </c>
      <c r="I1088" t="s">
        <v>28</v>
      </c>
      <c r="J1088" s="85" t="s">
        <v>124</v>
      </c>
      <c r="K1088" s="85" t="str">
        <f t="shared" si="16"/>
        <v>/mnt/measurements/07_CANape/Mitsubishi/5K45/5.3.0_RC7/5K457EG11/RealChild/CSR_XCP_Signals_Recorder_2026-02-04_17-43-25_CPD_TC235_with_reset.MF4.xz,child,RadarFC_Master,child (ncap3),CPD,realchild</v>
      </c>
      <c r="L1088" s="85" t="s">
        <v>4159</v>
      </c>
      <c r="M1088" s="59" t="s">
        <v>1462</v>
      </c>
      <c r="N1088" t="s">
        <v>277</v>
      </c>
    </row>
    <row r="1089" spans="1:21" s="137" customFormat="1">
      <c r="A1089" s="59">
        <v>235</v>
      </c>
      <c r="B1089" t="s">
        <v>124</v>
      </c>
      <c r="C1089" t="s">
        <v>253</v>
      </c>
      <c r="D1089" s="97" t="e">
        <f>_xlfn.XLOOKUP(A1089,[1]CPD_SOP_new!$A:$A,[1]CPD_SOP_new!#REF!,"not found",0 )</f>
        <v>#REF!</v>
      </c>
      <c r="E1089" s="97" t="s">
        <v>112</v>
      </c>
      <c r="F1089" t="s">
        <v>28</v>
      </c>
      <c r="G1089" t="s">
        <v>28</v>
      </c>
      <c r="H1089" t="s">
        <v>28</v>
      </c>
      <c r="I1089" t="s">
        <v>28</v>
      </c>
      <c r="J1089" s="85" t="s">
        <v>124</v>
      </c>
      <c r="K1089" s="85" t="str">
        <f t="shared" si="16"/>
        <v>/mnt/measurements/07_CANape/Mitsubishi/5K45/5.3.0_RC7/5K457EG11/RealChild/CSR_XCP_Signals_Recorder_2026-02-04_17-45-44_CPD_TC235_with_reset.MF4.xz,child,RadarFC_Master,child (ncap3),CPD,realchild</v>
      </c>
      <c r="L1089" s="85" t="s">
        <v>4160</v>
      </c>
      <c r="M1089" s="59" t="s">
        <v>1463</v>
      </c>
      <c r="N1089" t="s">
        <v>277</v>
      </c>
    </row>
    <row r="1090" spans="1:21">
      <c r="A1090" s="77">
        <v>236</v>
      </c>
      <c r="B1090" t="s">
        <v>124</v>
      </c>
      <c r="C1090" s="85" t="s">
        <v>253</v>
      </c>
      <c r="D1090" s="97" t="e">
        <f>_xlfn.XLOOKUP(A1090,[1]CPD_SOP_new!$A:$A,[1]CPD_SOP_new!#REF!,"not found",0 )</f>
        <v>#REF!</v>
      </c>
      <c r="E1090" s="97" t="str">
        <f>_xlfn.XLOOKUP(A1090,[1]CPD_SOP_new!$A:$A,[1]CPD_SOP_new!$K:$K,"not found",0 )</f>
        <v>3R</v>
      </c>
      <c r="F1090" t="s">
        <v>28</v>
      </c>
      <c r="G1090" t="s">
        <v>28</v>
      </c>
      <c r="H1090" t="s">
        <v>28</v>
      </c>
      <c r="I1090" t="s">
        <v>28</v>
      </c>
      <c r="J1090" t="s">
        <v>124</v>
      </c>
      <c r="K1090" s="85" t="str">
        <f t="shared" ref="K1090:K1153" si="17">N1090&amp;"/"&amp;M1090&amp;","&amp;IF(J1090="ncap3","child",J1090)&amp;",RadarFC_Master,"&amp;IF(J1090="ncap3","child",J1090)&amp;IF(B1090="ncap1,2"," ("&amp;B1090&amp;")","")&amp;IF(B1090="ncap3"," ("&amp;B1090&amp;")","")&amp;IF(B1090="multiple children"," (ncap1,2)","")&amp;IF(B1090="NB awake"," (ncap1,2)","")&amp;",CPD,"&amp;IF(F1090="Y","realchild","dummy")</f>
        <v>/mnt/measurements/07_CANape/Mitsubishi/5K45/MMC5.0.1/5K457EG-11/Real_Child_Measurements/CSR_XCP_Signals_Recorder_2025-12-15_16-40-55_TC236_3R_CPD.MF4.xz,child,RadarFC_Master,child (ncap3),CPD,realchild</v>
      </c>
      <c r="L1090" s="85" t="s">
        <v>4161</v>
      </c>
      <c r="M1090" t="s">
        <v>1464</v>
      </c>
      <c r="N1090" s="129" t="s">
        <v>102</v>
      </c>
    </row>
    <row r="1091" spans="1:21">
      <c r="A1091" s="77">
        <v>236</v>
      </c>
      <c r="B1091" t="s">
        <v>124</v>
      </c>
      <c r="C1091" s="85" t="s">
        <v>253</v>
      </c>
      <c r="D1091" s="97" t="e">
        <f>_xlfn.XLOOKUP(A1091,[1]CPD_SOP_new!$A:$A,[1]CPD_SOP_new!#REF!,"not found",0 )</f>
        <v>#REF!</v>
      </c>
      <c r="E1091" s="97" t="str">
        <f>_xlfn.XLOOKUP(A1091,[1]CPD_SOP_new!$A:$A,[1]CPD_SOP_new!$K:$K,"not found",0 )</f>
        <v>3R</v>
      </c>
      <c r="F1091" t="s">
        <v>28</v>
      </c>
      <c r="G1091" t="s">
        <v>28</v>
      </c>
      <c r="H1091" t="s">
        <v>28</v>
      </c>
      <c r="I1091" t="s">
        <v>28</v>
      </c>
      <c r="J1091" t="s">
        <v>124</v>
      </c>
      <c r="K1091" s="85" t="str">
        <f t="shared" si="17"/>
        <v>/mnt/measurements/07_CANape/Mitsubishi/5K45/MMC5.0.1/5K457EG-11/Real_Child_Measurements/CSR_XCP_Signals_Recorder_2025-12-15_16-42-26_TC236_3R_CPD.MF4.xz,child,RadarFC_Master,child (ncap3),CPD,realchild</v>
      </c>
      <c r="L1091" s="85" t="s">
        <v>4162</v>
      </c>
      <c r="M1091" t="s">
        <v>1465</v>
      </c>
      <c r="N1091" s="129" t="s">
        <v>102</v>
      </c>
    </row>
    <row r="1092" spans="1:21">
      <c r="A1092" s="77">
        <v>236</v>
      </c>
      <c r="B1092" t="s">
        <v>124</v>
      </c>
      <c r="C1092" s="85" t="s">
        <v>253</v>
      </c>
      <c r="D1092" s="97" t="e">
        <f>_xlfn.XLOOKUP(A1092,[1]CPD_SOP_new!$A:$A,[1]CPD_SOP_new!#REF!,"not found",0 )</f>
        <v>#REF!</v>
      </c>
      <c r="E1092" s="97" t="str">
        <f>_xlfn.XLOOKUP(A1092,[1]CPD_SOP_new!$A:$A,[1]CPD_SOP_new!$K:$K,"not found",0 )</f>
        <v>3R</v>
      </c>
      <c r="F1092" t="s">
        <v>28</v>
      </c>
      <c r="G1092" t="s">
        <v>28</v>
      </c>
      <c r="H1092" t="s">
        <v>28</v>
      </c>
      <c r="I1092" t="s">
        <v>28</v>
      </c>
      <c r="J1092" t="s">
        <v>124</v>
      </c>
      <c r="K1092" s="85" t="str">
        <f t="shared" si="17"/>
        <v>/mnt/measurements/07_CANape/Mitsubishi/5K45/MMC5.0.1/5K457EG-11/Real_Child_Measurements/CSR_XCP_Signals_Recorder_2025-12-15_16-44-00_TC236_3R_CPD.MF4.xz,child,RadarFC_Master,child (ncap3),CPD,realchild</v>
      </c>
      <c r="L1092" s="85" t="s">
        <v>4163</v>
      </c>
      <c r="M1092" t="s">
        <v>1466</v>
      </c>
      <c r="N1092" s="129" t="s">
        <v>102</v>
      </c>
    </row>
    <row r="1093" spans="1:21" hidden="1">
      <c r="A1093" s="59" t="s">
        <v>1589</v>
      </c>
      <c r="B1093" t="s">
        <v>1084</v>
      </c>
      <c r="D1093" s="97" t="e">
        <f>_xlfn.XLOOKUP(A1093,[1]CPD_SOP_new!$A:$A,[1]CPD_SOP_new!#REF!,"not found",0 )</f>
        <v>#REF!</v>
      </c>
      <c r="E1093" s="97" t="str">
        <f>_xlfn.XLOOKUP(A1093,[1]CPD_SOP_new!$A:$A,[1]CPD_SOP_new!$K:$K,"not found",0 )</f>
        <v>not found</v>
      </c>
      <c r="F1093" t="s">
        <v>27</v>
      </c>
      <c r="G1093" t="s">
        <v>27</v>
      </c>
      <c r="H1093" t="s">
        <v>27</v>
      </c>
      <c r="I1093" t="s">
        <v>27</v>
      </c>
      <c r="J1093" t="s">
        <v>828</v>
      </c>
      <c r="K1093" s="85" t="str">
        <f t="shared" si="17"/>
        <v>/mnt/measurements/07_CANape/Mitsubishi/5K45/5.3.0_RC6/5K457EG11/FP_Outside/CSR_XCP_Signals_Recorder_2026-01-29_13-19-58_Right_BacktoFront.mf4.xz,empty,RadarFC_Master,empty,CPD,dummy</v>
      </c>
      <c r="L1093" s="85" t="s">
        <v>4164</v>
      </c>
      <c r="M1093" t="s">
        <v>2980</v>
      </c>
      <c r="N1093" t="s">
        <v>1086</v>
      </c>
      <c r="O1093" t="s">
        <v>828</v>
      </c>
      <c r="P1093" t="s">
        <v>828</v>
      </c>
      <c r="Q1093">
        <v>0</v>
      </c>
      <c r="T1093">
        <v>0</v>
      </c>
      <c r="U1093">
        <v>0</v>
      </c>
    </row>
    <row r="1094" spans="1:21" hidden="1">
      <c r="A1094" s="59" t="s">
        <v>1589</v>
      </c>
      <c r="B1094" t="s">
        <v>1084</v>
      </c>
      <c r="D1094" s="97" t="e">
        <f>_xlfn.XLOOKUP(A1094,[1]CPD_SOP_new!$A:$A,[1]CPD_SOP_new!#REF!,"not found",0 )</f>
        <v>#REF!</v>
      </c>
      <c r="E1094" s="97" t="str">
        <f>_xlfn.XLOOKUP(A1094,[1]CPD_SOP_new!$A:$A,[1]CPD_SOP_new!$K:$K,"not found",0 )</f>
        <v>not found</v>
      </c>
      <c r="F1094" t="s">
        <v>27</v>
      </c>
      <c r="G1094" t="s">
        <v>27</v>
      </c>
      <c r="H1094" t="s">
        <v>27</v>
      </c>
      <c r="I1094" t="s">
        <v>27</v>
      </c>
      <c r="J1094" t="s">
        <v>828</v>
      </c>
      <c r="K1094" s="85" t="str">
        <f t="shared" si="17"/>
        <v>/mnt/measurements/07_CANape/Mitsubishi/5K45/5.3.0_RC6/5K457EG11/FP_Outside/CSR_XCP_Signals_Recorder_2026-01-29_13-21-52_Right_FronttoBack.mf4.xz,empty,RadarFC_Master,empty,CPD,dummy</v>
      </c>
      <c r="L1094" s="85" t="s">
        <v>4165</v>
      </c>
      <c r="M1094" t="s">
        <v>2981</v>
      </c>
      <c r="N1094" t="s">
        <v>1086</v>
      </c>
      <c r="O1094" t="s">
        <v>828</v>
      </c>
      <c r="P1094" t="s">
        <v>828</v>
      </c>
      <c r="Q1094">
        <v>0</v>
      </c>
      <c r="T1094">
        <v>0</v>
      </c>
      <c r="U1094">
        <v>0</v>
      </c>
    </row>
    <row r="1095" spans="1:21" hidden="1">
      <c r="A1095" s="59" t="s">
        <v>1589</v>
      </c>
      <c r="B1095" t="s">
        <v>1084</v>
      </c>
      <c r="D1095" s="97" t="e">
        <f>_xlfn.XLOOKUP(A1095,[1]CPD_SOP_new!$A:$A,[1]CPD_SOP_new!#REF!,"not found",0 )</f>
        <v>#REF!</v>
      </c>
      <c r="E1095" s="97" t="str">
        <f>_xlfn.XLOOKUP(A1095,[1]CPD_SOP_new!$A:$A,[1]CPD_SOP_new!$K:$K,"not found",0 )</f>
        <v>not found</v>
      </c>
      <c r="F1095" t="s">
        <v>27</v>
      </c>
      <c r="G1095" t="s">
        <v>27</v>
      </c>
      <c r="H1095" t="s">
        <v>27</v>
      </c>
      <c r="I1095" t="s">
        <v>27</v>
      </c>
      <c r="J1095" t="s">
        <v>828</v>
      </c>
      <c r="K1095" s="85" t="str">
        <f t="shared" si="17"/>
        <v>/mnt/measurements/07_CANape/Mitsubishi/5K45/5.3.0_RC6/5K457EG11/FP_Outside/CSR_XCP_Signals_Recorder_2026-01-29_13-23-39_Left_FronttoBack.mf4.xz,empty,RadarFC_Master,empty,CPD,dummy</v>
      </c>
      <c r="L1095" s="85" t="s">
        <v>4166</v>
      </c>
      <c r="M1095" t="s">
        <v>2982</v>
      </c>
      <c r="N1095" t="s">
        <v>1086</v>
      </c>
      <c r="O1095" t="s">
        <v>828</v>
      </c>
      <c r="P1095" t="s">
        <v>828</v>
      </c>
      <c r="Q1095">
        <v>0</v>
      </c>
      <c r="T1095">
        <v>0</v>
      </c>
      <c r="U1095">
        <v>0</v>
      </c>
    </row>
    <row r="1096" spans="1:21" hidden="1">
      <c r="A1096" s="59" t="s">
        <v>1589</v>
      </c>
      <c r="B1096" t="s">
        <v>1084</v>
      </c>
      <c r="D1096" s="97" t="e">
        <f>_xlfn.XLOOKUP(A1096,[1]CPD_SOP_new!$A:$A,[1]CPD_SOP_new!#REF!,"not found",0 )</f>
        <v>#REF!</v>
      </c>
      <c r="E1096" s="97" t="str">
        <f>_xlfn.XLOOKUP(A1096,[1]CPD_SOP_new!$A:$A,[1]CPD_SOP_new!$K:$K,"not found",0 )</f>
        <v>not found</v>
      </c>
      <c r="F1096" t="s">
        <v>27</v>
      </c>
      <c r="G1096" t="s">
        <v>27</v>
      </c>
      <c r="H1096" t="s">
        <v>27</v>
      </c>
      <c r="I1096" t="s">
        <v>27</v>
      </c>
      <c r="J1096" t="s">
        <v>828</v>
      </c>
      <c r="K1096" s="85" t="str">
        <f t="shared" si="17"/>
        <v>/mnt/measurements/07_CANape/Mitsubishi/5K45/5.3.0_RC6/5K457EG11/FP_Outside/CSR_XCP_Signals_Recorder_2026-01-29_13-25-39_Left_Backtofront.mf4.xz,empty,RadarFC_Master,empty,CPD,dummy</v>
      </c>
      <c r="L1096" s="85" t="s">
        <v>4167</v>
      </c>
      <c r="M1096" t="s">
        <v>2983</v>
      </c>
      <c r="N1096" t="s">
        <v>1086</v>
      </c>
      <c r="O1096" t="s">
        <v>828</v>
      </c>
      <c r="P1096" t="s">
        <v>828</v>
      </c>
      <c r="Q1096">
        <v>0</v>
      </c>
      <c r="T1096">
        <v>0</v>
      </c>
      <c r="U1096">
        <v>0</v>
      </c>
    </row>
    <row r="1097" spans="1:21" hidden="1">
      <c r="A1097" s="59" t="s">
        <v>1589</v>
      </c>
      <c r="B1097" t="s">
        <v>1084</v>
      </c>
      <c r="D1097" s="97" t="e">
        <f>_xlfn.XLOOKUP(A1097,[1]CPD_SOP_new!$A:$A,[1]CPD_SOP_new!#REF!,"not found",0 )</f>
        <v>#REF!</v>
      </c>
      <c r="E1097" s="97" t="str">
        <f>_xlfn.XLOOKUP(A1097,[1]CPD_SOP_new!$A:$A,[1]CPD_SOP_new!$K:$K,"not found",0 )</f>
        <v>not found</v>
      </c>
      <c r="F1097" t="s">
        <v>27</v>
      </c>
      <c r="G1097" t="s">
        <v>27</v>
      </c>
      <c r="H1097" t="s">
        <v>27</v>
      </c>
      <c r="I1097" t="s">
        <v>27</v>
      </c>
      <c r="J1097" t="s">
        <v>828</v>
      </c>
      <c r="K1097" s="85" t="str">
        <f t="shared" si="17"/>
        <v>/mnt/measurements/07_CANape/Mitsubishi/5K45/5.3.0_RC6/5K457EG11/FP_Outside/CSR_XCP_Signals_Recorder_2026-01-29_15-12-05_Right_BacktoFront.MF4.xz,empty,RadarFC_Master,empty,CPD,dummy</v>
      </c>
      <c r="L1097" s="85" t="s">
        <v>4168</v>
      </c>
      <c r="M1097" t="s">
        <v>1600</v>
      </c>
      <c r="N1097" t="s">
        <v>1086</v>
      </c>
      <c r="O1097" t="s">
        <v>828</v>
      </c>
      <c r="P1097" t="s">
        <v>828</v>
      </c>
      <c r="Q1097">
        <v>0</v>
      </c>
      <c r="T1097">
        <v>0</v>
      </c>
      <c r="U1097">
        <v>0</v>
      </c>
    </row>
    <row r="1098" spans="1:21" hidden="1">
      <c r="A1098" s="59" t="s">
        <v>1589</v>
      </c>
      <c r="B1098" t="s">
        <v>1084</v>
      </c>
      <c r="D1098" s="97" t="e">
        <f>_xlfn.XLOOKUP(A1098,[1]CPD_SOP_new!$A:$A,[1]CPD_SOP_new!#REF!,"not found",0 )</f>
        <v>#REF!</v>
      </c>
      <c r="E1098" s="97" t="str">
        <f>_xlfn.XLOOKUP(A1098,[1]CPD_SOP_new!$A:$A,[1]CPD_SOP_new!$K:$K,"not found",0 )</f>
        <v>not found</v>
      </c>
      <c r="F1098" t="s">
        <v>27</v>
      </c>
      <c r="G1098" t="s">
        <v>27</v>
      </c>
      <c r="H1098" t="s">
        <v>27</v>
      </c>
      <c r="I1098" t="s">
        <v>27</v>
      </c>
      <c r="J1098" t="s">
        <v>828</v>
      </c>
      <c r="K1098" s="85" t="str">
        <f t="shared" si="17"/>
        <v>/mnt/measurements/07_CANape/Mitsubishi/5K45/5.3.0_RC6/5K457EG11/FP_Outside/CSR_XCP_Signals_Recorder_2026-01-29_15-13-53_Right_FronttoBack.MF4.xz,empty,RadarFC_Master,empty,CPD,dummy</v>
      </c>
      <c r="L1098" s="85" t="s">
        <v>4169</v>
      </c>
      <c r="M1098" t="s">
        <v>1601</v>
      </c>
      <c r="N1098" t="s">
        <v>1086</v>
      </c>
      <c r="O1098" t="s">
        <v>828</v>
      </c>
      <c r="P1098" t="s">
        <v>828</v>
      </c>
      <c r="Q1098">
        <v>0</v>
      </c>
      <c r="T1098">
        <v>0</v>
      </c>
      <c r="U1098">
        <v>0</v>
      </c>
    </row>
    <row r="1099" spans="1:21" hidden="1">
      <c r="A1099" s="59" t="s">
        <v>1589</v>
      </c>
      <c r="B1099" t="s">
        <v>1084</v>
      </c>
      <c r="D1099" s="97" t="e">
        <f>_xlfn.XLOOKUP(A1099,[1]CPD_SOP_new!$A:$A,[1]CPD_SOP_new!#REF!,"not found",0 )</f>
        <v>#REF!</v>
      </c>
      <c r="E1099" s="97" t="str">
        <f>_xlfn.XLOOKUP(A1099,[1]CPD_SOP_new!$A:$A,[1]CPD_SOP_new!$K:$K,"not found",0 )</f>
        <v>not found</v>
      </c>
      <c r="F1099" t="s">
        <v>27</v>
      </c>
      <c r="G1099" t="s">
        <v>27</v>
      </c>
      <c r="H1099" t="s">
        <v>27</v>
      </c>
      <c r="I1099" t="s">
        <v>27</v>
      </c>
      <c r="J1099" t="s">
        <v>828</v>
      </c>
      <c r="K1099" s="85" t="str">
        <f t="shared" si="17"/>
        <v>/mnt/measurements/07_CANape/Mitsubishi/5K45/5.3.0_RC6/5K457EG11/FP_Outside/CSR_XCP_Signals_Recorder_2026-01-29_15-15-45_Left_FronttoBack.MF4.xz,empty,RadarFC_Master,empty,CPD,dummy</v>
      </c>
      <c r="L1099" s="85" t="s">
        <v>4170</v>
      </c>
      <c r="M1099" t="s">
        <v>1602</v>
      </c>
      <c r="N1099" t="s">
        <v>1086</v>
      </c>
      <c r="O1099" t="s">
        <v>828</v>
      </c>
      <c r="P1099" t="s">
        <v>828</v>
      </c>
      <c r="Q1099">
        <v>0</v>
      </c>
      <c r="T1099">
        <v>0</v>
      </c>
      <c r="U1099">
        <v>0</v>
      </c>
    </row>
    <row r="1100" spans="1:21" hidden="1">
      <c r="A1100" s="59" t="s">
        <v>1589</v>
      </c>
      <c r="B1100" t="s">
        <v>1084</v>
      </c>
      <c r="D1100" s="97" t="e">
        <f>_xlfn.XLOOKUP(A1100,[1]CPD_SOP_new!$A:$A,[1]CPD_SOP_new!#REF!,"not found",0 )</f>
        <v>#REF!</v>
      </c>
      <c r="E1100" s="97" t="str">
        <f>_xlfn.XLOOKUP(A1100,[1]CPD_SOP_new!$A:$A,[1]CPD_SOP_new!$K:$K,"not found",0 )</f>
        <v>not found</v>
      </c>
      <c r="F1100" t="s">
        <v>27</v>
      </c>
      <c r="G1100" t="s">
        <v>27</v>
      </c>
      <c r="H1100" t="s">
        <v>27</v>
      </c>
      <c r="I1100" t="s">
        <v>27</v>
      </c>
      <c r="J1100" t="s">
        <v>828</v>
      </c>
      <c r="K1100" s="85" t="str">
        <f t="shared" si="17"/>
        <v>/mnt/measurements/07_CANape/Mitsubishi/5K45/5.3.0_RC6/5K457EG11/FP_Outside/CSR_XCP_Signals_Recorder_2026-01-29_15-17-35_Left_BacktoFront.MF4.xz,empty,RadarFC_Master,empty,CPD,dummy</v>
      </c>
      <c r="L1100" s="85" t="s">
        <v>4171</v>
      </c>
      <c r="M1100" t="s">
        <v>1603</v>
      </c>
      <c r="N1100" t="s">
        <v>1086</v>
      </c>
      <c r="O1100" t="s">
        <v>828</v>
      </c>
      <c r="P1100" t="s">
        <v>828</v>
      </c>
      <c r="Q1100">
        <v>0</v>
      </c>
      <c r="T1100">
        <v>0</v>
      </c>
      <c r="U1100">
        <v>0</v>
      </c>
    </row>
    <row r="1101" spans="1:21" hidden="1">
      <c r="A1101" s="59" t="s">
        <v>1589</v>
      </c>
      <c r="B1101" t="s">
        <v>1084</v>
      </c>
      <c r="D1101" s="97" t="e">
        <f>_xlfn.XLOOKUP(A1101,[1]CPD_SOP_new!$A:$A,[1]CPD_SOP_new!#REF!,"not found",0 )</f>
        <v>#REF!</v>
      </c>
      <c r="E1101" s="97" t="str">
        <f>_xlfn.XLOOKUP(A1101,[1]CPD_SOP_new!$A:$A,[1]CPD_SOP_new!$K:$K,"not found",0 )</f>
        <v>not found</v>
      </c>
      <c r="F1101" t="s">
        <v>27</v>
      </c>
      <c r="G1101" t="s">
        <v>27</v>
      </c>
      <c r="H1101" t="s">
        <v>27</v>
      </c>
      <c r="I1101" t="s">
        <v>27</v>
      </c>
      <c r="J1101" t="s">
        <v>828</v>
      </c>
      <c r="K1101" s="85" t="str">
        <f t="shared" si="17"/>
        <v>/mnt/measurements/07_CANape/Mitsubishi/5K45/5.3.0_RC6/Customer_Testing/CSR_XCP_Signals_Recorder_2026-01-29_17-45-50_Moving_Outside_Right_NCAP_1_2.MF4.xz,empty,RadarFC_Master,empty,CPD,dummy</v>
      </c>
      <c r="L1101" s="85" t="s">
        <v>4172</v>
      </c>
      <c r="M1101" t="s">
        <v>1604</v>
      </c>
      <c r="N1101" t="s">
        <v>353</v>
      </c>
      <c r="O1101" t="s">
        <v>828</v>
      </c>
      <c r="P1101" t="s">
        <v>828</v>
      </c>
      <c r="Q1101">
        <v>0</v>
      </c>
      <c r="T1101">
        <v>0</v>
      </c>
      <c r="U1101">
        <v>0</v>
      </c>
    </row>
    <row r="1102" spans="1:21" hidden="1">
      <c r="A1102" s="59" t="s">
        <v>1589</v>
      </c>
      <c r="B1102" t="s">
        <v>1084</v>
      </c>
      <c r="D1102" s="97" t="e">
        <f>_xlfn.XLOOKUP(A1102,[1]CPD_SOP_new!$A:$A,[1]CPD_SOP_new!#REF!,"not found",0 )</f>
        <v>#REF!</v>
      </c>
      <c r="E1102" s="97" t="str">
        <f>_xlfn.XLOOKUP(A1102,[1]CPD_SOP_new!$A:$A,[1]CPD_SOP_new!$K:$K,"not found",0 )</f>
        <v>not found</v>
      </c>
      <c r="F1102" t="s">
        <v>27</v>
      </c>
      <c r="G1102" t="s">
        <v>27</v>
      </c>
      <c r="H1102" t="s">
        <v>27</v>
      </c>
      <c r="I1102" t="s">
        <v>27</v>
      </c>
      <c r="J1102" t="s">
        <v>828</v>
      </c>
      <c r="K1102" s="85" t="str">
        <f t="shared" si="17"/>
        <v>/mnt/measurements/07_CANape/Mitsubishi/5K45/5.3.0_RC6/Customer_Testing/CSR_XCP_Signals_Recorder_2026-01-29_17-46-48_Moving_Outside_Right_NCAP_1_2.MF4.xz,empty,RadarFC_Master,empty,CPD,dummy</v>
      </c>
      <c r="L1102" s="85" t="s">
        <v>4173</v>
      </c>
      <c r="M1102" t="s">
        <v>1606</v>
      </c>
      <c r="N1102" t="s">
        <v>353</v>
      </c>
      <c r="O1102" t="s">
        <v>828</v>
      </c>
      <c r="P1102" t="s">
        <v>828</v>
      </c>
      <c r="Q1102">
        <v>0</v>
      </c>
      <c r="T1102">
        <v>0</v>
      </c>
      <c r="U1102">
        <v>0</v>
      </c>
    </row>
    <row r="1103" spans="1:21" hidden="1">
      <c r="A1103" s="59" t="s">
        <v>1589</v>
      </c>
      <c r="B1103" t="s">
        <v>1084</v>
      </c>
      <c r="D1103" s="97" t="e">
        <f>_xlfn.XLOOKUP(A1103,[1]CPD_SOP_new!$A:$A,[1]CPD_SOP_new!#REF!,"not found",0 )</f>
        <v>#REF!</v>
      </c>
      <c r="E1103" s="97" t="str">
        <f>_xlfn.XLOOKUP(A1103,[1]CPD_SOP_new!$A:$A,[1]CPD_SOP_new!$K:$K,"not found",0 )</f>
        <v>not found</v>
      </c>
      <c r="F1103" t="s">
        <v>27</v>
      </c>
      <c r="G1103" t="s">
        <v>27</v>
      </c>
      <c r="H1103" t="s">
        <v>27</v>
      </c>
      <c r="I1103" t="s">
        <v>27</v>
      </c>
      <c r="J1103" t="s">
        <v>828</v>
      </c>
      <c r="K1103" s="85" t="str">
        <f t="shared" si="17"/>
        <v>/mnt/measurements/07_CANape/Mitsubishi/5K45/5.3.0_RC6/Customer_Testing/CSR_XCP_Signals_Recorder_2026-01-29_17-47-38_Moving_Outside_Right_NCAP_1_2.MF4.xz,empty,RadarFC_Master,empty,CPD,dummy</v>
      </c>
      <c r="L1103" s="85" t="s">
        <v>4174</v>
      </c>
      <c r="M1103" t="s">
        <v>1607</v>
      </c>
      <c r="N1103" t="s">
        <v>353</v>
      </c>
      <c r="O1103" t="s">
        <v>828</v>
      </c>
      <c r="P1103" t="s">
        <v>828</v>
      </c>
      <c r="Q1103">
        <v>0</v>
      </c>
      <c r="T1103">
        <v>0</v>
      </c>
      <c r="U1103">
        <v>0</v>
      </c>
    </row>
    <row r="1104" spans="1:21" hidden="1">
      <c r="A1104" s="59" t="s">
        <v>1589</v>
      </c>
      <c r="B1104" t="s">
        <v>1084</v>
      </c>
      <c r="D1104" s="97" t="e">
        <f>_xlfn.XLOOKUP(A1104,[1]CPD_SOP_new!$A:$A,[1]CPD_SOP_new!#REF!,"not found",0 )</f>
        <v>#REF!</v>
      </c>
      <c r="E1104" s="97" t="str">
        <f>_xlfn.XLOOKUP(A1104,[1]CPD_SOP_new!$A:$A,[1]CPD_SOP_new!$K:$K,"not found",0 )</f>
        <v>not found</v>
      </c>
      <c r="F1104" t="s">
        <v>27</v>
      </c>
      <c r="G1104" t="s">
        <v>27</v>
      </c>
      <c r="H1104" t="s">
        <v>27</v>
      </c>
      <c r="I1104" t="s">
        <v>27</v>
      </c>
      <c r="J1104" t="s">
        <v>828</v>
      </c>
      <c r="K1104" s="85" t="str">
        <f t="shared" si="17"/>
        <v>/mnt/measurements/07_CANape/Mitsubishi/5K45/5.3.0_RC6/Customer_Testing/CSR_XCP_Signals_Recorder_2026-01-29_17-48-21_Moving_Outside_Right_NCAP_3.MF4.xz,empty,RadarFC_Master,empty,CPD,dummy</v>
      </c>
      <c r="L1104" s="85" t="s">
        <v>4175</v>
      </c>
      <c r="M1104" t="s">
        <v>1608</v>
      </c>
      <c r="N1104" t="s">
        <v>353</v>
      </c>
      <c r="O1104" t="s">
        <v>828</v>
      </c>
      <c r="P1104" t="s">
        <v>828</v>
      </c>
      <c r="Q1104">
        <v>0</v>
      </c>
      <c r="T1104">
        <v>0</v>
      </c>
      <c r="U1104">
        <v>0</v>
      </c>
    </row>
    <row r="1105" spans="1:21" s="137" customFormat="1" hidden="1">
      <c r="A1105" s="59" t="s">
        <v>1589</v>
      </c>
      <c r="B1105" t="s">
        <v>1084</v>
      </c>
      <c r="D1105" s="97" t="e">
        <f>_xlfn.XLOOKUP(A1105,[1]CPD_SOP_new!$A:$A,[1]CPD_SOP_new!#REF!,"not found",0 )</f>
        <v>#REF!</v>
      </c>
      <c r="E1105" s="97" t="str">
        <f>_xlfn.XLOOKUP(A1105,[1]CPD_SOP_new!$A:$A,[1]CPD_SOP_new!$K:$K,"not found",0 )</f>
        <v>not found</v>
      </c>
      <c r="F1105" t="s">
        <v>27</v>
      </c>
      <c r="G1105" t="s">
        <v>27</v>
      </c>
      <c r="H1105" t="s">
        <v>27</v>
      </c>
      <c r="I1105" t="s">
        <v>27</v>
      </c>
      <c r="J1105" t="s">
        <v>828</v>
      </c>
      <c r="K1105" s="85" t="str">
        <f t="shared" si="17"/>
        <v>/mnt/measurements/07_CANape/Mitsubishi/5K45/5.3.0_RC6/Customer_Testing/CSR_XCP_Signals_Recorder_2026-01-29_17-49-52_Moving_Outside_Right_NCAP_3.MF4.xz,empty,RadarFC_Master,empty,CPD,dummy</v>
      </c>
      <c r="L1105" s="85" t="s">
        <v>4176</v>
      </c>
      <c r="M1105" t="s">
        <v>1609</v>
      </c>
      <c r="N1105" t="s">
        <v>353</v>
      </c>
      <c r="O1105" t="s">
        <v>828</v>
      </c>
      <c r="P1105" t="s">
        <v>828</v>
      </c>
      <c r="Q1105">
        <v>0</v>
      </c>
      <c r="T1105">
        <v>0</v>
      </c>
      <c r="U1105">
        <v>0</v>
      </c>
    </row>
    <row r="1106" spans="1:21" hidden="1">
      <c r="A1106" s="59" t="s">
        <v>1589</v>
      </c>
      <c r="B1106" t="s">
        <v>111</v>
      </c>
      <c r="D1106" s="97" t="e">
        <f>_xlfn.XLOOKUP(A1106,[1]CPD_SOP_new!$A:$A,[1]CPD_SOP_new!#REF!,"not found",0 )</f>
        <v>#REF!</v>
      </c>
      <c r="E1106" s="97" t="str">
        <f>_xlfn.XLOOKUP(A1106,[1]CPD_SOP_new!$A:$A,[1]CPD_SOP_new!$K:$K,"not found",0 )</f>
        <v>not found</v>
      </c>
      <c r="F1106" t="s">
        <v>27</v>
      </c>
      <c r="G1106" t="s">
        <v>27</v>
      </c>
      <c r="H1106" t="s">
        <v>27</v>
      </c>
      <c r="I1106" t="s">
        <v>27</v>
      </c>
      <c r="J1106" t="s">
        <v>113</v>
      </c>
      <c r="K1106" s="85" t="str">
        <f t="shared" si="17"/>
        <v>/mnt/measurements/07_CANape/Mitsubishi/5K45/5.3.0_RC6.2/5K457EG11/FP_Test_Cases_Renamed/CSR_XCP_Signals_Recorder_2026-02-03_15-17-41_AF50_2L_NCAP1_2.MF4.xz,adult,RadarFC_Master,adult,CPD,dummy</v>
      </c>
      <c r="L1106" s="85" t="s">
        <v>4177</v>
      </c>
      <c r="M1106" s="129" t="s">
        <v>1610</v>
      </c>
      <c r="N1106" t="s">
        <v>767</v>
      </c>
    </row>
    <row r="1107" spans="1:21">
      <c r="A1107" s="77">
        <v>236</v>
      </c>
      <c r="B1107" t="s">
        <v>124</v>
      </c>
      <c r="C1107" s="85" t="s">
        <v>253</v>
      </c>
      <c r="D1107" s="97" t="e">
        <f>_xlfn.XLOOKUP(A1107,[1]CPD_SOP_new!$A:$A,[1]CPD_SOP_new!#REF!,"not found",0 )</f>
        <v>#REF!</v>
      </c>
      <c r="E1107" s="97" t="str">
        <f>_xlfn.XLOOKUP(A1107,[1]CPD_SOP_new!$A:$A,[1]CPD_SOP_new!$K:$K,"not found",0 )</f>
        <v>3R</v>
      </c>
      <c r="F1107" t="s">
        <v>28</v>
      </c>
      <c r="G1107" t="s">
        <v>28</v>
      </c>
      <c r="H1107" t="s">
        <v>28</v>
      </c>
      <c r="I1107" t="s">
        <v>28</v>
      </c>
      <c r="J1107" t="s">
        <v>124</v>
      </c>
      <c r="K1107" s="85" t="str">
        <f t="shared" si="17"/>
        <v>/mnt/measurements/07_CANape/Mitsubishi/5K45/MMC5.0.1/5K457EG-11/Real_Child_Measurements/CSR_XCP_Signals_Recorder_2025-12-15_16-45-28_TC236_3R_CPD.MF4.xz,child,RadarFC_Master,child (ncap3),CPD,realchild</v>
      </c>
      <c r="L1107" s="85" t="s">
        <v>4178</v>
      </c>
      <c r="M1107" t="s">
        <v>1467</v>
      </c>
      <c r="N1107" s="129" t="s">
        <v>102</v>
      </c>
    </row>
    <row r="1108" spans="1:21">
      <c r="A1108" s="77">
        <v>236</v>
      </c>
      <c r="B1108" t="s">
        <v>124</v>
      </c>
      <c r="C1108" s="85" t="s">
        <v>253</v>
      </c>
      <c r="D1108" s="97" t="e">
        <f>_xlfn.XLOOKUP(A1108,[1]CPD_SOP_new!$A:$A,[1]CPD_SOP_new!#REF!,"not found",0 )</f>
        <v>#REF!</v>
      </c>
      <c r="E1108" s="97" t="str">
        <f>_xlfn.XLOOKUP(A1108,[1]CPD_SOP_new!$A:$A,[1]CPD_SOP_new!$K:$K,"not found",0 )</f>
        <v>3R</v>
      </c>
      <c r="F1108" t="s">
        <v>28</v>
      </c>
      <c r="G1108" t="s">
        <v>28</v>
      </c>
      <c r="H1108" t="s">
        <v>28</v>
      </c>
      <c r="I1108" t="s">
        <v>28</v>
      </c>
      <c r="J1108" t="s">
        <v>124</v>
      </c>
      <c r="K1108" s="85" t="str">
        <f t="shared" si="17"/>
        <v>/mnt/measurements/07_CANape/Mitsubishi/5K45/MMC5.0.1/5K457EG-11/Real_Child_Measurements/CSR_XCP_Signals_Recorder_2025-12-15_16-46-58_TC236_3R_CPD.MF4.xz,child,RadarFC_Master,child (ncap3),CPD,realchild</v>
      </c>
      <c r="L1108" s="85" t="s">
        <v>4179</v>
      </c>
      <c r="M1108" t="s">
        <v>1468</v>
      </c>
      <c r="N1108" s="129" t="s">
        <v>102</v>
      </c>
    </row>
    <row r="1109" spans="1:21">
      <c r="A1109" s="77">
        <v>238</v>
      </c>
      <c r="B1109" t="s">
        <v>124</v>
      </c>
      <c r="C1109" t="s">
        <v>66</v>
      </c>
      <c r="D1109" s="97" t="e">
        <f>_xlfn.XLOOKUP(A1109,[1]CPD_SOP_new!$A:$A,[1]CPD_SOP_new!#REF!,"not found",0 )</f>
        <v>#REF!</v>
      </c>
      <c r="E1109" s="97" t="str">
        <f>_xlfn.XLOOKUP(A1109,[1]CPD_SOP_new!$A:$A,[1]CPD_SOP_new!$K:$K,"not found",0 )</f>
        <v>F2R</v>
      </c>
      <c r="F1109" t="s">
        <v>28</v>
      </c>
      <c r="G1109" t="s">
        <v>28</v>
      </c>
      <c r="H1109" t="s">
        <v>28</v>
      </c>
      <c r="I1109" t="s">
        <v>28</v>
      </c>
      <c r="J1109" t="s">
        <v>124</v>
      </c>
      <c r="K1109" s="85" t="str">
        <f t="shared" si="17"/>
        <v>/mnt/measurements/07_CANape/Mitsubishi/5K45/MMC5.0.2/5K457EG11/RealChild/CSR_XCP_Signals_Recorder_2026-01-20_09-18-22_CPD_TC238_Try4.MF4.xz,child,RadarFC_Master,child (ncap3),CPD,realchild</v>
      </c>
      <c r="L1109" s="85" t="s">
        <v>4180</v>
      </c>
      <c r="M1109" t="s">
        <v>1469</v>
      </c>
      <c r="N1109" t="s">
        <v>86</v>
      </c>
    </row>
    <row r="1110" spans="1:21">
      <c r="A1110" s="77">
        <v>238</v>
      </c>
      <c r="B1110" t="s">
        <v>124</v>
      </c>
      <c r="C1110" t="s">
        <v>66</v>
      </c>
      <c r="D1110" s="97" t="e">
        <f>_xlfn.XLOOKUP(A1110,[1]CPD_SOP_new!$A:$A,[1]CPD_SOP_new!#REF!,"not found",0 )</f>
        <v>#REF!</v>
      </c>
      <c r="E1110" s="97" t="str">
        <f>_xlfn.XLOOKUP(A1110,[1]CPD_SOP_new!$A:$A,[1]CPD_SOP_new!$K:$K,"not found",0 )</f>
        <v>F2R</v>
      </c>
      <c r="F1110" t="s">
        <v>28</v>
      </c>
      <c r="G1110" t="s">
        <v>28</v>
      </c>
      <c r="H1110" t="s">
        <v>28</v>
      </c>
      <c r="I1110" t="s">
        <v>28</v>
      </c>
      <c r="J1110" t="s">
        <v>124</v>
      </c>
      <c r="K1110" s="85" t="str">
        <f t="shared" si="17"/>
        <v>/mnt/measurements/07_CANape/Mitsubishi/5K45/MMC5.0.2/5K457EG11/RealChild/CSR_XCP_Signals_Recorder_2026-01-20_09-20-08_CPD_TC238_Try5.MF4.xz,child,RadarFC_Master,child (ncap3),CPD,realchild</v>
      </c>
      <c r="L1110" s="85" t="s">
        <v>4181</v>
      </c>
      <c r="M1110" t="s">
        <v>1471</v>
      </c>
      <c r="N1110" t="s">
        <v>86</v>
      </c>
    </row>
    <row r="1111" spans="1:21">
      <c r="A1111" s="77">
        <v>238</v>
      </c>
      <c r="B1111" t="s">
        <v>124</v>
      </c>
      <c r="C1111" t="s">
        <v>66</v>
      </c>
      <c r="D1111" s="97" t="e">
        <f>_xlfn.XLOOKUP(A1111,[1]CPD_SOP_new!$A:$A,[1]CPD_SOP_new!#REF!,"not found",0 )</f>
        <v>#REF!</v>
      </c>
      <c r="E1111" s="97" t="str">
        <f>_xlfn.XLOOKUP(A1111,[1]CPD_SOP_new!$A:$A,[1]CPD_SOP_new!$K:$K,"not found",0 )</f>
        <v>F2R</v>
      </c>
      <c r="F1111" t="s">
        <v>28</v>
      </c>
      <c r="G1111" t="s">
        <v>28</v>
      </c>
      <c r="H1111" t="s">
        <v>28</v>
      </c>
      <c r="I1111" t="s">
        <v>28</v>
      </c>
      <c r="J1111" t="s">
        <v>124</v>
      </c>
      <c r="K1111" s="85" t="str">
        <f t="shared" si="17"/>
        <v>/mnt/measurements/07_CANape/Mitsubishi/5K45/MMC5.0.2/5K457EG11/RealChild/CSR_XCP_Signals_Recorder_2026-01-20_09-13-02_CPD_TC238_Try1.MF4.xz,child,RadarFC_Master,child (ncap3),CPD,realchild</v>
      </c>
      <c r="L1111" s="85" t="s">
        <v>4182</v>
      </c>
      <c r="M1111" t="s">
        <v>1472</v>
      </c>
      <c r="N1111" t="s">
        <v>86</v>
      </c>
    </row>
    <row r="1112" spans="1:21">
      <c r="A1112" s="77">
        <v>238</v>
      </c>
      <c r="B1112" t="s">
        <v>124</v>
      </c>
      <c r="C1112" t="s">
        <v>66</v>
      </c>
      <c r="D1112" s="97" t="e">
        <f>_xlfn.XLOOKUP(A1112,[1]CPD_SOP_new!$A:$A,[1]CPD_SOP_new!#REF!,"not found",0 )</f>
        <v>#REF!</v>
      </c>
      <c r="E1112" s="97" t="str">
        <f>_xlfn.XLOOKUP(A1112,[1]CPD_SOP_new!$A:$A,[1]CPD_SOP_new!$K:$K,"not found",0 )</f>
        <v>F2R</v>
      </c>
      <c r="F1112" t="s">
        <v>28</v>
      </c>
      <c r="G1112" t="s">
        <v>28</v>
      </c>
      <c r="H1112" t="s">
        <v>28</v>
      </c>
      <c r="I1112" t="s">
        <v>28</v>
      </c>
      <c r="J1112" t="s">
        <v>124</v>
      </c>
      <c r="K1112" s="85" t="str">
        <f t="shared" si="17"/>
        <v>/mnt/measurements/07_CANape/Mitsubishi/5K45/MMC5.0.2/5K457EG11/RealChild/CSR_XCP_Signals_Recorder_2026-01-20_09-15-17_CPD_TC238_Try2.MF4.xz,child,RadarFC_Master,child (ncap3),CPD,realchild</v>
      </c>
      <c r="L1112" s="85" t="s">
        <v>4183</v>
      </c>
      <c r="M1112" t="s">
        <v>1473</v>
      </c>
      <c r="N1112" t="s">
        <v>86</v>
      </c>
    </row>
    <row r="1113" spans="1:21">
      <c r="A1113" s="77">
        <v>238</v>
      </c>
      <c r="B1113" t="s">
        <v>124</v>
      </c>
      <c r="C1113" t="s">
        <v>66</v>
      </c>
      <c r="D1113" s="97" t="e">
        <f>_xlfn.XLOOKUP(A1113,[1]CPD_SOP_new!$A:$A,[1]CPD_SOP_new!#REF!,"not found",0 )</f>
        <v>#REF!</v>
      </c>
      <c r="E1113" s="97" t="str">
        <f>_xlfn.XLOOKUP(A1113,[1]CPD_SOP_new!$A:$A,[1]CPD_SOP_new!$K:$K,"not found",0 )</f>
        <v>F2R</v>
      </c>
      <c r="F1113" t="s">
        <v>28</v>
      </c>
      <c r="G1113" t="s">
        <v>28</v>
      </c>
      <c r="H1113" t="s">
        <v>28</v>
      </c>
      <c r="I1113" t="s">
        <v>28</v>
      </c>
      <c r="J1113" t="s">
        <v>124</v>
      </c>
      <c r="K1113" s="85" t="str">
        <f t="shared" si="17"/>
        <v>/mnt/measurements/07_CANape/Mitsubishi/5K45/MMC5.0.2/5K457EG11/RealChild/CSR_XCP_Signals_Recorder_2026-01-20_09-16-50_CPD_TC238_Try3.MF4.xz,child,RadarFC_Master,child (ncap3),CPD,realchild</v>
      </c>
      <c r="L1113" s="85" t="s">
        <v>4184</v>
      </c>
      <c r="M1113" t="s">
        <v>1474</v>
      </c>
      <c r="N1113" t="s">
        <v>86</v>
      </c>
    </row>
    <row r="1114" spans="1:21">
      <c r="A1114" s="77">
        <v>239</v>
      </c>
      <c r="B1114" t="s">
        <v>124</v>
      </c>
      <c r="C1114" t="s">
        <v>66</v>
      </c>
      <c r="D1114" s="97" t="e">
        <f>_xlfn.XLOOKUP(A1114,[1]CPD_SOP_new!$A:$A,[1]CPD_SOP_new!#REF!,"not found",0 )</f>
        <v>#REF!</v>
      </c>
      <c r="E1114" s="97" t="str">
        <f>_xlfn.XLOOKUP(A1114,[1]CPD_SOP_new!$A:$A,[1]CPD_SOP_new!$K:$K,"not found",0 )</f>
        <v>F3L</v>
      </c>
      <c r="F1114" t="s">
        <v>28</v>
      </c>
      <c r="G1114" t="s">
        <v>28</v>
      </c>
      <c r="H1114" t="s">
        <v>28</v>
      </c>
      <c r="I1114" t="s">
        <v>28</v>
      </c>
      <c r="J1114" t="s">
        <v>124</v>
      </c>
      <c r="K1114" s="85" t="str">
        <f t="shared" si="17"/>
        <v>/mnt/measurements/07_CANape/Mitsubishi/5K45/MMC5.0.2/5K457EG11/RealChild/CPD_TC239_Try1.MF4.xz,child,RadarFC_Master,child (ncap3),CPD,realchild</v>
      </c>
      <c r="L1114" s="85" t="s">
        <v>4185</v>
      </c>
      <c r="M1114" s="16" t="s">
        <v>1475</v>
      </c>
      <c r="N1114" s="74" t="s">
        <v>86</v>
      </c>
    </row>
    <row r="1115" spans="1:21">
      <c r="A1115" s="77">
        <v>239</v>
      </c>
      <c r="B1115" t="s">
        <v>124</v>
      </c>
      <c r="C1115" t="s">
        <v>66</v>
      </c>
      <c r="D1115" s="97" t="e">
        <f>_xlfn.XLOOKUP(A1115,[1]CPD_SOP_new!$A:$A,[1]CPD_SOP_new!#REF!,"not found",0 )</f>
        <v>#REF!</v>
      </c>
      <c r="E1115" s="97" t="str">
        <f>_xlfn.XLOOKUP(A1115,[1]CPD_SOP_new!$A:$A,[1]CPD_SOP_new!$K:$K,"not found",0 )</f>
        <v>F3L</v>
      </c>
      <c r="F1115" t="s">
        <v>28</v>
      </c>
      <c r="G1115" t="s">
        <v>28</v>
      </c>
      <c r="H1115" t="s">
        <v>28</v>
      </c>
      <c r="I1115" t="s">
        <v>28</v>
      </c>
      <c r="J1115" t="s">
        <v>124</v>
      </c>
      <c r="K1115" s="85" t="str">
        <f t="shared" si="17"/>
        <v>/mnt/measurements/07_CANape/Mitsubishi/5K45/MMC5.0.2/5K457EG11/RealChild/CPD_TC239_Try2.MF4.xz,child,RadarFC_Master,child (ncap3),CPD,realchild</v>
      </c>
      <c r="L1115" s="85" t="s">
        <v>4186</v>
      </c>
      <c r="M1115" s="16" t="s">
        <v>1477</v>
      </c>
      <c r="N1115" s="87" t="s">
        <v>86</v>
      </c>
    </row>
    <row r="1116" spans="1:21" hidden="1">
      <c r="A1116" s="59">
        <v>151</v>
      </c>
      <c r="B1116" t="s">
        <v>940</v>
      </c>
      <c r="D1116" s="97" t="e">
        <f>_xlfn.XLOOKUP(A1116,[1]CPD_SOP_new!$A:$A,[1]CPD_SOP_new!#REF!,"not found",0 )</f>
        <v>#REF!</v>
      </c>
      <c r="E1116" s="97" t="str">
        <f>_xlfn.XLOOKUP(A1116,[1]CPD_SOP_new!$A:$A,[1]CPD_SOP_new!$K:$K,"not found",0 )</f>
        <v>3R</v>
      </c>
      <c r="F1116" t="s">
        <v>27</v>
      </c>
      <c r="G1116" t="s">
        <v>27</v>
      </c>
      <c r="H1116" t="s">
        <v>27</v>
      </c>
      <c r="I1116" t="s">
        <v>27</v>
      </c>
      <c r="J1116" t="s">
        <v>828</v>
      </c>
      <c r="K1116" s="85" t="str">
        <f t="shared" si="17"/>
        <v>/mnt/measurements/07_CANape/Mitsubishi/5K45/5.3.0_RC6.2/5K457EG11/FP_Test_Cases_Renamed/CSR_XCP_Signals_Recorder_2026-02-02_13-27-51_TC151_NCAP3.MF4.xz,empty,RadarFC_Master,empty,CPD,dummy</v>
      </c>
      <c r="L1116" s="85" t="s">
        <v>4187</v>
      </c>
      <c r="M1116" t="s">
        <v>1181</v>
      </c>
      <c r="N1116" t="s">
        <v>767</v>
      </c>
    </row>
    <row r="1117" spans="1:21" hidden="1">
      <c r="A1117" s="59">
        <v>148</v>
      </c>
      <c r="B1117" t="s">
        <v>940</v>
      </c>
      <c r="D1117" s="97" t="e">
        <f>_xlfn.XLOOKUP(A1117,[1]CPD_SOP_new!$A:$A,[1]CPD_SOP_new!#REF!,"not found",0 )</f>
        <v>#REF!</v>
      </c>
      <c r="E1117" s="97" t="str">
        <f>_xlfn.XLOOKUP(A1117,[1]CPD_SOP_new!$A:$A,[1]CPD_SOP_new!$K:$K,"not found",0 )</f>
        <v>2R</v>
      </c>
      <c r="F1117" t="s">
        <v>27</v>
      </c>
      <c r="G1117" t="s">
        <v>28</v>
      </c>
      <c r="H1117" t="s">
        <v>28</v>
      </c>
      <c r="I1117" t="s">
        <v>27</v>
      </c>
      <c r="J1117" t="s">
        <v>828</v>
      </c>
      <c r="K1117" s="85" t="str">
        <f t="shared" si="17"/>
        <v>/mnt/measurements/07_CANape/Mitsubishi/5K45/5.3.0_RC6.2/5K457EG11/FP_Test_Cases_Renamed/CSR_XCP_Signals_Recorder_2026-02-02_13-30-38_TC148_NCAP3.MF4.xz,empty,RadarFC_Master,empty,CPD,dummy</v>
      </c>
      <c r="L1117" s="85" t="s">
        <v>4188</v>
      </c>
      <c r="M1117" t="s">
        <v>1139</v>
      </c>
      <c r="N1117" t="s">
        <v>767</v>
      </c>
    </row>
    <row r="1118" spans="1:21" hidden="1">
      <c r="A1118" s="59">
        <v>149</v>
      </c>
      <c r="B1118" t="s">
        <v>940</v>
      </c>
      <c r="D1118" s="97" t="e">
        <f>_xlfn.XLOOKUP(A1118,[1]CPD_SOP_new!$A:$A,[1]CPD_SOP_new!#REF!,"not found",0 )</f>
        <v>#REF!</v>
      </c>
      <c r="E1118" s="97" t="str">
        <f>_xlfn.XLOOKUP(A1118,[1]CPD_SOP_new!$A:$A,[1]CPD_SOP_new!$K:$K,"not found",0 )</f>
        <v>2L</v>
      </c>
      <c r="F1118" t="s">
        <v>27</v>
      </c>
      <c r="G1118" t="s">
        <v>27</v>
      </c>
      <c r="H1118" t="s">
        <v>27</v>
      </c>
      <c r="I1118" t="s">
        <v>27</v>
      </c>
      <c r="J1118" t="s">
        <v>828</v>
      </c>
      <c r="K1118" s="85" t="str">
        <f t="shared" si="17"/>
        <v>/mnt/measurements/07_CANape/Mitsubishi/5K45/5.3.0_RC6.2/5K457EG11/FP_Test_Cases_Renamed/CSR_XCP_Signals_Recorder_2026-02-02_13-33-02_TC149_NCAP3.MF4.xz,empty,RadarFC_Master,empty,CPD,dummy</v>
      </c>
      <c r="L1118" s="85" t="s">
        <v>4189</v>
      </c>
      <c r="M1118" t="s">
        <v>1154</v>
      </c>
      <c r="N1118" t="s">
        <v>767</v>
      </c>
    </row>
    <row r="1119" spans="1:21" hidden="1">
      <c r="A1119" s="59">
        <v>146</v>
      </c>
      <c r="B1119" t="s">
        <v>940</v>
      </c>
      <c r="D1119" s="97" t="e">
        <f>_xlfn.XLOOKUP(A1119,[1]CPD_SOP_new!$A:$A,[1]CPD_SOP_new!#REF!,"not found",0 )</f>
        <v>#REF!</v>
      </c>
      <c r="E1119" s="97" t="s">
        <v>112</v>
      </c>
      <c r="F1119" t="s">
        <v>27</v>
      </c>
      <c r="G1119" t="s">
        <v>27</v>
      </c>
      <c r="H1119" t="s">
        <v>27</v>
      </c>
      <c r="I1119" t="s">
        <v>27</v>
      </c>
      <c r="J1119" t="s">
        <v>828</v>
      </c>
      <c r="K1119" s="85" t="str">
        <f t="shared" si="17"/>
        <v>/mnt/measurements/07_CANape/Mitsubishi/5K45/5.3.0_RC6.2/5K457EG11/FP_Test_Cases_Renamed/CSR_XCP_Signals_Recorder_2026-02-02_13-34-48_TC146_NCAP3.MF4.xz,empty,RadarFC_Master,empty,CPD,dummy</v>
      </c>
      <c r="L1119" s="85" t="s">
        <v>4190</v>
      </c>
      <c r="M1119" t="s">
        <v>1138</v>
      </c>
      <c r="N1119" t="s">
        <v>767</v>
      </c>
    </row>
    <row r="1120" spans="1:21" hidden="1">
      <c r="A1120" s="59" t="s">
        <v>1589</v>
      </c>
      <c r="B1120" t="s">
        <v>1084</v>
      </c>
      <c r="D1120" s="97" t="e">
        <f>_xlfn.XLOOKUP(A1120,[1]CPD_SOP_new!$A:$A,[1]CPD_SOP_new!#REF!,"not found",0 )</f>
        <v>#REF!</v>
      </c>
      <c r="E1120" s="97" t="str">
        <f>_xlfn.XLOOKUP(A1120,[1]CPD_SOP_new!$A:$A,[1]CPD_SOP_new!$K:$K,"not found",0 )</f>
        <v>not found</v>
      </c>
      <c r="F1120" t="s">
        <v>27</v>
      </c>
      <c r="G1120" t="s">
        <v>27</v>
      </c>
      <c r="H1120" t="s">
        <v>27</v>
      </c>
      <c r="I1120" t="s">
        <v>27</v>
      </c>
      <c r="J1120" t="s">
        <v>828</v>
      </c>
      <c r="K1120" s="85" t="str">
        <f t="shared" si="17"/>
        <v>/mnt/measurements/07_CANape/Mitsubishi/5K45/5.3.0_RC6.2/5K457EG11/FP_Test_Cases_Renamed/CSR_XCP_Signals_Recorder_2026-02-02_13-36-52_Adult_Outside_1R.MF4.xz,empty,RadarFC_Master,empty,CPD,dummy</v>
      </c>
      <c r="L1120" s="85" t="s">
        <v>4191</v>
      </c>
      <c r="M1120" t="s">
        <v>1612</v>
      </c>
      <c r="N1120" t="s">
        <v>767</v>
      </c>
    </row>
    <row r="1121" spans="1:14" hidden="1">
      <c r="A1121" s="59" t="s">
        <v>1589</v>
      </c>
      <c r="B1121" t="s">
        <v>1084</v>
      </c>
      <c r="D1121" s="97" t="e">
        <f>_xlfn.XLOOKUP(A1121,[1]CPD_SOP_new!$A:$A,[1]CPD_SOP_new!#REF!,"not found",0 )</f>
        <v>#REF!</v>
      </c>
      <c r="E1121" s="97" t="str">
        <f>_xlfn.XLOOKUP(A1121,[1]CPD_SOP_new!$A:$A,[1]CPD_SOP_new!$K:$K,"not found",0 )</f>
        <v>not found</v>
      </c>
      <c r="F1121" t="s">
        <v>27</v>
      </c>
      <c r="G1121" t="s">
        <v>27</v>
      </c>
      <c r="H1121" t="s">
        <v>27</v>
      </c>
      <c r="I1121" t="s">
        <v>27</v>
      </c>
      <c r="J1121" t="s">
        <v>828</v>
      </c>
      <c r="K1121" s="85" t="str">
        <f t="shared" si="17"/>
        <v>/mnt/measurements/07_CANape/Mitsubishi/5K45/5.3.0_RC6.2/5K457EG11/FP_Test_Cases_Renamed/CSR_XCP_Signals_Recorder_2026-02-02_13-38-23_Adult_Outside_2L.MF4.xz,empty,RadarFC_Master,empty,CPD,dummy</v>
      </c>
      <c r="L1121" s="85" t="s">
        <v>4192</v>
      </c>
      <c r="M1121" t="s">
        <v>1614</v>
      </c>
      <c r="N1121" t="s">
        <v>767</v>
      </c>
    </row>
    <row r="1122" spans="1:14" hidden="1">
      <c r="A1122" s="59" t="s">
        <v>1589</v>
      </c>
      <c r="B1122" t="s">
        <v>1084</v>
      </c>
      <c r="D1122" s="97" t="e">
        <f>_xlfn.XLOOKUP(A1122,[1]CPD_SOP_new!$A:$A,[1]CPD_SOP_new!#REF!,"not found",0 )</f>
        <v>#REF!</v>
      </c>
      <c r="E1122" s="97" t="str">
        <f>_xlfn.XLOOKUP(A1122,[1]CPD_SOP_new!$A:$A,[1]CPD_SOP_new!$K:$K,"not found",0 )</f>
        <v>not found</v>
      </c>
      <c r="F1122" t="s">
        <v>27</v>
      </c>
      <c r="G1122" t="s">
        <v>27</v>
      </c>
      <c r="H1122" t="s">
        <v>27</v>
      </c>
      <c r="I1122" t="s">
        <v>27</v>
      </c>
      <c r="J1122" t="s">
        <v>828</v>
      </c>
      <c r="K1122" s="85" t="str">
        <f t="shared" si="17"/>
        <v>/mnt/measurements/07_CANape/Mitsubishi/5K45/5.3.0_RC6.2/5K457EG11/FP_Test_Cases_Renamed/CSR_XCP_Signals_Recorder_2026-02-02_13-40-55_Adult_Outside_3R.MF4.xz,empty,RadarFC_Master,empty,CPD,dummy</v>
      </c>
      <c r="L1122" s="85" t="s">
        <v>4193</v>
      </c>
      <c r="M1122" t="s">
        <v>1616</v>
      </c>
      <c r="N1122" t="s">
        <v>767</v>
      </c>
    </row>
    <row r="1123" spans="1:14" hidden="1">
      <c r="A1123" s="59" t="s">
        <v>1589</v>
      </c>
      <c r="B1123" t="s">
        <v>1084</v>
      </c>
      <c r="D1123" s="97" t="e">
        <f>_xlfn.XLOOKUP(A1123,[1]CPD_SOP_new!$A:$A,[1]CPD_SOP_new!#REF!,"not found",0 )</f>
        <v>#REF!</v>
      </c>
      <c r="E1123" s="97" t="str">
        <f>_xlfn.XLOOKUP(A1123,[1]CPD_SOP_new!$A:$A,[1]CPD_SOP_new!$K:$K,"not found",0 )</f>
        <v>not found</v>
      </c>
      <c r="F1123" t="s">
        <v>27</v>
      </c>
      <c r="G1123" t="s">
        <v>27</v>
      </c>
      <c r="H1123" t="s">
        <v>27</v>
      </c>
      <c r="I1123" t="s">
        <v>27</v>
      </c>
      <c r="J1123" t="s">
        <v>828</v>
      </c>
      <c r="K1123" s="85" t="str">
        <f t="shared" si="17"/>
        <v>/mnt/measurements/07_CANape/Mitsubishi/5K45/5.3.0_RC6.2/5K457EG11/FP_Test_Cases_Renamed/CSR_XCP_Signals_Recorder_2026-02-02_13-42-55_Adult_Inside_1L.MF4.xz,empty,RadarFC_Master,empty,CPD,dummy</v>
      </c>
      <c r="L1123" s="85" t="s">
        <v>4194</v>
      </c>
      <c r="M1123" t="s">
        <v>1618</v>
      </c>
      <c r="N1123" t="s">
        <v>767</v>
      </c>
    </row>
    <row r="1124" spans="1:14" hidden="1">
      <c r="A1124" s="59" t="s">
        <v>1589</v>
      </c>
      <c r="B1124" t="s">
        <v>1084</v>
      </c>
      <c r="D1124" s="97" t="e">
        <f>_xlfn.XLOOKUP(A1124,[1]CPD_SOP_new!$A:$A,[1]CPD_SOP_new!#REF!,"not found",0 )</f>
        <v>#REF!</v>
      </c>
      <c r="E1124" s="97" t="str">
        <f>_xlfn.XLOOKUP(A1124,[1]CPD_SOP_new!$A:$A,[1]CPD_SOP_new!$K:$K,"not found",0 )</f>
        <v>not found</v>
      </c>
      <c r="F1124" t="s">
        <v>27</v>
      </c>
      <c r="G1124" t="s">
        <v>27</v>
      </c>
      <c r="H1124" t="s">
        <v>27</v>
      </c>
      <c r="I1124" t="s">
        <v>27</v>
      </c>
      <c r="J1124" t="s">
        <v>828</v>
      </c>
      <c r="K1124" s="85" t="str">
        <f t="shared" si="17"/>
        <v>/mnt/measurements/07_CANape/Mitsubishi/5K45/5.3.0_RC6.2/5K457EG11/FP_Test_Cases_Renamed/CSR_XCP_Signals_Recorder_2026-02-02_13-44-50_Adult_Inside_2C.MF4.xz,empty,RadarFC_Master,empty,CPD,dummy</v>
      </c>
      <c r="L1124" s="85" t="s">
        <v>4195</v>
      </c>
      <c r="M1124" t="s">
        <v>1620</v>
      </c>
      <c r="N1124" t="s">
        <v>767</v>
      </c>
    </row>
    <row r="1125" spans="1:14" hidden="1">
      <c r="A1125" s="59" t="s">
        <v>1589</v>
      </c>
      <c r="B1125" t="s">
        <v>1084</v>
      </c>
      <c r="D1125" s="97" t="e">
        <f>_xlfn.XLOOKUP(A1125,[1]CPD_SOP_new!$A:$A,[1]CPD_SOP_new!#REF!,"not found",0 )</f>
        <v>#REF!</v>
      </c>
      <c r="E1125" s="97" t="str">
        <f>_xlfn.XLOOKUP(A1125,[1]CPD_SOP_new!$A:$A,[1]CPD_SOP_new!$K:$K,"not found",0 )</f>
        <v>not found</v>
      </c>
      <c r="F1125" t="s">
        <v>27</v>
      </c>
      <c r="G1125" t="s">
        <v>27</v>
      </c>
      <c r="H1125" t="s">
        <v>27</v>
      </c>
      <c r="I1125" t="s">
        <v>27</v>
      </c>
      <c r="J1125" t="s">
        <v>828</v>
      </c>
      <c r="K1125" s="85" t="str">
        <f t="shared" si="17"/>
        <v>/mnt/measurements/07_CANape/Mitsubishi/5K45/5.3.0_RC6.2/5K457EG11/FP_Test_Cases_Renamed/CSR_XCP_Signals_Recorder_2026-02-02_13-46-38_Adult_Inside_2R.MF4.xz,empty,RadarFC_Master,empty,CPD,dummy</v>
      </c>
      <c r="L1125" s="85" t="s">
        <v>4196</v>
      </c>
      <c r="M1125" t="s">
        <v>1622</v>
      </c>
      <c r="N1125" t="s">
        <v>767</v>
      </c>
    </row>
    <row r="1126" spans="1:14" hidden="1">
      <c r="A1126" s="59" t="s">
        <v>1589</v>
      </c>
      <c r="B1126" t="s">
        <v>1084</v>
      </c>
      <c r="D1126" s="97" t="e">
        <f>_xlfn.XLOOKUP(A1126,[1]CPD_SOP_new!$A:$A,[1]CPD_SOP_new!#REF!,"not found",0 )</f>
        <v>#REF!</v>
      </c>
      <c r="E1126" s="97" t="str">
        <f>_xlfn.XLOOKUP(A1126,[1]CPD_SOP_new!$A:$A,[1]CPD_SOP_new!$K:$K,"not found",0 )</f>
        <v>not found</v>
      </c>
      <c r="F1126" t="s">
        <v>27</v>
      </c>
      <c r="G1126" t="s">
        <v>27</v>
      </c>
      <c r="H1126" t="s">
        <v>27</v>
      </c>
      <c r="I1126" t="s">
        <v>27</v>
      </c>
      <c r="J1126" t="s">
        <v>828</v>
      </c>
      <c r="K1126" s="85" t="str">
        <f t="shared" si="17"/>
        <v>/mnt/measurements/07_CANape/Mitsubishi/5K45/5.3.0_RC6.2/5K457EG11/FP_Test_Cases_Renamed/CSR_XCP_Signals_Recorder_2026-02-02_13-48-28_Adult_Inside_3L.MF4.xz,empty,RadarFC_Master,empty,CPD,dummy</v>
      </c>
      <c r="L1126" s="85" t="s">
        <v>4197</v>
      </c>
      <c r="M1126" t="s">
        <v>1624</v>
      </c>
      <c r="N1126" t="s">
        <v>767</v>
      </c>
    </row>
    <row r="1127" spans="1:14" s="130" customFormat="1" hidden="1">
      <c r="A1127" s="130">
        <v>176</v>
      </c>
      <c r="B1127" s="130" t="s">
        <v>1084</v>
      </c>
      <c r="D1127" s="98" t="e">
        <f>_xlfn.XLOOKUP(A1127,[1]CPD_SOP_new!$A:$A,[1]CPD_SOP_new!#REF!,"not found",0 )</f>
        <v>#REF!</v>
      </c>
      <c r="E1127" s="98" t="str">
        <f>_xlfn.XLOOKUP(A1127,[1]CPD_SOP_new!$A:$A,[1]CPD_SOP_new!$K:$K,"not found",0 )</f>
        <v>2R</v>
      </c>
      <c r="F1127" s="130" t="s">
        <v>27</v>
      </c>
      <c r="G1127" s="130" t="s">
        <v>28</v>
      </c>
      <c r="H1127" s="130" t="s">
        <v>28</v>
      </c>
      <c r="I1127" s="130" t="s">
        <v>27</v>
      </c>
      <c r="J1127" s="130" t="s">
        <v>828</v>
      </c>
      <c r="K1127" s="85" t="str">
        <f t="shared" si="17"/>
        <v>/mnt/measurements/07_CANape/Mitsubishi/5K45/5.3.0_RC6.2/5K457EG11/FP_Test_Cases_Renamed/CSR_XCP_Signals_Recorder_2026-02-03_13-11-44_TC176_NCAP3.MF4.xz,empty,RadarFC_Master,empty,CPD,dummy</v>
      </c>
      <c r="L1127" s="85" t="s">
        <v>4198</v>
      </c>
      <c r="M1127" s="130" t="s">
        <v>1263</v>
      </c>
      <c r="N1127" s="130" t="s">
        <v>767</v>
      </c>
    </row>
    <row r="1128" spans="1:14" s="130" customFormat="1" hidden="1">
      <c r="A1128" s="130">
        <v>176</v>
      </c>
      <c r="B1128" s="130" t="s">
        <v>1084</v>
      </c>
      <c r="D1128" s="98" t="e">
        <f>_xlfn.XLOOKUP(A1128,[1]CPD_SOP_new!$A:$A,[1]CPD_SOP_new!#REF!,"not found",0 )</f>
        <v>#REF!</v>
      </c>
      <c r="E1128" s="98" t="str">
        <f>_xlfn.XLOOKUP(A1128,[1]CPD_SOP_new!$A:$A,[1]CPD_SOP_new!$K:$K,"not found",0 )</f>
        <v>2R</v>
      </c>
      <c r="F1128" s="130" t="s">
        <v>27</v>
      </c>
      <c r="G1128" s="130" t="s">
        <v>28</v>
      </c>
      <c r="H1128" s="130" t="s">
        <v>28</v>
      </c>
      <c r="I1128" s="130" t="s">
        <v>27</v>
      </c>
      <c r="J1128" s="130" t="s">
        <v>828</v>
      </c>
      <c r="K1128" s="85" t="str">
        <f t="shared" si="17"/>
        <v>/mnt/measurements/07_CANape/Mitsubishi/5K45/5.3.0_RC6.2/5K457EG11/FP_Test_Cases_Renamed/CSR_XCP_Signals_Recorder_2026-02-03_13-13-32_TC176_NCAP3.MF4.xz,empty,RadarFC_Master,empty,CPD,dummy</v>
      </c>
      <c r="L1128" s="85" t="s">
        <v>4199</v>
      </c>
      <c r="M1128" s="130" t="s">
        <v>1264</v>
      </c>
      <c r="N1128" s="130" t="s">
        <v>767</v>
      </c>
    </row>
    <row r="1129" spans="1:14">
      <c r="A1129" s="77">
        <v>239</v>
      </c>
      <c r="B1129" t="s">
        <v>124</v>
      </c>
      <c r="C1129" t="s">
        <v>66</v>
      </c>
      <c r="D1129" s="97" t="e">
        <f>_xlfn.XLOOKUP(A1129,[1]CPD_SOP_new!$A:$A,[1]CPD_SOP_new!#REF!,"not found",0 )</f>
        <v>#REF!</v>
      </c>
      <c r="E1129" s="97" t="str">
        <f>_xlfn.XLOOKUP(A1129,[1]CPD_SOP_new!$A:$A,[1]CPD_SOP_new!$K:$K,"not found",0 )</f>
        <v>F3L</v>
      </c>
      <c r="F1129" t="s">
        <v>28</v>
      </c>
      <c r="G1129" t="s">
        <v>28</v>
      </c>
      <c r="H1129" t="s">
        <v>28</v>
      </c>
      <c r="I1129" t="s">
        <v>28</v>
      </c>
      <c r="J1129" t="s">
        <v>124</v>
      </c>
      <c r="K1129" s="85" t="str">
        <f t="shared" si="17"/>
        <v>/mnt/measurements/07_CANape/Mitsubishi/5K45/MMC5.0.2/5K457EG11/RealChild/CPD_TC239_Try3.MF4.xz,child,RadarFC_Master,child (ncap3),CPD,realchild</v>
      </c>
      <c r="L1129" s="85" t="s">
        <v>4200</v>
      </c>
      <c r="M1129" s="16" t="s">
        <v>1478</v>
      </c>
      <c r="N1129" s="87" t="s">
        <v>86</v>
      </c>
    </row>
    <row r="1130" spans="1:14">
      <c r="A1130" s="77">
        <v>239</v>
      </c>
      <c r="B1130" t="s">
        <v>124</v>
      </c>
      <c r="C1130" t="s">
        <v>66</v>
      </c>
      <c r="D1130" s="97" t="e">
        <f>_xlfn.XLOOKUP(A1130,[1]CPD_SOP_new!$A:$A,[1]CPD_SOP_new!#REF!,"not found",0 )</f>
        <v>#REF!</v>
      </c>
      <c r="E1130" s="97" t="str">
        <f>_xlfn.XLOOKUP(A1130,[1]CPD_SOP_new!$A:$A,[1]CPD_SOP_new!$K:$K,"not found",0 )</f>
        <v>F3L</v>
      </c>
      <c r="F1130" t="s">
        <v>28</v>
      </c>
      <c r="G1130" t="s">
        <v>28</v>
      </c>
      <c r="H1130" t="s">
        <v>28</v>
      </c>
      <c r="I1130" t="s">
        <v>28</v>
      </c>
      <c r="J1130" t="s">
        <v>124</v>
      </c>
      <c r="K1130" s="85" t="str">
        <f t="shared" si="17"/>
        <v>/mnt/measurements/07_CANape/Mitsubishi/5K45/MMC5.0.2/5K457EG11/RealChild/CPD_TC239_Try4.MF4.xz,child,RadarFC_Master,child (ncap3),CPD,realchild</v>
      </c>
      <c r="L1130" s="85" t="s">
        <v>4201</v>
      </c>
      <c r="M1130" s="16" t="s">
        <v>1479</v>
      </c>
      <c r="N1130" t="s">
        <v>86</v>
      </c>
    </row>
    <row r="1131" spans="1:14">
      <c r="A1131" s="77">
        <v>239</v>
      </c>
      <c r="B1131" t="s">
        <v>124</v>
      </c>
      <c r="C1131" t="s">
        <v>66</v>
      </c>
      <c r="D1131" s="97" t="e">
        <f>_xlfn.XLOOKUP(A1131,[1]CPD_SOP_new!$A:$A,[1]CPD_SOP_new!#REF!,"not found",0 )</f>
        <v>#REF!</v>
      </c>
      <c r="E1131" s="97" t="str">
        <f>_xlfn.XLOOKUP(A1131,[1]CPD_SOP_new!$A:$A,[1]CPD_SOP_new!$K:$K,"not found",0 )</f>
        <v>F3L</v>
      </c>
      <c r="F1131" t="s">
        <v>28</v>
      </c>
      <c r="G1131" t="s">
        <v>28</v>
      </c>
      <c r="H1131" t="s">
        <v>28</v>
      </c>
      <c r="I1131" t="s">
        <v>28</v>
      </c>
      <c r="J1131" t="s">
        <v>124</v>
      </c>
      <c r="K1131" s="85" t="str">
        <f t="shared" si="17"/>
        <v>/mnt/measurements/07_CANape/Mitsubishi/5K45/MMC5.0.2/5K457EG11/RealChild/CPD_TC239_Try5.MF4.xz,child,RadarFC_Master,child (ncap3),CPD,realchild</v>
      </c>
      <c r="L1131" s="85" t="s">
        <v>4202</v>
      </c>
      <c r="M1131" s="16" t="s">
        <v>1480</v>
      </c>
      <c r="N1131" s="87" t="s">
        <v>86</v>
      </c>
    </row>
    <row r="1132" spans="1:14">
      <c r="A1132" s="77">
        <v>240</v>
      </c>
      <c r="B1132" t="s">
        <v>124</v>
      </c>
      <c r="C1132" t="s">
        <v>66</v>
      </c>
      <c r="D1132" s="97" t="e">
        <f>_xlfn.XLOOKUP(A1132,[1]CPD_SOP_new!$A:$A,[1]CPD_SOP_new!#REF!,"not found",0 )</f>
        <v>#REF!</v>
      </c>
      <c r="E1132" s="97" t="str">
        <f>_xlfn.XLOOKUP(A1132,[1]CPD_SOP_new!$A:$A,[1]CPD_SOP_new!$K:$K,"not found",0 )</f>
        <v>F2L</v>
      </c>
      <c r="F1132" t="s">
        <v>28</v>
      </c>
      <c r="G1132" t="s">
        <v>28</v>
      </c>
      <c r="H1132" t="s">
        <v>28</v>
      </c>
      <c r="I1132" t="s">
        <v>28</v>
      </c>
      <c r="J1132" t="s">
        <v>124</v>
      </c>
      <c r="K1132" s="85" t="str">
        <f t="shared" si="17"/>
        <v>/mnt/measurements/07_CANape/Mitsubishi/5K45/MMC5.0.2/5K457EG11/RealChild/CSR_XCP_Signals_Recorder_2026-01-20_09-31-09__CPD_TC240_Try5.MF4.xz,child,RadarFC_Master,child (ncap3),CPD,realchild</v>
      </c>
      <c r="L1132" s="85" t="s">
        <v>4203</v>
      </c>
      <c r="M1132" t="s">
        <v>1481</v>
      </c>
      <c r="N1132" t="s">
        <v>86</v>
      </c>
    </row>
    <row r="1133" spans="1:14">
      <c r="A1133" s="77">
        <v>240</v>
      </c>
      <c r="B1133" t="s">
        <v>124</v>
      </c>
      <c r="C1133" t="s">
        <v>66</v>
      </c>
      <c r="D1133" s="97" t="e">
        <f>_xlfn.XLOOKUP(A1133,[1]CPD_SOP_new!$A:$A,[1]CPD_SOP_new!#REF!,"not found",0 )</f>
        <v>#REF!</v>
      </c>
      <c r="E1133" s="97" t="str">
        <f>_xlfn.XLOOKUP(A1133,[1]CPD_SOP_new!$A:$A,[1]CPD_SOP_new!$K:$K,"not found",0 )</f>
        <v>F2L</v>
      </c>
      <c r="F1133" t="s">
        <v>28</v>
      </c>
      <c r="G1133" t="s">
        <v>28</v>
      </c>
      <c r="H1133" t="s">
        <v>28</v>
      </c>
      <c r="I1133" t="s">
        <v>28</v>
      </c>
      <c r="J1133" t="s">
        <v>124</v>
      </c>
      <c r="K1133" s="85" t="str">
        <f t="shared" si="17"/>
        <v>/mnt/measurements/07_CANape/Mitsubishi/5K45/MMC5.0.2/5K457EG11/RealChild/CSR_XCP_Signals_Recorder_2026-01-20_09-24-31_CPD_TC240_Try1.MF4.xz,child,RadarFC_Master,child (ncap3),CPD,realchild</v>
      </c>
      <c r="L1133" s="85" t="s">
        <v>4204</v>
      </c>
      <c r="M1133" t="s">
        <v>1483</v>
      </c>
      <c r="N1133" t="s">
        <v>86</v>
      </c>
    </row>
    <row r="1134" spans="1:14">
      <c r="A1134" s="77">
        <v>240</v>
      </c>
      <c r="B1134" t="s">
        <v>124</v>
      </c>
      <c r="C1134" t="s">
        <v>66</v>
      </c>
      <c r="D1134" s="97" t="e">
        <f>_xlfn.XLOOKUP(A1134,[1]CPD_SOP_new!$A:$A,[1]CPD_SOP_new!#REF!,"not found",0 )</f>
        <v>#REF!</v>
      </c>
      <c r="E1134" s="97" t="str">
        <f>_xlfn.XLOOKUP(A1134,[1]CPD_SOP_new!$A:$A,[1]CPD_SOP_new!$K:$K,"not found",0 )</f>
        <v>F2L</v>
      </c>
      <c r="F1134" t="s">
        <v>28</v>
      </c>
      <c r="G1134" t="s">
        <v>28</v>
      </c>
      <c r="H1134" t="s">
        <v>28</v>
      </c>
      <c r="I1134" t="s">
        <v>28</v>
      </c>
      <c r="J1134" t="s">
        <v>124</v>
      </c>
      <c r="K1134" s="85" t="str">
        <f t="shared" si="17"/>
        <v>/mnt/measurements/07_CANape/Mitsubishi/5K45/MMC5.0.2/5K457EG11/RealChild/CSR_XCP_Signals_Recorder_2026-01-20_09-26-00_CPD_TC240_Try2.MF4.xz,child,RadarFC_Master,child (ncap3),CPD,realchild</v>
      </c>
      <c r="L1134" s="85" t="s">
        <v>4205</v>
      </c>
      <c r="M1134" t="s">
        <v>1484</v>
      </c>
      <c r="N1134" t="s">
        <v>86</v>
      </c>
    </row>
    <row r="1135" spans="1:14">
      <c r="A1135" s="77">
        <v>240</v>
      </c>
      <c r="B1135" t="s">
        <v>124</v>
      </c>
      <c r="C1135" t="s">
        <v>66</v>
      </c>
      <c r="D1135" s="97" t="e">
        <f>_xlfn.XLOOKUP(A1135,[1]CPD_SOP_new!$A:$A,[1]CPD_SOP_new!#REF!,"not found",0 )</f>
        <v>#REF!</v>
      </c>
      <c r="E1135" s="97" t="str">
        <f>_xlfn.XLOOKUP(A1135,[1]CPD_SOP_new!$A:$A,[1]CPD_SOP_new!$K:$K,"not found",0 )</f>
        <v>F2L</v>
      </c>
      <c r="F1135" t="s">
        <v>28</v>
      </c>
      <c r="G1135" t="s">
        <v>28</v>
      </c>
      <c r="H1135" t="s">
        <v>28</v>
      </c>
      <c r="I1135" t="s">
        <v>28</v>
      </c>
      <c r="J1135" t="s">
        <v>124</v>
      </c>
      <c r="K1135" s="85" t="str">
        <f t="shared" si="17"/>
        <v>/mnt/measurements/07_CANape/Mitsubishi/5K45/MMC5.0.2/5K457EG11/RealChild/CSR_XCP_Signals_Recorder_2026-01-20_09-27-47_CPD_TC240_Try3.MF4.xz,child,RadarFC_Master,child (ncap3),CPD,realchild</v>
      </c>
      <c r="L1135" s="85" t="s">
        <v>4206</v>
      </c>
      <c r="M1135" t="s">
        <v>1485</v>
      </c>
      <c r="N1135" t="s">
        <v>86</v>
      </c>
    </row>
    <row r="1136" spans="1:14">
      <c r="A1136" s="77">
        <v>240</v>
      </c>
      <c r="B1136" t="s">
        <v>124</v>
      </c>
      <c r="C1136" t="s">
        <v>66</v>
      </c>
      <c r="D1136" s="97" t="e">
        <f>_xlfn.XLOOKUP(A1136,[1]CPD_SOP_new!$A:$A,[1]CPD_SOP_new!#REF!,"not found",0 )</f>
        <v>#REF!</v>
      </c>
      <c r="E1136" s="97" t="str">
        <f>_xlfn.XLOOKUP(A1136,[1]CPD_SOP_new!$A:$A,[1]CPD_SOP_new!$K:$K,"not found",0 )</f>
        <v>F2L</v>
      </c>
      <c r="F1136" t="s">
        <v>28</v>
      </c>
      <c r="G1136" t="s">
        <v>28</v>
      </c>
      <c r="H1136" t="s">
        <v>28</v>
      </c>
      <c r="I1136" t="s">
        <v>28</v>
      </c>
      <c r="J1136" t="s">
        <v>124</v>
      </c>
      <c r="K1136" s="85" t="str">
        <f t="shared" si="17"/>
        <v>/mnt/measurements/07_CANape/Mitsubishi/5K45/MMC5.0.2/5K457EG11/RealChild/CSR_XCP_Signals_Recorder_2026-01-20_09-29-35_CPD_TC240_Try4.MF4.xz,child,RadarFC_Master,child (ncap3),CPD,realchild</v>
      </c>
      <c r="L1136" s="85" t="s">
        <v>4207</v>
      </c>
      <c r="M1136" t="s">
        <v>128</v>
      </c>
      <c r="N1136" t="s">
        <v>86</v>
      </c>
    </row>
    <row r="1137" spans="1:21">
      <c r="A1137" s="77">
        <v>240</v>
      </c>
      <c r="B1137" t="s">
        <v>124</v>
      </c>
      <c r="C1137" t="s">
        <v>66</v>
      </c>
      <c r="D1137" s="97" t="e">
        <f>_xlfn.XLOOKUP(A1137,[1]CPD_SOP_new!$A:$A,[1]CPD_SOP_new!#REF!,"not found",0 )</f>
        <v>#REF!</v>
      </c>
      <c r="E1137" s="97" t="str">
        <f>_xlfn.XLOOKUP(A1137,[1]CPD_SOP_new!$A:$A,[1]CPD_SOP_new!$K:$K,"not found",0 )</f>
        <v>F2L</v>
      </c>
      <c r="F1137" t="s">
        <v>28</v>
      </c>
      <c r="G1137" t="s">
        <v>28</v>
      </c>
      <c r="H1137" t="s">
        <v>28</v>
      </c>
      <c r="I1137" t="s">
        <v>28</v>
      </c>
      <c r="J1137" t="s">
        <v>124</v>
      </c>
      <c r="K1137" s="85" t="str">
        <f t="shared" si="17"/>
        <v>/mnt/measurements/07_CANape/Mitsubishi/5K45/5.3.0_RC6/Customer_Testing/Real_Child_Measurements/CSR_XCP_Signals_Recorder_2026-01-29_16-44-55_TC240.MF4.xz,child,RadarFC_Master,child (ncap3),CPD,realchild</v>
      </c>
      <c r="L1137" s="85" t="s">
        <v>4208</v>
      </c>
      <c r="M1137" t="s">
        <v>1487</v>
      </c>
      <c r="N1137" t="s">
        <v>213</v>
      </c>
      <c r="O1137" t="s">
        <v>124</v>
      </c>
      <c r="P1137" t="s">
        <v>29</v>
      </c>
      <c r="Q1137">
        <v>1</v>
      </c>
      <c r="T1137">
        <v>0</v>
      </c>
      <c r="U1137">
        <v>0</v>
      </c>
    </row>
    <row r="1138" spans="1:21" s="130" customFormat="1" hidden="1">
      <c r="A1138" s="130">
        <v>162</v>
      </c>
      <c r="B1138" s="130" t="s">
        <v>405</v>
      </c>
      <c r="D1138" s="98" t="e">
        <f>_xlfn.XLOOKUP(A1138,[1]CPD_SOP_new!$A:$A,[1]CPD_SOP_new!#REF!,"not found",0 )</f>
        <v>#REF!</v>
      </c>
      <c r="E1138" s="98" t="str">
        <f>_xlfn.XLOOKUP(A1138,[1]CPD_SOP_new!$A:$A,[1]CPD_SOP_new!$K:$K,"not found",0 )</f>
        <v>2R</v>
      </c>
      <c r="F1138" s="130" t="s">
        <v>27</v>
      </c>
      <c r="G1138" s="130" t="s">
        <v>27</v>
      </c>
      <c r="H1138" s="130" t="s">
        <v>27</v>
      </c>
      <c r="I1138" s="130" t="s">
        <v>27</v>
      </c>
      <c r="J1138" s="130" t="s">
        <v>828</v>
      </c>
      <c r="K1138" s="85" t="str">
        <f t="shared" si="17"/>
        <v>/mnt/measurements/07_CANape/Mitsubishi/5K45/5.3.0_RC6.2/5K457EG11/FP_Test_Cases_Renamed/CSR_XCP_Signals_Recorder_2026-02-03_13-27-03_TC162_NCAP3.MF4.xz,empty,RadarFC_Master,empty,CPD,dummy</v>
      </c>
      <c r="L1138" s="85" t="s">
        <v>4209</v>
      </c>
      <c r="M1138" s="130" t="s">
        <v>1196</v>
      </c>
      <c r="N1138" s="130" t="s">
        <v>767</v>
      </c>
    </row>
    <row r="1139" spans="1:21" s="130" customFormat="1" hidden="1">
      <c r="A1139" s="130">
        <v>162</v>
      </c>
      <c r="B1139" s="130" t="s">
        <v>405</v>
      </c>
      <c r="D1139" s="98" t="e">
        <f>_xlfn.XLOOKUP(A1139,[1]CPD_SOP_new!$A:$A,[1]CPD_SOP_new!#REF!,"not found",0 )</f>
        <v>#REF!</v>
      </c>
      <c r="E1139" s="98" t="str">
        <f>_xlfn.XLOOKUP(A1139,[1]CPD_SOP_new!$A:$A,[1]CPD_SOP_new!$K:$K,"not found",0 )</f>
        <v>2R</v>
      </c>
      <c r="F1139" s="130" t="s">
        <v>27</v>
      </c>
      <c r="G1139" s="130" t="s">
        <v>27</v>
      </c>
      <c r="H1139" s="130" t="s">
        <v>27</v>
      </c>
      <c r="I1139" s="130" t="s">
        <v>27</v>
      </c>
      <c r="J1139" s="130" t="s">
        <v>828</v>
      </c>
      <c r="K1139" s="85" t="str">
        <f t="shared" si="17"/>
        <v>/mnt/measurements/07_CANape/Mitsubishi/5K45/5.3.0_RC6.2/5K457EG11/FP_Test_Cases_Renamed/CSR_XCP_Signals_Recorder_2026-02-03_13-28-37_TC162_NCAP3.MF4.xz,empty,RadarFC_Master,empty,CPD,dummy</v>
      </c>
      <c r="L1139" s="85" t="s">
        <v>4210</v>
      </c>
      <c r="M1139" s="130" t="s">
        <v>1200</v>
      </c>
      <c r="N1139" s="130" t="s">
        <v>767</v>
      </c>
    </row>
    <row r="1140" spans="1:21" s="130" customFormat="1" hidden="1">
      <c r="A1140" s="130">
        <v>162</v>
      </c>
      <c r="B1140" s="130" t="s">
        <v>405</v>
      </c>
      <c r="D1140" s="98" t="e">
        <f>_xlfn.XLOOKUP(A1140,[1]CPD_SOP_new!$A:$A,[1]CPD_SOP_new!#REF!,"not found",0 )</f>
        <v>#REF!</v>
      </c>
      <c r="E1140" s="98" t="str">
        <f>_xlfn.XLOOKUP(A1140,[1]CPD_SOP_new!$A:$A,[1]CPD_SOP_new!$K:$K,"not found",0 )</f>
        <v>2R</v>
      </c>
      <c r="F1140" s="130" t="s">
        <v>27</v>
      </c>
      <c r="G1140" s="130" t="s">
        <v>27</v>
      </c>
      <c r="H1140" s="130" t="s">
        <v>27</v>
      </c>
      <c r="I1140" s="130" t="s">
        <v>27</v>
      </c>
      <c r="J1140" s="130" t="s">
        <v>828</v>
      </c>
      <c r="K1140" s="85" t="str">
        <f t="shared" si="17"/>
        <v>/mnt/measurements/07_CANape/Mitsubishi/5K45/5.3.0_RC6.2/5K457EG11/FP_Test_Cases_Renamed/CSR_XCP_Signals_Recorder_2026-02-03_13-30-19_TC162_NCAP3.MF4.xz,empty,RadarFC_Master,empty,CPD,dummy</v>
      </c>
      <c r="L1140" s="85" t="s">
        <v>4211</v>
      </c>
      <c r="M1140" s="130" t="s">
        <v>1201</v>
      </c>
      <c r="N1140" s="130" t="s">
        <v>767</v>
      </c>
    </row>
    <row r="1141" spans="1:21" s="130" customFormat="1" hidden="1">
      <c r="A1141" s="130">
        <v>104</v>
      </c>
      <c r="B1141" s="130" t="s">
        <v>111</v>
      </c>
      <c r="D1141" s="98" t="e">
        <f>_xlfn.XLOOKUP(A1141,[1]CPD_SOP_new!$A:$A,[1]CPD_SOP_new!#REF!,"not found",0 )</f>
        <v>#REF!</v>
      </c>
      <c r="E1141" s="98" t="str">
        <f>_xlfn.XLOOKUP(A1141,[1]CPD_SOP_new!$A:$A,[1]CPD_SOP_new!$K:$K,"not found",0 )</f>
        <v>2R</v>
      </c>
      <c r="F1141" s="130" t="s">
        <v>27</v>
      </c>
      <c r="G1141" s="130" t="s">
        <v>27</v>
      </c>
      <c r="H1141" s="130" t="s">
        <v>28</v>
      </c>
      <c r="I1141" s="130" t="s">
        <v>27</v>
      </c>
      <c r="J1141" s="130" t="s">
        <v>765</v>
      </c>
      <c r="K1141" s="85" t="str">
        <f t="shared" si="17"/>
        <v>/mnt/measurements/07_CANape/Mitsubishi/5K45/5.3.0_RC6.2/5K457EG11/FP_Test_Cases_Renamed/CSR_XCP_Signals_Recorder_2026-02-03_13-32-58_TC104_NCAP1_2.MF4.xz,wrong measurmeent,RadarFC_Master,wrong measurmeent,CPD,dummy</v>
      </c>
      <c r="L1141" s="85" t="s">
        <v>4212</v>
      </c>
      <c r="M1141" s="130" t="s">
        <v>1135</v>
      </c>
      <c r="N1141" s="130" t="s">
        <v>767</v>
      </c>
    </row>
    <row r="1142" spans="1:21" s="130" customFormat="1" hidden="1">
      <c r="A1142" s="130">
        <v>104</v>
      </c>
      <c r="B1142" s="130" t="s">
        <v>111</v>
      </c>
      <c r="D1142" s="98" t="e">
        <f>_xlfn.XLOOKUP(A1142,[1]CPD_SOP_new!$A:$A,[1]CPD_SOP_new!#REF!,"not found",0 )</f>
        <v>#REF!</v>
      </c>
      <c r="E1142" s="98" t="str">
        <f>_xlfn.XLOOKUP(A1142,[1]CPD_SOP_new!$A:$A,[1]CPD_SOP_new!$K:$K,"not found",0 )</f>
        <v>2R</v>
      </c>
      <c r="F1142" s="130" t="s">
        <v>27</v>
      </c>
      <c r="G1142" s="130" t="s">
        <v>27</v>
      </c>
      <c r="H1142" s="130" t="s">
        <v>28</v>
      </c>
      <c r="I1142" s="130" t="s">
        <v>27</v>
      </c>
      <c r="J1142" s="130" t="s">
        <v>1136</v>
      </c>
      <c r="K1142" s="85" t="str">
        <f t="shared" si="17"/>
        <v>/mnt/measurements/07_CANape/Mitsubishi/5K45/5.3.0_RC6.2/5K457EG11/FP_Test_Cases_Renamed/CSR_XCP_Signals_Recorder_2026-02-03_13-33-55_TC104_NCAP1_2.MF4.xz,Door left open,RadarFC_Master,Door left open,CPD,dummy</v>
      </c>
      <c r="L1142" s="85" t="s">
        <v>4213</v>
      </c>
      <c r="M1142" s="130" t="s">
        <v>1137</v>
      </c>
      <c r="N1142" s="130" t="s">
        <v>767</v>
      </c>
    </row>
    <row r="1143" spans="1:21" s="130" customFormat="1" hidden="1">
      <c r="A1143" s="130">
        <v>104</v>
      </c>
      <c r="B1143" s="130" t="s">
        <v>111</v>
      </c>
      <c r="D1143" s="98" t="e">
        <f>_xlfn.XLOOKUP(A1143,[1]CPD_SOP_new!$A:$A,[1]CPD_SOP_new!#REF!,"not found",0 )</f>
        <v>#REF!</v>
      </c>
      <c r="E1143" s="98" t="str">
        <f>_xlfn.XLOOKUP(A1143,[1]CPD_SOP_new!$A:$A,[1]CPD_SOP_new!$K:$K,"not found",0 )</f>
        <v>2R</v>
      </c>
      <c r="F1143" s="130" t="s">
        <v>27</v>
      </c>
      <c r="G1143" s="130" t="s">
        <v>27</v>
      </c>
      <c r="H1143" s="130" t="s">
        <v>28</v>
      </c>
      <c r="I1143" s="130" t="s">
        <v>27</v>
      </c>
      <c r="J1143" s="130" t="s">
        <v>765</v>
      </c>
      <c r="K1143" s="85" t="str">
        <f t="shared" si="17"/>
        <v>/mnt/measurements/07_CANape/Mitsubishi/5K45/5.3.0_RC6.2/5K457EG11/FP_Test_Cases_Renamed/CSR_XCP_Signals_Recorder_2026-02-03_13-34-46_TC104_NCAP1_2.MF4.xz,wrong measurmeent,RadarFC_Master,wrong measurmeent,CPD,dummy</v>
      </c>
      <c r="L1143" s="85" t="s">
        <v>4214</v>
      </c>
      <c r="M1143" s="130" t="s">
        <v>766</v>
      </c>
      <c r="N1143" s="130" t="s">
        <v>767</v>
      </c>
    </row>
    <row r="1144" spans="1:21">
      <c r="A1144" s="77">
        <v>240</v>
      </c>
      <c r="B1144" t="s">
        <v>124</v>
      </c>
      <c r="C1144" t="s">
        <v>66</v>
      </c>
      <c r="D1144" s="97" t="e">
        <f>_xlfn.XLOOKUP(A1144,[1]CPD_SOP_new!$A:$A,[1]CPD_SOP_new!#REF!,"not found",0 )</f>
        <v>#REF!</v>
      </c>
      <c r="E1144" s="97" t="str">
        <f>_xlfn.XLOOKUP(A1144,[1]CPD_SOP_new!$A:$A,[1]CPD_SOP_new!$K:$K,"not found",0 )</f>
        <v>F2L</v>
      </c>
      <c r="F1144" t="s">
        <v>28</v>
      </c>
      <c r="G1144" t="s">
        <v>28</v>
      </c>
      <c r="H1144" t="s">
        <v>28</v>
      </c>
      <c r="I1144" t="s">
        <v>28</v>
      </c>
      <c r="J1144" t="s">
        <v>124</v>
      </c>
      <c r="K1144" s="85" t="str">
        <f t="shared" si="17"/>
        <v>/mnt/measurements/07_CANape/Mitsubishi/5K45/5.3.0_RC6/Customer_Testing/Real_Child_Measurements/CSR_XCP_Signals_Recorder_2026-01-29_16-46-23_TC240.MF4.xz,child,RadarFC_Master,child (ncap3),CPD,realchild</v>
      </c>
      <c r="L1144" s="85" t="s">
        <v>4215</v>
      </c>
      <c r="M1144" t="s">
        <v>1489</v>
      </c>
      <c r="N1144" t="s">
        <v>213</v>
      </c>
      <c r="O1144" t="s">
        <v>124</v>
      </c>
      <c r="P1144" t="s">
        <v>29</v>
      </c>
      <c r="Q1144">
        <v>1</v>
      </c>
      <c r="T1144">
        <v>0</v>
      </c>
      <c r="U1144">
        <v>0</v>
      </c>
    </row>
    <row r="1145" spans="1:21">
      <c r="A1145" s="77">
        <v>240</v>
      </c>
      <c r="B1145" t="s">
        <v>124</v>
      </c>
      <c r="C1145" t="s">
        <v>66</v>
      </c>
      <c r="D1145" s="97" t="e">
        <f>_xlfn.XLOOKUP(A1145,[1]CPD_SOP_new!$A:$A,[1]CPD_SOP_new!#REF!,"not found",0 )</f>
        <v>#REF!</v>
      </c>
      <c r="E1145" s="97" t="str">
        <f>_xlfn.XLOOKUP(A1145,[1]CPD_SOP_new!$A:$A,[1]CPD_SOP_new!$K:$K,"not found",0 )</f>
        <v>F2L</v>
      </c>
      <c r="F1145" t="s">
        <v>28</v>
      </c>
      <c r="G1145" t="s">
        <v>28</v>
      </c>
      <c r="H1145" t="s">
        <v>28</v>
      </c>
      <c r="I1145" t="s">
        <v>28</v>
      </c>
      <c r="J1145" t="s">
        <v>124</v>
      </c>
      <c r="K1145" s="85" t="str">
        <f t="shared" si="17"/>
        <v>/mnt/measurements/07_CANape/Mitsubishi/5K45/5.3.0_RC6/Customer_Testing/Real_Child_Measurements/CSR_XCP_Signals_Recorder_2026-01-29_16-47-51_TC240.MF4.xz,child,RadarFC_Master,child (ncap3),CPD,realchild</v>
      </c>
      <c r="L1145" s="85" t="s">
        <v>4216</v>
      </c>
      <c r="M1145" t="s">
        <v>1490</v>
      </c>
      <c r="N1145" t="s">
        <v>213</v>
      </c>
      <c r="O1145" t="s">
        <v>124</v>
      </c>
      <c r="P1145" t="s">
        <v>29</v>
      </c>
      <c r="Q1145">
        <v>1</v>
      </c>
      <c r="T1145">
        <v>0</v>
      </c>
      <c r="U1145">
        <v>0</v>
      </c>
    </row>
    <row r="1146" spans="1:21">
      <c r="A1146" s="77">
        <v>243</v>
      </c>
      <c r="B1146" t="s">
        <v>124</v>
      </c>
      <c r="C1146" t="s">
        <v>66</v>
      </c>
      <c r="D1146" s="97" t="e">
        <f>_xlfn.XLOOKUP(A1146,[1]CPD_SOP_new!$A:$A,[1]CPD_SOP_new!#REF!,"not found",0 )</f>
        <v>#REF!</v>
      </c>
      <c r="E1146" s="97" t="str">
        <f>_xlfn.XLOOKUP(A1146,[1]CPD_SOP_new!$A:$A,[1]CPD_SOP_new!$K:$K,"not found",0 )</f>
        <v>F2R</v>
      </c>
      <c r="F1146" t="s">
        <v>28</v>
      </c>
      <c r="G1146" t="s">
        <v>28</v>
      </c>
      <c r="H1146" t="s">
        <v>28</v>
      </c>
      <c r="I1146" t="s">
        <v>28</v>
      </c>
      <c r="J1146" t="s">
        <v>124</v>
      </c>
      <c r="K1146" s="85" t="str">
        <f t="shared" si="17"/>
        <v>/mnt/measurements/07_CANape/Mitsubishi/5K45/MMC5.0.2/5K457EG11/RealChild/CPD_TC243_Try1.MF4.xz,child,RadarFC_Master,child (ncap3),CPD,realchild</v>
      </c>
      <c r="L1146" s="85" t="s">
        <v>4217</v>
      </c>
      <c r="M1146" s="16" t="s">
        <v>1491</v>
      </c>
      <c r="N1146" s="16" t="s">
        <v>86</v>
      </c>
    </row>
    <row r="1147" spans="1:21">
      <c r="A1147" s="77">
        <v>243</v>
      </c>
      <c r="B1147" t="s">
        <v>124</v>
      </c>
      <c r="C1147" t="s">
        <v>66</v>
      </c>
      <c r="D1147" s="97" t="e">
        <f>_xlfn.XLOOKUP(A1147,[1]CPD_SOP_new!$A:$A,[1]CPD_SOP_new!#REF!,"not found",0 )</f>
        <v>#REF!</v>
      </c>
      <c r="E1147" s="97" t="str">
        <f>_xlfn.XLOOKUP(A1147,[1]CPD_SOP_new!$A:$A,[1]CPD_SOP_new!$K:$K,"not found",0 )</f>
        <v>F2R</v>
      </c>
      <c r="F1147" t="s">
        <v>28</v>
      </c>
      <c r="G1147" t="s">
        <v>28</v>
      </c>
      <c r="H1147" t="s">
        <v>28</v>
      </c>
      <c r="I1147" t="s">
        <v>28</v>
      </c>
      <c r="J1147" t="s">
        <v>124</v>
      </c>
      <c r="K1147" s="85" t="str">
        <f t="shared" si="17"/>
        <v>/mnt/measurements/07_CANape/Mitsubishi/5K45/MMC5.0.2/5K457EG11/RealChild/CPD_TC243_Try2.MF4.xz,child,RadarFC_Master,child (ncap3),CPD,realchild</v>
      </c>
      <c r="L1147" s="85" t="s">
        <v>4218</v>
      </c>
      <c r="M1147" s="16" t="s">
        <v>1493</v>
      </c>
      <c r="N1147" s="16" t="s">
        <v>86</v>
      </c>
    </row>
    <row r="1148" spans="1:21">
      <c r="A1148" s="77">
        <v>243</v>
      </c>
      <c r="B1148" t="s">
        <v>124</v>
      </c>
      <c r="C1148" t="s">
        <v>66</v>
      </c>
      <c r="D1148" s="97" t="e">
        <f>_xlfn.XLOOKUP(A1148,[1]CPD_SOP_new!$A:$A,[1]CPD_SOP_new!#REF!,"not found",0 )</f>
        <v>#REF!</v>
      </c>
      <c r="E1148" s="97" t="str">
        <f>_xlfn.XLOOKUP(A1148,[1]CPD_SOP_new!$A:$A,[1]CPD_SOP_new!$K:$K,"not found",0 )</f>
        <v>F2R</v>
      </c>
      <c r="F1148" t="s">
        <v>28</v>
      </c>
      <c r="G1148" t="s">
        <v>28</v>
      </c>
      <c r="H1148" t="s">
        <v>28</v>
      </c>
      <c r="I1148" t="s">
        <v>28</v>
      </c>
      <c r="J1148" t="s">
        <v>124</v>
      </c>
      <c r="K1148" s="85" t="str">
        <f t="shared" si="17"/>
        <v>/mnt/measurements/07_CANape/Mitsubishi/5K45/MMC5.0.2/5K457EG11/RealChild/CPD_TC243_Try3.MF4.xz,child,RadarFC_Master,child (ncap3),CPD,realchild</v>
      </c>
      <c r="L1148" s="85" t="s">
        <v>4219</v>
      </c>
      <c r="M1148" s="16" t="s">
        <v>1494</v>
      </c>
      <c r="N1148" s="16" t="s">
        <v>86</v>
      </c>
    </row>
    <row r="1149" spans="1:21">
      <c r="A1149" s="77">
        <v>243</v>
      </c>
      <c r="B1149" t="s">
        <v>124</v>
      </c>
      <c r="C1149" t="s">
        <v>66</v>
      </c>
      <c r="D1149" s="97" t="e">
        <f>_xlfn.XLOOKUP(A1149,[1]CPD_SOP_new!$A:$A,[1]CPD_SOP_new!#REF!,"not found",0 )</f>
        <v>#REF!</v>
      </c>
      <c r="E1149" s="97" t="str">
        <f>_xlfn.XLOOKUP(A1149,[1]CPD_SOP_new!$A:$A,[1]CPD_SOP_new!$K:$K,"not found",0 )</f>
        <v>F2R</v>
      </c>
      <c r="F1149" t="s">
        <v>28</v>
      </c>
      <c r="G1149" t="s">
        <v>28</v>
      </c>
      <c r="H1149" t="s">
        <v>28</v>
      </c>
      <c r="I1149" t="s">
        <v>28</v>
      </c>
      <c r="J1149" t="s">
        <v>124</v>
      </c>
      <c r="K1149" s="85" t="str">
        <f t="shared" si="17"/>
        <v>/mnt/measurements/07_CANape/Mitsubishi/5K45/MMC5.0.2/5K457EG11/RealChild/CPD_TC243_Try4.MF4.xz,child,RadarFC_Master,child (ncap3),CPD,realchild</v>
      </c>
      <c r="L1149" s="85" t="s">
        <v>4220</v>
      </c>
      <c r="M1149" s="16" t="s">
        <v>1495</v>
      </c>
      <c r="N1149" s="16" t="s">
        <v>86</v>
      </c>
    </row>
    <row r="1150" spans="1:21">
      <c r="A1150" s="77">
        <v>243</v>
      </c>
      <c r="B1150" t="s">
        <v>124</v>
      </c>
      <c r="C1150" t="s">
        <v>66</v>
      </c>
      <c r="D1150" s="97" t="e">
        <f>_xlfn.XLOOKUP(A1150,[1]CPD_SOP_new!$A:$A,[1]CPD_SOP_new!#REF!,"not found",0 )</f>
        <v>#REF!</v>
      </c>
      <c r="E1150" s="97" t="str">
        <f>_xlfn.XLOOKUP(A1150,[1]CPD_SOP_new!$A:$A,[1]CPD_SOP_new!$K:$K,"not found",0 )</f>
        <v>F2R</v>
      </c>
      <c r="F1150" t="s">
        <v>28</v>
      </c>
      <c r="G1150" t="s">
        <v>28</v>
      </c>
      <c r="H1150" t="s">
        <v>28</v>
      </c>
      <c r="I1150" t="s">
        <v>28</v>
      </c>
      <c r="J1150" t="s">
        <v>124</v>
      </c>
      <c r="K1150" s="85" t="str">
        <f t="shared" si="17"/>
        <v>/mnt/measurements/07_CANape/Mitsubishi/5K45/MMC5.0.2/5K457EG11/RealChild/CPD_TC243_Try5.MF4.xz,child,RadarFC_Master,child (ncap3),CPD,realchild</v>
      </c>
      <c r="L1150" s="85" t="s">
        <v>4221</v>
      </c>
      <c r="M1150" s="16" t="s">
        <v>1496</v>
      </c>
      <c r="N1150" s="16" t="s">
        <v>86</v>
      </c>
    </row>
    <row r="1151" spans="1:21">
      <c r="A1151" s="77">
        <v>244</v>
      </c>
      <c r="B1151" t="s">
        <v>124</v>
      </c>
      <c r="C1151" t="s">
        <v>66</v>
      </c>
      <c r="D1151" s="97" t="e">
        <f>_xlfn.XLOOKUP(A1151,[1]CPD_SOP_new!$A:$A,[1]CPD_SOP_new!#REF!,"not found",0 )</f>
        <v>#REF!</v>
      </c>
      <c r="E1151" s="97" t="str">
        <f>_xlfn.XLOOKUP(A1151,[1]CPD_SOP_new!$A:$A,[1]CPD_SOP_new!$K:$K,"not found",0 )</f>
        <v>F3R</v>
      </c>
      <c r="F1151" t="s">
        <v>28</v>
      </c>
      <c r="G1151" t="s">
        <v>28</v>
      </c>
      <c r="H1151" t="s">
        <v>28</v>
      </c>
      <c r="I1151" t="s">
        <v>28</v>
      </c>
      <c r="J1151" t="s">
        <v>124</v>
      </c>
      <c r="K1151" s="85" t="str">
        <f t="shared" si="17"/>
        <v>/mnt/measurements/07_CANape/Mitsubishi/5K45/MMC5.0.2/5K457EG11/RealChild/CSR_XCP_Signals_Recorder_2026-01-20_09-43-14_CPD_TC244_Try5.MF4.xz,child,RadarFC_Master,child (ncap3),CPD,realchild</v>
      </c>
      <c r="L1151" s="85" t="s">
        <v>4222</v>
      </c>
      <c r="M1151" t="s">
        <v>138</v>
      </c>
      <c r="N1151" t="s">
        <v>86</v>
      </c>
    </row>
    <row r="1152" spans="1:21">
      <c r="A1152" s="77">
        <v>244</v>
      </c>
      <c r="B1152" t="s">
        <v>124</v>
      </c>
      <c r="C1152" t="s">
        <v>66</v>
      </c>
      <c r="D1152" s="97" t="e">
        <f>_xlfn.XLOOKUP(A1152,[1]CPD_SOP_new!$A:$A,[1]CPD_SOP_new!#REF!,"not found",0 )</f>
        <v>#REF!</v>
      </c>
      <c r="E1152" s="97" t="str">
        <f>_xlfn.XLOOKUP(A1152,[1]CPD_SOP_new!$A:$A,[1]CPD_SOP_new!$K:$K,"not found",0 )</f>
        <v>F3R</v>
      </c>
      <c r="F1152" t="s">
        <v>28</v>
      </c>
      <c r="G1152" t="s">
        <v>28</v>
      </c>
      <c r="H1152" t="s">
        <v>28</v>
      </c>
      <c r="I1152" t="s">
        <v>28</v>
      </c>
      <c r="J1152" t="s">
        <v>124</v>
      </c>
      <c r="K1152" s="85" t="str">
        <f t="shared" si="17"/>
        <v>/mnt/measurements/07_CANape/Mitsubishi/5K45/MMC5.0.2/5K457EG11/RealChild/CSR_XCP_Signals_Recorder_2026-01-20_09-37-04_CPD_TC244_Try1.MF4.xz,child,RadarFC_Master,child (ncap3),CPD,realchild</v>
      </c>
      <c r="L1152" s="85" t="s">
        <v>4223</v>
      </c>
      <c r="M1152" t="s">
        <v>1498</v>
      </c>
      <c r="N1152" t="s">
        <v>86</v>
      </c>
    </row>
    <row r="1153" spans="1:14">
      <c r="A1153" s="77">
        <v>244</v>
      </c>
      <c r="B1153" t="s">
        <v>124</v>
      </c>
      <c r="C1153" t="s">
        <v>66</v>
      </c>
      <c r="D1153" s="97" t="e">
        <f>_xlfn.XLOOKUP(A1153,[1]CPD_SOP_new!$A:$A,[1]CPD_SOP_new!#REF!,"not found",0 )</f>
        <v>#REF!</v>
      </c>
      <c r="E1153" s="97" t="str">
        <f>_xlfn.XLOOKUP(A1153,[1]CPD_SOP_new!$A:$A,[1]CPD_SOP_new!$K:$K,"not found",0 )</f>
        <v>F3R</v>
      </c>
      <c r="F1153" t="s">
        <v>28</v>
      </c>
      <c r="G1153" t="s">
        <v>28</v>
      </c>
      <c r="H1153" t="s">
        <v>28</v>
      </c>
      <c r="I1153" t="s">
        <v>28</v>
      </c>
      <c r="J1153" t="s">
        <v>124</v>
      </c>
      <c r="K1153" s="85" t="str">
        <f t="shared" si="17"/>
        <v>/mnt/measurements/07_CANape/Mitsubishi/5K45/MMC5.0.2/5K457EG11/RealChild/CSR_XCP_Signals_Recorder_2026-01-20_09-40-07_CPD_TC244_Try3.MF4.xz,child,RadarFC_Master,child (ncap3),CPD,realchild</v>
      </c>
      <c r="L1153" s="85" t="s">
        <v>4224</v>
      </c>
      <c r="M1153" t="s">
        <v>1502</v>
      </c>
      <c r="N1153" t="s">
        <v>86</v>
      </c>
    </row>
    <row r="1154" spans="1:14">
      <c r="A1154" s="77">
        <v>244</v>
      </c>
      <c r="B1154" t="s">
        <v>124</v>
      </c>
      <c r="C1154" t="s">
        <v>66</v>
      </c>
      <c r="D1154" s="97" t="e">
        <f>_xlfn.XLOOKUP(A1154,[1]CPD_SOP_new!$A:$A,[1]CPD_SOP_new!#REF!,"not found",0 )</f>
        <v>#REF!</v>
      </c>
      <c r="E1154" s="97" t="str">
        <f>_xlfn.XLOOKUP(A1154,[1]CPD_SOP_new!$A:$A,[1]CPD_SOP_new!$K:$K,"not found",0 )</f>
        <v>F3R</v>
      </c>
      <c r="F1154" t="s">
        <v>28</v>
      </c>
      <c r="G1154" t="s">
        <v>28</v>
      </c>
      <c r="H1154" t="s">
        <v>28</v>
      </c>
      <c r="I1154" t="s">
        <v>28</v>
      </c>
      <c r="J1154" t="s">
        <v>124</v>
      </c>
      <c r="K1154" s="85" t="str">
        <f t="shared" ref="K1154:K1217" si="18">N1154&amp;"/"&amp;M1154&amp;","&amp;IF(J1154="ncap3","child",J1154)&amp;",RadarFC_Master,"&amp;IF(J1154="ncap3","child",J1154)&amp;IF(B1154="ncap1,2"," ("&amp;B1154&amp;")","")&amp;IF(B1154="ncap3"," ("&amp;B1154&amp;")","")&amp;IF(B1154="multiple children"," (ncap1,2)","")&amp;IF(B1154="NB awake"," (ncap1,2)","")&amp;",CPD,"&amp;IF(F1154="Y","realchild","dummy")</f>
        <v>/mnt/measurements/07_CANape/Mitsubishi/5K45/MMC5.0.2/5K457EG11/RealChild/CSR_XCP_Signals_Recorder_2026-01-20_09-41-40_CPD_TC244_Try4.MF4.xz,child,RadarFC_Master,child (ncap3),CPD,realchild</v>
      </c>
      <c r="L1154" s="85" t="s">
        <v>4225</v>
      </c>
      <c r="M1154" t="s">
        <v>1503</v>
      </c>
      <c r="N1154" t="s">
        <v>86</v>
      </c>
    </row>
    <row r="1155" spans="1:14">
      <c r="A1155" s="38">
        <v>247</v>
      </c>
      <c r="B1155" t="s">
        <v>124</v>
      </c>
      <c r="C1155" t="s">
        <v>66</v>
      </c>
      <c r="D1155" s="97" t="e">
        <f>_xlfn.XLOOKUP(A1155,[1]CPD_SOP_new!$A:$A,[1]CPD_SOP_new!#REF!,"not found",0 )</f>
        <v>#REF!</v>
      </c>
      <c r="E1155" s="97" t="str">
        <f>_xlfn.XLOOKUP(A1155,[1]CPD_SOP_new!$A:$A,[1]CPD_SOP_new!$K:$K,"not found",0 )</f>
        <v>F1D</v>
      </c>
      <c r="F1155" t="s">
        <v>27</v>
      </c>
      <c r="G1155" t="s">
        <v>27</v>
      </c>
      <c r="H1155" t="s">
        <v>27</v>
      </c>
      <c r="I1155" t="s">
        <v>28</v>
      </c>
      <c r="J1155" t="s">
        <v>124</v>
      </c>
      <c r="K1155" s="85" t="str">
        <f t="shared" si="18"/>
        <v>/mnt/measurements/07_CANape/Mitsubishi/5K45/MMC5.0.0_RC3_with_resetfix/CPD/TC247_Try_1.MF4.xz,child,RadarFC_Master,child (ncap3),CPD,dummy</v>
      </c>
      <c r="L1155" s="85" t="s">
        <v>4226</v>
      </c>
      <c r="M1155" t="s">
        <v>1504</v>
      </c>
      <c r="N1155" s="134" t="s">
        <v>475</v>
      </c>
    </row>
    <row r="1156" spans="1:14">
      <c r="A1156" s="38">
        <v>247</v>
      </c>
      <c r="B1156" t="s">
        <v>124</v>
      </c>
      <c r="C1156" t="s">
        <v>66</v>
      </c>
      <c r="D1156" s="97" t="e">
        <f>_xlfn.XLOOKUP(A1156,[1]CPD_SOP_new!$A:$A,[1]CPD_SOP_new!#REF!,"not found",0 )</f>
        <v>#REF!</v>
      </c>
      <c r="E1156" s="97" t="str">
        <f>_xlfn.XLOOKUP(A1156,[1]CPD_SOP_new!$A:$A,[1]CPD_SOP_new!$K:$K,"not found",0 )</f>
        <v>F1D</v>
      </c>
      <c r="F1156" t="s">
        <v>27</v>
      </c>
      <c r="G1156" t="s">
        <v>27</v>
      </c>
      <c r="H1156" t="s">
        <v>27</v>
      </c>
      <c r="I1156" t="s">
        <v>28</v>
      </c>
      <c r="J1156" t="s">
        <v>124</v>
      </c>
      <c r="K1156" s="85" t="str">
        <f t="shared" si="18"/>
        <v>/mnt/measurements/07_CANape/Mitsubishi/5K45/MMC5.0.0_RC3_with_resetfix/CPD/TC247_Try_2.MF4.xz,child,RadarFC_Master,child (ncap3),CPD,dummy</v>
      </c>
      <c r="L1156" s="85" t="s">
        <v>4227</v>
      </c>
      <c r="M1156" t="s">
        <v>1505</v>
      </c>
      <c r="N1156" s="134" t="s">
        <v>475</v>
      </c>
    </row>
    <row r="1157" spans="1:14">
      <c r="A1157" s="38">
        <v>247</v>
      </c>
      <c r="B1157" t="s">
        <v>124</v>
      </c>
      <c r="C1157" t="s">
        <v>66</v>
      </c>
      <c r="D1157" s="97" t="e">
        <f>_xlfn.XLOOKUP(A1157,[1]CPD_SOP_new!$A:$A,[1]CPD_SOP_new!#REF!,"not found",0 )</f>
        <v>#REF!</v>
      </c>
      <c r="E1157" s="97" t="str">
        <f>_xlfn.XLOOKUP(A1157,[1]CPD_SOP_new!$A:$A,[1]CPD_SOP_new!$K:$K,"not found",0 )</f>
        <v>F1D</v>
      </c>
      <c r="F1157" t="s">
        <v>27</v>
      </c>
      <c r="G1157" t="s">
        <v>27</v>
      </c>
      <c r="H1157" t="s">
        <v>27</v>
      </c>
      <c r="I1157" t="s">
        <v>28</v>
      </c>
      <c r="J1157" t="s">
        <v>124</v>
      </c>
      <c r="K1157" s="85" t="str">
        <f t="shared" si="18"/>
        <v>/mnt/measurements/07_CANape/Mitsubishi/5K45/MMC5.0.0_RC3_with_resetfix/CPD/TC247_Try_3.MF4.xz,child,RadarFC_Master,child (ncap3),CPD,dummy</v>
      </c>
      <c r="L1157" s="85" t="s">
        <v>4228</v>
      </c>
      <c r="M1157" t="s">
        <v>1506</v>
      </c>
      <c r="N1157" s="134" t="s">
        <v>475</v>
      </c>
    </row>
    <row r="1158" spans="1:14">
      <c r="A1158" s="38">
        <v>248</v>
      </c>
      <c r="B1158" t="s">
        <v>124</v>
      </c>
      <c r="C1158" t="s">
        <v>66</v>
      </c>
      <c r="D1158" s="97" t="e">
        <f>_xlfn.XLOOKUP(A1158,[1]CPD_SOP_new!$A:$A,[1]CPD_SOP_new!#REF!,"not found",0 )</f>
        <v>#REF!</v>
      </c>
      <c r="E1158" s="97" t="str">
        <f>_xlfn.XLOOKUP(A1158,[1]CPD_SOP_new!$A:$A,[1]CPD_SOP_new!$K:$K,"not found",0 )</f>
        <v>F1P</v>
      </c>
      <c r="F1158" t="s">
        <v>27</v>
      </c>
      <c r="G1158" t="s">
        <v>27</v>
      </c>
      <c r="H1158" t="s">
        <v>27</v>
      </c>
      <c r="I1158" t="s">
        <v>28</v>
      </c>
      <c r="J1158" t="s">
        <v>124</v>
      </c>
      <c r="K1158" s="85" t="str">
        <f t="shared" si="18"/>
        <v>/mnt/measurements/07_CANape/Mitsubishi/5K45/MMC5.0.0_RC3_with_resetfix/CPD/TC248_Try_1.MF4.xz,child,RadarFC_Master,child (ncap3),CPD,dummy</v>
      </c>
      <c r="L1158" s="85" t="s">
        <v>4229</v>
      </c>
      <c r="M1158" t="s">
        <v>1507</v>
      </c>
      <c r="N1158" s="134" t="s">
        <v>475</v>
      </c>
    </row>
    <row r="1159" spans="1:14">
      <c r="A1159" s="38">
        <v>248</v>
      </c>
      <c r="B1159" t="s">
        <v>124</v>
      </c>
      <c r="C1159" t="s">
        <v>66</v>
      </c>
      <c r="D1159" s="97" t="e">
        <f>_xlfn.XLOOKUP(A1159,[1]CPD_SOP_new!$A:$A,[1]CPD_SOP_new!#REF!,"not found",0 )</f>
        <v>#REF!</v>
      </c>
      <c r="E1159" s="97" t="str">
        <f>_xlfn.XLOOKUP(A1159,[1]CPD_SOP_new!$A:$A,[1]CPD_SOP_new!$K:$K,"not found",0 )</f>
        <v>F1P</v>
      </c>
      <c r="F1159" t="s">
        <v>27</v>
      </c>
      <c r="G1159" t="s">
        <v>27</v>
      </c>
      <c r="H1159" t="s">
        <v>27</v>
      </c>
      <c r="I1159" t="s">
        <v>28</v>
      </c>
      <c r="J1159" t="s">
        <v>124</v>
      </c>
      <c r="K1159" s="85" t="str">
        <f t="shared" si="18"/>
        <v>/mnt/measurements/07_CANape/Mitsubishi/5K45/MMC5.0.0_RC3_with_resetfix/CPD/TC248_Try_2.MF4.xz,child,RadarFC_Master,child (ncap3),CPD,dummy</v>
      </c>
      <c r="L1159" s="85" t="s">
        <v>4230</v>
      </c>
      <c r="M1159" t="s">
        <v>1508</v>
      </c>
      <c r="N1159" s="134" t="s">
        <v>475</v>
      </c>
    </row>
    <row r="1160" spans="1:14">
      <c r="A1160" s="38">
        <v>248</v>
      </c>
      <c r="B1160" t="s">
        <v>124</v>
      </c>
      <c r="C1160" t="s">
        <v>66</v>
      </c>
      <c r="D1160" s="97" t="e">
        <f>_xlfn.XLOOKUP(A1160,[1]CPD_SOP_new!$A:$A,[1]CPD_SOP_new!#REF!,"not found",0 )</f>
        <v>#REF!</v>
      </c>
      <c r="E1160" s="97" t="str">
        <f>_xlfn.XLOOKUP(A1160,[1]CPD_SOP_new!$A:$A,[1]CPD_SOP_new!$K:$K,"not found",0 )</f>
        <v>F1P</v>
      </c>
      <c r="F1160" t="s">
        <v>27</v>
      </c>
      <c r="G1160" t="s">
        <v>27</v>
      </c>
      <c r="H1160" t="s">
        <v>27</v>
      </c>
      <c r="I1160" t="s">
        <v>28</v>
      </c>
      <c r="J1160" t="s">
        <v>124</v>
      </c>
      <c r="K1160" s="85" t="str">
        <f t="shared" si="18"/>
        <v>/mnt/measurements/07_CANape/Mitsubishi/5K45/MMC5.0.0_RC3_with_resetfix/CPD/TC248_Try_3.MF4.xz,child,RadarFC_Master,child (ncap3),CPD,dummy</v>
      </c>
      <c r="L1160" s="85" t="s">
        <v>4231</v>
      </c>
      <c r="M1160" t="s">
        <v>1509</v>
      </c>
      <c r="N1160" s="134" t="s">
        <v>475</v>
      </c>
    </row>
    <row r="1161" spans="1:14">
      <c r="A1161" s="77">
        <v>249</v>
      </c>
      <c r="B1161" t="s">
        <v>124</v>
      </c>
      <c r="C1161" t="s">
        <v>66</v>
      </c>
      <c r="D1161" s="97" t="e">
        <f>_xlfn.XLOOKUP(A1161,[1]CPD_SOP_new!$A:$A,[1]CPD_SOP_new!#REF!,"not found",0 )</f>
        <v>#REF!</v>
      </c>
      <c r="E1161" s="97" t="str">
        <f>_xlfn.XLOOKUP(A1161,[1]CPD_SOP_new!$A:$A,[1]CPD_SOP_new!$K:$K,"not found",0 )</f>
        <v>F1D</v>
      </c>
      <c r="F1161" t="s">
        <v>27</v>
      </c>
      <c r="G1161" t="s">
        <v>28</v>
      </c>
      <c r="H1161" t="s">
        <v>27</v>
      </c>
      <c r="I1161" t="s">
        <v>28</v>
      </c>
      <c r="J1161" t="s">
        <v>124</v>
      </c>
      <c r="K1161" s="85" t="str">
        <f t="shared" si="18"/>
        <v>/mnt/measurements/07_CANape/Mitsubishi/5K45/MMC5.0.0_RC3_with_resetfix/CPD/TC249_Try_1.MF4.xz,child,RadarFC_Master,child (ncap3),CPD,dummy</v>
      </c>
      <c r="L1161" s="85" t="s">
        <v>4232</v>
      </c>
      <c r="M1161" t="s">
        <v>1510</v>
      </c>
      <c r="N1161" s="132" t="s">
        <v>475</v>
      </c>
    </row>
    <row r="1162" spans="1:14">
      <c r="A1162" s="77">
        <v>249</v>
      </c>
      <c r="B1162" t="s">
        <v>124</v>
      </c>
      <c r="C1162" t="s">
        <v>66</v>
      </c>
      <c r="D1162" s="97" t="e">
        <f>_xlfn.XLOOKUP(A1162,[1]CPD_SOP_new!$A:$A,[1]CPD_SOP_new!#REF!,"not found",0 )</f>
        <v>#REF!</v>
      </c>
      <c r="E1162" s="97" t="str">
        <f>_xlfn.XLOOKUP(A1162,[1]CPD_SOP_new!$A:$A,[1]CPD_SOP_new!$K:$K,"not found",0 )</f>
        <v>F1D</v>
      </c>
      <c r="F1162" t="s">
        <v>27</v>
      </c>
      <c r="G1162" t="s">
        <v>28</v>
      </c>
      <c r="H1162" t="s">
        <v>27</v>
      </c>
      <c r="I1162" t="s">
        <v>28</v>
      </c>
      <c r="J1162" t="s">
        <v>124</v>
      </c>
      <c r="K1162" s="85" t="str">
        <f t="shared" si="18"/>
        <v>/mnt/measurements/07_CANape/Mitsubishi/5K45/MMC5.0.0_RC3_with_resetfix/CPD/TC249_Try_2.MF4.xz,child,RadarFC_Master,child (ncap3),CPD,dummy</v>
      </c>
      <c r="L1162" s="85" t="s">
        <v>4233</v>
      </c>
      <c r="M1162" t="s">
        <v>1512</v>
      </c>
      <c r="N1162" s="132" t="s">
        <v>475</v>
      </c>
    </row>
    <row r="1163" spans="1:14">
      <c r="A1163" s="77">
        <v>249</v>
      </c>
      <c r="B1163" t="s">
        <v>124</v>
      </c>
      <c r="C1163" t="s">
        <v>66</v>
      </c>
      <c r="D1163" s="97" t="e">
        <f>_xlfn.XLOOKUP(A1163,[1]CPD_SOP_new!$A:$A,[1]CPD_SOP_new!#REF!,"not found",0 )</f>
        <v>#REF!</v>
      </c>
      <c r="E1163" s="97" t="str">
        <f>_xlfn.XLOOKUP(A1163,[1]CPD_SOP_new!$A:$A,[1]CPD_SOP_new!$K:$K,"not found",0 )</f>
        <v>F1D</v>
      </c>
      <c r="F1163" t="s">
        <v>27</v>
      </c>
      <c r="G1163" t="s">
        <v>28</v>
      </c>
      <c r="H1163" t="s">
        <v>27</v>
      </c>
      <c r="I1163" t="s">
        <v>28</v>
      </c>
      <c r="J1163" t="s">
        <v>124</v>
      </c>
      <c r="K1163" s="85" t="str">
        <f t="shared" si="18"/>
        <v>/mnt/measurements/07_CANape/Mitsubishi/5K45/MMC5.0.0_RC3_with_resetfix/CPD/TC249_Try_3.MF4.xz,child,RadarFC_Master,child (ncap3),CPD,dummy</v>
      </c>
      <c r="L1163" s="85" t="s">
        <v>4234</v>
      </c>
      <c r="M1163" t="s">
        <v>1513</v>
      </c>
      <c r="N1163" s="132" t="s">
        <v>475</v>
      </c>
    </row>
    <row r="1164" spans="1:14">
      <c r="A1164" s="77">
        <v>251</v>
      </c>
      <c r="B1164" t="s">
        <v>124</v>
      </c>
      <c r="C1164" t="s">
        <v>66</v>
      </c>
      <c r="D1164" s="97" t="e">
        <f>_xlfn.XLOOKUP(A1164,[1]CPD_SOP_new!$A:$A,[1]CPD_SOP_new!#REF!,"not found",0 )</f>
        <v>#REF!</v>
      </c>
      <c r="E1164" s="97" t="str">
        <f>_xlfn.XLOOKUP(A1164,[1]CPD_SOP_new!$A:$A,[1]CPD_SOP_new!$K:$K,"not found",0 )</f>
        <v>F1P</v>
      </c>
      <c r="F1164" t="s">
        <v>27</v>
      </c>
      <c r="G1164" t="s">
        <v>27</v>
      </c>
      <c r="H1164" t="s">
        <v>27</v>
      </c>
      <c r="I1164" t="s">
        <v>28</v>
      </c>
      <c r="J1164" t="s">
        <v>124</v>
      </c>
      <c r="K1164" s="85" t="str">
        <f t="shared" si="18"/>
        <v>/mnt/measurements/07_CANape/Mitsubishi/5K45/MMC5.0.0_RC3_with_resetfix/CPD/TC251_Try_1.MF4.xz,child,RadarFC_Master,child (ncap3),CPD,dummy</v>
      </c>
      <c r="L1164" s="85" t="s">
        <v>4235</v>
      </c>
      <c r="M1164" t="s">
        <v>1514</v>
      </c>
      <c r="N1164" s="134" t="s">
        <v>475</v>
      </c>
    </row>
    <row r="1165" spans="1:14">
      <c r="A1165" s="77">
        <v>251</v>
      </c>
      <c r="B1165" t="s">
        <v>124</v>
      </c>
      <c r="C1165" t="s">
        <v>66</v>
      </c>
      <c r="D1165" s="97" t="e">
        <f>_xlfn.XLOOKUP(A1165,[1]CPD_SOP_new!$A:$A,[1]CPD_SOP_new!#REF!,"not found",0 )</f>
        <v>#REF!</v>
      </c>
      <c r="E1165" s="97" t="str">
        <f>_xlfn.XLOOKUP(A1165,[1]CPD_SOP_new!$A:$A,[1]CPD_SOP_new!$K:$K,"not found",0 )</f>
        <v>F1P</v>
      </c>
      <c r="F1165" t="s">
        <v>27</v>
      </c>
      <c r="G1165" t="s">
        <v>27</v>
      </c>
      <c r="H1165" t="s">
        <v>27</v>
      </c>
      <c r="I1165" t="s">
        <v>28</v>
      </c>
      <c r="J1165" t="s">
        <v>124</v>
      </c>
      <c r="K1165" s="85" t="str">
        <f t="shared" si="18"/>
        <v>/mnt/measurements/07_CANape/Mitsubishi/5K45/MMC5.0.0_RC3_with_resetfix/CPD/TC251_Try_2.MF4.xz,child,RadarFC_Master,child (ncap3),CPD,dummy</v>
      </c>
      <c r="L1165" s="85" t="s">
        <v>4236</v>
      </c>
      <c r="M1165" t="s">
        <v>1515</v>
      </c>
      <c r="N1165" s="134" t="s">
        <v>475</v>
      </c>
    </row>
    <row r="1166" spans="1:14">
      <c r="A1166" s="77">
        <v>251</v>
      </c>
      <c r="B1166" t="s">
        <v>124</v>
      </c>
      <c r="C1166" t="s">
        <v>66</v>
      </c>
      <c r="D1166" s="97" t="e">
        <f>_xlfn.XLOOKUP(A1166,[1]CPD_SOP_new!$A:$A,[1]CPD_SOP_new!#REF!,"not found",0 )</f>
        <v>#REF!</v>
      </c>
      <c r="E1166" s="97" t="str">
        <f>_xlfn.XLOOKUP(A1166,[1]CPD_SOP_new!$A:$A,[1]CPD_SOP_new!$K:$K,"not found",0 )</f>
        <v>F1P</v>
      </c>
      <c r="F1166" t="s">
        <v>27</v>
      </c>
      <c r="G1166" t="s">
        <v>27</v>
      </c>
      <c r="H1166" t="s">
        <v>27</v>
      </c>
      <c r="I1166" t="s">
        <v>28</v>
      </c>
      <c r="J1166" t="s">
        <v>124</v>
      </c>
      <c r="K1166" s="85" t="str">
        <f t="shared" si="18"/>
        <v>/mnt/measurements/07_CANape/Mitsubishi/5K45/MMC5.0.0_RC3_with_resetfix/CPD/TC251_Try_3.MF4.xz,child,RadarFC_Master,child (ncap3),CPD,dummy</v>
      </c>
      <c r="L1166" s="85" t="s">
        <v>4237</v>
      </c>
      <c r="M1166" t="s">
        <v>1516</v>
      </c>
      <c r="N1166" s="134" t="s">
        <v>475</v>
      </c>
    </row>
    <row r="1167" spans="1:14">
      <c r="A1167" s="77">
        <v>252</v>
      </c>
      <c r="B1167" t="s">
        <v>124</v>
      </c>
      <c r="C1167" t="s">
        <v>66</v>
      </c>
      <c r="D1167" s="97" t="e">
        <f>_xlfn.XLOOKUP(A1167,[1]CPD_SOP_new!$A:$A,[1]CPD_SOP_new!#REF!,"not found",0 )</f>
        <v>#REF!</v>
      </c>
      <c r="E1167" s="97" t="str">
        <f>_xlfn.XLOOKUP(A1167,[1]CPD_SOP_new!$A:$A,[1]CPD_SOP_new!$K:$K,"not found",0 )</f>
        <v>F1P</v>
      </c>
      <c r="F1167" t="s">
        <v>27</v>
      </c>
      <c r="G1167" t="s">
        <v>28</v>
      </c>
      <c r="H1167" t="s">
        <v>27</v>
      </c>
      <c r="I1167" t="s">
        <v>28</v>
      </c>
      <c r="J1167" t="s">
        <v>124</v>
      </c>
      <c r="K1167" s="85" t="str">
        <f t="shared" si="18"/>
        <v>/mnt/measurements/07_CANape/Mitsubishi/5K45/MMC5.0.0_RC3_with_resetfix/CPD/TC252_Try_1.MF4.xz,child,RadarFC_Master,child (ncap3),CPD,dummy</v>
      </c>
      <c r="L1167" s="85" t="s">
        <v>4238</v>
      </c>
      <c r="M1167" t="s">
        <v>1517</v>
      </c>
      <c r="N1167" s="132" t="s">
        <v>475</v>
      </c>
    </row>
    <row r="1168" spans="1:14">
      <c r="A1168" s="77">
        <v>252</v>
      </c>
      <c r="B1168" t="s">
        <v>124</v>
      </c>
      <c r="C1168" t="s">
        <v>66</v>
      </c>
      <c r="D1168" s="97" t="e">
        <f>_xlfn.XLOOKUP(A1168,[1]CPD_SOP_new!$A:$A,[1]CPD_SOP_new!#REF!,"not found",0 )</f>
        <v>#REF!</v>
      </c>
      <c r="E1168" s="97" t="str">
        <f>_xlfn.XLOOKUP(A1168,[1]CPD_SOP_new!$A:$A,[1]CPD_SOP_new!$K:$K,"not found",0 )</f>
        <v>F1P</v>
      </c>
      <c r="F1168" t="s">
        <v>27</v>
      </c>
      <c r="G1168" t="s">
        <v>28</v>
      </c>
      <c r="H1168" t="s">
        <v>27</v>
      </c>
      <c r="I1168" t="s">
        <v>28</v>
      </c>
      <c r="J1168" t="s">
        <v>124</v>
      </c>
      <c r="K1168" s="85" t="str">
        <f t="shared" si="18"/>
        <v>/mnt/measurements/07_CANape/Mitsubishi/5K45/MMC5.0.0_RC3_with_resetfix/CPD/TC252_Try_2.MF4.xz,child,RadarFC_Master,child (ncap3),CPD,dummy</v>
      </c>
      <c r="L1168" s="85" t="s">
        <v>4239</v>
      </c>
      <c r="M1168" t="s">
        <v>1519</v>
      </c>
      <c r="N1168" s="132" t="s">
        <v>475</v>
      </c>
    </row>
    <row r="1169" spans="1:14">
      <c r="A1169" s="77">
        <v>252</v>
      </c>
      <c r="B1169" t="s">
        <v>124</v>
      </c>
      <c r="C1169" t="s">
        <v>66</v>
      </c>
      <c r="D1169" s="97" t="e">
        <f>_xlfn.XLOOKUP(A1169,[1]CPD_SOP_new!$A:$A,[1]CPD_SOP_new!#REF!,"not found",0 )</f>
        <v>#REF!</v>
      </c>
      <c r="E1169" s="97" t="str">
        <f>_xlfn.XLOOKUP(A1169,[1]CPD_SOP_new!$A:$A,[1]CPD_SOP_new!$K:$K,"not found",0 )</f>
        <v>F1P</v>
      </c>
      <c r="F1169" t="s">
        <v>27</v>
      </c>
      <c r="G1169" t="s">
        <v>28</v>
      </c>
      <c r="H1169" t="s">
        <v>27</v>
      </c>
      <c r="I1169" t="s">
        <v>28</v>
      </c>
      <c r="J1169" t="s">
        <v>124</v>
      </c>
      <c r="K1169" s="85" t="str">
        <f t="shared" si="18"/>
        <v>/mnt/measurements/07_CANape/Mitsubishi/5K45/MMC5.0.0_RC3_with_resetfix/CPD/TC252_Try_3.MF4.xz,child,RadarFC_Master,child (ncap3),CPD,dummy</v>
      </c>
      <c r="L1169" s="85" t="s">
        <v>4240</v>
      </c>
      <c r="M1169" t="s">
        <v>1520</v>
      </c>
      <c r="N1169" s="132" t="s">
        <v>475</v>
      </c>
    </row>
    <row r="1170" spans="1:14">
      <c r="A1170" s="77">
        <v>253</v>
      </c>
      <c r="B1170" t="s">
        <v>124</v>
      </c>
      <c r="C1170" t="s">
        <v>66</v>
      </c>
      <c r="D1170" s="97" t="e">
        <f>_xlfn.XLOOKUP(A1170,[1]CPD_SOP_new!$A:$A,[1]CPD_SOP_new!#REF!,"not found",0 )</f>
        <v>#REF!</v>
      </c>
      <c r="E1170" s="97" t="str">
        <f>_xlfn.XLOOKUP(A1170,[1]CPD_SOP_new!$A:$A,[1]CPD_SOP_new!$K:$K,"not found",0 )</f>
        <v>F1D</v>
      </c>
      <c r="F1170" t="s">
        <v>27</v>
      </c>
      <c r="G1170" t="s">
        <v>28</v>
      </c>
      <c r="H1170" t="s">
        <v>27</v>
      </c>
      <c r="I1170" t="s">
        <v>28</v>
      </c>
      <c r="J1170" t="s">
        <v>124</v>
      </c>
      <c r="K1170" s="85" t="str">
        <f t="shared" si="18"/>
        <v>/mnt/measurements/07_CANape/Mitsubishi/5K45/MMC5.0.0_RC3_with_resetfix/CPD/TC253_Try_1.MF4.xz,child,RadarFC_Master,child (ncap3),CPD,dummy</v>
      </c>
      <c r="L1170" s="85" t="s">
        <v>4241</v>
      </c>
      <c r="M1170" t="s">
        <v>1521</v>
      </c>
      <c r="N1170" s="132" t="s">
        <v>475</v>
      </c>
    </row>
    <row r="1171" spans="1:14">
      <c r="A1171" s="77">
        <v>253</v>
      </c>
      <c r="B1171" t="s">
        <v>124</v>
      </c>
      <c r="C1171" t="s">
        <v>66</v>
      </c>
      <c r="D1171" s="97" t="e">
        <f>_xlfn.XLOOKUP(A1171,[1]CPD_SOP_new!$A:$A,[1]CPD_SOP_new!#REF!,"not found",0 )</f>
        <v>#REF!</v>
      </c>
      <c r="E1171" s="97" t="str">
        <f>_xlfn.XLOOKUP(A1171,[1]CPD_SOP_new!$A:$A,[1]CPD_SOP_new!$K:$K,"not found",0 )</f>
        <v>F1D</v>
      </c>
      <c r="F1171" t="s">
        <v>27</v>
      </c>
      <c r="G1171" t="s">
        <v>28</v>
      </c>
      <c r="H1171" t="s">
        <v>27</v>
      </c>
      <c r="I1171" t="s">
        <v>28</v>
      </c>
      <c r="J1171" t="s">
        <v>124</v>
      </c>
      <c r="K1171" s="85" t="str">
        <f t="shared" si="18"/>
        <v>/mnt/measurements/07_CANape/Mitsubishi/5K45/MMC5.0.0_RC3_with_resetfix/CPD/TC253_Try_2.MF4.xz,child,RadarFC_Master,child (ncap3),CPD,dummy</v>
      </c>
      <c r="L1171" s="85" t="s">
        <v>4242</v>
      </c>
      <c r="M1171" t="s">
        <v>1523</v>
      </c>
      <c r="N1171" s="132" t="s">
        <v>475</v>
      </c>
    </row>
    <row r="1172" spans="1:14">
      <c r="A1172" s="77">
        <v>253</v>
      </c>
      <c r="B1172" t="s">
        <v>124</v>
      </c>
      <c r="C1172" t="s">
        <v>66</v>
      </c>
      <c r="D1172" s="97" t="e">
        <f>_xlfn.XLOOKUP(A1172,[1]CPD_SOP_new!$A:$A,[1]CPD_SOP_new!#REF!,"not found",0 )</f>
        <v>#REF!</v>
      </c>
      <c r="E1172" s="97" t="str">
        <f>_xlfn.XLOOKUP(A1172,[1]CPD_SOP_new!$A:$A,[1]CPD_SOP_new!$K:$K,"not found",0 )</f>
        <v>F1D</v>
      </c>
      <c r="F1172" t="s">
        <v>27</v>
      </c>
      <c r="G1172" t="s">
        <v>28</v>
      </c>
      <c r="H1172" t="s">
        <v>27</v>
      </c>
      <c r="I1172" t="s">
        <v>28</v>
      </c>
      <c r="J1172" t="s">
        <v>124</v>
      </c>
      <c r="K1172" s="85" t="str">
        <f t="shared" si="18"/>
        <v>/mnt/measurements/07_CANape/Mitsubishi/5K45/MMC5.0.0_RC3_with_resetfix/CPD/TC253_Try_3.MF4.xz,child,RadarFC_Master,child (ncap3),CPD,dummy</v>
      </c>
      <c r="L1172" s="85" t="s">
        <v>4243</v>
      </c>
      <c r="M1172" t="s">
        <v>1524</v>
      </c>
      <c r="N1172" s="73" t="s">
        <v>475</v>
      </c>
    </row>
    <row r="1173" spans="1:14">
      <c r="A1173" s="38">
        <v>257</v>
      </c>
      <c r="B1173" t="s">
        <v>124</v>
      </c>
      <c r="C1173" t="s">
        <v>66</v>
      </c>
      <c r="D1173" s="97" t="e">
        <f>_xlfn.XLOOKUP(A1173,[1]CPD_SOP_new!$A:$A,[1]CPD_SOP_new!#REF!,"not found",0 )</f>
        <v>#REF!</v>
      </c>
      <c r="E1173" s="97" t="str">
        <f>_xlfn.XLOOKUP(A1173,[1]CPD_SOP_new!$A:$A,[1]CPD_SOP_new!$K:$K,"not found",0 )</f>
        <v>F2R</v>
      </c>
      <c r="F1173" t="s">
        <v>27</v>
      </c>
      <c r="G1173" t="s">
        <v>27</v>
      </c>
      <c r="H1173" t="s">
        <v>27</v>
      </c>
      <c r="I1173" t="s">
        <v>28</v>
      </c>
      <c r="J1173" t="s">
        <v>124</v>
      </c>
      <c r="K1173" s="85" t="str">
        <f t="shared" si="18"/>
        <v>/mnt/measurements/07_CANape/Mitsubishi/5K45/MMC5.0.0_RC3_with_resetfix/CPD/TC257_Try_1.MF4.xz,child,RadarFC_Master,child (ncap3),CPD,dummy</v>
      </c>
      <c r="L1173" s="85" t="s">
        <v>4244</v>
      </c>
      <c r="M1173" t="s">
        <v>1525</v>
      </c>
      <c r="N1173" s="134" t="s">
        <v>475</v>
      </c>
    </row>
    <row r="1174" spans="1:14">
      <c r="A1174" s="38">
        <v>257</v>
      </c>
      <c r="B1174" t="s">
        <v>124</v>
      </c>
      <c r="C1174" t="s">
        <v>66</v>
      </c>
      <c r="D1174" s="97" t="e">
        <f>_xlfn.XLOOKUP(A1174,[1]CPD_SOP_new!$A:$A,[1]CPD_SOP_new!#REF!,"not found",0 )</f>
        <v>#REF!</v>
      </c>
      <c r="E1174" s="97" t="str">
        <f>_xlfn.XLOOKUP(A1174,[1]CPD_SOP_new!$A:$A,[1]CPD_SOP_new!$K:$K,"not found",0 )</f>
        <v>F2R</v>
      </c>
      <c r="F1174" t="s">
        <v>27</v>
      </c>
      <c r="G1174" t="s">
        <v>27</v>
      </c>
      <c r="H1174" t="s">
        <v>27</v>
      </c>
      <c r="I1174" t="s">
        <v>28</v>
      </c>
      <c r="J1174" t="s">
        <v>124</v>
      </c>
      <c r="K1174" s="85" t="str">
        <f t="shared" si="18"/>
        <v>/mnt/measurements/07_CANape/Mitsubishi/5K45/MMC5.0.0_RC3_with_resetfix/CPD/TC257_Try_2.MF4.xz,child,RadarFC_Master,child (ncap3),CPD,dummy</v>
      </c>
      <c r="L1174" s="85" t="s">
        <v>4245</v>
      </c>
      <c r="M1174" t="s">
        <v>1526</v>
      </c>
      <c r="N1174" s="134" t="s">
        <v>475</v>
      </c>
    </row>
    <row r="1175" spans="1:14">
      <c r="A1175" s="38">
        <v>257</v>
      </c>
      <c r="B1175" t="s">
        <v>124</v>
      </c>
      <c r="C1175" t="s">
        <v>66</v>
      </c>
      <c r="D1175" s="97" t="e">
        <f>_xlfn.XLOOKUP(A1175,[1]CPD_SOP_new!$A:$A,[1]CPD_SOP_new!#REF!,"not found",0 )</f>
        <v>#REF!</v>
      </c>
      <c r="E1175" s="97" t="str">
        <f>_xlfn.XLOOKUP(A1175,[1]CPD_SOP_new!$A:$A,[1]CPD_SOP_new!$K:$K,"not found",0 )</f>
        <v>F2R</v>
      </c>
      <c r="F1175" t="s">
        <v>27</v>
      </c>
      <c r="G1175" t="s">
        <v>27</v>
      </c>
      <c r="H1175" t="s">
        <v>27</v>
      </c>
      <c r="I1175" t="s">
        <v>28</v>
      </c>
      <c r="J1175" t="s">
        <v>124</v>
      </c>
      <c r="K1175" s="85" t="str">
        <f t="shared" si="18"/>
        <v>/mnt/measurements/07_CANape/Mitsubishi/5K45/MMC5.0.0_RC3_with_resetfix/CPD/TC257_Try_3.MF4.xz,child,RadarFC_Master,child (ncap3),CPD,dummy</v>
      </c>
      <c r="L1175" s="85" t="s">
        <v>4246</v>
      </c>
      <c r="M1175" t="s">
        <v>1527</v>
      </c>
      <c r="N1175" s="134" t="s">
        <v>475</v>
      </c>
    </row>
    <row r="1176" spans="1:14">
      <c r="A1176" s="38">
        <v>258</v>
      </c>
      <c r="B1176" t="s">
        <v>124</v>
      </c>
      <c r="C1176" t="s">
        <v>66</v>
      </c>
      <c r="D1176" s="97" t="e">
        <f>_xlfn.XLOOKUP(A1176,[1]CPD_SOP_new!$A:$A,[1]CPD_SOP_new!#REF!,"not found",0 )</f>
        <v>#REF!</v>
      </c>
      <c r="E1176" s="97" t="str">
        <f>_xlfn.XLOOKUP(A1176,[1]CPD_SOP_new!$A:$A,[1]CPD_SOP_new!$K:$K,"not found",0 )</f>
        <v>F3R</v>
      </c>
      <c r="F1176" t="s">
        <v>27</v>
      </c>
      <c r="G1176" t="s">
        <v>27</v>
      </c>
      <c r="H1176" t="s">
        <v>27</v>
      </c>
      <c r="I1176" t="s">
        <v>28</v>
      </c>
      <c r="J1176" t="s">
        <v>124</v>
      </c>
      <c r="K1176" s="85" t="str">
        <f t="shared" si="18"/>
        <v>/mnt/measurements/07_CANape/Mitsubishi/5K45/MMC5.0.0_RC3_with_resetfix/CPD/TC258_Try_1.MF4.xz,child,RadarFC_Master,child (ncap3),CPD,dummy</v>
      </c>
      <c r="L1176" s="85" t="s">
        <v>4247</v>
      </c>
      <c r="M1176" t="s">
        <v>1528</v>
      </c>
      <c r="N1176" s="134" t="s">
        <v>475</v>
      </c>
    </row>
    <row r="1177" spans="1:14" s="130" customFormat="1" hidden="1">
      <c r="A1177" s="130">
        <v>178</v>
      </c>
      <c r="B1177" s="130" t="s">
        <v>1084</v>
      </c>
      <c r="D1177" s="98" t="e">
        <f>_xlfn.XLOOKUP(A1177,[1]CPD_SOP_new!$A:$A,[1]CPD_SOP_new!#REF!,"not found",0 )</f>
        <v>#REF!</v>
      </c>
      <c r="E1177" s="98" t="str">
        <f>_xlfn.XLOOKUP(A1177,[1]CPD_SOP_new!$A:$A,[1]CPD_SOP_new!$K:$K,"not found",0 )</f>
        <v>2R+3R</v>
      </c>
      <c r="F1177" s="130" t="s">
        <v>27</v>
      </c>
      <c r="G1177" s="130" t="s">
        <v>27</v>
      </c>
      <c r="H1177" s="130" t="s">
        <v>27</v>
      </c>
      <c r="I1177" s="130" t="s">
        <v>27</v>
      </c>
      <c r="J1177" s="130" t="s">
        <v>237</v>
      </c>
      <c r="K1177" s="85" t="str">
        <f t="shared" si="18"/>
        <v>/mnt/measurements/07_CANape/Mitsubishi/5K45/5.3.0_RC7/5K457EG11/RealChild/CSR_XCP_Signals_Recorder_2026-02-04_17-49-02_CPD_TC178_with_reset.MF4.xz,NCAP3 long,RadarFC_Master,NCAP3 long,CPD,dummy</v>
      </c>
      <c r="L1177" s="85" t="s">
        <v>4248</v>
      </c>
      <c r="M1177" s="130" t="s">
        <v>1107</v>
      </c>
      <c r="N1177" s="130" t="s">
        <v>277</v>
      </c>
    </row>
    <row r="1178" spans="1:14" s="130" customFormat="1" hidden="1">
      <c r="A1178" s="130">
        <v>178</v>
      </c>
      <c r="B1178" s="130" t="s">
        <v>1084</v>
      </c>
      <c r="D1178" s="98" t="e">
        <f>_xlfn.XLOOKUP(A1178,[1]CPD_SOP_new!$A:$A,[1]CPD_SOP_new!#REF!,"not found",0 )</f>
        <v>#REF!</v>
      </c>
      <c r="E1178" s="98" t="str">
        <f>_xlfn.XLOOKUP(A1178,[1]CPD_SOP_new!$A:$A,[1]CPD_SOP_new!$K:$K,"not found",0 )</f>
        <v>2R+3R</v>
      </c>
      <c r="F1178" s="130" t="s">
        <v>27</v>
      </c>
      <c r="G1178" s="130" t="s">
        <v>27</v>
      </c>
      <c r="H1178" s="130" t="s">
        <v>27</v>
      </c>
      <c r="I1178" s="130" t="s">
        <v>27</v>
      </c>
      <c r="J1178" s="130" t="s">
        <v>237</v>
      </c>
      <c r="K1178" s="85" t="str">
        <f t="shared" si="18"/>
        <v>/mnt/measurements/07_CANape/Mitsubishi/5K45/5.3.0_RC7/5K457EG11/RealChild/CSR_XCP_Signals_Recorder_2026-02-04_17-51-28_CPD_TC178_with_reset.MF4.xz,NCAP3 long,RadarFC_Master,NCAP3 long,CPD,dummy</v>
      </c>
      <c r="L1178" s="85" t="s">
        <v>4249</v>
      </c>
      <c r="M1178" s="130" t="s">
        <v>1108</v>
      </c>
      <c r="N1178" s="130" t="s">
        <v>277</v>
      </c>
    </row>
    <row r="1179" spans="1:14">
      <c r="A1179" s="38">
        <v>258</v>
      </c>
      <c r="B1179" t="s">
        <v>124</v>
      </c>
      <c r="C1179" t="s">
        <v>66</v>
      </c>
      <c r="D1179" s="97" t="e">
        <f>_xlfn.XLOOKUP(A1179,[1]CPD_SOP_new!$A:$A,[1]CPD_SOP_new!#REF!,"not found",0 )</f>
        <v>#REF!</v>
      </c>
      <c r="E1179" s="97" t="str">
        <f>_xlfn.XLOOKUP(A1179,[1]CPD_SOP_new!$A:$A,[1]CPD_SOP_new!$K:$K,"not found",0 )</f>
        <v>F3R</v>
      </c>
      <c r="F1179" t="s">
        <v>27</v>
      </c>
      <c r="G1179" t="s">
        <v>27</v>
      </c>
      <c r="H1179" t="s">
        <v>27</v>
      </c>
      <c r="I1179" t="s">
        <v>28</v>
      </c>
      <c r="J1179" t="s">
        <v>124</v>
      </c>
      <c r="K1179" s="85" t="str">
        <f t="shared" si="18"/>
        <v>/mnt/measurements/07_CANape/Mitsubishi/5K45/MMC5.0.0_RC3_with_resetfix/CPD/TC258_Try_2.MF4.xz,child,RadarFC_Master,child (ncap3),CPD,dummy</v>
      </c>
      <c r="L1179" s="85" t="s">
        <v>4250</v>
      </c>
      <c r="M1179" t="s">
        <v>1529</v>
      </c>
      <c r="N1179" s="134" t="s">
        <v>475</v>
      </c>
    </row>
    <row r="1180" spans="1:14">
      <c r="A1180" s="38">
        <v>258</v>
      </c>
      <c r="B1180" t="s">
        <v>124</v>
      </c>
      <c r="C1180" t="s">
        <v>66</v>
      </c>
      <c r="D1180" s="97" t="e">
        <f>_xlfn.XLOOKUP(A1180,[1]CPD_SOP_new!$A:$A,[1]CPD_SOP_new!#REF!,"not found",0 )</f>
        <v>#REF!</v>
      </c>
      <c r="E1180" s="97" t="str">
        <f>_xlfn.XLOOKUP(A1180,[1]CPD_SOP_new!$A:$A,[1]CPD_SOP_new!$K:$K,"not found",0 )</f>
        <v>F3R</v>
      </c>
      <c r="F1180" t="s">
        <v>27</v>
      </c>
      <c r="G1180" t="s">
        <v>27</v>
      </c>
      <c r="H1180" t="s">
        <v>27</v>
      </c>
      <c r="I1180" t="s">
        <v>28</v>
      </c>
      <c r="J1180" t="s">
        <v>124</v>
      </c>
      <c r="K1180" s="85" t="str">
        <f t="shared" si="18"/>
        <v>/mnt/measurements/07_CANape/Mitsubishi/5K45/MMC5.0.0_RC3_with_resetfix/CPD/TC258_Try_3.MF4.xz,child,RadarFC_Master,child (ncap3),CPD,dummy</v>
      </c>
      <c r="L1180" s="85" t="s">
        <v>4251</v>
      </c>
      <c r="M1180" t="s">
        <v>1530</v>
      </c>
      <c r="N1180" s="134" t="s">
        <v>475</v>
      </c>
    </row>
    <row r="1181" spans="1:14">
      <c r="A1181" s="77">
        <v>261</v>
      </c>
      <c r="B1181" t="s">
        <v>124</v>
      </c>
      <c r="C1181" s="59" t="s">
        <v>253</v>
      </c>
      <c r="D1181" s="97" t="e">
        <f>_xlfn.XLOOKUP(A1181,[1]CPD_SOP_new!$A:$A,[1]CPD_SOP_new!#REF!,"not found",0 )</f>
        <v>#REF!</v>
      </c>
      <c r="E1181" s="97" t="str">
        <f>_xlfn.XLOOKUP(A1181,[1]CPD_SOP_new!$A:$A,[1]CPD_SOP_new!$K:$K,"not found",0 )</f>
        <v>3L</v>
      </c>
      <c r="F1181" t="s">
        <v>28</v>
      </c>
      <c r="G1181" t="s">
        <v>28</v>
      </c>
      <c r="H1181" t="s">
        <v>28</v>
      </c>
      <c r="I1181" t="s">
        <v>28</v>
      </c>
      <c r="J1181" t="s">
        <v>124</v>
      </c>
      <c r="K1181" s="85" t="str">
        <f t="shared" si="18"/>
        <v>/mnt/measurements/07_CANape/Mitsubishi/5K45/MMC5.0.2/5K457EG11/RealChild/CSR_XCP_Signals_Recorder_2026-01-23_16-45-01_CPD_TC261_Try1.MF4.xz,child,RadarFC_Master,child (ncap3),CPD,realchild</v>
      </c>
      <c r="L1181" s="85" t="s">
        <v>4252</v>
      </c>
      <c r="M1181" t="s">
        <v>1534</v>
      </c>
      <c r="N1181" t="s">
        <v>86</v>
      </c>
    </row>
    <row r="1182" spans="1:14">
      <c r="A1182" s="77">
        <v>261</v>
      </c>
      <c r="B1182" t="s">
        <v>124</v>
      </c>
      <c r="C1182" s="59" t="s">
        <v>253</v>
      </c>
      <c r="D1182" s="97" t="e">
        <f>_xlfn.XLOOKUP(A1182,[1]CPD_SOP_new!$A:$A,[1]CPD_SOP_new!#REF!,"not found",0 )</f>
        <v>#REF!</v>
      </c>
      <c r="E1182" s="97" t="str">
        <f>_xlfn.XLOOKUP(A1182,[1]CPD_SOP_new!$A:$A,[1]CPD_SOP_new!$K:$K,"not found",0 )</f>
        <v>3L</v>
      </c>
      <c r="F1182" t="s">
        <v>28</v>
      </c>
      <c r="G1182" t="s">
        <v>28</v>
      </c>
      <c r="H1182" t="s">
        <v>28</v>
      </c>
      <c r="I1182" t="s">
        <v>28</v>
      </c>
      <c r="J1182" t="s">
        <v>124</v>
      </c>
      <c r="K1182" s="85" t="str">
        <f t="shared" si="18"/>
        <v>/mnt/measurements/07_CANape/Mitsubishi/5K45/MMC5.0.2/5K457EG11/RealChild/CSR_XCP_Signals_Recorder_2026-01-23_16-46-27_CPD_TC261_Try2.MF4.xz,child,RadarFC_Master,child (ncap3),CPD,realchild</v>
      </c>
      <c r="L1182" s="85" t="s">
        <v>4253</v>
      </c>
      <c r="M1182" t="s">
        <v>1535</v>
      </c>
      <c r="N1182" t="s">
        <v>86</v>
      </c>
    </row>
    <row r="1183" spans="1:14">
      <c r="A1183" s="77">
        <v>261</v>
      </c>
      <c r="B1183" t="s">
        <v>124</v>
      </c>
      <c r="C1183" s="59" t="s">
        <v>253</v>
      </c>
      <c r="D1183" s="97" t="e">
        <f>_xlfn.XLOOKUP(A1183,[1]CPD_SOP_new!$A:$A,[1]CPD_SOP_new!#REF!,"not found",0 )</f>
        <v>#REF!</v>
      </c>
      <c r="E1183" s="97" t="str">
        <f>_xlfn.XLOOKUP(A1183,[1]CPD_SOP_new!$A:$A,[1]CPD_SOP_new!$K:$K,"not found",0 )</f>
        <v>3L</v>
      </c>
      <c r="F1183" t="s">
        <v>28</v>
      </c>
      <c r="G1183" t="s">
        <v>28</v>
      </c>
      <c r="H1183" t="s">
        <v>28</v>
      </c>
      <c r="I1183" t="s">
        <v>28</v>
      </c>
      <c r="J1183" t="s">
        <v>124</v>
      </c>
      <c r="K1183" s="85" t="str">
        <f t="shared" si="18"/>
        <v>/mnt/measurements/07_CANape/Mitsubishi/5K45/MMC5.0.2/5K457EG11/RealChild/CSR_XCP_Signals_Recorder_2026-01-23_16-47-51_CPD_TC261_Try3.MF4.xz,child,RadarFC_Master,child (ncap3),CPD,realchild</v>
      </c>
      <c r="L1183" s="85" t="s">
        <v>4254</v>
      </c>
      <c r="M1183" t="s">
        <v>1536</v>
      </c>
      <c r="N1183" t="s">
        <v>86</v>
      </c>
    </row>
    <row r="1184" spans="1:14">
      <c r="A1184" s="77">
        <v>261</v>
      </c>
      <c r="B1184" t="s">
        <v>124</v>
      </c>
      <c r="C1184" s="59" t="s">
        <v>253</v>
      </c>
      <c r="D1184" s="97" t="e">
        <f>_xlfn.XLOOKUP(A1184,[1]CPD_SOP_new!$A:$A,[1]CPD_SOP_new!#REF!,"not found",0 )</f>
        <v>#REF!</v>
      </c>
      <c r="E1184" s="97" t="str">
        <f>_xlfn.XLOOKUP(A1184,[1]CPD_SOP_new!$A:$A,[1]CPD_SOP_new!$K:$K,"not found",0 )</f>
        <v>3L</v>
      </c>
      <c r="F1184" t="s">
        <v>28</v>
      </c>
      <c r="G1184" t="s">
        <v>28</v>
      </c>
      <c r="H1184" t="s">
        <v>28</v>
      </c>
      <c r="I1184" t="s">
        <v>28</v>
      </c>
      <c r="J1184" t="s">
        <v>124</v>
      </c>
      <c r="K1184" s="85" t="str">
        <f t="shared" si="18"/>
        <v>/mnt/measurements/07_CANape/Mitsubishi/5K45/MMC5.0.2/5K457EG11/RealChild/CSR_XCP_Signals_Recorder_2026-01-23_16-49-15_CPD_TC261_Try4.MF4.xz,child,RadarFC_Master,child (ncap3),CPD,realchild</v>
      </c>
      <c r="L1184" s="85" t="s">
        <v>4255</v>
      </c>
      <c r="M1184" t="s">
        <v>1537</v>
      </c>
      <c r="N1184" t="s">
        <v>86</v>
      </c>
    </row>
    <row r="1185" spans="1:14">
      <c r="A1185" s="77">
        <v>261</v>
      </c>
      <c r="B1185" t="s">
        <v>124</v>
      </c>
      <c r="C1185" s="59" t="s">
        <v>253</v>
      </c>
      <c r="D1185" s="97" t="e">
        <f>_xlfn.XLOOKUP(A1185,[1]CPD_SOP_new!$A:$A,[1]CPD_SOP_new!#REF!,"not found",0 )</f>
        <v>#REF!</v>
      </c>
      <c r="E1185" s="97" t="str">
        <f>_xlfn.XLOOKUP(A1185,[1]CPD_SOP_new!$A:$A,[1]CPD_SOP_new!$K:$K,"not found",0 )</f>
        <v>3L</v>
      </c>
      <c r="F1185" t="s">
        <v>28</v>
      </c>
      <c r="G1185" t="s">
        <v>28</v>
      </c>
      <c r="H1185" t="s">
        <v>28</v>
      </c>
      <c r="I1185" t="s">
        <v>28</v>
      </c>
      <c r="J1185" t="s">
        <v>124</v>
      </c>
      <c r="K1185" s="85" t="str">
        <f t="shared" si="18"/>
        <v>/mnt/measurements/07_CANape/Mitsubishi/5K45/MMC5.0.2/5K457EG11/RealChild/CSR_XCP_Signals_Recorder_2026-01-23_16-50-42_CPD_TC261_Try5.MF4.xz,child,RadarFC_Master,child (ncap3),CPD,realchild</v>
      </c>
      <c r="L1185" s="85" t="s">
        <v>4256</v>
      </c>
      <c r="M1185" t="s">
        <v>1538</v>
      </c>
      <c r="N1185" t="s">
        <v>86</v>
      </c>
    </row>
    <row r="1186" spans="1:14">
      <c r="A1186" s="77">
        <v>262</v>
      </c>
      <c r="B1186" t="s">
        <v>1539</v>
      </c>
      <c r="D1186" s="97" t="e">
        <f>_xlfn.XLOOKUP(A1186,[1]CPD_SOP_new!$A:$A,[1]CPD_SOP_new!#REF!,"not found",0 )</f>
        <v>#REF!</v>
      </c>
      <c r="E1186" s="97">
        <f>_xlfn.XLOOKUP(A1186,[1]CPD_SOP_new!$A:$A,[1]CPD_SOP_new!$K:$K,"not found",0 )</f>
        <v>0</v>
      </c>
      <c r="F1186" t="s">
        <v>27</v>
      </c>
      <c r="G1186" t="s">
        <v>28</v>
      </c>
      <c r="H1186" t="s">
        <v>28</v>
      </c>
      <c r="I1186" t="s">
        <v>28</v>
      </c>
      <c r="J1186" t="s">
        <v>828</v>
      </c>
      <c r="K1186" s="85" t="str">
        <f t="shared" si="18"/>
        <v>/mnt/measurements/07_CANape/Mitsubishi/5K45/MMC4.1.2/8EmptyCases/Passenger_Rear_Soft.MF4.xz,empty,RadarFC_Master,empty,CPD,dummy</v>
      </c>
      <c r="L1186" s="85" t="s">
        <v>4257</v>
      </c>
      <c r="M1186" t="s">
        <v>1540</v>
      </c>
      <c r="N1186" t="s">
        <v>1541</v>
      </c>
    </row>
    <row r="1187" spans="1:14">
      <c r="A1187" s="77">
        <v>262</v>
      </c>
      <c r="B1187" t="s">
        <v>1539</v>
      </c>
      <c r="D1187" s="97" t="e">
        <f>_xlfn.XLOOKUP(A1187,[1]CPD_SOP_new!$A:$A,[1]CPD_SOP_new!#REF!,"not found",0 )</f>
        <v>#REF!</v>
      </c>
      <c r="E1187" s="97">
        <f>_xlfn.XLOOKUP(A1187,[1]CPD_SOP_new!$A:$A,[1]CPD_SOP_new!$K:$K,"not found",0 )</f>
        <v>0</v>
      </c>
      <c r="F1187" t="s">
        <v>27</v>
      </c>
      <c r="G1187" t="s">
        <v>28</v>
      </c>
      <c r="H1187" t="s">
        <v>28</v>
      </c>
      <c r="I1187" t="s">
        <v>28</v>
      </c>
      <c r="J1187" t="s">
        <v>828</v>
      </c>
      <c r="K1187" s="85" t="str">
        <f t="shared" si="18"/>
        <v>/mnt/measurements/07_CANape/Mitsubishi/5K45/MMC4.1.2/8EmptyCases/Driver_Front_Hard.MF4.xz,empty,RadarFC_Master,empty,CPD,dummy</v>
      </c>
      <c r="L1187" s="85" t="s">
        <v>4258</v>
      </c>
      <c r="M1187" t="s">
        <v>1543</v>
      </c>
      <c r="N1187" t="s">
        <v>1541</v>
      </c>
    </row>
    <row r="1188" spans="1:14">
      <c r="A1188" s="77">
        <v>262</v>
      </c>
      <c r="B1188" t="s">
        <v>1539</v>
      </c>
      <c r="D1188" s="97" t="e">
        <f>_xlfn.XLOOKUP(A1188,[1]CPD_SOP_new!$A:$A,[1]CPD_SOP_new!#REF!,"not found",0 )</f>
        <v>#REF!</v>
      </c>
      <c r="E1188" s="97">
        <f>_xlfn.XLOOKUP(A1188,[1]CPD_SOP_new!$A:$A,[1]CPD_SOP_new!$K:$K,"not found",0 )</f>
        <v>0</v>
      </c>
      <c r="F1188" t="s">
        <v>27</v>
      </c>
      <c r="G1188" t="s">
        <v>28</v>
      </c>
      <c r="H1188" t="s">
        <v>28</v>
      </c>
      <c r="I1188" t="s">
        <v>28</v>
      </c>
      <c r="J1188" t="s">
        <v>828</v>
      </c>
      <c r="K1188" s="85" t="str">
        <f t="shared" si="18"/>
        <v>/mnt/measurements/07_CANape/Mitsubishi/5K45/MMC4.1.2/8EmptyCases/Driver_Front_Soft.MF4.xz,empty,RadarFC_Master,empty,CPD,dummy</v>
      </c>
      <c r="L1188" s="85" t="s">
        <v>4259</v>
      </c>
      <c r="M1188" t="s">
        <v>1545</v>
      </c>
      <c r="N1188" t="s">
        <v>1541</v>
      </c>
    </row>
    <row r="1189" spans="1:14">
      <c r="A1189" s="77">
        <v>262</v>
      </c>
      <c r="B1189" t="s">
        <v>1539</v>
      </c>
      <c r="D1189" s="97" t="e">
        <f>_xlfn.XLOOKUP(A1189,[1]CPD_SOP_new!$A:$A,[1]CPD_SOP_new!#REF!,"not found",0 )</f>
        <v>#REF!</v>
      </c>
      <c r="E1189" s="97">
        <f>_xlfn.XLOOKUP(A1189,[1]CPD_SOP_new!$A:$A,[1]CPD_SOP_new!$K:$K,"not found",0 )</f>
        <v>0</v>
      </c>
      <c r="F1189" t="s">
        <v>27</v>
      </c>
      <c r="G1189" t="s">
        <v>28</v>
      </c>
      <c r="H1189" t="s">
        <v>28</v>
      </c>
      <c r="I1189" t="s">
        <v>28</v>
      </c>
      <c r="J1189" t="s">
        <v>828</v>
      </c>
      <c r="K1189" s="85" t="str">
        <f t="shared" si="18"/>
        <v>/mnt/measurements/07_CANape/Mitsubishi/5K45/MMC4.1.2/8EmptyCases/Driver_Rear_Hard.MF4.xz,empty,RadarFC_Master,empty,CPD,dummy</v>
      </c>
      <c r="L1189" s="85" t="s">
        <v>4260</v>
      </c>
      <c r="M1189" t="s">
        <v>1547</v>
      </c>
      <c r="N1189" t="s">
        <v>1541</v>
      </c>
    </row>
    <row r="1190" spans="1:14">
      <c r="A1190" s="77">
        <v>262</v>
      </c>
      <c r="B1190" t="s">
        <v>1539</v>
      </c>
      <c r="D1190" s="97" t="e">
        <f>_xlfn.XLOOKUP(A1190,[1]CPD_SOP_new!$A:$A,[1]CPD_SOP_new!#REF!,"not found",0 )</f>
        <v>#REF!</v>
      </c>
      <c r="E1190" s="97">
        <f>_xlfn.XLOOKUP(A1190,[1]CPD_SOP_new!$A:$A,[1]CPD_SOP_new!$K:$K,"not found",0 )</f>
        <v>0</v>
      </c>
      <c r="F1190" t="s">
        <v>27</v>
      </c>
      <c r="G1190" t="s">
        <v>28</v>
      </c>
      <c r="H1190" t="s">
        <v>28</v>
      </c>
      <c r="I1190" t="s">
        <v>28</v>
      </c>
      <c r="J1190" t="s">
        <v>828</v>
      </c>
      <c r="K1190" s="85" t="str">
        <f t="shared" si="18"/>
        <v>/mnt/measurements/07_CANape/Mitsubishi/5K45/MMC4.1.2/8EmptyCases/Driver_Rear_Soft.MF4.xz,empty,RadarFC_Master,empty,CPD,dummy</v>
      </c>
      <c r="L1190" s="85" t="s">
        <v>4261</v>
      </c>
      <c r="M1190" t="s">
        <v>1550</v>
      </c>
      <c r="N1190" t="s">
        <v>1541</v>
      </c>
    </row>
    <row r="1191" spans="1:14">
      <c r="A1191" s="77">
        <v>262</v>
      </c>
      <c r="B1191" t="s">
        <v>1539</v>
      </c>
      <c r="D1191" s="97" t="e">
        <f>_xlfn.XLOOKUP(A1191,[1]CPD_SOP_new!$A:$A,[1]CPD_SOP_new!#REF!,"not found",0 )</f>
        <v>#REF!</v>
      </c>
      <c r="E1191" s="97">
        <f>_xlfn.XLOOKUP(A1191,[1]CPD_SOP_new!$A:$A,[1]CPD_SOP_new!$K:$K,"not found",0 )</f>
        <v>0</v>
      </c>
      <c r="F1191" t="s">
        <v>27</v>
      </c>
      <c r="G1191" t="s">
        <v>28</v>
      </c>
      <c r="H1191" t="s">
        <v>28</v>
      </c>
      <c r="I1191" t="s">
        <v>28</v>
      </c>
      <c r="J1191" t="s">
        <v>828</v>
      </c>
      <c r="K1191" s="85" t="str">
        <f t="shared" si="18"/>
        <v>/mnt/measurements/07_CANape/Mitsubishi/5K45/MMC4.1.2/8EmptyCases/Passenger_Front_Hard.MF4.xz,empty,RadarFC_Master,empty,CPD,dummy</v>
      </c>
      <c r="L1191" s="85" t="s">
        <v>4262</v>
      </c>
      <c r="M1191" t="s">
        <v>1551</v>
      </c>
      <c r="N1191" t="s">
        <v>1541</v>
      </c>
    </row>
    <row r="1192" spans="1:14">
      <c r="A1192" s="77">
        <v>262</v>
      </c>
      <c r="B1192" t="s">
        <v>1539</v>
      </c>
      <c r="D1192" s="97" t="e">
        <f>_xlfn.XLOOKUP(A1192,[1]CPD_SOP_new!$A:$A,[1]CPD_SOP_new!#REF!,"not found",0 )</f>
        <v>#REF!</v>
      </c>
      <c r="E1192" s="97">
        <f>_xlfn.XLOOKUP(A1192,[1]CPD_SOP_new!$A:$A,[1]CPD_SOP_new!$K:$K,"not found",0 )</f>
        <v>0</v>
      </c>
      <c r="F1192" t="s">
        <v>27</v>
      </c>
      <c r="G1192" t="s">
        <v>28</v>
      </c>
      <c r="H1192" t="s">
        <v>28</v>
      </c>
      <c r="I1192" t="s">
        <v>28</v>
      </c>
      <c r="J1192" t="s">
        <v>828</v>
      </c>
      <c r="K1192" s="85" t="str">
        <f t="shared" si="18"/>
        <v>/mnt/measurements/07_CANape/Mitsubishi/5K45/MMC4.1.2/8EmptyCases/Passenger_Front_Soft.MF4.xz,empty,RadarFC_Master,empty,CPD,dummy</v>
      </c>
      <c r="L1192" s="85" t="s">
        <v>4263</v>
      </c>
      <c r="M1192" t="s">
        <v>1553</v>
      </c>
      <c r="N1192" t="s">
        <v>1541</v>
      </c>
    </row>
    <row r="1193" spans="1:14">
      <c r="A1193" s="77">
        <v>262</v>
      </c>
      <c r="B1193" t="s">
        <v>1539</v>
      </c>
      <c r="D1193" s="97" t="e">
        <f>_xlfn.XLOOKUP(A1193,[1]CPD_SOP_new!$A:$A,[1]CPD_SOP_new!#REF!,"not found",0 )</f>
        <v>#REF!</v>
      </c>
      <c r="E1193" s="97">
        <f>_xlfn.XLOOKUP(A1193,[1]CPD_SOP_new!$A:$A,[1]CPD_SOP_new!$K:$K,"not found",0 )</f>
        <v>0</v>
      </c>
      <c r="F1193" t="s">
        <v>27</v>
      </c>
      <c r="G1193" t="s">
        <v>28</v>
      </c>
      <c r="H1193" t="s">
        <v>28</v>
      </c>
      <c r="I1193" t="s">
        <v>28</v>
      </c>
      <c r="J1193" t="s">
        <v>828</v>
      </c>
      <c r="K1193" s="85" t="str">
        <f t="shared" si="18"/>
        <v>/mnt/measurements/07_CANape/Mitsubishi/5K45/MMC4.1.2/8EmptyCases/Passenger_Rear_Hard.MF4.xz,empty,RadarFC_Master,empty,CPD,dummy</v>
      </c>
      <c r="L1193" s="85" t="s">
        <v>4264</v>
      </c>
      <c r="M1193" t="s">
        <v>1555</v>
      </c>
      <c r="N1193" t="s">
        <v>1541</v>
      </c>
    </row>
    <row r="1194" spans="1:14">
      <c r="A1194" s="77">
        <v>263</v>
      </c>
      <c r="B1194" t="s">
        <v>124</v>
      </c>
      <c r="C1194" t="s">
        <v>66</v>
      </c>
      <c r="D1194" s="97" t="e">
        <f>_xlfn.XLOOKUP(A1194,[1]CPD_SOP_new!$A:$A,[1]CPD_SOP_new!#REF!,"not found",0 )</f>
        <v>#REF!</v>
      </c>
      <c r="E1194" s="97" t="str">
        <f>_xlfn.XLOOKUP(A1194,[1]CPD_SOP_new!$A:$A,[1]CPD_SOP_new!$K:$K,"not found",0 )</f>
        <v>F1P</v>
      </c>
      <c r="F1194" t="s">
        <v>28</v>
      </c>
      <c r="G1194" t="s">
        <v>28</v>
      </c>
      <c r="H1194" t="s">
        <v>28</v>
      </c>
      <c r="I1194" t="s">
        <v>28</v>
      </c>
      <c r="J1194" t="s">
        <v>124</v>
      </c>
      <c r="K1194" s="85" t="str">
        <f t="shared" si="18"/>
        <v>/mnt/measurements/07_CANape/Mitsubishi/5K45/MMC5.0.2/5K457EG11/RealChild/CSR_XCP_Signals_Recorder_2026-01-21_16-05-44_CPD_TC263_Try1.MF4.xz,child,RadarFC_Master,child (ncap3),CPD,realchild</v>
      </c>
      <c r="L1194" s="85" t="s">
        <v>4265</v>
      </c>
      <c r="M1194" t="s">
        <v>1557</v>
      </c>
      <c r="N1194" t="s">
        <v>86</v>
      </c>
    </row>
    <row r="1195" spans="1:14">
      <c r="A1195" s="77">
        <v>263</v>
      </c>
      <c r="B1195" t="s">
        <v>124</v>
      </c>
      <c r="C1195" t="s">
        <v>66</v>
      </c>
      <c r="D1195" s="97" t="e">
        <f>_xlfn.XLOOKUP(A1195,[1]CPD_SOP_new!$A:$A,[1]CPD_SOP_new!#REF!,"not found",0 )</f>
        <v>#REF!</v>
      </c>
      <c r="E1195" s="97" t="str">
        <f>_xlfn.XLOOKUP(A1195,[1]CPD_SOP_new!$A:$A,[1]CPD_SOP_new!$K:$K,"not found",0 )</f>
        <v>F1P</v>
      </c>
      <c r="F1195" t="s">
        <v>28</v>
      </c>
      <c r="G1195" t="s">
        <v>28</v>
      </c>
      <c r="H1195" t="s">
        <v>28</v>
      </c>
      <c r="I1195" t="s">
        <v>28</v>
      </c>
      <c r="J1195" t="s">
        <v>124</v>
      </c>
      <c r="K1195" s="85" t="str">
        <f t="shared" si="18"/>
        <v>/mnt/measurements/07_CANape/Mitsubishi/5K45/MMC5.0.2/5K457EG11/RealChild/CSR_XCP_Signals_Recorder_2026-01-21_16-07-23_CPD_TC263_Try2.MF4.xz,child,RadarFC_Master,child (ncap3),CPD,realchild</v>
      </c>
      <c r="L1195" s="85" t="s">
        <v>4266</v>
      </c>
      <c r="M1195" t="s">
        <v>1559</v>
      </c>
      <c r="N1195" t="s">
        <v>86</v>
      </c>
    </row>
    <row r="1196" spans="1:14">
      <c r="A1196" s="77">
        <v>263</v>
      </c>
      <c r="B1196" t="s">
        <v>124</v>
      </c>
      <c r="C1196" t="s">
        <v>66</v>
      </c>
      <c r="D1196" s="97" t="e">
        <f>_xlfn.XLOOKUP(A1196,[1]CPD_SOP_new!$A:$A,[1]CPD_SOP_new!#REF!,"not found",0 )</f>
        <v>#REF!</v>
      </c>
      <c r="E1196" s="97" t="str">
        <f>_xlfn.XLOOKUP(A1196,[1]CPD_SOP_new!$A:$A,[1]CPD_SOP_new!$K:$K,"not found",0 )</f>
        <v>F1P</v>
      </c>
      <c r="F1196" t="s">
        <v>28</v>
      </c>
      <c r="G1196" t="s">
        <v>28</v>
      </c>
      <c r="H1196" t="s">
        <v>28</v>
      </c>
      <c r="I1196" t="s">
        <v>28</v>
      </c>
      <c r="J1196" t="s">
        <v>124</v>
      </c>
      <c r="K1196" s="85" t="str">
        <f t="shared" si="18"/>
        <v>/mnt/measurements/07_CANape/Mitsubishi/5K45/MMC5.0.2/5K457EG11/RealChild/CSR_XCP_Signals_Recorder_2026-01-21_16-09-25_CPD_TC263_Try3.MF4.xz,child,RadarFC_Master,child (ncap3),CPD,realchild</v>
      </c>
      <c r="L1196" s="85" t="s">
        <v>4267</v>
      </c>
      <c r="M1196" t="s">
        <v>1560</v>
      </c>
      <c r="N1196" t="s">
        <v>86</v>
      </c>
    </row>
    <row r="1197" spans="1:14">
      <c r="A1197" s="77">
        <v>263</v>
      </c>
      <c r="B1197" t="s">
        <v>124</v>
      </c>
      <c r="C1197" t="s">
        <v>66</v>
      </c>
      <c r="D1197" s="97" t="e">
        <f>_xlfn.XLOOKUP(A1197,[1]CPD_SOP_new!$A:$A,[1]CPD_SOP_new!#REF!,"not found",0 )</f>
        <v>#REF!</v>
      </c>
      <c r="E1197" s="97" t="str">
        <f>_xlfn.XLOOKUP(A1197,[1]CPD_SOP_new!$A:$A,[1]CPD_SOP_new!$K:$K,"not found",0 )</f>
        <v>F1P</v>
      </c>
      <c r="F1197" t="s">
        <v>28</v>
      </c>
      <c r="G1197" t="s">
        <v>28</v>
      </c>
      <c r="H1197" t="s">
        <v>28</v>
      </c>
      <c r="I1197" t="s">
        <v>28</v>
      </c>
      <c r="J1197" t="s">
        <v>124</v>
      </c>
      <c r="K1197" s="85" t="str">
        <f t="shared" si="18"/>
        <v>/mnt/measurements/07_CANape/Mitsubishi/5K45/MMC5.0.2/5K457EG11/RealChild/CSR_XCP_Signals_Recorder_2026-01-21_16-10-55_CPD_TC263_Try4.MF4.xz,child,RadarFC_Master,child (ncap3),CPD,realchild</v>
      </c>
      <c r="L1197" s="85" t="s">
        <v>4268</v>
      </c>
      <c r="M1197" t="s">
        <v>1561</v>
      </c>
      <c r="N1197" t="s">
        <v>86</v>
      </c>
    </row>
    <row r="1198" spans="1:14">
      <c r="A1198" s="77">
        <v>263</v>
      </c>
      <c r="B1198" t="s">
        <v>124</v>
      </c>
      <c r="C1198" t="s">
        <v>66</v>
      </c>
      <c r="D1198" s="97" t="e">
        <f>_xlfn.XLOOKUP(A1198,[1]CPD_SOP_new!$A:$A,[1]CPD_SOP_new!#REF!,"not found",0 )</f>
        <v>#REF!</v>
      </c>
      <c r="E1198" s="97" t="str">
        <f>_xlfn.XLOOKUP(A1198,[1]CPD_SOP_new!$A:$A,[1]CPD_SOP_new!$K:$K,"not found",0 )</f>
        <v>F1P</v>
      </c>
      <c r="F1198" t="s">
        <v>28</v>
      </c>
      <c r="G1198" t="s">
        <v>28</v>
      </c>
      <c r="H1198" t="s">
        <v>28</v>
      </c>
      <c r="I1198" t="s">
        <v>28</v>
      </c>
      <c r="J1198" t="s">
        <v>124</v>
      </c>
      <c r="K1198" s="85" t="str">
        <f t="shared" si="18"/>
        <v>/mnt/measurements/07_CANape/Mitsubishi/5K45/MMC5.0.2/5K457EG11/RealChild/CSR_XCP_Signals_Recorder_2026-01-21_16-12-48_CPD_TC263_Try5.MF4.xz,child,RadarFC_Master,child (ncap3),CPD,realchild</v>
      </c>
      <c r="L1198" s="85" t="s">
        <v>4269</v>
      </c>
      <c r="M1198" t="s">
        <v>1562</v>
      </c>
      <c r="N1198" t="s">
        <v>86</v>
      </c>
    </row>
    <row r="1199" spans="1:14">
      <c r="A1199" s="77">
        <v>264</v>
      </c>
      <c r="B1199" t="s">
        <v>124</v>
      </c>
      <c r="C1199" t="s">
        <v>66</v>
      </c>
      <c r="D1199" s="97" t="e">
        <f>_xlfn.XLOOKUP(A1199,[1]CPD_SOP_new!$A:$A,[1]CPD_SOP_new!#REF!,"not found",0 )</f>
        <v>#REF!</v>
      </c>
      <c r="E1199" s="97" t="str">
        <f>_xlfn.XLOOKUP(A1199,[1]CPD_SOP_new!$A:$A,[1]CPD_SOP_new!$K:$K,"not found",0 )</f>
        <v>F1P</v>
      </c>
      <c r="F1199" t="s">
        <v>28</v>
      </c>
      <c r="G1199" t="s">
        <v>28</v>
      </c>
      <c r="H1199" t="s">
        <v>28</v>
      </c>
      <c r="I1199" t="s">
        <v>28</v>
      </c>
      <c r="J1199" t="s">
        <v>124</v>
      </c>
      <c r="K1199" s="85" t="str">
        <f t="shared" si="18"/>
        <v>/mnt/measurements/07_CANape/Mitsubishi/5K45/MMC5.0.2/5K457EG11/RealChild/CSR_XCP_Signals_Recorder_2026-01-21_16-22-50_CPD_TC264_Try1.MF4.xz,child,RadarFC_Master,child (ncap3),CPD,realchild</v>
      </c>
      <c r="L1199" s="85" t="s">
        <v>4270</v>
      </c>
      <c r="M1199" t="s">
        <v>1563</v>
      </c>
      <c r="N1199" t="s">
        <v>86</v>
      </c>
    </row>
    <row r="1200" spans="1:14">
      <c r="A1200" s="77">
        <v>264</v>
      </c>
      <c r="B1200" t="s">
        <v>124</v>
      </c>
      <c r="C1200" t="s">
        <v>66</v>
      </c>
      <c r="D1200" s="97" t="e">
        <f>_xlfn.XLOOKUP(A1200,[1]CPD_SOP_new!$A:$A,[1]CPD_SOP_new!#REF!,"not found",0 )</f>
        <v>#REF!</v>
      </c>
      <c r="E1200" s="97" t="str">
        <f>_xlfn.XLOOKUP(A1200,[1]CPD_SOP_new!$A:$A,[1]CPD_SOP_new!$K:$K,"not found",0 )</f>
        <v>F1P</v>
      </c>
      <c r="F1200" t="s">
        <v>28</v>
      </c>
      <c r="G1200" t="s">
        <v>28</v>
      </c>
      <c r="H1200" t="s">
        <v>28</v>
      </c>
      <c r="I1200" t="s">
        <v>28</v>
      </c>
      <c r="J1200" t="s">
        <v>124</v>
      </c>
      <c r="K1200" s="85" t="str">
        <f t="shared" si="18"/>
        <v>/mnt/measurements/07_CANape/Mitsubishi/5K45/MMC5.0.2/5K457EG11/RealChild/CSR_XCP_Signals_Recorder_2026-01-21_16-24-23_CPD_TC264_Try2.MF4.xz,child,RadarFC_Master,child (ncap3),CPD,realchild</v>
      </c>
      <c r="L1200" s="85" t="s">
        <v>4271</v>
      </c>
      <c r="M1200" t="s">
        <v>1564</v>
      </c>
      <c r="N1200" t="s">
        <v>86</v>
      </c>
    </row>
    <row r="1201" spans="1:14">
      <c r="A1201" s="77">
        <v>264</v>
      </c>
      <c r="B1201" t="s">
        <v>124</v>
      </c>
      <c r="C1201" t="s">
        <v>66</v>
      </c>
      <c r="D1201" s="97" t="e">
        <f>_xlfn.XLOOKUP(A1201,[1]CPD_SOP_new!$A:$A,[1]CPD_SOP_new!#REF!,"not found",0 )</f>
        <v>#REF!</v>
      </c>
      <c r="E1201" s="97" t="str">
        <f>_xlfn.XLOOKUP(A1201,[1]CPD_SOP_new!$A:$A,[1]CPD_SOP_new!$K:$K,"not found",0 )</f>
        <v>F1P</v>
      </c>
      <c r="F1201" t="s">
        <v>28</v>
      </c>
      <c r="G1201" t="s">
        <v>28</v>
      </c>
      <c r="H1201" t="s">
        <v>28</v>
      </c>
      <c r="I1201" t="s">
        <v>28</v>
      </c>
      <c r="J1201" t="s">
        <v>124</v>
      </c>
      <c r="K1201" s="85" t="str">
        <f t="shared" si="18"/>
        <v>/mnt/measurements/07_CANape/Mitsubishi/5K45/MMC5.0.2/5K457EG11/RealChild/CSR_XCP_Signals_Recorder_2026-01-21_16-26-03_CPD_TC264_Try3.MF4.xz,child,RadarFC_Master,child (ncap3),CPD,realchild</v>
      </c>
      <c r="L1201" s="85" t="s">
        <v>4272</v>
      </c>
      <c r="M1201" t="s">
        <v>1565</v>
      </c>
      <c r="N1201" t="s">
        <v>86</v>
      </c>
    </row>
    <row r="1202" spans="1:14">
      <c r="A1202" s="77">
        <v>264</v>
      </c>
      <c r="B1202" t="s">
        <v>124</v>
      </c>
      <c r="C1202" t="s">
        <v>66</v>
      </c>
      <c r="D1202" s="97" t="e">
        <f>_xlfn.XLOOKUP(A1202,[1]CPD_SOP_new!$A:$A,[1]CPD_SOP_new!#REF!,"not found",0 )</f>
        <v>#REF!</v>
      </c>
      <c r="E1202" s="97" t="str">
        <f>_xlfn.XLOOKUP(A1202,[1]CPD_SOP_new!$A:$A,[1]CPD_SOP_new!$K:$K,"not found",0 )</f>
        <v>F1P</v>
      </c>
      <c r="F1202" t="s">
        <v>28</v>
      </c>
      <c r="G1202" t="s">
        <v>28</v>
      </c>
      <c r="H1202" t="s">
        <v>28</v>
      </c>
      <c r="I1202" t="s">
        <v>28</v>
      </c>
      <c r="J1202" t="s">
        <v>124</v>
      </c>
      <c r="K1202" s="85" t="str">
        <f t="shared" si="18"/>
        <v>/mnt/measurements/07_CANape/Mitsubishi/5K45/MMC5.0.2/5K457EG11/RealChild/CSR_XCP_Signals_Recorder_2026-01-21_16-27-36_CPD_TC264_Try4.MF4.xz,child,RadarFC_Master,child (ncap3),CPD,realchild</v>
      </c>
      <c r="L1202" s="85" t="s">
        <v>4273</v>
      </c>
      <c r="M1202" t="s">
        <v>1566</v>
      </c>
      <c r="N1202" t="s">
        <v>86</v>
      </c>
    </row>
    <row r="1203" spans="1:14">
      <c r="A1203" s="77">
        <v>264</v>
      </c>
      <c r="B1203" t="s">
        <v>124</v>
      </c>
      <c r="C1203" t="s">
        <v>66</v>
      </c>
      <c r="D1203" s="97" t="e">
        <f>_xlfn.XLOOKUP(A1203,[1]CPD_SOP_new!$A:$A,[1]CPD_SOP_new!#REF!,"not found",0 )</f>
        <v>#REF!</v>
      </c>
      <c r="E1203" s="97" t="str">
        <f>_xlfn.XLOOKUP(A1203,[1]CPD_SOP_new!$A:$A,[1]CPD_SOP_new!$K:$K,"not found",0 )</f>
        <v>F1P</v>
      </c>
      <c r="F1203" t="s">
        <v>28</v>
      </c>
      <c r="G1203" t="s">
        <v>28</v>
      </c>
      <c r="H1203" t="s">
        <v>28</v>
      </c>
      <c r="I1203" t="s">
        <v>28</v>
      </c>
      <c r="J1203" t="s">
        <v>124</v>
      </c>
      <c r="K1203" s="85" t="str">
        <f t="shared" si="18"/>
        <v>/mnt/measurements/07_CANape/Mitsubishi/5K45/MMC5.0.2/5K457EG11/RealChild/CSR_XCP_Signals_Recorder_2026-01-21_16-29-08_CPD_TC264_Try5.MF4.xz,child,RadarFC_Master,child (ncap3),CPD,realchild</v>
      </c>
      <c r="L1203" s="85" t="s">
        <v>4274</v>
      </c>
      <c r="M1203" t="s">
        <v>1567</v>
      </c>
      <c r="N1203" t="s">
        <v>86</v>
      </c>
    </row>
    <row r="1204" spans="1:14">
      <c r="A1204" s="77">
        <v>265</v>
      </c>
      <c r="B1204" t="s">
        <v>124</v>
      </c>
      <c r="C1204" t="s">
        <v>66</v>
      </c>
      <c r="D1204" s="97" t="e">
        <f>_xlfn.XLOOKUP(A1204,[1]CPD_SOP_new!$A:$A,[1]CPD_SOP_new!#REF!,"not found",0 )</f>
        <v>#REF!</v>
      </c>
      <c r="E1204" s="97" t="str">
        <f>_xlfn.XLOOKUP(A1204,[1]CPD_SOP_new!$A:$A,[1]CPD_SOP_new!$K:$K,"not found",0 )</f>
        <v>F1P</v>
      </c>
      <c r="F1204" t="s">
        <v>28</v>
      </c>
      <c r="G1204" t="s">
        <v>28</v>
      </c>
      <c r="H1204" t="s">
        <v>28</v>
      </c>
      <c r="I1204" t="s">
        <v>28</v>
      </c>
      <c r="J1204" t="s">
        <v>124</v>
      </c>
      <c r="K1204" s="85" t="str">
        <f t="shared" si="18"/>
        <v>/mnt/measurements/07_CANape/Mitsubishi/5K45/MMC5.0.2/5K457EG11/RealChild/CSR_XCP_Signals_Recorder_2026-01-21_16-38-35_CPD_TC265_Try1.MF4.xz,child,RadarFC_Master,child (ncap3),CPD,realchild</v>
      </c>
      <c r="L1204" s="85" t="s">
        <v>4275</v>
      </c>
      <c r="M1204" t="s">
        <v>1568</v>
      </c>
      <c r="N1204" t="s">
        <v>86</v>
      </c>
    </row>
    <row r="1205" spans="1:14">
      <c r="A1205" s="77">
        <v>265</v>
      </c>
      <c r="B1205" t="s">
        <v>124</v>
      </c>
      <c r="C1205" t="s">
        <v>66</v>
      </c>
      <c r="D1205" s="97" t="e">
        <f>_xlfn.XLOOKUP(A1205,[1]CPD_SOP_new!$A:$A,[1]CPD_SOP_new!#REF!,"not found",0 )</f>
        <v>#REF!</v>
      </c>
      <c r="E1205" s="97" t="str">
        <f>_xlfn.XLOOKUP(A1205,[1]CPD_SOP_new!$A:$A,[1]CPD_SOP_new!$K:$K,"not found",0 )</f>
        <v>F1P</v>
      </c>
      <c r="F1205" t="s">
        <v>28</v>
      </c>
      <c r="G1205" t="s">
        <v>28</v>
      </c>
      <c r="H1205" t="s">
        <v>28</v>
      </c>
      <c r="I1205" t="s">
        <v>28</v>
      </c>
      <c r="J1205" t="s">
        <v>124</v>
      </c>
      <c r="K1205" s="85" t="str">
        <f t="shared" si="18"/>
        <v>/mnt/measurements/07_CANape/Mitsubishi/5K45/MMC5.0.2/5K457EG11/RealChild/CSR_XCP_Signals_Recorder_2026-01-21_16-40-05_CPD_TC265_Try2.MF4.xz,child,RadarFC_Master,child (ncap3),CPD,realchild</v>
      </c>
      <c r="L1205" s="85" t="s">
        <v>4276</v>
      </c>
      <c r="M1205" t="s">
        <v>1569</v>
      </c>
      <c r="N1205" t="s">
        <v>86</v>
      </c>
    </row>
    <row r="1206" spans="1:14">
      <c r="A1206" s="77">
        <v>265</v>
      </c>
      <c r="B1206" t="s">
        <v>124</v>
      </c>
      <c r="C1206" t="s">
        <v>66</v>
      </c>
      <c r="D1206" s="97" t="e">
        <f>_xlfn.XLOOKUP(A1206,[1]CPD_SOP_new!$A:$A,[1]CPD_SOP_new!#REF!,"not found",0 )</f>
        <v>#REF!</v>
      </c>
      <c r="E1206" s="97" t="str">
        <f>_xlfn.XLOOKUP(A1206,[1]CPD_SOP_new!$A:$A,[1]CPD_SOP_new!$K:$K,"not found",0 )</f>
        <v>F1P</v>
      </c>
      <c r="F1206" t="s">
        <v>28</v>
      </c>
      <c r="G1206" t="s">
        <v>28</v>
      </c>
      <c r="H1206" t="s">
        <v>28</v>
      </c>
      <c r="I1206" t="s">
        <v>28</v>
      </c>
      <c r="J1206" t="s">
        <v>124</v>
      </c>
      <c r="K1206" s="85" t="str">
        <f t="shared" si="18"/>
        <v>/mnt/measurements/07_CANape/Mitsubishi/5K45/MMC5.0.2/5K457EG11/RealChild/CSR_XCP_Signals_Recorder_2026-01-21_16-41-43_CPD_TC265_Try3.MF4.xz,child,RadarFC_Master,child (ncap3),CPD,realchild</v>
      </c>
      <c r="L1206" s="85" t="s">
        <v>4277</v>
      </c>
      <c r="M1206" t="s">
        <v>1570</v>
      </c>
      <c r="N1206" t="s">
        <v>86</v>
      </c>
    </row>
    <row r="1207" spans="1:14" s="137" customFormat="1" hidden="1">
      <c r="A1207" s="130">
        <v>137</v>
      </c>
      <c r="B1207" s="137" t="s">
        <v>234</v>
      </c>
      <c r="D1207" s="98">
        <v>3</v>
      </c>
      <c r="E1207" s="98" t="s">
        <v>880</v>
      </c>
      <c r="F1207" s="137" t="s">
        <v>27</v>
      </c>
      <c r="G1207" s="137" t="s">
        <v>27</v>
      </c>
      <c r="H1207" s="137" t="s">
        <v>27</v>
      </c>
      <c r="I1207" s="137" t="s">
        <v>27</v>
      </c>
      <c r="J1207" s="99" t="s">
        <v>888</v>
      </c>
      <c r="K1207" s="85" t="str">
        <f t="shared" si="18"/>
        <v>/mnt/measurements/07_CANape/Mitsubishi/5K45/5.3.0_RC6.2/5K457EG11/CSRGIMMC-2250/CSR_XCP_Signals_Recorder_2026-02-05_16-29-30_TC137_StaticToy3R_BagF3L_CPD.MF4.xz,location azi quality mismatch,RadarFC_Master,location azi quality mismatch,CPD,dummy</v>
      </c>
      <c r="L1207" s="85" t="s">
        <v>4278</v>
      </c>
      <c r="M1207" s="137" t="s">
        <v>889</v>
      </c>
      <c r="N1207" s="137" t="s">
        <v>831</v>
      </c>
    </row>
    <row r="1208" spans="1:14">
      <c r="A1208" s="77">
        <v>265</v>
      </c>
      <c r="B1208" t="s">
        <v>124</v>
      </c>
      <c r="C1208" t="s">
        <v>66</v>
      </c>
      <c r="D1208" s="97" t="e">
        <f>_xlfn.XLOOKUP(A1208,[1]CPD_SOP_new!$A:$A,[1]CPD_SOP_new!#REF!,"not found",0 )</f>
        <v>#REF!</v>
      </c>
      <c r="E1208" s="97" t="str">
        <f>_xlfn.XLOOKUP(A1208,[1]CPD_SOP_new!$A:$A,[1]CPD_SOP_new!$K:$K,"not found",0 )</f>
        <v>F1P</v>
      </c>
      <c r="F1208" t="s">
        <v>28</v>
      </c>
      <c r="G1208" t="s">
        <v>28</v>
      </c>
      <c r="H1208" t="s">
        <v>28</v>
      </c>
      <c r="I1208" t="s">
        <v>28</v>
      </c>
      <c r="J1208" t="s">
        <v>124</v>
      </c>
      <c r="K1208" s="85" t="str">
        <f t="shared" si="18"/>
        <v>/mnt/measurements/07_CANape/Mitsubishi/5K45/MMC5.0.2/5K457EG11/RealChild/CSR_XCP_Signals_Recorder_2026-01-21_16-43-12_CPD_TC265_Try4.MF4.xz,child,RadarFC_Master,child (ncap3),CPD,realchild</v>
      </c>
      <c r="L1208" s="85" t="s">
        <v>4279</v>
      </c>
      <c r="M1208" t="s">
        <v>1571</v>
      </c>
      <c r="N1208" t="s">
        <v>86</v>
      </c>
    </row>
    <row r="1209" spans="1:14">
      <c r="A1209" s="77">
        <v>265</v>
      </c>
      <c r="B1209" t="s">
        <v>124</v>
      </c>
      <c r="C1209" t="s">
        <v>66</v>
      </c>
      <c r="D1209" s="97" t="e">
        <f>_xlfn.XLOOKUP(A1209,[1]CPD_SOP_new!$A:$A,[1]CPD_SOP_new!#REF!,"not found",0 )</f>
        <v>#REF!</v>
      </c>
      <c r="E1209" s="97" t="str">
        <f>_xlfn.XLOOKUP(A1209,[1]CPD_SOP_new!$A:$A,[1]CPD_SOP_new!$K:$K,"not found",0 )</f>
        <v>F1P</v>
      </c>
      <c r="F1209" t="s">
        <v>28</v>
      </c>
      <c r="G1209" t="s">
        <v>28</v>
      </c>
      <c r="H1209" t="s">
        <v>28</v>
      </c>
      <c r="I1209" t="s">
        <v>28</v>
      </c>
      <c r="J1209" t="s">
        <v>124</v>
      </c>
      <c r="K1209" s="85" t="str">
        <f t="shared" si="18"/>
        <v>/mnt/measurements/07_CANape/Mitsubishi/5K45/MMC5.0.2/5K457EG11/RealChild/CSR_XCP_Signals_Recorder_2026-01-21_16-44-52_CPD_TC265_Try5.MF4.xz,child,RadarFC_Master,child (ncap3),CPD,realchild</v>
      </c>
      <c r="L1209" s="85" t="s">
        <v>4280</v>
      </c>
      <c r="M1209" t="s">
        <v>1572</v>
      </c>
      <c r="N1209" t="s">
        <v>86</v>
      </c>
    </row>
    <row r="1210" spans="1:14">
      <c r="A1210" s="77">
        <v>266</v>
      </c>
      <c r="B1210" t="s">
        <v>124</v>
      </c>
      <c r="C1210" s="59" t="s">
        <v>253</v>
      </c>
      <c r="D1210" s="97" t="e">
        <f>_xlfn.XLOOKUP(A1210,[1]CPD_SOP_new!$A:$A,[1]CPD_SOP_new!#REF!,"not found",0 )</f>
        <v>#REF!</v>
      </c>
      <c r="E1210" s="97" t="s">
        <v>26</v>
      </c>
      <c r="F1210" t="s">
        <v>28</v>
      </c>
      <c r="G1210" t="s">
        <v>28</v>
      </c>
      <c r="H1210" t="s">
        <v>28</v>
      </c>
      <c r="I1210" t="s">
        <v>28</v>
      </c>
      <c r="J1210" t="s">
        <v>124</v>
      </c>
      <c r="K1210" s="85" t="str">
        <f t="shared" si="18"/>
        <v>/mnt/measurements/07_CANape/Mitsubishi/5K45/MMC5.0.2/5K457EG11/RealChild/CSR_XCP_Signals_Recorder_2026-01-23_15-45-44_CPD_TC266_Try1.MF4.xz,child,RadarFC_Master,child (ncap3),CPD,realchild</v>
      </c>
      <c r="L1210" s="85" t="s">
        <v>4281</v>
      </c>
      <c r="M1210" t="s">
        <v>1573</v>
      </c>
      <c r="N1210" t="s">
        <v>86</v>
      </c>
    </row>
    <row r="1211" spans="1:14">
      <c r="A1211" s="77">
        <v>266</v>
      </c>
      <c r="B1211" t="s">
        <v>124</v>
      </c>
      <c r="C1211" s="59" t="s">
        <v>253</v>
      </c>
      <c r="D1211" s="97" t="e">
        <f>_xlfn.XLOOKUP(A1211,[1]CPD_SOP_new!$A:$A,[1]CPD_SOP_new!#REF!,"not found",0 )</f>
        <v>#REF!</v>
      </c>
      <c r="E1211" s="97" t="s">
        <v>26</v>
      </c>
      <c r="F1211" t="s">
        <v>28</v>
      </c>
      <c r="G1211" t="s">
        <v>28</v>
      </c>
      <c r="H1211" t="s">
        <v>28</v>
      </c>
      <c r="I1211" t="s">
        <v>28</v>
      </c>
      <c r="J1211" t="s">
        <v>124</v>
      </c>
      <c r="K1211" s="85" t="str">
        <f t="shared" si="18"/>
        <v>/mnt/measurements/07_CANape/Mitsubishi/5K45/MMC5.0.2/5K457EG11/RealChild/CSR_XCP_Signals_Recorder_2026-01-23_15-48-52_CPD_TC266_Try2.MF4.xz,child,RadarFC_Master,child (ncap3),CPD,realchild</v>
      </c>
      <c r="L1211" s="85" t="s">
        <v>4282</v>
      </c>
      <c r="M1211" t="s">
        <v>1575</v>
      </c>
      <c r="N1211" t="s">
        <v>86</v>
      </c>
    </row>
    <row r="1212" spans="1:14">
      <c r="A1212" s="77">
        <v>266</v>
      </c>
      <c r="B1212" t="s">
        <v>124</v>
      </c>
      <c r="C1212" s="59" t="s">
        <v>253</v>
      </c>
      <c r="D1212" s="97" t="e">
        <f>_xlfn.XLOOKUP(A1212,[1]CPD_SOP_new!$A:$A,[1]CPD_SOP_new!#REF!,"not found",0 )</f>
        <v>#REF!</v>
      </c>
      <c r="E1212" s="97" t="s">
        <v>26</v>
      </c>
      <c r="F1212" t="s">
        <v>28</v>
      </c>
      <c r="G1212" t="s">
        <v>28</v>
      </c>
      <c r="H1212" t="s">
        <v>28</v>
      </c>
      <c r="I1212" t="s">
        <v>28</v>
      </c>
      <c r="J1212" t="s">
        <v>124</v>
      </c>
      <c r="K1212" s="85" t="str">
        <f t="shared" si="18"/>
        <v>/mnt/measurements/07_CANape/Mitsubishi/5K45/MMC5.0.2/5K457EG11/RealChild/CSR_XCP_Signals_Recorder_2026-01-23_15-50-57_CPD_TC266_Try3.MF4.xz,child,RadarFC_Master,child (ncap3),CPD,realchild</v>
      </c>
      <c r="L1212" s="85" t="s">
        <v>4283</v>
      </c>
      <c r="M1212" t="s">
        <v>1576</v>
      </c>
      <c r="N1212" t="s">
        <v>86</v>
      </c>
    </row>
    <row r="1213" spans="1:14">
      <c r="A1213" s="77">
        <v>266</v>
      </c>
      <c r="B1213" t="s">
        <v>124</v>
      </c>
      <c r="C1213" s="59" t="s">
        <v>253</v>
      </c>
      <c r="D1213" s="97" t="e">
        <f>_xlfn.XLOOKUP(A1213,[1]CPD_SOP_new!$A:$A,[1]CPD_SOP_new!#REF!,"not found",0 )</f>
        <v>#REF!</v>
      </c>
      <c r="E1213" s="97" t="s">
        <v>26</v>
      </c>
      <c r="F1213" t="s">
        <v>28</v>
      </c>
      <c r="G1213" t="s">
        <v>28</v>
      </c>
      <c r="H1213" t="s">
        <v>28</v>
      </c>
      <c r="I1213" t="s">
        <v>28</v>
      </c>
      <c r="J1213" t="s">
        <v>124</v>
      </c>
      <c r="K1213" s="85" t="str">
        <f t="shared" si="18"/>
        <v>/mnt/measurements/07_CANape/Mitsubishi/5K45/MMC5.0.2/5K457EG11/RealChild/CSR_XCP_Signals_Recorder_2026-01-23_15-52-45_CPD_TC266_Try4.MF4.xz,child,RadarFC_Master,child (ncap3),CPD,realchild</v>
      </c>
      <c r="L1213" s="85" t="s">
        <v>4284</v>
      </c>
      <c r="M1213" t="s">
        <v>1577</v>
      </c>
      <c r="N1213" t="s">
        <v>86</v>
      </c>
    </row>
    <row r="1214" spans="1:14">
      <c r="A1214" s="77">
        <v>266</v>
      </c>
      <c r="B1214" t="s">
        <v>124</v>
      </c>
      <c r="C1214" s="59" t="s">
        <v>253</v>
      </c>
      <c r="D1214" s="97" t="e">
        <f>_xlfn.XLOOKUP(A1214,[1]CPD_SOP_new!$A:$A,[1]CPD_SOP_new!#REF!,"not found",0 )</f>
        <v>#REF!</v>
      </c>
      <c r="E1214" s="97" t="s">
        <v>26</v>
      </c>
      <c r="F1214" t="s">
        <v>28</v>
      </c>
      <c r="G1214" t="s">
        <v>28</v>
      </c>
      <c r="H1214" t="s">
        <v>28</v>
      </c>
      <c r="I1214" t="s">
        <v>28</v>
      </c>
      <c r="J1214" t="s">
        <v>124</v>
      </c>
      <c r="K1214" s="85" t="str">
        <f t="shared" si="18"/>
        <v>/mnt/measurements/07_CANape/Mitsubishi/5K45/MMC5.0.2/5K457EG11/RealChild/CSR_XCP_Signals_Recorder_2026-01-23_15-54-32_CPD_TC266_Try5.MF4.xz,child,RadarFC_Master,child (ncap3),CPD,realchild</v>
      </c>
      <c r="L1214" s="85" t="s">
        <v>4285</v>
      </c>
      <c r="M1214" t="s">
        <v>1578</v>
      </c>
      <c r="N1214" t="s">
        <v>86</v>
      </c>
    </row>
    <row r="1215" spans="1:14">
      <c r="A1215" s="77">
        <v>267</v>
      </c>
      <c r="B1215" t="s">
        <v>124</v>
      </c>
      <c r="C1215" s="59" t="s">
        <v>253</v>
      </c>
      <c r="D1215" s="97" t="e">
        <f>_xlfn.XLOOKUP(A1215,[1]CPD_SOP_new!$A:$A,[1]CPD_SOP_new!#REF!,"not found",0 )</f>
        <v>#REF!</v>
      </c>
      <c r="E1215" s="97" t="s">
        <v>26</v>
      </c>
      <c r="F1215" t="s">
        <v>28</v>
      </c>
      <c r="G1215" t="s">
        <v>28</v>
      </c>
      <c r="H1215" t="s">
        <v>28</v>
      </c>
      <c r="I1215" t="s">
        <v>28</v>
      </c>
      <c r="J1215" t="s">
        <v>124</v>
      </c>
      <c r="K1215" s="85" t="str">
        <f t="shared" si="18"/>
        <v>/mnt/measurements/07_CANape/Mitsubishi/5K45/MMC5.0.2/5K457EG11/RealChild/CSR_XCP_Signals_Recorder_2026-01-23_15-58-26_CPD_TC267_Try1.MF4.xz,child,RadarFC_Master,child (ncap3),CPD,realchild</v>
      </c>
      <c r="L1215" s="85" t="s">
        <v>4286</v>
      </c>
      <c r="M1215" t="s">
        <v>1579</v>
      </c>
      <c r="N1215" t="s">
        <v>86</v>
      </c>
    </row>
    <row r="1216" spans="1:14">
      <c r="A1216" s="77">
        <v>267</v>
      </c>
      <c r="B1216" t="s">
        <v>124</v>
      </c>
      <c r="C1216" s="59" t="s">
        <v>253</v>
      </c>
      <c r="D1216" s="97" t="e">
        <f>_xlfn.XLOOKUP(A1216,[1]CPD_SOP_new!$A:$A,[1]CPD_SOP_new!#REF!,"not found",0 )</f>
        <v>#REF!</v>
      </c>
      <c r="E1216" s="97" t="s">
        <v>26</v>
      </c>
      <c r="F1216" t="s">
        <v>28</v>
      </c>
      <c r="G1216" t="s">
        <v>28</v>
      </c>
      <c r="H1216" t="s">
        <v>28</v>
      </c>
      <c r="I1216" t="s">
        <v>28</v>
      </c>
      <c r="J1216" t="s">
        <v>124</v>
      </c>
      <c r="K1216" s="85" t="str">
        <f t="shared" si="18"/>
        <v>/mnt/measurements/07_CANape/Mitsubishi/5K45/MMC5.0.2/5K457EG11/RealChild/CSR_XCP_Signals_Recorder_2026-01-23_16-00-01_CPD_TC267_Try2.MF4.xz,child,RadarFC_Master,child (ncap3),CPD,realchild</v>
      </c>
      <c r="L1216" s="85" t="s">
        <v>4287</v>
      </c>
      <c r="M1216" t="s">
        <v>1580</v>
      </c>
      <c r="N1216" t="s">
        <v>86</v>
      </c>
    </row>
    <row r="1217" spans="1:14">
      <c r="A1217" s="77">
        <v>267</v>
      </c>
      <c r="B1217" t="s">
        <v>124</v>
      </c>
      <c r="C1217" s="59" t="s">
        <v>253</v>
      </c>
      <c r="D1217" s="97" t="e">
        <f>_xlfn.XLOOKUP(A1217,[1]CPD_SOP_new!$A:$A,[1]CPD_SOP_new!#REF!,"not found",0 )</f>
        <v>#REF!</v>
      </c>
      <c r="E1217" s="97" t="s">
        <v>26</v>
      </c>
      <c r="F1217" t="s">
        <v>28</v>
      </c>
      <c r="G1217" t="s">
        <v>28</v>
      </c>
      <c r="H1217" t="s">
        <v>28</v>
      </c>
      <c r="I1217" t="s">
        <v>28</v>
      </c>
      <c r="J1217" t="s">
        <v>124</v>
      </c>
      <c r="K1217" s="85" t="str">
        <f t="shared" si="18"/>
        <v>/mnt/measurements/07_CANape/Mitsubishi/5K45/MMC5.0.2/5K457EG11/RealChild/CSR_XCP_Signals_Recorder_2026-01-23_16-03-00_CPD_TC267_Try4.MF4.xz,child,RadarFC_Master,child (ncap3),CPD,realchild</v>
      </c>
      <c r="L1217" s="85" t="s">
        <v>4288</v>
      </c>
      <c r="M1217" t="s">
        <v>1581</v>
      </c>
      <c r="N1217" t="s">
        <v>86</v>
      </c>
    </row>
    <row r="1218" spans="1:14">
      <c r="A1218" s="77">
        <v>267</v>
      </c>
      <c r="B1218" t="s">
        <v>124</v>
      </c>
      <c r="C1218" s="59" t="s">
        <v>253</v>
      </c>
      <c r="D1218" s="97" t="e">
        <f>_xlfn.XLOOKUP(A1218,[1]CPD_SOP_new!$A:$A,[1]CPD_SOP_new!#REF!,"not found",0 )</f>
        <v>#REF!</v>
      </c>
      <c r="E1218" s="97" t="s">
        <v>26</v>
      </c>
      <c r="F1218" t="s">
        <v>28</v>
      </c>
      <c r="G1218" t="s">
        <v>28</v>
      </c>
      <c r="H1218" t="s">
        <v>28</v>
      </c>
      <c r="I1218" t="s">
        <v>28</v>
      </c>
      <c r="J1218" t="s">
        <v>124</v>
      </c>
      <c r="K1218" s="85" t="str">
        <f t="shared" ref="K1218:K1223" si="19">N1218&amp;"/"&amp;M1218&amp;","&amp;IF(J1218="ncap3","child",J1218)&amp;",RadarFC_Master,"&amp;IF(J1218="ncap3","child",J1218)&amp;IF(B1218="ncap1,2"," ("&amp;B1218&amp;")","")&amp;IF(B1218="ncap3"," ("&amp;B1218&amp;")","")&amp;IF(B1218="multiple children"," (ncap1,2)","")&amp;IF(B1218="NB awake"," (ncap1,2)","")&amp;",CPD,"&amp;IF(F1218="Y","realchild","dummy")</f>
        <v>/mnt/measurements/07_CANape/Mitsubishi/5K45/MMC5.0.2/5K457EG11/RealChild/CSR_XCP_Signals_Recorder_2026-01-23_16-04-26_CPD_TC267_Try5.MF4.xz,child,RadarFC_Master,child (ncap3),CPD,realchild</v>
      </c>
      <c r="L1218" s="85" t="s">
        <v>4289</v>
      </c>
      <c r="M1218" t="s">
        <v>1582</v>
      </c>
      <c r="N1218" t="s">
        <v>86</v>
      </c>
    </row>
    <row r="1219" spans="1:14">
      <c r="A1219" s="77">
        <v>268</v>
      </c>
      <c r="B1219" t="s">
        <v>124</v>
      </c>
      <c r="C1219" s="59" t="s">
        <v>253</v>
      </c>
      <c r="D1219" s="97" t="e">
        <f>_xlfn.XLOOKUP(A1219,[1]CPD_SOP_new!$A:$A,[1]CPD_SOP_new!#REF!,"not found",0 )</f>
        <v>#REF!</v>
      </c>
      <c r="E1219" s="97" t="s">
        <v>26</v>
      </c>
      <c r="F1219" t="s">
        <v>28</v>
      </c>
      <c r="G1219" t="s">
        <v>28</v>
      </c>
      <c r="H1219" t="s">
        <v>28</v>
      </c>
      <c r="I1219" t="s">
        <v>28</v>
      </c>
      <c r="J1219" t="s">
        <v>124</v>
      </c>
      <c r="K1219" s="85" t="str">
        <f t="shared" si="19"/>
        <v>/mnt/measurements/07_CANape/Mitsubishi/5K45/MMC5.0.2/5K457EG11/RealChild/CSR_XCP_Signals_Recorder_2026-01-23_16-56-27_CPD_TC268_Try1.MF4.xz,child,RadarFC_Master,child (ncap3),CPD,realchild</v>
      </c>
      <c r="L1219" s="85" t="s">
        <v>4290</v>
      </c>
      <c r="M1219" t="s">
        <v>1583</v>
      </c>
      <c r="N1219" t="s">
        <v>86</v>
      </c>
    </row>
    <row r="1220" spans="1:14">
      <c r="A1220" s="77">
        <v>268</v>
      </c>
      <c r="B1220" t="s">
        <v>124</v>
      </c>
      <c r="C1220" s="59" t="s">
        <v>253</v>
      </c>
      <c r="D1220" s="97" t="e">
        <f>_xlfn.XLOOKUP(A1220,[1]CPD_SOP_new!$A:$A,[1]CPD_SOP_new!#REF!,"not found",0 )</f>
        <v>#REF!</v>
      </c>
      <c r="E1220" s="97" t="s">
        <v>26</v>
      </c>
      <c r="F1220" t="s">
        <v>28</v>
      </c>
      <c r="G1220" t="s">
        <v>28</v>
      </c>
      <c r="H1220" t="s">
        <v>28</v>
      </c>
      <c r="I1220" t="s">
        <v>28</v>
      </c>
      <c r="J1220" t="s">
        <v>124</v>
      </c>
      <c r="K1220" s="85" t="str">
        <f t="shared" si="19"/>
        <v>/mnt/measurements/07_CANape/Mitsubishi/5K45/MMC5.0.2/5K457EG11/RealChild/CSR_XCP_Signals_Recorder_2026-01-23_16-58-05_CPD_TC268_Try2.MF4.xz,child,RadarFC_Master,child (ncap3),CPD,realchild</v>
      </c>
      <c r="L1220" s="85" t="s">
        <v>4291</v>
      </c>
      <c r="M1220" t="s">
        <v>1585</v>
      </c>
      <c r="N1220" t="s">
        <v>86</v>
      </c>
    </row>
    <row r="1221" spans="1:14">
      <c r="A1221" s="77">
        <v>268</v>
      </c>
      <c r="B1221" t="s">
        <v>124</v>
      </c>
      <c r="C1221" s="59" t="s">
        <v>253</v>
      </c>
      <c r="D1221" s="97" t="e">
        <f>_xlfn.XLOOKUP(A1221,[1]CPD_SOP_new!$A:$A,[1]CPD_SOP_new!#REF!,"not found",0 )</f>
        <v>#REF!</v>
      </c>
      <c r="E1221" s="97" t="s">
        <v>26</v>
      </c>
      <c r="F1221" t="s">
        <v>28</v>
      </c>
      <c r="G1221" t="s">
        <v>28</v>
      </c>
      <c r="H1221" t="s">
        <v>28</v>
      </c>
      <c r="I1221" t="s">
        <v>28</v>
      </c>
      <c r="J1221" t="s">
        <v>124</v>
      </c>
      <c r="K1221" s="85" t="str">
        <f t="shared" si="19"/>
        <v>/mnt/measurements/07_CANape/Mitsubishi/5K45/MMC5.0.2/5K457EG11/RealChild/CSR_XCP_Signals_Recorder_2026-01-23_16-59-34_CPD_TC268_Try3.MF4.xz,child,RadarFC_Master,child (ncap3),CPD,realchild</v>
      </c>
      <c r="L1221" s="85" t="s">
        <v>4292</v>
      </c>
      <c r="M1221" t="s">
        <v>1586</v>
      </c>
      <c r="N1221" t="s">
        <v>86</v>
      </c>
    </row>
    <row r="1222" spans="1:14">
      <c r="A1222" s="77">
        <v>268</v>
      </c>
      <c r="B1222" t="s">
        <v>124</v>
      </c>
      <c r="C1222" s="59" t="s">
        <v>253</v>
      </c>
      <c r="D1222" s="97" t="e">
        <f>_xlfn.XLOOKUP(A1222,[1]CPD_SOP_new!$A:$A,[1]CPD_SOP_new!#REF!,"not found",0 )</f>
        <v>#REF!</v>
      </c>
      <c r="E1222" s="97" t="s">
        <v>26</v>
      </c>
      <c r="F1222" t="s">
        <v>28</v>
      </c>
      <c r="G1222" t="s">
        <v>28</v>
      </c>
      <c r="H1222" t="s">
        <v>28</v>
      </c>
      <c r="I1222" t="s">
        <v>28</v>
      </c>
      <c r="J1222" t="s">
        <v>124</v>
      </c>
      <c r="K1222" s="85" t="str">
        <f t="shared" si="19"/>
        <v>/mnt/measurements/07_CANape/Mitsubishi/5K45/MMC5.0.2/5K457EG11/RealChild/CSR_XCP_Signals_Recorder_2026-01-23_17-01-03_CPD_TC268_Try4.MF4.xz,child,RadarFC_Master,child (ncap3),CPD,realchild</v>
      </c>
      <c r="L1222" s="85" t="s">
        <v>4293</v>
      </c>
      <c r="M1222" t="s">
        <v>1587</v>
      </c>
      <c r="N1222" t="s">
        <v>86</v>
      </c>
    </row>
    <row r="1223" spans="1:14">
      <c r="A1223" s="77">
        <v>268</v>
      </c>
      <c r="B1223" t="s">
        <v>124</v>
      </c>
      <c r="C1223" s="59" t="s">
        <v>253</v>
      </c>
      <c r="D1223" s="97" t="e">
        <f>_xlfn.XLOOKUP(A1223,[1]CPD_SOP_new!$A:$A,[1]CPD_SOP_new!#REF!,"not found",0 )</f>
        <v>#REF!</v>
      </c>
      <c r="E1223" s="97" t="s">
        <v>26</v>
      </c>
      <c r="F1223" t="s">
        <v>28</v>
      </c>
      <c r="G1223" t="s">
        <v>28</v>
      </c>
      <c r="H1223" t="s">
        <v>28</v>
      </c>
      <c r="I1223" t="s">
        <v>28</v>
      </c>
      <c r="J1223" t="s">
        <v>124</v>
      </c>
      <c r="K1223" s="85" t="str">
        <f t="shared" si="19"/>
        <v>/mnt/measurements/07_CANape/Mitsubishi/5K45/MMC5.0.2/5K457EG11/RealChild/CSR_XCP_Signals_Recorder_2026-01-23_17-02-35_CPD_TC268_Try5.MF4.xz,child,RadarFC_Master,child (ncap3),CPD,realchild</v>
      </c>
      <c r="L1223" s="85" t="s">
        <v>4294</v>
      </c>
      <c r="M1223" t="s">
        <v>1588</v>
      </c>
      <c r="N1223" t="s">
        <v>86</v>
      </c>
    </row>
  </sheetData>
  <autoFilter ref="A1:U1223" xr:uid="{00000000-0009-0000-0000-000002000000}">
    <filterColumn colId="0">
      <filters>
        <filter val="10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2"/>
        <filter val="126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4"/>
        <filter val="140"/>
        <filter val="142"/>
        <filter val="144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"/>
        <filter val="162"/>
        <filter val="166"/>
        <filter val="167"/>
        <filter val="168"/>
        <filter val="169"/>
        <filter val="17"/>
        <filter val="170"/>
        <filter val="171"/>
        <filter val="172"/>
        <filter val="173"/>
        <filter val="176"/>
        <filter val="18"/>
        <filter val="182"/>
        <filter val="183"/>
        <filter val="184"/>
        <filter val="185"/>
        <filter val="186"/>
        <filter val="187"/>
        <filter val="188"/>
        <filter val="189"/>
        <filter val="19"/>
        <filter val="190"/>
        <filter val="191"/>
        <filter val="192"/>
        <filter val="193"/>
        <filter val="194"/>
        <filter val="195"/>
        <filter val="196"/>
        <filter val="197"/>
        <filter val="198"/>
        <filter val="2"/>
        <filter val="20"/>
        <filter val="20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"/>
        <filter val="221"/>
        <filter val="223"/>
        <filter val="225"/>
        <filter val="226"/>
        <filter val="229"/>
        <filter val="23"/>
        <filter val="230"/>
        <filter val="231"/>
        <filter val="232"/>
        <filter val="235"/>
        <filter val="236"/>
        <filter val="238"/>
        <filter val="239"/>
        <filter val="24"/>
        <filter val="240"/>
        <filter val="243"/>
        <filter val="244"/>
        <filter val="247"/>
        <filter val="248"/>
        <filter val="249"/>
        <filter val="25"/>
        <filter val="251"/>
        <filter val="252"/>
        <filter val="253"/>
        <filter val="257"/>
        <filter val="258"/>
        <filter val="26"/>
        <filter val="261"/>
        <filter val="262"/>
        <filter val="263"/>
        <filter val="264"/>
        <filter val="265"/>
        <filter val="266"/>
        <filter val="267"/>
        <filter val="268"/>
        <filter val="27"/>
        <filter val="28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84"/>
        <filter val="85"/>
        <filter val="86"/>
        <filter val="9"/>
        <filter val="90"/>
        <filter val="91"/>
        <filter val="92"/>
        <filter val="93"/>
        <filter val="94"/>
        <filter val="95"/>
        <filter val="96"/>
        <filter val="99"/>
      </filters>
    </filterColumn>
    <filterColumn colId="8">
      <filters>
        <filter val="Y"/>
      </filters>
    </filterColumn>
    <sortState xmlns:xlrd2="http://schemas.microsoft.com/office/spreadsheetml/2017/richdata2" ref="A12:U1223">
      <sortCondition ref="A1:A1223"/>
    </sortState>
  </autoFilter>
  <conditionalFormatting sqref="M11">
    <cfRule type="duplicateValues" dxfId="91" priority="43"/>
  </conditionalFormatting>
  <conditionalFormatting sqref="M12">
    <cfRule type="duplicateValues" dxfId="90" priority="42"/>
  </conditionalFormatting>
  <conditionalFormatting sqref="M21">
    <cfRule type="duplicateValues" dxfId="89" priority="40"/>
  </conditionalFormatting>
  <conditionalFormatting sqref="M22">
    <cfRule type="duplicateValues" dxfId="88" priority="41"/>
  </conditionalFormatting>
  <conditionalFormatting sqref="M34">
    <cfRule type="duplicateValues" dxfId="87" priority="39"/>
  </conditionalFormatting>
  <conditionalFormatting sqref="M39">
    <cfRule type="duplicateValues" dxfId="86" priority="38"/>
  </conditionalFormatting>
  <conditionalFormatting sqref="M40">
    <cfRule type="duplicateValues" dxfId="85" priority="37"/>
  </conditionalFormatting>
  <conditionalFormatting sqref="M41">
    <cfRule type="duplicateValues" dxfId="84" priority="36"/>
  </conditionalFormatting>
  <conditionalFormatting sqref="M52">
    <cfRule type="duplicateValues" dxfId="83" priority="35"/>
  </conditionalFormatting>
  <conditionalFormatting sqref="M53">
    <cfRule type="duplicateValues" dxfId="82" priority="34"/>
  </conditionalFormatting>
  <conditionalFormatting sqref="M54:M55">
    <cfRule type="duplicateValues" dxfId="81" priority="33"/>
  </conditionalFormatting>
  <conditionalFormatting sqref="M79">
    <cfRule type="duplicateValues" dxfId="80" priority="32"/>
  </conditionalFormatting>
  <conditionalFormatting sqref="M80">
    <cfRule type="duplicateValues" dxfId="79" priority="1"/>
  </conditionalFormatting>
  <conditionalFormatting sqref="M116">
    <cfRule type="duplicateValues" dxfId="78" priority="31"/>
  </conditionalFormatting>
  <conditionalFormatting sqref="M117">
    <cfRule type="duplicateValues" dxfId="77" priority="30"/>
  </conditionalFormatting>
  <conditionalFormatting sqref="M134:M136">
    <cfRule type="duplicateValues" dxfId="76" priority="29"/>
  </conditionalFormatting>
  <conditionalFormatting sqref="M140">
    <cfRule type="duplicateValues" dxfId="75" priority="28"/>
  </conditionalFormatting>
  <conditionalFormatting sqref="M141:M145">
    <cfRule type="duplicateValues" dxfId="74" priority="27"/>
  </conditionalFormatting>
  <conditionalFormatting sqref="M146">
    <cfRule type="duplicateValues" dxfId="73" priority="26"/>
  </conditionalFormatting>
  <conditionalFormatting sqref="M152:M154">
    <cfRule type="duplicateValues" dxfId="72" priority="25"/>
  </conditionalFormatting>
  <conditionalFormatting sqref="M163:M165">
    <cfRule type="duplicateValues" dxfId="71" priority="24"/>
  </conditionalFormatting>
  <conditionalFormatting sqref="M177">
    <cfRule type="duplicateValues" dxfId="70" priority="23"/>
  </conditionalFormatting>
  <conditionalFormatting sqref="M178">
    <cfRule type="duplicateValues" dxfId="69" priority="22"/>
  </conditionalFormatting>
  <conditionalFormatting sqref="M182:M184">
    <cfRule type="duplicateValues" dxfId="68" priority="21"/>
  </conditionalFormatting>
  <conditionalFormatting sqref="M185:M189">
    <cfRule type="duplicateValues" dxfId="67" priority="20"/>
  </conditionalFormatting>
  <conditionalFormatting sqref="M193:M197">
    <cfRule type="duplicateValues" dxfId="66" priority="19"/>
  </conditionalFormatting>
  <conditionalFormatting sqref="M198:M202">
    <cfRule type="duplicateValues" dxfId="65" priority="18"/>
  </conditionalFormatting>
  <conditionalFormatting sqref="M206:M210">
    <cfRule type="duplicateValues" dxfId="64" priority="46"/>
  </conditionalFormatting>
  <conditionalFormatting sqref="M238">
    <cfRule type="duplicateValues" dxfId="63" priority="17"/>
  </conditionalFormatting>
  <conditionalFormatting sqref="M239:M248 M250:M260">
    <cfRule type="duplicateValues" dxfId="62" priority="44"/>
  </conditionalFormatting>
  <conditionalFormatting sqref="M296">
    <cfRule type="duplicateValues" dxfId="61" priority="16"/>
  </conditionalFormatting>
  <conditionalFormatting sqref="M297">
    <cfRule type="duplicateValues" dxfId="60" priority="15"/>
  </conditionalFormatting>
  <conditionalFormatting sqref="M302">
    <cfRule type="duplicateValues" dxfId="59" priority="14"/>
  </conditionalFormatting>
  <conditionalFormatting sqref="M303:M321">
    <cfRule type="duplicateValues" dxfId="58" priority="45"/>
  </conditionalFormatting>
  <conditionalFormatting sqref="M327:M331">
    <cfRule type="duplicateValues" dxfId="57" priority="13"/>
  </conditionalFormatting>
  <conditionalFormatting sqref="M354">
    <cfRule type="duplicateValues" dxfId="56" priority="12"/>
  </conditionalFormatting>
  <conditionalFormatting sqref="M375">
    <cfRule type="duplicateValues" dxfId="55" priority="11"/>
  </conditionalFormatting>
  <conditionalFormatting sqref="M397">
    <cfRule type="duplicateValues" dxfId="54" priority="10"/>
  </conditionalFormatting>
  <conditionalFormatting sqref="M408:M412">
    <cfRule type="duplicateValues" dxfId="53" priority="9"/>
  </conditionalFormatting>
  <conditionalFormatting sqref="M428:M432">
    <cfRule type="duplicateValues" dxfId="52" priority="8"/>
  </conditionalFormatting>
  <conditionalFormatting sqref="M436:M439">
    <cfRule type="duplicateValues" dxfId="51" priority="7"/>
  </conditionalFormatting>
  <conditionalFormatting sqref="M455:M462">
    <cfRule type="duplicateValues" dxfId="50" priority="6"/>
  </conditionalFormatting>
  <conditionalFormatting sqref="M513:M521">
    <cfRule type="duplicateValues" dxfId="49" priority="5"/>
  </conditionalFormatting>
  <conditionalFormatting sqref="M760">
    <cfRule type="duplicateValues" dxfId="48" priority="4"/>
  </conditionalFormatting>
  <conditionalFormatting sqref="M761">
    <cfRule type="duplicateValues" dxfId="47" priority="3"/>
  </conditionalFormatting>
  <conditionalFormatting sqref="M822:M824">
    <cfRule type="duplicateValues" dxfId="46" priority="2"/>
  </conditionalFormatting>
  <hyperlinks>
    <hyperlink ref="N3" r:id="rId1" display="\\abtvdfs2.de.bosch.com\ismdfs\ilm\abt\IMS\Platform\400_Cabin_Sensing_Radar\20_Measurements\07_CANape\Mitsubishi\5K45\MMC4.1.2\Validation\2025_11_29\child\part1\Sleep" xr:uid="{00000000-0004-0000-0200-000000000000}"/>
    <hyperlink ref="N22" r:id="rId2" display="\\abt-soc501-dfs.de.bosch.com\XC_IMS_Platform\400_Cabin_Sensing_Radar\20_Measurements\07_CANape\Mitsubishi\5K45\5.2.0\5K457EG11\SmokeTest\CPD" xr:uid="{00000000-0004-0000-0200-000001000000}"/>
    <hyperlink ref="N33" r:id="rId3" display="\\abtvdfs2.de.bosch.com\ismdfs\ilm\abt\IMS\Platform\400_Cabin_Sensing_Radar\20_Measurements\07_CANape\Mitsubishi\5K45\MMC5.0.2\5K457EG11\RealChild" xr:uid="{00000000-0004-0000-0200-000002000000}"/>
    <hyperlink ref="N34" r:id="rId4" display="\\abtvdfs2.de.bosch.com\ismdfs\ilm\abt\IMS\Platform\400_Cabin_Sensing_Radar\20_Measurements\07_CANape\Mitsubishi\5K45\MMC5.0.2\5K457EG11\RealChild" xr:uid="{00000000-0004-0000-0200-000003000000}"/>
    <hyperlink ref="N35" r:id="rId5" display="\\abtvdfs2.de.bosch.com\ismdfs\ilm\abt\IMS\Platform\400_Cabin_Sensing_Radar\20_Measurements\07_CANape\Mitsubishi\5K45\MMC5.0.2\5K457EG11\RealChild" xr:uid="{00000000-0004-0000-0200-000004000000}"/>
    <hyperlink ref="N36" r:id="rId6" display="\\abtvdfs2.de.bosch.com\ismdfs\ilm\abt\IMS\Platform\400_Cabin_Sensing_Radar\20_Measurements\07_CANape\Mitsubishi\5K45\MMC5.0.2\5K457EG11\RealChild" xr:uid="{00000000-0004-0000-0200-000005000000}"/>
    <hyperlink ref="N37" r:id="rId7" display="\\abtvdfs2.de.bosch.com\ismdfs\ilm\abt\IMS\Platform\400_Cabin_Sensing_Radar\20_Measurements\07_CANape\Mitsubishi\5K45\MMC5.0.2\5K457EG11\RealChild" xr:uid="{00000000-0004-0000-0200-000006000000}"/>
    <hyperlink ref="N39" r:id="rId8" display="\\abtvdfs2.de.bosch.com\ismdfs\ilm\abt\IMS\Platform\400_Cabin_Sensing_Radar\20_Measurements\07_CANape\Mitsubishi\5K45\MMC5.0.1\5K457EG-11\Real_Child_Measurements" xr:uid="{00000000-0004-0000-0200-000007000000}"/>
    <hyperlink ref="N47" r:id="rId9" display="\\abtvdfs2.de.bosch.com\ismdfs\ilm\abt\IMS\Platform\400_Cabin_Sensing_Radar\20_Measurements\07_CANape\Mitsubishi\5K45\MMC5.0.1\5K457EG-11\Real_Child_Measurements" xr:uid="{00000000-0004-0000-0200-000008000000}"/>
    <hyperlink ref="N48" r:id="rId10" display="\\abtvdfs2.de.bosch.com\ismdfs\ilm\abt\IMS\Platform\400_Cabin_Sensing_Radar\20_Measurements\07_CANape\Mitsubishi\5K45\MMC5.0.1\5K457EG-11\Real_Child_Measurements" xr:uid="{00000000-0004-0000-0200-000009000000}"/>
    <hyperlink ref="N49" r:id="rId11" display="\\abtvdfs2.de.bosch.com\ismdfs\ilm\abt\IMS\Platform\400_Cabin_Sensing_Radar\20_Measurements\07_CANape\Mitsubishi\5K45\MMC5.0.1\5K457EG-11\Real_Child_Measurements" xr:uid="{00000000-0004-0000-0200-00000A000000}"/>
    <hyperlink ref="N50" r:id="rId12" display="\\abtvdfs2.de.bosch.com\ismdfs\ilm\abt\IMS\Platform\400_Cabin_Sensing_Radar\20_Measurements\07_CANape\Mitsubishi\5K45\MMC5.0.1\5K457EG-11\Real_Child_Measurements" xr:uid="{00000000-0004-0000-0200-00000B000000}"/>
    <hyperlink ref="N56" r:id="rId13" display="\\abt-soc501-dfs.de.bosch.com\XC_IMS_Platform\400_Cabin_Sensing_Radar\20_Measurements\07_CANape\Mitsubishi\5K45\MMC5.0.2\5K457MG57\SmokeTest" xr:uid="{00000000-0004-0000-0200-00000C000000}"/>
    <hyperlink ref="N57" r:id="rId14" display="\\abt-soc501-dfs.de.bosch.com\XC_IMS_Platform\400_Cabin_Sensing_Radar\20_Measurements\07_CANape\Mitsubishi\5K45\MMC5.1.1\5K457EG11\Smoke Tests" xr:uid="{00000000-0004-0000-0200-00000D000000}"/>
    <hyperlink ref="N58" r:id="rId15" display="\\abtvdfs2.de.bosch.com\ismdfs\ilm\abt\IMS\Platform\400_Cabin_Sensing_Radar\20_Measurements\07_CANape\Mitsubishi\5K45\MMC5.0.1\5K457EG-11\Real_Child_Measurements" xr:uid="{00000000-0004-0000-0200-00000E000000}"/>
    <hyperlink ref="N64" r:id="rId16" display="\\abtvdfs2.de.bosch.com\ismdfs\ilm\abt\IMS\Platform\400_Cabin_Sensing_Radar\20_Measurements\07_CANape\Mitsubishi\5K45\MMC5.0.1\5K457EG-11\Real_Child_Measurements" xr:uid="{00000000-0004-0000-0200-00000F000000}"/>
    <hyperlink ref="N65" r:id="rId17" display="\\abtvdfs2.de.bosch.com\ismdfs\ilm\abt\IMS\Platform\400_Cabin_Sensing_Radar\20_Measurements\07_CANape\Mitsubishi\5K45\MMC5.0.1\5K457EG-11\Real_Child_Measurements" xr:uid="{00000000-0004-0000-0200-000010000000}"/>
    <hyperlink ref="N66" r:id="rId18" display="\\abtvdfs2.de.bosch.com\ismdfs\ilm\abt\IMS\Platform\400_Cabin_Sensing_Radar\20_Measurements\07_CANape\Mitsubishi\5K45\MMC5.0.1\5K457EG-11\Real_Child_Measurements" xr:uid="{00000000-0004-0000-0200-000011000000}"/>
    <hyperlink ref="N68" r:id="rId19" display="\\abtvdfs2.de.bosch.com\ismdfs\ilm\abt\IMS\Platform\400_Cabin_Sensing_Radar\20_Measurements\07_CANape\Mitsubishi\5K45\MMC5.0.1\5K457EG-11\Real_Child_Measurements" xr:uid="{00000000-0004-0000-0200-000012000000}"/>
    <hyperlink ref="N84" r:id="rId20" display="\\abt-soc501-dfs.de.bosch.com\XC_IMS_Platform\400_Cabin_Sensing_Radar\20_Measurements\07_CANape\Mitsubishi\5K45\MMC4.1.2\Validation\2025_11_29\child\part1\Awake" xr:uid="{00000000-0004-0000-0200-000013000000}"/>
    <hyperlink ref="N85" r:id="rId21" display="\\abt-soc501-dfs.de.bosch.com\XC_IMS_Platform\400_Cabin_Sensing_Radar\20_Measurements\07_CANape\Mitsubishi\5K45\MMC4.1.2\Validation\2025_11_29\child\part1\Awake" xr:uid="{00000000-0004-0000-0200-000014000000}"/>
    <hyperlink ref="N91" r:id="rId22" display="\\abtvdfs2.de.bosch.com\ismdfs\ilm\abt\IMS\Platform\400_Cabin_Sensing_Radar\20_Measurements\07_CANape\Mitsubishi\5K45\5.2.0\5K457EG11\Real_Childs" xr:uid="{00000000-0004-0000-0200-000015000000}"/>
    <hyperlink ref="N92" r:id="rId23" display="\\abtvdfs2.de.bosch.com\ismdfs\ilm\abt\IMS\Platform\400_Cabin_Sensing_Radar\20_Measurements\07_CANape\Mitsubishi\5K45\5.2.0\5K457EG11\Real_Childs" xr:uid="{00000000-0004-0000-0200-000016000000}"/>
    <hyperlink ref="N94" r:id="rId24" display="\\abtvdfs2.de.bosch.com\ismdfs\ilm\abt\IMS\Platform\400_Cabin_Sensing_Radar\20_Measurements\07_CANape\Mitsubishi\5K45\5.2.0\5K457EG11\Real_Childs" xr:uid="{00000000-0004-0000-0200-000017000000}"/>
    <hyperlink ref="N100" r:id="rId25" display="\\abtvdfs2.de.bosch.com\ismdfs\ilm\abt\IMS\Platform\400_Cabin_Sensing_Radar\20_Measurements\07_CANape\Mitsubishi\5K45\MMC4.1.2\Validation\child\Awake" xr:uid="{00000000-0004-0000-0200-000018000000}"/>
    <hyperlink ref="N101" r:id="rId26" display="\\abtvdfs2.de.bosch.com\ismdfs\ilm\abt\IMS\Platform\400_Cabin_Sensing_Radar\20_Measurements\07_CANape\Mitsubishi\5K45\MMC4.1.2\Validation\child\Awake" xr:uid="{00000000-0004-0000-0200-000019000000}"/>
    <hyperlink ref="N103" r:id="rId27" display="\\abt-soc501-dfs.de.bosch.com\XC_IMS_Platform\400_Cabin_Sensing_Radar\20_Measurements\07_CANape\Mitsubishi\5K45\MMC4.1.2\Validation\2025_11_29\child\part1\Awake" xr:uid="{00000000-0004-0000-0200-00001A000000}"/>
    <hyperlink ref="N104" r:id="rId28" display="\\abtvdfs2.de.bosch.com\ismdfs\ilm\abt\IMS\Platform\400_Cabin_Sensing_Radar\20_Measurements\07_CANape\Mitsubishi\5K45\5.2.0\5K457EG11\Real_Childs" xr:uid="{00000000-0004-0000-0200-00001B000000}"/>
    <hyperlink ref="N105" r:id="rId29" display="\\abtvdfs2.de.bosch.com\ismdfs\ilm\abt\IMS\Platform\400_Cabin_Sensing_Radar\20_Measurements\07_CANape\Mitsubishi\5K45\5.2.0\5K457EG11\Real_Childs" xr:uid="{00000000-0004-0000-0200-00001C000000}"/>
    <hyperlink ref="N124" r:id="rId30" display="\\abtvdfs2.de.bosch.com\ismdfs\ilm\abt\IMS\Platform\400_Cabin_Sensing_Radar\20_Measurements\07_CANape\Mitsubishi\5K45\MMC5.0.0_RC3\Real_Child_Tests" xr:uid="{00000000-0004-0000-0200-00001D000000}"/>
    <hyperlink ref="N125" r:id="rId31" display="\\abtvdfs2.de.bosch.com\ismdfs\ilm\abt\IMS\Platform\400_Cabin_Sensing_Radar\20_Measurements\07_CANape\Mitsubishi\5K45\MMC5.0.0_RC3\Real_Child_Tests" xr:uid="{00000000-0004-0000-0200-00001E000000}"/>
    <hyperlink ref="N126" r:id="rId32" display="\\abtvdfs2.de.bosch.com\ismdfs\ilm\abt\IMS\Platform\400_Cabin_Sensing_Radar\20_Measurements\07_CANape\Mitsubishi\5K45\MMC5.0.0_RC3\Real_Child_Tests" xr:uid="{00000000-0004-0000-0200-00001F000000}"/>
    <hyperlink ref="N130" r:id="rId33" display="\\abtvdfs2.de.bosch.com\ismdfs\ilm\abt\IMS\Platform\400_Cabin_Sensing_Radar\20_Measurements\07_CANape\Mitsubishi\5K45\MMC5.0.0_RC3\Real_Child_Tests" xr:uid="{00000000-0004-0000-0200-000020000000}"/>
    <hyperlink ref="N131" r:id="rId34" display="\\abtvdfs2.de.bosch.com\ismdfs\ilm\abt\IMS\Platform\400_Cabin_Sensing_Radar\20_Measurements\07_CANape\Mitsubishi\5K45\MMC5.0.0_RC3\Real_Child_Tests" xr:uid="{00000000-0004-0000-0200-000021000000}"/>
    <hyperlink ref="N132" r:id="rId35" display="\\abtvdfs2.de.bosch.com\ismdfs\ilm\abt\IMS\Platform\400_Cabin_Sensing_Radar\20_Measurements\07_CANape\Mitsubishi\5K45\MMC5.0.0_RC3\Real_Child_Tests" xr:uid="{00000000-0004-0000-0200-000022000000}"/>
    <hyperlink ref="N136" r:id="rId36" display="\\abtvdfs2.de.bosch.com\ismdfs\ilm\abt\IMS\Platform\400_Cabin_Sensing_Radar\20_Measurements\07_CANape\Mitsubishi\5K45\MMC5.0.0_RC3\Real_Child_Tests" xr:uid="{00000000-0004-0000-0200-000023000000}"/>
    <hyperlink ref="N137" r:id="rId37" display="\\abtvdfs2.de.bosch.com\ismdfs\ilm\abt\IMS\Platform\400_Cabin_Sensing_Radar\20_Measurements\07_CANape\Mitsubishi\5K45\MMC5.0.0_RC3\Real_Child_Tests" xr:uid="{00000000-0004-0000-0200-000024000000}"/>
    <hyperlink ref="N138" r:id="rId38" display="\\abtvdfs2.de.bosch.com\ismdfs\ilm\abt\IMS\Platform\400_Cabin_Sensing_Radar\20_Measurements\07_CANape\Mitsubishi\5K45\MMC5.0.0_RC3\Real_Child_Tests" xr:uid="{00000000-0004-0000-0200-000025000000}"/>
    <hyperlink ref="N139" r:id="rId39" display="\\abtvdfs2.de.bosch.com\ismdfs\ilm\abt\IMS\Platform\400_Cabin_Sensing_Radar\20_Measurements\07_CANape\Mitsubishi\5K45\MMC5.0.0_RC3\Real_Child_Tests" xr:uid="{00000000-0004-0000-0200-000026000000}"/>
    <hyperlink ref="N140" r:id="rId40" display="\\abtvdfs2.de.bosch.com\ismdfs\ilm\abt\IMS\Platform\400_Cabin_Sensing_Radar\20_Measurements\07_CANape\Mitsubishi\5K45\MMC4.1.2\Validation\2025_11_29\child\part2\Awake\" xr:uid="{00000000-0004-0000-0200-000027000000}"/>
    <hyperlink ref="N141" r:id="rId41" display="\\abtvdfs2.de.bosch.com\ismdfs\ilm\abt\IMS\Platform\400_Cabin_Sensing_Radar\20_Measurements\07_CANape\Mitsubishi\5K45\MMC4.1.2\Validation\2025_11_29\child\part2\Awake\" xr:uid="{00000000-0004-0000-0200-000028000000}"/>
    <hyperlink ref="N142" r:id="rId42" display="\\abtvdfs2.de.bosch.com\ismdfs\ilm\abt\IMS\Platform\400_Cabin_Sensing_Radar\20_Measurements\07_CANape\Mitsubishi\5K45\MMC4.1.2\Validation\2025_11_29\child\part2\Awake\" xr:uid="{00000000-0004-0000-0200-000029000000}"/>
    <hyperlink ref="N143" r:id="rId43" display="\\abtvdfs2.de.bosch.com\ismdfs\ilm\abt\IMS\Platform\400_Cabin_Sensing_Radar\20_Measurements\07_CANape\Mitsubishi\5K45\MMC5.0.0_RC3\Real_Child_Tests" xr:uid="{00000000-0004-0000-0200-00002A000000}"/>
    <hyperlink ref="N144" r:id="rId44" display="\\abtvdfs2.de.bosch.com\ismdfs\ilm\abt\IMS\Platform\400_Cabin_Sensing_Radar\20_Measurements\07_CANape\Mitsubishi\5K45\MMC5.0.0_RC3\Real_Child_Tests" xr:uid="{00000000-0004-0000-0200-00002B000000}"/>
    <hyperlink ref="N148" r:id="rId45" display="\\abtvdfs2.de.bosch.com\ismdfs\ilm\abt\IMS\Platform\400_Cabin_Sensing_Radar\20_Measurements\07_CANape\Mitsubishi\5K45\MMC5.0.0_RC3\Real_Child_Tests" xr:uid="{00000000-0004-0000-0200-00002C000000}"/>
    <hyperlink ref="N149" r:id="rId46" display="\\abtvdfs2.de.bosch.com\ismdfs\ilm\abt\IMS\Platform\400_Cabin_Sensing_Radar\20_Measurements\07_CANape\Mitsubishi\5K45\MMC5.0.0_RC3\Real_Child_Tests" xr:uid="{00000000-0004-0000-0200-00002D000000}"/>
    <hyperlink ref="N150" r:id="rId47" display="\\abtvdfs2.de.bosch.com\ismdfs\ilm\abt\IMS\Platform\400_Cabin_Sensing_Radar\20_Measurements\07_CANape\Mitsubishi\5K45\MMC5.0.0_RC3\Real_Child_Tests" xr:uid="{00000000-0004-0000-0200-00002E000000}"/>
    <hyperlink ref="N151" r:id="rId48" display="\\abtvdfs2.de.bosch.com\ismdfs\ilm\abt\IMS\Platform\400_Cabin_Sensing_Radar\20_Measurements\07_CANape\Mitsubishi\5K45\MMC5.0.0_RC3\Real_Child_Tests" xr:uid="{00000000-0004-0000-0200-00002F000000}"/>
    <hyperlink ref="N152" r:id="rId49" display="\\abtvdfs2.de.bosch.com\ismdfs\ilm\abt\IMS\Platform\400_Cabin_Sensing_Radar\20_Measurements\07_CANape\Mitsubishi\5K45\MMC5.0.0_RC3\Real_Child_Tests" xr:uid="{00000000-0004-0000-0200-000030000000}"/>
    <hyperlink ref="N153" r:id="rId50" display="\\abtvdfs2.de.bosch.com\ismdfs\ilm\abt\IMS\Platform\400_Cabin_Sensing_Radar\20_Measurements\07_CANape\Mitsubishi\5K45\MMC5.0.0_RC3\Real_Child_Tests" xr:uid="{00000000-0004-0000-0200-000031000000}"/>
    <hyperlink ref="N154" r:id="rId51" display="\\abtvdfs2.de.bosch.com\ismdfs\ilm\abt\IMS\Platform\400_Cabin_Sensing_Radar\20_Measurements\07_CANape\Mitsubishi\5K45\MMC4.1.2\Validation\2025_11_29\child\part2\Sleep\" xr:uid="{00000000-0004-0000-0200-000032000000}"/>
    <hyperlink ref="N155" r:id="rId52" display="\\abtvdfs2.de.bosch.com\ismdfs\ilm\abt\IMS\Platform\400_Cabin_Sensing_Radar\20_Measurements\07_CANape\Mitsubishi\5K45\MMC4.1.2\Validation\2025_11_29\child\part2\Sleep\" xr:uid="{00000000-0004-0000-0200-000033000000}"/>
    <hyperlink ref="N156" r:id="rId53" display="\\abtvdfs2.de.bosch.com\ismdfs\ilm\abt\IMS\Platform\400_Cabin_Sensing_Radar\20_Measurements\07_CANape\Mitsubishi\5K45\MMC4.1.2\Validation\2025_11_29\child\part2\Sleep\" xr:uid="{00000000-0004-0000-0200-000034000000}"/>
    <hyperlink ref="N158" r:id="rId54" display="\\abtvdfs2.de.bosch.com\ismdfs\ilm\abt\IMS\Platform\400_Cabin_Sensing_Radar\20_Measurements\07_CANape\Mitsubishi\5K45\MMC5.0.0_RC3\Real_Child_Tests" xr:uid="{00000000-0004-0000-0200-000035000000}"/>
    <hyperlink ref="N159" r:id="rId55" display="\\abtvdfs2.de.bosch.com\ismdfs\ilm\abt\IMS\Platform\400_Cabin_Sensing_Radar\20_Measurements\07_CANape\Mitsubishi\5K45\MMC5.0.0_RC3\Real_Child_Tests" xr:uid="{00000000-0004-0000-0200-000036000000}"/>
    <hyperlink ref="N160" r:id="rId56" display="\\abtvdfs2.de.bosch.com\ismdfs\ilm\abt\IMS\Platform\400_Cabin_Sensing_Radar\20_Measurements\07_CANape\Mitsubishi\5K45\MMC5.0.0_RC3\Real_Child_Tests" xr:uid="{00000000-0004-0000-0200-000037000000}"/>
    <hyperlink ref="N161" r:id="rId57" display="\\abtvdfs2.de.bosch.com\ismdfs\ilm\abt\IMS\Platform\400_Cabin_Sensing_Radar\20_Measurements\07_CANape\Mitsubishi\5K45\MMC5.0.0_RC3\Real_Child_Tests" xr:uid="{00000000-0004-0000-0200-000038000000}"/>
    <hyperlink ref="N181" r:id="rId58" display="\\abtvdfs2.de.bosch.com\ismdfs\ilm\abt\IMS\Platform\400_Cabin_Sensing_Radar\20_Measurements\07_CANape\Mitsubishi\5K45\MMC4.1.2\Validation\2025_11_29\child\part2\Sleep\" xr:uid="{00000000-0004-0000-0200-000039000000}"/>
    <hyperlink ref="N182" r:id="rId59" display="\\abtvdfs2.de.bosch.com\ismdfs\ilm\abt\IMS\Platform\400_Cabin_Sensing_Radar\20_Measurements\07_CANape\Mitsubishi\5K45\MMC4.1.2\Validation\2025_11_29\child\part2\Sleep\" xr:uid="{00000000-0004-0000-0200-00003A000000}"/>
    <hyperlink ref="N183" r:id="rId60" display="\\abtvdfs2.de.bosch.com\ismdfs\ilm\abt\IMS\Platform\400_Cabin_Sensing_Radar\20_Measurements\07_CANape\Mitsubishi\5K45\MMC4.1.2\Validation\2025_11_29\child\part2\Sleep\" xr:uid="{00000000-0004-0000-0200-00003B000000}"/>
    <hyperlink ref="N188" r:id="rId61" display="\\abtvdfs2.de.bosch.com\ismdfs\ilm\abt\IMS\Platform\400_Cabin_Sensing_Radar\20_Measurements\07_CANape\Mitsubishi\5K45\MMC5.0.0_RC3\Real_Child_Tests" xr:uid="{00000000-0004-0000-0200-00003C000000}"/>
    <hyperlink ref="N189" r:id="rId62" display="\\abtvdfs2.de.bosch.com\ismdfs\ilm\abt\IMS\Platform\400_Cabin_Sensing_Radar\20_Measurements\07_CANape\Mitsubishi\5K45\MMC5.0.0_RC3\Real_Child_Tests" xr:uid="{00000000-0004-0000-0200-00003D000000}"/>
    <hyperlink ref="N190" r:id="rId63" display="\\abtvdfs2.de.bosch.com\ismdfs\ilm\abt\IMS\Platform\400_Cabin_Sensing_Radar\20_Measurements\07_CANape\Mitsubishi\5K45\MMC5.0.0_RC3\Real_Child_Tests" xr:uid="{00000000-0004-0000-0200-00003E000000}"/>
    <hyperlink ref="N191" r:id="rId64" display="\\abtvdfs2.de.bosch.com\ismdfs\ilm\abt\IMS\Platform\400_Cabin_Sensing_Radar\20_Measurements\07_CANape\Mitsubishi\5K45\MMC5.0.0_RC3\Real_Child_Tests" xr:uid="{00000000-0004-0000-0200-00003F000000}"/>
    <hyperlink ref="N192" r:id="rId65" display="\\abtvdfs2.de.bosch.com\ismdfs\ilm\abt\IMS\Platform\400_Cabin_Sensing_Radar\20_Measurements\07_CANape\Mitsubishi\5K45\MMC5.0.0_RC3\Real_Child_Tests" xr:uid="{00000000-0004-0000-0200-000040000000}"/>
    <hyperlink ref="N203" r:id="rId66" display="\\abtvdfs2.de.bosch.com\ismdfs\ilm\abt\IMS\Platform\400_Cabin_Sensing_Radar\20_Measurements\07_CANape\Mitsubishi\5K45\MMC4.1.2\Validation\2025_11_29\child\part2\Sleep\" xr:uid="{00000000-0004-0000-0200-000041000000}"/>
    <hyperlink ref="N204" r:id="rId67" display="\\abtvdfs2.de.bosch.com\ismdfs\ilm\abt\IMS\Platform\400_Cabin_Sensing_Radar\20_Measurements\07_CANape\Mitsubishi\5K45\MMC4.1.2\Validation\2025_11_29\child\part2\Sleep\" xr:uid="{00000000-0004-0000-0200-000042000000}"/>
    <hyperlink ref="N205" r:id="rId68" display="\\abtvdfs2.de.bosch.com\ismdfs\ilm\abt\IMS\Platform\400_Cabin_Sensing_Radar\20_Measurements\07_CANape\Mitsubishi\5K45\MMC4.1.2\Validation\2025_11_29\child\part2\Sleep\" xr:uid="{00000000-0004-0000-0200-000043000000}"/>
    <hyperlink ref="N211" r:id="rId69" display="\\abtvdfs2.de.bosch.com\ismdfs\ilm\abt\IMS\Platform\400_Cabin_Sensing_Radar\20_Measurements\07_CANape\Mitsubishi\5K45\MMC5.0.0_RC3\Real_Child_Tests" xr:uid="{00000000-0004-0000-0200-000044000000}"/>
    <hyperlink ref="N212" r:id="rId70" display="\\abtvdfs2.de.bosch.com\ismdfs\ilm\abt\IMS\Platform\400_Cabin_Sensing_Radar\20_Measurements\07_CANape\Mitsubishi\5K45\MMC5.0.0_RC3\Real_Child_Tests" xr:uid="{00000000-0004-0000-0200-000045000000}"/>
    <hyperlink ref="N213" r:id="rId71" display="\\abtvdfs2.de.bosch.com\ismdfs\ilm\abt\IMS\Platform\400_Cabin_Sensing_Radar\20_Measurements\07_CANape\Mitsubishi\5K45\MMC5.0.0_RC3\Real_Child_Tests" xr:uid="{00000000-0004-0000-0200-000046000000}"/>
    <hyperlink ref="N214" r:id="rId72" display="\\abtvdfs2.de.bosch.com\ismdfs\ilm\abt\IMS\Platform\400_Cabin_Sensing_Radar\20_Measurements\07_CANape\Mitsubishi\5K45\MMC5.0.0_RC3\Real_Child_Tests" xr:uid="{00000000-0004-0000-0200-000047000000}"/>
    <hyperlink ref="N215" r:id="rId73" display="\\abtvdfs2.de.bosch.com\ismdfs\ilm\abt\IMS\Platform\400_Cabin_Sensing_Radar\20_Measurements\07_CANape\Mitsubishi\5K45\MMC5.0.0_RC3\Real_Child_Tests" xr:uid="{00000000-0004-0000-0200-000048000000}"/>
    <hyperlink ref="N286" r:id="rId74" display="\\abt-soc501-dfs.de.bosch.com\XC_IMS_Platform\400_Cabin_Sensing_Radar\20_Measurements\07_CANape\Mitsubishi\5K45\MMC4.1.2\Validation\2025_11_28\orderedByTargetType\child\Sleep" xr:uid="{00000000-0004-0000-0200-000049000000}"/>
    <hyperlink ref="N287" r:id="rId75" display="\\abt-soc501-dfs.de.bosch.com\XC_IMS_Platform\400_Cabin_Sensing_Radar\20_Measurements\07_CANape\Mitsubishi\5K45\MMC4.1.2\Validation\2025_11_28\orderedByTargetType\child\Sleep" xr:uid="{00000000-0004-0000-0200-00004A000000}"/>
    <hyperlink ref="N288" r:id="rId76" display="\\abt-soc501-dfs.de.bosch.com\XC_IMS_Platform\400_Cabin_Sensing_Radar\20_Measurements\07_CANape\Mitsubishi\5K45\MMC4.1.2\Validation\2025_11_28\orderedByTargetType\child\Sleep" xr:uid="{00000000-0004-0000-0200-00004B000000}"/>
    <hyperlink ref="N289" r:id="rId77" display="\\abtvdfs2.de.bosch.com\ismdfs\ilm\abt\IMS\Platform\400_Cabin_Sensing_Radar\20_Measurements\07_CANape\Mitsubishi\5K45\MMC5.0.0_RC3_with_resetfix\CPD\" xr:uid="{00000000-0004-0000-0200-00004C000000}"/>
    <hyperlink ref="N290" r:id="rId78" display="\\abtvdfs2.de.bosch.com\ismdfs\ilm\abt\IMS\Platform\400_Cabin_Sensing_Radar\20_Measurements\07_CANape\Mitsubishi\5K45\MMC5.0.0_RC3_with_resetfix\CPD\" xr:uid="{00000000-0004-0000-0200-00004D000000}"/>
    <hyperlink ref="N291" r:id="rId79" display="\\abtvdfs2.de.bosch.com\ismdfs\ilm\abt\IMS\Platform\400_Cabin_Sensing_Radar\20_Measurements\07_CANape\Mitsubishi\5K45\MMC5.0.0_RC3_with_resetfix\CPD\" xr:uid="{00000000-0004-0000-0200-00004E000000}"/>
    <hyperlink ref="N311" r:id="rId80" display="\\abtvdfs2.de.bosch.com\ismdfs\ilm\abt\IMS\Platform\400_Cabin_Sensing_Radar\20_Measurements\07_CANape\Mitsubishi\5K45\MMC5.0.0_RC3_with_resetfix\CPD\" xr:uid="{00000000-0004-0000-0200-00004F000000}"/>
    <hyperlink ref="N312" r:id="rId81" display="\\abtvdfs2.de.bosch.com\ismdfs\ilm\abt\IMS\Platform\400_Cabin_Sensing_Radar\20_Measurements\07_CANape\Mitsubishi\5K45\MMC5.0.0_RC3_with_resetfix\CPD\" xr:uid="{00000000-0004-0000-0200-000050000000}"/>
    <hyperlink ref="N313" r:id="rId82" display="\\abtvdfs2.de.bosch.com\ismdfs\ilm\abt\IMS\Platform\400_Cabin_Sensing_Radar\20_Measurements\07_CANape\Mitsubishi\5K45\MMC5.0.0_RC3_with_resetfix\CPD\" xr:uid="{00000000-0004-0000-0200-000051000000}"/>
    <hyperlink ref="N318" r:id="rId83" display="\\abtvdfs2.de.bosch.com\ismdfs\ilm\abt\IMS\Platform\400_Cabin_Sensing_Radar\20_Measurements\07_CANape\Mitsubishi\5K45\MMC5.0.1\5K457EG-11\Real_Child_Measurements" xr:uid="{00000000-0004-0000-0200-000052000000}"/>
    <hyperlink ref="N319" r:id="rId84" display="\\abtvdfs2.de.bosch.com\ismdfs\ilm\abt\IMS\Platform\400_Cabin_Sensing_Radar\20_Measurements\07_CANape\Mitsubishi\5K45\MMC5.0.1\5K457EG-11\Real_Child_Measurements" xr:uid="{00000000-0004-0000-0200-000053000000}"/>
    <hyperlink ref="N320" r:id="rId85" display="\\abtvdfs2.de.bosch.com\ismdfs\ilm\abt\IMS\Platform\400_Cabin_Sensing_Radar\20_Measurements\07_CANape\Mitsubishi\5K45\MMC5.0.1\5K457EG-11\Real_Child_Measurements" xr:uid="{00000000-0004-0000-0200-000054000000}"/>
    <hyperlink ref="N321" r:id="rId86" display="\\abtvdfs2.de.bosch.com\ismdfs\ilm\abt\IMS\Platform\400_Cabin_Sensing_Radar\20_Measurements\07_CANape\Mitsubishi\5K45\MMC5.0.1\5K457EG-11\Real_Child_Measurements" xr:uid="{00000000-0004-0000-0200-000055000000}"/>
    <hyperlink ref="N322" r:id="rId87" display="\\abtvdfs2.de.bosch.com\ismdfs\ilm\abt\IMS\Platform\400_Cabin_Sensing_Radar\20_Measurements\07_CANape\Mitsubishi\5K45\MMC5.0.0_RC3_with_resetfix\CPD\" xr:uid="{00000000-0004-0000-0200-000056000000}"/>
    <hyperlink ref="N323" r:id="rId88" display="\\abtvdfs2.de.bosch.com\ismdfs\ilm\abt\IMS\Platform\400_Cabin_Sensing_Radar\20_Measurements\07_CANape\Mitsubishi\5K45\MMC5.0.0_RC3_with_resetfix\CPD\" xr:uid="{00000000-0004-0000-0200-000057000000}"/>
    <hyperlink ref="N324" r:id="rId89" display="\\abtvdfs2.de.bosch.com\ismdfs\ilm\abt\IMS\Platform\400_Cabin_Sensing_Radar\20_Measurements\07_CANape\Mitsubishi\5K45\MMC5.0.0_RC3_with_resetfix\CPD\" xr:uid="{00000000-0004-0000-0200-000058000000}"/>
    <hyperlink ref="N338" r:id="rId90" display="\\abtvdfs2.de.bosch.com\ismdfs\ilm\abt\IMS\Platform\400_Cabin_Sensing_Radar\20_Measurements\07_CANape\Mitsubishi\5K45\MMC5.0.0_RC3_with_resetfix\CPD\" xr:uid="{00000000-0004-0000-0200-000059000000}"/>
    <hyperlink ref="N339" r:id="rId91" display="\\abtvdfs2.de.bosch.com\ismdfs\ilm\abt\IMS\Platform\400_Cabin_Sensing_Radar\20_Measurements\07_CANape\Mitsubishi\5K45\MMC5.0.0_RC3_with_resetfix\CPD\" xr:uid="{00000000-0004-0000-0200-00005A000000}"/>
    <hyperlink ref="N340" r:id="rId92" display="\\abtvdfs2.de.bosch.com\ismdfs\ilm\abt\IMS\Platform\400_Cabin_Sensing_Radar\20_Measurements\07_CANape\Mitsubishi\5K45\MMC5.0.0_RC3_with_resetfix\CPD\" xr:uid="{00000000-0004-0000-0200-00005B000000}"/>
    <hyperlink ref="N354" r:id="rId93" display="\\abtvdfs2.de.bosch.com\ismdfs\ilm\abt\IMS\Platform\400_Cabin_Sensing_Radar\20_Measurements\07_CANape\Mitsubishi\5K45\MMC5.0.0_RC3_with_resetfix\CPD\" xr:uid="{00000000-0004-0000-0200-00005C000000}"/>
    <hyperlink ref="N355" r:id="rId94" display="\\abtvdfs2.de.bosch.com\ismdfs\ilm\abt\IMS\Platform\400_Cabin_Sensing_Radar\20_Measurements\07_CANape\Mitsubishi\5K45\MMC5.0.0_RC3_with_resetfix\CPD\" xr:uid="{00000000-0004-0000-0200-00005D000000}"/>
    <hyperlink ref="N356" r:id="rId95" display="\\abtvdfs2.de.bosch.com\ismdfs\ilm\abt\IMS\Platform\400_Cabin_Sensing_Radar\20_Measurements\07_CANape\Mitsubishi\5K45\MMC5.0.0_RC3_with_resetfix\CPD\" xr:uid="{00000000-0004-0000-0200-00005E000000}"/>
    <hyperlink ref="N357" r:id="rId96" display="\\abtvdfs2.de.bosch.com\ismdfs\ilm\abt\IMS\Platform\400_Cabin_Sensing_Radar\20_Measurements\07_CANape\Mitsubishi\5K45\MMC5.0.1\5K457EG-11\Real_Child_Measurements" xr:uid="{00000000-0004-0000-0200-00005F000000}"/>
    <hyperlink ref="N404" r:id="rId97" display="\\abt-soc501-dfs.de.bosch.com\XC_IMS_Platform\400_Cabin_Sensing_Radar\20_Measurements\07_CANape\Mitsubishi\5K45\MMC4.1.2\Validation\2025_12_02\ChildAwake" xr:uid="{00000000-0004-0000-0200-000060000000}"/>
    <hyperlink ref="N483" r:id="rId98" display="\\abtvdfs2.de.bosch.com\ismdfs\ilm\abt\IMS\Platform\400_Cabin_Sensing_Radar\20_Measurements\07_CANape\Mitsubishi\5K45\MMC5.0.0_RC3\Real_Child_Tests" xr:uid="{00000000-0004-0000-0200-000061000000}"/>
    <hyperlink ref="N484" r:id="rId99" display="\\abtvdfs2.de.bosch.com\ismdfs\ilm\abt\IMS\Platform\400_Cabin_Sensing_Radar\20_Measurements\07_CANape\Mitsubishi\5K45\MMC5.0.0_RC3\Real_Child_Tests" xr:uid="{00000000-0004-0000-0200-000062000000}"/>
    <hyperlink ref="N485" r:id="rId100" display="\\abtvdfs2.de.bosch.com\ismdfs\ilm\abt\IMS\Platform\400_Cabin_Sensing_Radar\20_Measurements\07_CANape\Mitsubishi\5K45\MMC5.0.0_RC3\Real_Child_Tests" xr:uid="{00000000-0004-0000-0200-000063000000}"/>
    <hyperlink ref="N486" r:id="rId101" display="\\abtvdfs2.de.bosch.com\ismdfs\ilm\abt\IMS\Platform\400_Cabin_Sensing_Radar\20_Measurements\07_CANape\Mitsubishi\5K45\MMC5.0.0_RC3\Real_Child_Tests" xr:uid="{00000000-0004-0000-0200-000064000000}"/>
    <hyperlink ref="N487" r:id="rId102" display="\\abtvdfs2.de.bosch.com\ismdfs\ilm\abt\IMS\Platform\400_Cabin_Sensing_Radar\20_Measurements\07_CANape\Mitsubishi\5K45\MMC5.0.0_RC3\Real_Child_Tests" xr:uid="{00000000-0004-0000-0200-000065000000}"/>
    <hyperlink ref="N495" r:id="rId103" display="\\abtvdfs2.de.bosch.com\ismdfs\ilm\abt\IMS\Platform\400_Cabin_Sensing_Radar\20_Measurements\07_CANape\Mitsubishi\5K45\MMC5.0.1\5K457EG-11\Real_Child_Measurements" xr:uid="{00000000-0004-0000-0200-000066000000}"/>
    <hyperlink ref="N496" r:id="rId104" display="\\abtvdfs2.de.bosch.com\ismdfs\ilm\abt\IMS\Platform\400_Cabin_Sensing_Radar\20_Measurements\07_CANape\Mitsubishi\5K45\MMC5.0.1\5K457EG-11\Real_Child_Measurements" xr:uid="{00000000-0004-0000-0200-000067000000}"/>
    <hyperlink ref="N497" r:id="rId105" display="\\abtvdfs2.de.bosch.com\ismdfs\ilm\abt\IMS\Platform\400_Cabin_Sensing_Radar\20_Measurements\07_CANape\Mitsubishi\5K45\MMC5.0.1\5K457EG-11\Real_Child_Measurements" xr:uid="{00000000-0004-0000-0200-000068000000}"/>
    <hyperlink ref="N498" r:id="rId106" display="\\abtvdfs2.de.bosch.com\ismdfs\ilm\abt\IMS\Platform\400_Cabin_Sensing_Radar\20_Measurements\07_CANape\Mitsubishi\5K45\MMC5.0.1\5K457EG-11\Real_Child_Measurements" xr:uid="{00000000-0004-0000-0200-000069000000}"/>
    <hyperlink ref="N523" r:id="rId107" display="\\abtvdfs2.de.bosch.com\ismdfs\ilm\abt\IMS\Platform\400_Cabin_Sensing_Radar\20_Measurements\07_CANape\Mitsubishi\5K45\MMC5.0.0_RC3\Real_Child_Tests" xr:uid="{00000000-0004-0000-0200-00006A000000}"/>
    <hyperlink ref="N524" r:id="rId108" display="\\abtvdfs2.de.bosch.com\ismdfs\ilm\abt\IMS\Platform\400_Cabin_Sensing_Radar\20_Measurements\07_CANape\Mitsubishi\5K45\MMC5.0.0_RC3\Real_Child_Tests" xr:uid="{00000000-0004-0000-0200-00006B000000}"/>
    <hyperlink ref="N525" r:id="rId109" display="\\abtvdfs2.de.bosch.com\ismdfs\ilm\abt\IMS\Platform\400_Cabin_Sensing_Radar\20_Measurements\07_CANape\Mitsubishi\5K45\MMC5.0.0_RC3\Real_Child_Tests" xr:uid="{00000000-0004-0000-0200-00006C000000}"/>
    <hyperlink ref="N526" r:id="rId110" display="\\abtvdfs2.de.bosch.com\ismdfs\ilm\abt\IMS\Platform\400_Cabin_Sensing_Radar\20_Measurements\07_CANape\Mitsubishi\5K45\MMC5.0.0_RC3\Real_Child_Tests" xr:uid="{00000000-0004-0000-0200-00006D000000}"/>
    <hyperlink ref="N527" r:id="rId111" display="\\abtvdfs2.de.bosch.com\ismdfs\ilm\abt\IMS\Platform\400_Cabin_Sensing_Radar\20_Measurements\07_CANape\Mitsubishi\5K45\MMC5.0.0_RC3\Real_Child_Tests" xr:uid="{00000000-0004-0000-0200-00006E000000}"/>
    <hyperlink ref="N539" r:id="rId112" display="\\abtvdfs2.de.bosch.com\ismdfs\ilm\abt\IMS\Platform\400_Cabin_Sensing_Radar\20_Measurements\07_CANape\Mitsubishi\5K45\MMC4.1.2\Validation\2025_11_28\TC_103_Try1.MF4.xz" xr:uid="{00000000-0004-0000-0200-00006F000000}"/>
    <hyperlink ref="N540" r:id="rId113" display="\\abtvdfs2.de.bosch.com\ismdfs\ilm\abt\IMS\Platform\400_Cabin_Sensing_Radar\20_Measurements\07_CANape\Mitsubishi\5K45\MMC4.1.2\Validation\2025_11_28\TC_103_Try2.MF4.xz" xr:uid="{00000000-0004-0000-0200-000070000000}"/>
    <hyperlink ref="N541" r:id="rId114" display="\\abtvdfs2.de.bosch.com\ismdfs\ilm\abt\IMS\Platform\400_Cabin_Sensing_Radar\20_Measurements\07_CANape\Mitsubishi\5K45\MMC4.1.2\Validation\2025_11_28\TC_103_Try3.MF4.xz" xr:uid="{00000000-0004-0000-0200-000071000000}"/>
    <hyperlink ref="N542" r:id="rId115" display="\\abtvdfs2.de.bosch.com\ismdfs\ilm\abt\IMS\Platform\400_Cabin_Sensing_Radar\20_Measurements\07_CANape\Mitsubishi\5K45\MMC4.1.2\Validation\2025_11_28\TC_103_Try3_Retry.MF4.xz" xr:uid="{00000000-0004-0000-0200-000072000000}"/>
    <hyperlink ref="M724" r:id="rId116" display="\\abtvdfs2.de.bosch.com\ismdfs\ilm\abt\IMS\Platform\400_Cabin_Sensing_Radar\20_Measurements\07_CANape\Mitsubishi\5K45\MMC5.0.2\5K457EG11\CPD\CSR_XCP_Signals_Recorder_2026-01-26_11-23-32_CPD_TC182_Try5.MF4.xz" xr:uid="{00000000-0004-0000-0200-000073000000}"/>
    <hyperlink ref="N841" r:id="rId117" display="\\abtvdfs2.de.bosch.com\ismdfs\ilm\abt\IMS\Platform\400_Cabin_Sensing_Radar\20_Measurements\07_CANape\Mitsubishi\5K45\MMC5.0.0_RC3_with_resetfix\CPD" xr:uid="{00000000-0004-0000-0200-000074000000}"/>
    <hyperlink ref="N842" r:id="rId118" display="\\abtvdfs2.de.bosch.com\ismdfs\ilm\abt\IMS\Platform\400_Cabin_Sensing_Radar\20_Measurements\07_CANape\Mitsubishi\5K45\MMC5.0.0_RC3_with_resetfix\CPD" xr:uid="{00000000-0004-0000-0200-000075000000}"/>
    <hyperlink ref="N843" r:id="rId119" display="\\abtvdfs2.de.bosch.com\ismdfs\ilm\abt\IMS\Platform\400_Cabin_Sensing_Radar\20_Measurements\07_CANape\Mitsubishi\5K45\MMC5.0.0_RC3_with_resetfix\CPD" xr:uid="{00000000-0004-0000-0200-000076000000}"/>
    <hyperlink ref="N849" r:id="rId120" display="\\abtvdfs2.de.bosch.com\ismdfs\ilm\abt\IMS\Platform\400_Cabin_Sensing_Radar\20_Measurements\07_CANape\Mitsubishi\5K45\MMC5.0.0_RC3_with_resetfix\CPD" xr:uid="{00000000-0004-0000-0200-000077000000}"/>
    <hyperlink ref="N850" r:id="rId121" display="\\abtvdfs2.de.bosch.com\ismdfs\ilm\abt\IMS\Platform\400_Cabin_Sensing_Radar\20_Measurements\07_CANape\Mitsubishi\5K45\MMC5.0.0_RC3_with_resetfix\CPD" xr:uid="{00000000-0004-0000-0200-000078000000}"/>
    <hyperlink ref="N851" r:id="rId122" display="\\abtvdfs2.de.bosch.com\ismdfs\ilm\abt\IMS\Platform\400_Cabin_Sensing_Radar\20_Measurements\07_CANape\Mitsubishi\5K45\MMC5.0.0_RC3_with_resetfix\CPD" xr:uid="{00000000-0004-0000-0200-000079000000}"/>
    <hyperlink ref="N856" r:id="rId123" display="\\abtvdfs2.de.bosch.com\ismdfs\ilm\abt\IMS\Platform\400_Cabin_Sensing_Radar\20_Measurements\07_CANape\Mitsubishi\5K45\MMC5.0.0_RC3_with_resetfix\CPD" xr:uid="{00000000-0004-0000-0200-00007A000000}"/>
    <hyperlink ref="N857" r:id="rId124" display="\\abtvdfs2.de.bosch.com\ismdfs\ilm\abt\IMS\Platform\400_Cabin_Sensing_Radar\20_Measurements\07_CANape\Mitsubishi\5K45\MMC5.0.0_RC3_with_resetfix\CPD" xr:uid="{00000000-0004-0000-0200-00007B000000}"/>
    <hyperlink ref="N858" r:id="rId125" display="\\abtvdfs2.de.bosch.com\ismdfs\ilm\abt\IMS\Platform\400_Cabin_Sensing_Radar\20_Measurements\07_CANape\Mitsubishi\5K45\MMC5.0.0_RC3_with_resetfix\CPD" xr:uid="{00000000-0004-0000-0200-00007C000000}"/>
    <hyperlink ref="N890" r:id="rId126" display="\\abtvdfs2.de.bosch.com\ismdfs\ilm\abt\IMS\Platform\400_Cabin_Sensing_Radar\20_Measurements\07_CANape\Mitsubishi\5K45\MMC5.0.0_RC3_with_resetfix\CPD" xr:uid="{00000000-0004-0000-0200-00007D000000}"/>
    <hyperlink ref="N891" r:id="rId127" display="\\abtvdfs2.de.bosch.com\ismdfs\ilm\abt\IMS\Platform\400_Cabin_Sensing_Radar\20_Measurements\07_CANape\Mitsubishi\5K45\MMC5.0.0_RC3_with_resetfix\CPD" xr:uid="{00000000-0004-0000-0200-00007E000000}"/>
    <hyperlink ref="N892" r:id="rId128" display="\\abtvdfs2.de.bosch.com\ismdfs\ilm\abt\IMS\Platform\400_Cabin_Sensing_Radar\20_Measurements\07_CANape\Mitsubishi\5K45\MMC5.0.0_RC3_with_resetfix\CPD" xr:uid="{00000000-0004-0000-0200-00007F000000}"/>
    <hyperlink ref="N906" r:id="rId129" display="\\abtvdfs2.de.bosch.com\ismdfs\ilm\abt\IMS\Platform\400_Cabin_Sensing_Radar\20_Measurements\07_CANape\Mitsubishi\5K45\MMC4.1.2\Validation\child\Awake" xr:uid="{00000000-0004-0000-0200-000080000000}"/>
    <hyperlink ref="N913" r:id="rId130" display="\\abtvdfs2.de.bosch.com\ismdfs\ilm\abt\IMS\Platform\400_Cabin_Sensing_Radar\20_Measurements\07_CANape\Mitsubishi\5K45\MMC5.0.0_RC3_with_resetfix\CPD" xr:uid="{00000000-0004-0000-0200-000081000000}"/>
    <hyperlink ref="N914" r:id="rId131" display="\\abtvdfs2.de.bosch.com\ismdfs\ilm\abt\IMS\Platform\400_Cabin_Sensing_Radar\20_Measurements\07_CANape\Mitsubishi\5K45\MMC5.0.0_RC3_with_resetfix\CPD" xr:uid="{00000000-0004-0000-0200-000082000000}"/>
    <hyperlink ref="N915" r:id="rId132" display="\\abtvdfs2.de.bosch.com\ismdfs\ilm\abt\IMS\Platform\400_Cabin_Sensing_Radar\20_Measurements\07_CANape\Mitsubishi\5K45\MMC5.0.0_RC3_with_resetfix\CPD" xr:uid="{00000000-0004-0000-0200-000083000000}"/>
    <hyperlink ref="M920" r:id="rId133" display="\\abtvdfs2.de.bosch.com\ismdfs\ilm\abt\IMS\Platform\400_Cabin_Sensing_Radar\20_Measurements\07_CANape\Mitsubishi\5K45\5.3.0_RC6.2\5K457EG11\NB_Awake_with_Blanket\CSR_XCP_Signals_Recorder_2026-01-31_13-33-25_TC200_Reset.MF4.xz" xr:uid="{00000000-0004-0000-0200-000084000000}"/>
    <hyperlink ref="N931" r:id="rId134" display="\\abtvdfs2.de.bosch.com\ismdfs\ilm\abt\IMS\Platform\400_Cabin_Sensing_Radar\20_Measurements\07_CANape\Mitsubishi\5K45\MMC5.0.1\5K457EG-11\Real_Child_Measurements" xr:uid="{00000000-0004-0000-0200-000085000000}"/>
    <hyperlink ref="N946" r:id="rId135" display="\\abt-soc501-dfs.de.bosch.com\XC_IMS_Platform\400_Cabin_Sensing_Radar\20_Measurements\07_CANape\Mitsubishi\5K45\MMC5.0.2\5K457EG11\RealChild" xr:uid="{00000000-0004-0000-0200-000086000000}"/>
    <hyperlink ref="N968" r:id="rId136" display="\\abtvdfs2.de.bosch.com\ismdfs\ilm\abt\IMS\Platform\400_Cabin_Sensing_Radar\20_Measurements\07_CANape\Mitsubishi\5K45\MMC5.0.0_RC3_with_resetfix\CPD" xr:uid="{00000000-0004-0000-0200-000087000000}"/>
    <hyperlink ref="N969" r:id="rId137" display="\\abtvdfs2.de.bosch.com\ismdfs\ilm\abt\IMS\Platform\400_Cabin_Sensing_Radar\20_Measurements\07_CANape\Mitsubishi\5K45\MMC5.0.0_RC3_with_resetfix\CPD" xr:uid="{00000000-0004-0000-0200-000088000000}"/>
    <hyperlink ref="N970" r:id="rId138" display="\\abtvdfs2.de.bosch.com\ismdfs\ilm\abt\IMS\Platform\400_Cabin_Sensing_Radar\20_Measurements\07_CANape\Mitsubishi\5K45\MMC5.0.0_RC3_with_resetfix\CPD" xr:uid="{00000000-0004-0000-0200-000089000000}"/>
    <hyperlink ref="N971" r:id="rId139" display="\\abtvdfs2.de.bosch.com\ismdfs\ilm\abt\IMS\Platform\400_Cabin_Sensing_Radar\20_Measurements\07_CANape\Mitsubishi\5K45\MMC5.0.0_RC3_with_resetfix\CPD" xr:uid="{00000000-0004-0000-0200-00008A000000}"/>
    <hyperlink ref="N972" r:id="rId140" display="\\abtvdfs2.de.bosch.com\ismdfs\ilm\abt\IMS\Platform\400_Cabin_Sensing_Radar\20_Measurements\07_CANape\Mitsubishi\5K45\MMC5.0.0_RC3_with_resetfix\CPD" xr:uid="{00000000-0004-0000-0200-00008B000000}"/>
    <hyperlink ref="N973" r:id="rId141" display="\\abtvdfs2.de.bosch.com\ismdfs\ilm\abt\IMS\Platform\400_Cabin_Sensing_Radar\20_Measurements\07_CANape\Mitsubishi\5K45\MMC5.0.0_RC3_with_resetfix\CPD" xr:uid="{00000000-0004-0000-0200-00008C000000}"/>
    <hyperlink ref="N977" r:id="rId142" display="\\abtvdfs2.de.bosch.com\ismdfs\ilm\abt\IMS\Platform\400_Cabin_Sensing_Radar\20_Measurements\07_CANape\Mitsubishi\5K45\MMC5.0.0_RC3_with_resetfix\CPD" xr:uid="{00000000-0004-0000-0200-00008D000000}"/>
    <hyperlink ref="N978" r:id="rId143" display="\\abtvdfs2.de.bosch.com\ismdfs\ilm\abt\IMS\Platform\400_Cabin_Sensing_Radar\20_Measurements\07_CANape\Mitsubishi\5K45\MMC5.0.0_RC3_with_resetfix\CPD" xr:uid="{00000000-0004-0000-0200-00008E000000}"/>
    <hyperlink ref="N979" r:id="rId144" display="\\abtvdfs2.de.bosch.com\ismdfs\ilm\abt\IMS\Platform\400_Cabin_Sensing_Radar\20_Measurements\07_CANape\Mitsubishi\5K45\MMC5.0.0_RC3_with_resetfix\CPD" xr:uid="{00000000-0004-0000-0200-00008F000000}"/>
    <hyperlink ref="N1026" r:id="rId145" display="\\abtvdfs2.de.bosch.com\ismdfs\ilm\abt\IMS\Platform\400_Cabin_Sensing_Radar\20_Measurements\07_CANape\Mitsubishi\5K45\MMC5.0.1\5K457EG-11\Real_Child_Measurements" xr:uid="{00000000-0004-0000-0200-000090000000}"/>
    <hyperlink ref="N1027" r:id="rId146" display="\\abtvdfs2.de.bosch.com\ismdfs\ilm\abt\IMS\Platform\400_Cabin_Sensing_Radar\20_Measurements\07_CANape\Mitsubishi\5K45\MMC5.0.1\5K457EG-11\Real_Child_Measurements" xr:uid="{00000000-0004-0000-0200-000091000000}"/>
    <hyperlink ref="N1028" r:id="rId147" display="\\abtvdfs2.de.bosch.com\ismdfs\ilm\abt\IMS\Platform\400_Cabin_Sensing_Radar\20_Measurements\07_CANape\Mitsubishi\5K45\MMC5.0.1\5K457EG-11\Real_Child_Measurements" xr:uid="{00000000-0004-0000-0200-000092000000}"/>
    <hyperlink ref="N1029" r:id="rId148" display="\\abtvdfs2.de.bosch.com\ismdfs\ilm\abt\IMS\Platform\400_Cabin_Sensing_Radar\20_Measurements\07_CANape\Mitsubishi\5K45\MMC5.0.1\5K457EG-11\Real_Child_Measurements" xr:uid="{00000000-0004-0000-0200-000093000000}"/>
    <hyperlink ref="N1030" r:id="rId149" display="\\abtvdfs2.de.bosch.com\ismdfs\ilm\abt\IMS\Platform\400_Cabin_Sensing_Radar\20_Measurements\07_CANape\Mitsubishi\5K45\MMC5.0.1\5K457EG-11\Real_Child_Measurements" xr:uid="{00000000-0004-0000-0200-000094000000}"/>
    <hyperlink ref="N1040" r:id="rId150" display="\\abtvdfs2.de.bosch.com\ismdfs\ilm\abt\IMS\Platform\400_Cabin_Sensing_Radar\20_Measurements\07_CANape\Mitsubishi\5K45\MMC5.0.1\5K457EG-11\Real_Child_Measurements" xr:uid="{00000000-0004-0000-0200-000095000000}"/>
    <hyperlink ref="N1041" r:id="rId151" display="\\abtvdfs2.de.bosch.com\ismdfs\ilm\abt\IMS\Platform\400_Cabin_Sensing_Radar\20_Measurements\07_CANape\Mitsubishi\5K45\MMC5.0.1\5K457EG-11\Real_Child_Measurements" xr:uid="{00000000-0004-0000-0200-000096000000}"/>
    <hyperlink ref="N1042" r:id="rId152" display="\\abtvdfs2.de.bosch.com\ismdfs\ilm\abt\IMS\Platform\400_Cabin_Sensing_Radar\20_Measurements\07_CANape\Mitsubishi\5K45\MMC5.0.1\5K457EG-11\Real_Child_Measurements" xr:uid="{00000000-0004-0000-0200-000097000000}"/>
    <hyperlink ref="N1043" r:id="rId153" display="\\abtvdfs2.de.bosch.com\ismdfs\ilm\abt\IMS\Platform\400_Cabin_Sensing_Radar\20_Measurements\07_CANape\Mitsubishi\5K45\MMC5.0.1\5K457EG-11\Real_Child_Measurements" xr:uid="{00000000-0004-0000-0200-000098000000}"/>
    <hyperlink ref="N1044" r:id="rId154" display="\\abtvdfs2.de.bosch.com\ismdfs\ilm\abt\IMS\Platform\400_Cabin_Sensing_Radar\20_Measurements\07_CANape\Mitsubishi\5K45\MMC5.0.1\5K457EG-11\Real_Child_Measurements" xr:uid="{00000000-0004-0000-0200-000099000000}"/>
    <hyperlink ref="N1045" r:id="rId155" display="\\abtvdfs2.de.bosch.com\ismdfs\ilm\abt\IMS\Platform\400_Cabin_Sensing_Radar\20_Measurements\07_CANape\Mitsubishi\5K45\MMC5.0.1\5K457EG-11\Real_Child_Measurements" xr:uid="{00000000-0004-0000-0200-00009A000000}"/>
    <hyperlink ref="N1046" r:id="rId156" display="\\abtvdfs2.de.bosch.com\ismdfs\ilm\abt\IMS\Platform\400_Cabin_Sensing_Radar\20_Measurements\07_CANape\Mitsubishi\5K45\MMC5.0.1\5K457EG-11\Real_Child_Measurements" xr:uid="{00000000-0004-0000-0200-00009B000000}"/>
    <hyperlink ref="N1047" r:id="rId157" display="\\abtvdfs2.de.bosch.com\ismdfs\ilm\abt\IMS\Platform\400_Cabin_Sensing_Radar\20_Measurements\07_CANape\Mitsubishi\5K45\MMC5.0.1\5K457EG-11\Real_Child_Measurements" xr:uid="{00000000-0004-0000-0200-00009C000000}"/>
    <hyperlink ref="N1051" r:id="rId158" display="\\abtvdfs2.de.bosch.com\ismdfs\ilm\abt\IMS\Platform\400_Cabin_Sensing_Radar\20_Measurements\07_CANape\Mitsubishi\5K45\MMC5.0.1\5K457EG-11\Real_Child_Measurements" xr:uid="{00000000-0004-0000-0200-00009D000000}"/>
    <hyperlink ref="N1052" r:id="rId159" display="\\abtvdfs2.de.bosch.com\ismdfs\ilm\abt\IMS\Platform\400_Cabin_Sensing_Radar\20_Measurements\07_CANape\Mitsubishi\5K45\MMC5.0.1\5K457EG-11\Real_Child_Measurements" xr:uid="{00000000-0004-0000-0200-00009E000000}"/>
    <hyperlink ref="N1057" r:id="rId160" display="\\abtvdfs2.de.bosch.com\ismdfs\ilm\abt\IMS\Platform\400_Cabin_Sensing_Radar\20_Measurements\07_CANape\Mitsubishi\5K45\MMC5.0.1\5K457EG-11\Real_Child_Measurements" xr:uid="{00000000-0004-0000-0200-00009F000000}"/>
    <hyperlink ref="N1058" r:id="rId161" display="\\abtvdfs2.de.bosch.com\ismdfs\ilm\abt\IMS\Platform\400_Cabin_Sensing_Radar\20_Measurements\07_CANape\Mitsubishi\5K45\MMC5.0.1\5K457EG-11\Real_Child_Measurements" xr:uid="{00000000-0004-0000-0200-0000A0000000}"/>
    <hyperlink ref="N1059" r:id="rId162" display="\\abtvdfs2.de.bosch.com\ismdfs\ilm\abt\IMS\Platform\400_Cabin_Sensing_Radar\20_Measurements\07_CANape\Mitsubishi\5K45\MMC5.0.1\5K457EG-11\Real_Child_Measurements" xr:uid="{00000000-0004-0000-0200-0000A1000000}"/>
    <hyperlink ref="N1060" r:id="rId163" display="\\abtvdfs2.de.bosch.com\ismdfs\ilm\abt\IMS\Platform\400_Cabin_Sensing_Radar\20_Measurements\07_CANape\Mitsubishi\5K45\MMC5.0.1\5K457EG-11\Real_Child_Measurements" xr:uid="{00000000-0004-0000-0200-0000A2000000}"/>
    <hyperlink ref="N1061" r:id="rId164" display="\\abtvdfs2.de.bosch.com\ismdfs\ilm\abt\IMS\Platform\400_Cabin_Sensing_Radar\20_Measurements\07_CANape\Mitsubishi\5K45\MMC5.0.1\5K457EG-11\Real_Child_Measurements" xr:uid="{00000000-0004-0000-0200-0000A3000000}"/>
    <hyperlink ref="N1065" r:id="rId165" display="\\abtvdfs2.de.bosch.com\ismdfs\ilm\abt\IMS\Platform\400_Cabin_Sensing_Radar\20_Measurements\07_CANape\Mitsubishi\5K45\MMC5.0.0_RC3\Real_Child_Tests" xr:uid="{00000000-0004-0000-0200-0000A4000000}"/>
    <hyperlink ref="N1066" r:id="rId166" display="\\abtvdfs2.de.bosch.com\ismdfs\ilm\abt\IMS\Platform\400_Cabin_Sensing_Radar\20_Measurements\07_CANape\Mitsubishi\5K45\MMC5.0.0_RC3\Real_Child_Tests" xr:uid="{00000000-0004-0000-0200-0000A5000000}"/>
    <hyperlink ref="N1067" r:id="rId167" display="\\abtvdfs2.de.bosch.com\ismdfs\ilm\abt\IMS\Platform\400_Cabin_Sensing_Radar\20_Measurements\07_CANape\Mitsubishi\5K45\MMC5.0.0_RC3\Real_Child_Tests" xr:uid="{00000000-0004-0000-0200-0000A6000000}"/>
    <hyperlink ref="N1068" r:id="rId168" display="\\abtvdfs2.de.bosch.com\ismdfs\ilm\abt\IMS\Platform\400_Cabin_Sensing_Radar\20_Measurements\07_CANape\Mitsubishi\5K45\MMC5.0.0_RC3\Real_Child_Tests" xr:uid="{00000000-0004-0000-0200-0000A7000000}"/>
    <hyperlink ref="N1069" r:id="rId169" display="\\abtvdfs2.de.bosch.com\ismdfs\ilm\abt\IMS\Platform\400_Cabin_Sensing_Radar\20_Measurements\07_CANape\Mitsubishi\5K45\MMC5.0.0_RC3\Real_Child_Tests" xr:uid="{00000000-0004-0000-0200-0000A8000000}"/>
    <hyperlink ref="N1071" r:id="rId170" display="\\abtvdfs2.de.bosch.com\ismdfs\ilm\abt\IMS\Platform\400_Cabin_Sensing_Radar\20_Measurements\07_CANape\Mitsubishi\5K45\MMC5.0.1\5K457EG-11\Real_Child_Measurements" xr:uid="{00000000-0004-0000-0200-0000A9000000}"/>
    <hyperlink ref="N1080" r:id="rId171" display="\\abtvdfs2.de.bosch.com\ismdfs\ilm\abt\IMS\Platform\400_Cabin_Sensing_Radar\20_Measurements\07_CANape\Mitsubishi\5K45\MMC5.0.1\5K457EG-11\Real_Child_Measurements" xr:uid="{00000000-0004-0000-0200-0000AA000000}"/>
    <hyperlink ref="N1081" r:id="rId172" display="\\abtvdfs2.de.bosch.com\ismdfs\ilm\abt\IMS\Platform\400_Cabin_Sensing_Radar\20_Measurements\07_CANape\Mitsubishi\5K45\MMC5.0.1\5K457EG-11\Real_Child_Measurements" xr:uid="{00000000-0004-0000-0200-0000AB000000}"/>
    <hyperlink ref="N1082" r:id="rId173" display="\\abtvdfs2.de.bosch.com\ismdfs\ilm\abt\IMS\Platform\400_Cabin_Sensing_Radar\20_Measurements\07_CANape\Mitsubishi\5K45\MMC5.0.1\5K457EG-11\Real_Child_Measurements" xr:uid="{00000000-0004-0000-0200-0000AC000000}"/>
    <hyperlink ref="N1083" r:id="rId174" display="\\abtvdfs2.de.bosch.com\ismdfs\ilm\abt\IMS\Platform\400_Cabin_Sensing_Radar\20_Measurements\07_CANape\Mitsubishi\5K45\MMC5.0.1\5K457EG-11\Real_Child_Measurements" xr:uid="{00000000-0004-0000-0200-0000AD000000}"/>
    <hyperlink ref="N1084" r:id="rId175" display="\\abtvdfs2.de.bosch.com\ismdfs\ilm\abt\IMS\Platform\400_Cabin_Sensing_Radar\20_Measurements\07_CANape\Mitsubishi\5K45\MMC5.0.1\5K457EG-11\Real_Child_Measurements" xr:uid="{00000000-0004-0000-0200-0000AE000000}"/>
    <hyperlink ref="N1090" r:id="rId176" display="\\abtvdfs2.de.bosch.com\ismdfs\ilm\abt\IMS\Platform\400_Cabin_Sensing_Radar\20_Measurements\07_CANape\Mitsubishi\5K45\MMC5.0.1\5K457EG-11\Real_Child_Measurements" xr:uid="{00000000-0004-0000-0200-0000AF000000}"/>
    <hyperlink ref="N1091" r:id="rId177" display="\\abtvdfs2.de.bosch.com\ismdfs\ilm\abt\IMS\Platform\400_Cabin_Sensing_Radar\20_Measurements\07_CANape\Mitsubishi\5K45\MMC5.0.1\5K457EG-11\Real_Child_Measurements" xr:uid="{00000000-0004-0000-0200-0000B0000000}"/>
    <hyperlink ref="N1092" r:id="rId178" display="\\abtvdfs2.de.bosch.com\ismdfs\ilm\abt\IMS\Platform\400_Cabin_Sensing_Radar\20_Measurements\07_CANape\Mitsubishi\5K45\MMC5.0.1\5K457EG-11\Real_Child_Measurements" xr:uid="{00000000-0004-0000-0200-0000B1000000}"/>
    <hyperlink ref="M1106" r:id="rId179" display="\\abtvdfs2.de.bosch.com\ismdfs\ilm\abt\IMS\Platform\400_Cabin_Sensing_Radar\20_Measurements\07_CANape\Mitsubishi\5K45\5.3.0_RC6.2\5K457EG11\FP_Test_Cases_Renamed\CSR_XCP_Signals_Recorder_2026-02-03_15-17-41_AF50_2L_NCAP1_2.MF4.xz" xr:uid="{00000000-0004-0000-0200-0000B2000000}"/>
    <hyperlink ref="N1107" r:id="rId180" display="\\abtvdfs2.de.bosch.com\ismdfs\ilm\abt\IMS\Platform\400_Cabin_Sensing_Radar\20_Measurements\07_CANape\Mitsubishi\5K45\MMC5.0.1\5K457EG-11\Real_Child_Measurements" xr:uid="{00000000-0004-0000-0200-0000B3000000}"/>
    <hyperlink ref="N1108" r:id="rId181" display="\\abtvdfs2.de.bosch.com\ismdfs\ilm\abt\IMS\Platform\400_Cabin_Sensing_Radar\20_Measurements\07_CANape\Mitsubishi\5K45\MMC5.0.1\5K457EG-11\Real_Child_Measurements" xr:uid="{00000000-0004-0000-0200-0000B4000000}"/>
    <hyperlink ref="N1146" r:id="rId182" display="\\abtvdfs2.de.bosch.com\ismdfs\ilm\abt\IMS\Platform\400_Cabin_Sensing_Radar\20_Measurements\07_CANape\Mitsubishi\5K45\MMC5.0.2\5K457EG11\RealChild" xr:uid="{00000000-0004-0000-0200-0000B5000000}"/>
    <hyperlink ref="N1172" r:id="rId183" display="\\abt-soc501-dfs.de.bosch.com\XC_IMS_Platform\400_Cabin_Sensing_Radar\20_Measurements\07_CANape\Mitsubishi\5K45\MMC5.0.0_RC3_with_resetfix\CPD" xr:uid="{00000000-0004-0000-0200-0000B6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42"/>
  <sheetViews>
    <sheetView zoomScale="115" zoomScaleNormal="115" workbookViewId="0">
      <pane ySplit="1" topLeftCell="A60" activePane="bottomLeft" state="frozen"/>
      <selection pane="bottomLeft" activeCell="B57" sqref="B57:B61"/>
    </sheetView>
  </sheetViews>
  <sheetFormatPr defaultRowHeight="15"/>
  <cols>
    <col min="1" max="1" width="8.85546875" style="133" customWidth="1"/>
    <col min="2" max="2" width="15.7109375" style="133" customWidth="1"/>
    <col min="3" max="3" width="7.85546875" style="133" customWidth="1"/>
    <col min="4" max="4" width="17.5703125" style="133" customWidth="1"/>
    <col min="5" max="5" width="84.42578125" style="133" customWidth="1"/>
    <col min="6" max="6" width="101.42578125" style="133" customWidth="1"/>
    <col min="11" max="11" width="11.28515625" style="133" bestFit="1" customWidth="1"/>
  </cols>
  <sheetData>
    <row r="1" spans="1:11" s="9" customFormat="1">
      <c r="A1" s="9" t="s">
        <v>0</v>
      </c>
      <c r="B1" s="9" t="s">
        <v>1</v>
      </c>
      <c r="C1" s="9" t="s">
        <v>2</v>
      </c>
      <c r="D1" s="9" t="s">
        <v>6</v>
      </c>
      <c r="E1" s="9" t="s">
        <v>14</v>
      </c>
      <c r="F1" s="9" t="s">
        <v>15</v>
      </c>
      <c r="K1" s="54" t="s">
        <v>4295</v>
      </c>
    </row>
    <row r="2" spans="1:11">
      <c r="A2" s="9">
        <v>2</v>
      </c>
      <c r="B2" s="130" t="s">
        <v>4296</v>
      </c>
      <c r="C2" t="s">
        <v>4297</v>
      </c>
      <c r="D2" t="s">
        <v>27</v>
      </c>
      <c r="E2" t="s">
        <v>32</v>
      </c>
      <c r="F2" t="s">
        <v>33</v>
      </c>
    </row>
    <row r="3" spans="1:11">
      <c r="A3" s="9">
        <v>2</v>
      </c>
      <c r="B3" s="130" t="s">
        <v>4296</v>
      </c>
      <c r="C3" t="s">
        <v>4297</v>
      </c>
      <c r="D3" t="s">
        <v>27</v>
      </c>
      <c r="E3" t="s">
        <v>34</v>
      </c>
      <c r="F3" s="129" t="s">
        <v>35</v>
      </c>
    </row>
    <row r="4" spans="1:11">
      <c r="A4" s="9">
        <v>2</v>
      </c>
      <c r="B4" s="130" t="s">
        <v>4296</v>
      </c>
      <c r="C4" t="s">
        <v>4297</v>
      </c>
      <c r="D4" t="s">
        <v>27</v>
      </c>
      <c r="E4" t="s">
        <v>36</v>
      </c>
      <c r="F4" s="129" t="s">
        <v>35</v>
      </c>
    </row>
    <row r="5" spans="1:11">
      <c r="A5" s="9">
        <v>2</v>
      </c>
      <c r="B5" s="130" t="s">
        <v>4296</v>
      </c>
      <c r="C5" t="s">
        <v>4297</v>
      </c>
      <c r="D5" t="s">
        <v>27</v>
      </c>
      <c r="E5" t="s">
        <v>37</v>
      </c>
      <c r="F5" s="129" t="s">
        <v>35</v>
      </c>
    </row>
    <row r="6" spans="1:11">
      <c r="A6" s="9">
        <v>2</v>
      </c>
      <c r="B6" s="43" t="s">
        <v>4298</v>
      </c>
      <c r="C6" t="s">
        <v>4297</v>
      </c>
      <c r="D6" t="s">
        <v>27</v>
      </c>
      <c r="E6" s="45" t="s">
        <v>40</v>
      </c>
      <c r="F6" s="129" t="s">
        <v>41</v>
      </c>
    </row>
    <row r="7" spans="1:11">
      <c r="A7" s="9">
        <v>3</v>
      </c>
      <c r="B7" t="s">
        <v>4298</v>
      </c>
      <c r="C7" t="s">
        <v>4297</v>
      </c>
      <c r="D7" t="s">
        <v>27</v>
      </c>
      <c r="E7" t="s">
        <v>55</v>
      </c>
      <c r="F7" t="s">
        <v>33</v>
      </c>
    </row>
    <row r="8" spans="1:11">
      <c r="A8" s="9">
        <v>3</v>
      </c>
      <c r="B8" t="s">
        <v>4298</v>
      </c>
      <c r="C8" t="s">
        <v>4297</v>
      </c>
      <c r="D8" t="s">
        <v>27</v>
      </c>
      <c r="E8" t="s">
        <v>57</v>
      </c>
      <c r="F8" s="129" t="s">
        <v>35</v>
      </c>
    </row>
    <row r="9" spans="1:11">
      <c r="A9" s="9">
        <v>3</v>
      </c>
      <c r="B9" t="s">
        <v>4298</v>
      </c>
      <c r="C9" t="s">
        <v>4297</v>
      </c>
      <c r="D9" t="s">
        <v>27</v>
      </c>
      <c r="E9" t="s">
        <v>58</v>
      </c>
      <c r="F9" s="129" t="s">
        <v>35</v>
      </c>
    </row>
    <row r="10" spans="1:11">
      <c r="A10" s="9">
        <v>3</v>
      </c>
      <c r="B10" t="s">
        <v>4298</v>
      </c>
      <c r="C10" t="s">
        <v>4297</v>
      </c>
      <c r="D10" t="s">
        <v>27</v>
      </c>
      <c r="E10" t="s">
        <v>59</v>
      </c>
      <c r="F10" s="129" t="s">
        <v>35</v>
      </c>
    </row>
    <row r="11" spans="1:11">
      <c r="A11" s="9">
        <v>3</v>
      </c>
      <c r="B11" s="43" t="s">
        <v>4298</v>
      </c>
      <c r="C11" t="s">
        <v>4297</v>
      </c>
      <c r="D11" t="s">
        <v>27</v>
      </c>
      <c r="E11" s="41" t="s">
        <v>60</v>
      </c>
      <c r="F11" s="129" t="s">
        <v>41</v>
      </c>
    </row>
    <row r="12" spans="1:11">
      <c r="A12" s="9">
        <v>3</v>
      </c>
      <c r="B12" s="43" t="s">
        <v>4298</v>
      </c>
      <c r="C12" t="s">
        <v>4297</v>
      </c>
      <c r="D12" t="s">
        <v>27</v>
      </c>
      <c r="E12" s="41" t="s">
        <v>63</v>
      </c>
      <c r="F12" s="129" t="s">
        <v>41</v>
      </c>
    </row>
    <row r="13" spans="1:11">
      <c r="A13" s="9">
        <v>5</v>
      </c>
      <c r="B13" t="s">
        <v>4298</v>
      </c>
      <c r="C13" t="s">
        <v>4297</v>
      </c>
      <c r="D13" t="s">
        <v>27</v>
      </c>
      <c r="E13" t="s">
        <v>720</v>
      </c>
      <c r="F13" t="s">
        <v>33</v>
      </c>
    </row>
    <row r="14" spans="1:11">
      <c r="A14" s="9">
        <v>5</v>
      </c>
      <c r="B14" t="s">
        <v>4298</v>
      </c>
      <c r="C14" t="s">
        <v>4297</v>
      </c>
      <c r="D14" t="s">
        <v>27</v>
      </c>
      <c r="E14" t="s">
        <v>70</v>
      </c>
      <c r="F14" s="129" t="s">
        <v>35</v>
      </c>
    </row>
    <row r="15" spans="1:11">
      <c r="A15" s="9">
        <v>5</v>
      </c>
      <c r="B15" t="s">
        <v>4298</v>
      </c>
      <c r="C15" t="s">
        <v>4297</v>
      </c>
      <c r="D15" t="s">
        <v>27</v>
      </c>
      <c r="E15" t="s">
        <v>72</v>
      </c>
      <c r="F15" s="129" t="s">
        <v>35</v>
      </c>
    </row>
    <row r="16" spans="1:11">
      <c r="A16" s="9">
        <v>5</v>
      </c>
      <c r="B16" t="s">
        <v>4298</v>
      </c>
      <c r="C16" t="s">
        <v>4297</v>
      </c>
      <c r="D16" t="s">
        <v>27</v>
      </c>
      <c r="E16" t="s">
        <v>73</v>
      </c>
      <c r="F16" s="129" t="s">
        <v>35</v>
      </c>
    </row>
    <row r="17" spans="1:6">
      <c r="A17" s="9">
        <v>7</v>
      </c>
      <c r="B17" t="s">
        <v>4298</v>
      </c>
      <c r="C17" t="s">
        <v>4297</v>
      </c>
      <c r="D17" t="s">
        <v>27</v>
      </c>
      <c r="E17" t="s">
        <v>75</v>
      </c>
      <c r="F17" t="s">
        <v>33</v>
      </c>
    </row>
    <row r="18" spans="1:6">
      <c r="A18" s="9">
        <v>7</v>
      </c>
      <c r="B18" t="s">
        <v>4298</v>
      </c>
      <c r="C18" t="s">
        <v>4297</v>
      </c>
      <c r="D18" t="s">
        <v>27</v>
      </c>
      <c r="E18" t="s">
        <v>77</v>
      </c>
      <c r="F18" s="129" t="s">
        <v>35</v>
      </c>
    </row>
    <row r="19" spans="1:6">
      <c r="A19" s="9">
        <v>7</v>
      </c>
      <c r="B19" t="s">
        <v>4298</v>
      </c>
      <c r="C19" t="s">
        <v>4297</v>
      </c>
      <c r="D19" t="s">
        <v>27</v>
      </c>
      <c r="E19" t="s">
        <v>79</v>
      </c>
      <c r="F19" s="129" t="s">
        <v>35</v>
      </c>
    </row>
    <row r="20" spans="1:6">
      <c r="A20" s="9">
        <v>7</v>
      </c>
      <c r="B20" t="s">
        <v>4298</v>
      </c>
      <c r="C20" t="s">
        <v>4297</v>
      </c>
      <c r="D20" t="s">
        <v>27</v>
      </c>
      <c r="E20" t="s">
        <v>80</v>
      </c>
      <c r="F20" s="129" t="s">
        <v>35</v>
      </c>
    </row>
    <row r="21" spans="1:6">
      <c r="A21" s="9">
        <v>7</v>
      </c>
      <c r="B21" s="43" t="s">
        <v>4298</v>
      </c>
      <c r="C21" t="s">
        <v>4297</v>
      </c>
      <c r="D21" t="s">
        <v>27</v>
      </c>
      <c r="E21" s="41" t="s">
        <v>81</v>
      </c>
      <c r="F21" s="129" t="s">
        <v>41</v>
      </c>
    </row>
    <row r="22" spans="1:6">
      <c r="A22" s="9">
        <v>7</v>
      </c>
      <c r="B22" s="43" t="s">
        <v>4298</v>
      </c>
      <c r="C22" t="s">
        <v>4297</v>
      </c>
      <c r="D22" t="s">
        <v>27</v>
      </c>
      <c r="E22" s="41" t="s">
        <v>83</v>
      </c>
      <c r="F22" s="129" t="s">
        <v>41</v>
      </c>
    </row>
    <row r="23" spans="1:6">
      <c r="A23" s="9">
        <v>10</v>
      </c>
      <c r="B23" t="s">
        <v>4299</v>
      </c>
      <c r="C23" t="s">
        <v>48</v>
      </c>
      <c r="D23" t="s">
        <v>27</v>
      </c>
      <c r="E23" t="s">
        <v>92</v>
      </c>
      <c r="F23" s="129" t="s">
        <v>93</v>
      </c>
    </row>
    <row r="24" spans="1:6">
      <c r="A24" s="9">
        <v>10</v>
      </c>
      <c r="B24" t="s">
        <v>4299</v>
      </c>
      <c r="C24" t="s">
        <v>48</v>
      </c>
      <c r="D24" t="s">
        <v>27</v>
      </c>
      <c r="E24" t="s">
        <v>95</v>
      </c>
      <c r="F24" s="129" t="s">
        <v>93</v>
      </c>
    </row>
    <row r="25" spans="1:6">
      <c r="A25" s="9">
        <v>10</v>
      </c>
      <c r="B25" t="s">
        <v>4299</v>
      </c>
      <c r="C25" t="s">
        <v>48</v>
      </c>
      <c r="D25" t="s">
        <v>27</v>
      </c>
      <c r="E25" t="s">
        <v>96</v>
      </c>
      <c r="F25" s="129" t="s">
        <v>93</v>
      </c>
    </row>
    <row r="26" spans="1:6">
      <c r="A26" s="9">
        <v>10</v>
      </c>
      <c r="B26" t="s">
        <v>4299</v>
      </c>
      <c r="C26" t="s">
        <v>48</v>
      </c>
      <c r="D26" t="s">
        <v>27</v>
      </c>
      <c r="E26" t="s">
        <v>97</v>
      </c>
      <c r="F26" s="129" t="s">
        <v>98</v>
      </c>
    </row>
    <row r="27" spans="1:6">
      <c r="A27" s="9">
        <v>10</v>
      </c>
      <c r="B27" t="s">
        <v>4299</v>
      </c>
      <c r="C27" t="s">
        <v>48</v>
      </c>
      <c r="D27" t="s">
        <v>27</v>
      </c>
      <c r="E27" t="s">
        <v>99</v>
      </c>
      <c r="F27" s="129" t="s">
        <v>98</v>
      </c>
    </row>
    <row r="28" spans="1:6">
      <c r="A28" s="9">
        <v>10</v>
      </c>
      <c r="B28" t="s">
        <v>4299</v>
      </c>
      <c r="C28" t="s">
        <v>48</v>
      </c>
      <c r="D28" t="s">
        <v>27</v>
      </c>
      <c r="E28" t="s">
        <v>100</v>
      </c>
      <c r="F28" s="129" t="s">
        <v>98</v>
      </c>
    </row>
    <row r="29" spans="1:6">
      <c r="A29" s="9">
        <v>10</v>
      </c>
      <c r="B29" t="s">
        <v>4299</v>
      </c>
      <c r="C29" t="s">
        <v>48</v>
      </c>
      <c r="D29" t="s">
        <v>28</v>
      </c>
      <c r="E29" t="s">
        <v>101</v>
      </c>
      <c r="F29" s="129" t="s">
        <v>102</v>
      </c>
    </row>
    <row r="30" spans="1:6">
      <c r="A30" s="9">
        <v>10</v>
      </c>
      <c r="B30" t="s">
        <v>4299</v>
      </c>
      <c r="C30" t="s">
        <v>48</v>
      </c>
      <c r="D30" t="s">
        <v>28</v>
      </c>
      <c r="E30" t="s">
        <v>104</v>
      </c>
      <c r="F30" s="129" t="s">
        <v>102</v>
      </c>
    </row>
    <row r="31" spans="1:6">
      <c r="A31" s="9">
        <v>10</v>
      </c>
      <c r="B31" t="s">
        <v>4299</v>
      </c>
      <c r="C31" t="s">
        <v>48</v>
      </c>
      <c r="D31" t="s">
        <v>28</v>
      </c>
      <c r="E31" t="s">
        <v>106</v>
      </c>
      <c r="F31" s="129" t="s">
        <v>102</v>
      </c>
    </row>
    <row r="32" spans="1:6">
      <c r="A32" s="9">
        <v>10</v>
      </c>
      <c r="B32" t="s">
        <v>4299</v>
      </c>
      <c r="C32" t="s">
        <v>48</v>
      </c>
      <c r="D32" t="s">
        <v>28</v>
      </c>
      <c r="E32" t="s">
        <v>107</v>
      </c>
      <c r="F32" s="129" t="s">
        <v>102</v>
      </c>
    </row>
    <row r="33" spans="1:6">
      <c r="A33" s="9">
        <v>10</v>
      </c>
      <c r="B33" t="s">
        <v>4299</v>
      </c>
      <c r="C33" t="s">
        <v>48</v>
      </c>
      <c r="D33" t="s">
        <v>28</v>
      </c>
      <c r="E33" t="s">
        <v>108</v>
      </c>
      <c r="F33" s="129" t="s">
        <v>102</v>
      </c>
    </row>
    <row r="34" spans="1:6">
      <c r="A34" s="9">
        <v>10</v>
      </c>
      <c r="B34" s="43" t="s">
        <v>4299</v>
      </c>
      <c r="C34" t="s">
        <v>48</v>
      </c>
      <c r="D34" t="s">
        <v>28</v>
      </c>
      <c r="E34" s="41" t="s">
        <v>109</v>
      </c>
      <c r="F34" s="129" t="s">
        <v>41</v>
      </c>
    </row>
    <row r="35" spans="1:6">
      <c r="A35" s="9">
        <v>11</v>
      </c>
      <c r="B35" t="s">
        <v>4299</v>
      </c>
      <c r="C35" t="s">
        <v>48</v>
      </c>
      <c r="D35" t="s">
        <v>28</v>
      </c>
      <c r="E35" t="s">
        <v>115</v>
      </c>
      <c r="F35" s="129" t="s">
        <v>116</v>
      </c>
    </row>
    <row r="36" spans="1:6">
      <c r="A36" s="9">
        <v>11</v>
      </c>
      <c r="B36" t="s">
        <v>4299</v>
      </c>
      <c r="C36" t="s">
        <v>48</v>
      </c>
      <c r="D36" t="s">
        <v>28</v>
      </c>
      <c r="E36" t="s">
        <v>118</v>
      </c>
      <c r="F36" s="129" t="s">
        <v>116</v>
      </c>
    </row>
    <row r="37" spans="1:6">
      <c r="A37" s="9">
        <v>11</v>
      </c>
      <c r="B37" t="s">
        <v>4299</v>
      </c>
      <c r="C37" t="s">
        <v>48</v>
      </c>
      <c r="D37" t="s">
        <v>28</v>
      </c>
      <c r="E37" t="s">
        <v>119</v>
      </c>
      <c r="F37" s="129" t="s">
        <v>116</v>
      </c>
    </row>
    <row r="38" spans="1:6">
      <c r="A38" s="9">
        <v>11</v>
      </c>
      <c r="B38" t="s">
        <v>4299</v>
      </c>
      <c r="C38" t="s">
        <v>48</v>
      </c>
      <c r="D38" t="s">
        <v>28</v>
      </c>
      <c r="E38" t="s">
        <v>120</v>
      </c>
      <c r="F38" s="129" t="s">
        <v>116</v>
      </c>
    </row>
    <row r="39" spans="1:6">
      <c r="A39" s="9">
        <v>11</v>
      </c>
      <c r="B39" s="43" t="s">
        <v>4299</v>
      </c>
      <c r="C39" t="s">
        <v>48</v>
      </c>
      <c r="D39" t="s">
        <v>28</v>
      </c>
      <c r="E39" s="41" t="s">
        <v>121</v>
      </c>
      <c r="F39" s="129" t="s">
        <v>41</v>
      </c>
    </row>
    <row r="40" spans="1:6">
      <c r="A40" s="9">
        <v>11</v>
      </c>
      <c r="B40" s="43" t="s">
        <v>4299</v>
      </c>
      <c r="C40" t="s">
        <v>48</v>
      </c>
      <c r="D40" t="s">
        <v>28</v>
      </c>
      <c r="E40" s="41" t="s">
        <v>123</v>
      </c>
      <c r="F40" s="129" t="s">
        <v>64</v>
      </c>
    </row>
    <row r="41" spans="1:6">
      <c r="A41" s="9">
        <v>11</v>
      </c>
      <c r="B41" s="43" t="s">
        <v>4299</v>
      </c>
      <c r="C41" t="s">
        <v>48</v>
      </c>
      <c r="D41" t="s">
        <v>28</v>
      </c>
      <c r="E41" s="41" t="s">
        <v>52</v>
      </c>
      <c r="F41" s="129" t="s">
        <v>53</v>
      </c>
    </row>
    <row r="42" spans="1:6">
      <c r="A42" s="9">
        <v>11</v>
      </c>
      <c r="B42" s="43" t="s">
        <v>4299</v>
      </c>
      <c r="C42" t="s">
        <v>48</v>
      </c>
      <c r="D42" t="s">
        <v>28</v>
      </c>
      <c r="F42" s="129"/>
    </row>
    <row r="43" spans="1:6">
      <c r="A43" s="9">
        <v>12</v>
      </c>
      <c r="B43" t="s">
        <v>4299</v>
      </c>
      <c r="C43" t="s">
        <v>48</v>
      </c>
      <c r="D43" t="s">
        <v>27</v>
      </c>
      <c r="E43" t="s">
        <v>132</v>
      </c>
      <c r="F43" s="129" t="s">
        <v>93</v>
      </c>
    </row>
    <row r="44" spans="1:6">
      <c r="A44" s="9">
        <v>12</v>
      </c>
      <c r="B44" t="s">
        <v>4299</v>
      </c>
      <c r="C44" t="s">
        <v>48</v>
      </c>
      <c r="D44" t="s">
        <v>27</v>
      </c>
      <c r="E44" t="s">
        <v>134</v>
      </c>
      <c r="F44" s="129" t="s">
        <v>98</v>
      </c>
    </row>
    <row r="45" spans="1:6">
      <c r="A45" s="9">
        <v>12</v>
      </c>
      <c r="B45" t="s">
        <v>4299</v>
      </c>
      <c r="C45" t="s">
        <v>48</v>
      </c>
      <c r="D45" t="s">
        <v>27</v>
      </c>
      <c r="E45" t="s">
        <v>135</v>
      </c>
      <c r="F45" s="129" t="s">
        <v>98</v>
      </c>
    </row>
    <row r="46" spans="1:6">
      <c r="A46" s="9">
        <v>12</v>
      </c>
      <c r="B46" t="s">
        <v>4299</v>
      </c>
      <c r="C46" t="s">
        <v>48</v>
      </c>
      <c r="D46" t="s">
        <v>27</v>
      </c>
      <c r="E46" t="s">
        <v>784</v>
      </c>
      <c r="F46" s="129" t="s">
        <v>98</v>
      </c>
    </row>
    <row r="47" spans="1:6">
      <c r="A47" s="9">
        <v>12</v>
      </c>
      <c r="B47" t="s">
        <v>4299</v>
      </c>
      <c r="C47" t="s">
        <v>48</v>
      </c>
      <c r="D47" t="s">
        <v>28</v>
      </c>
      <c r="E47" t="s">
        <v>139</v>
      </c>
      <c r="F47" s="129" t="s">
        <v>102</v>
      </c>
    </row>
    <row r="48" spans="1:6">
      <c r="A48" s="9">
        <v>12</v>
      </c>
      <c r="B48" t="s">
        <v>4299</v>
      </c>
      <c r="C48" t="s">
        <v>48</v>
      </c>
      <c r="D48" t="s">
        <v>28</v>
      </c>
      <c r="E48" t="s">
        <v>141</v>
      </c>
      <c r="F48" s="129" t="s">
        <v>102</v>
      </c>
    </row>
    <row r="49" spans="1:6">
      <c r="A49" s="9">
        <v>12</v>
      </c>
      <c r="B49" t="s">
        <v>4299</v>
      </c>
      <c r="C49" t="s">
        <v>48</v>
      </c>
      <c r="D49" t="s">
        <v>28</v>
      </c>
      <c r="E49" t="s">
        <v>142</v>
      </c>
      <c r="F49" s="129" t="s">
        <v>102</v>
      </c>
    </row>
    <row r="50" spans="1:6">
      <c r="A50" s="9">
        <v>12</v>
      </c>
      <c r="B50" t="s">
        <v>4299</v>
      </c>
      <c r="C50" t="s">
        <v>48</v>
      </c>
      <c r="D50" t="s">
        <v>28</v>
      </c>
      <c r="E50" t="s">
        <v>143</v>
      </c>
      <c r="F50" s="129" t="s">
        <v>102</v>
      </c>
    </row>
    <row r="51" spans="1:6">
      <c r="A51" s="9">
        <v>12</v>
      </c>
      <c r="B51" t="s">
        <v>4299</v>
      </c>
      <c r="C51" t="s">
        <v>48</v>
      </c>
      <c r="D51" t="s">
        <v>28</v>
      </c>
      <c r="E51" t="s">
        <v>144</v>
      </c>
      <c r="F51" s="129" t="s">
        <v>102</v>
      </c>
    </row>
    <row r="52" spans="1:6">
      <c r="A52" s="9">
        <v>12</v>
      </c>
      <c r="B52" s="43" t="s">
        <v>4299</v>
      </c>
      <c r="C52" t="s">
        <v>48</v>
      </c>
      <c r="D52" t="s">
        <v>28</v>
      </c>
      <c r="E52" s="41" t="s">
        <v>145</v>
      </c>
      <c r="F52" s="129" t="s">
        <v>41</v>
      </c>
    </row>
    <row r="53" spans="1:6">
      <c r="A53" s="9">
        <v>12</v>
      </c>
      <c r="B53" s="43" t="s">
        <v>4299</v>
      </c>
      <c r="C53" t="s">
        <v>48</v>
      </c>
      <c r="D53" t="s">
        <v>28</v>
      </c>
      <c r="E53" s="41" t="s">
        <v>147</v>
      </c>
      <c r="F53" s="129" t="s">
        <v>64</v>
      </c>
    </row>
    <row r="54" spans="1:6">
      <c r="A54" s="9">
        <v>12</v>
      </c>
      <c r="B54" s="43" t="s">
        <v>4299</v>
      </c>
      <c r="C54" t="s">
        <v>48</v>
      </c>
      <c r="D54" t="s">
        <v>28</v>
      </c>
      <c r="E54" s="41" t="s">
        <v>148</v>
      </c>
      <c r="F54" s="129" t="s">
        <v>53</v>
      </c>
    </row>
    <row r="55" spans="1:6">
      <c r="A55" s="9">
        <v>12</v>
      </c>
      <c r="B55" s="43" t="s">
        <v>4299</v>
      </c>
      <c r="C55" t="s">
        <v>48</v>
      </c>
      <c r="D55" t="s">
        <v>28</v>
      </c>
      <c r="E55" s="41" t="s">
        <v>149</v>
      </c>
      <c r="F55" s="129" t="s">
        <v>53</v>
      </c>
    </row>
    <row r="56" spans="1:6">
      <c r="A56" s="9">
        <v>12</v>
      </c>
      <c r="B56" s="43" t="s">
        <v>4299</v>
      </c>
      <c r="C56" t="s">
        <v>48</v>
      </c>
      <c r="D56" t="s">
        <v>28</v>
      </c>
      <c r="F56" s="129"/>
    </row>
    <row r="57" spans="1:6">
      <c r="A57" s="9">
        <v>13</v>
      </c>
      <c r="B57" t="s">
        <v>4299</v>
      </c>
      <c r="C57" t="s">
        <v>48</v>
      </c>
      <c r="D57" t="s">
        <v>28</v>
      </c>
      <c r="E57" t="s">
        <v>153</v>
      </c>
      <c r="F57" s="129" t="s">
        <v>116</v>
      </c>
    </row>
    <row r="58" spans="1:6">
      <c r="A58" s="9">
        <v>13</v>
      </c>
      <c r="B58" t="s">
        <v>4299</v>
      </c>
      <c r="C58" t="s">
        <v>48</v>
      </c>
      <c r="D58" t="s">
        <v>28</v>
      </c>
      <c r="E58" t="s">
        <v>155</v>
      </c>
      <c r="F58" s="129" t="s">
        <v>116</v>
      </c>
    </row>
    <row r="59" spans="1:6">
      <c r="A59" s="9">
        <v>13</v>
      </c>
      <c r="B59" t="s">
        <v>4299</v>
      </c>
      <c r="C59" t="s">
        <v>48</v>
      </c>
      <c r="D59" t="s">
        <v>28</v>
      </c>
      <c r="E59" t="s">
        <v>156</v>
      </c>
      <c r="F59" s="129" t="s">
        <v>116</v>
      </c>
    </row>
    <row r="60" spans="1:6">
      <c r="A60" s="9">
        <v>13</v>
      </c>
      <c r="B60" t="s">
        <v>4299</v>
      </c>
      <c r="C60" t="s">
        <v>48</v>
      </c>
      <c r="D60" t="s">
        <v>28</v>
      </c>
      <c r="E60" t="s">
        <v>159</v>
      </c>
      <c r="F60" s="129" t="s">
        <v>116</v>
      </c>
    </row>
    <row r="61" spans="1:6">
      <c r="A61" s="9">
        <v>13</v>
      </c>
      <c r="B61" t="s">
        <v>4299</v>
      </c>
      <c r="C61" t="s">
        <v>48</v>
      </c>
      <c r="D61" t="s">
        <v>28</v>
      </c>
      <c r="E61" t="s">
        <v>160</v>
      </c>
      <c r="F61" s="129" t="s">
        <v>116</v>
      </c>
    </row>
    <row r="62" spans="1:6">
      <c r="A62" s="9">
        <v>14</v>
      </c>
      <c r="B62" t="s">
        <v>4299</v>
      </c>
      <c r="C62" t="s">
        <v>48</v>
      </c>
      <c r="D62" t="s">
        <v>27</v>
      </c>
      <c r="E62" t="s">
        <v>161</v>
      </c>
      <c r="F62" s="129" t="s">
        <v>93</v>
      </c>
    </row>
    <row r="63" spans="1:6">
      <c r="A63" s="9">
        <v>14</v>
      </c>
      <c r="B63" t="s">
        <v>4299</v>
      </c>
      <c r="C63" t="s">
        <v>48</v>
      </c>
      <c r="D63" t="s">
        <v>27</v>
      </c>
      <c r="E63" t="s">
        <v>163</v>
      </c>
      <c r="F63" s="129" t="s">
        <v>98</v>
      </c>
    </row>
    <row r="64" spans="1:6">
      <c r="A64" s="9">
        <v>14</v>
      </c>
      <c r="B64" t="s">
        <v>4299</v>
      </c>
      <c r="C64" t="s">
        <v>48</v>
      </c>
      <c r="D64" t="s">
        <v>27</v>
      </c>
      <c r="E64" t="s">
        <v>164</v>
      </c>
      <c r="F64" s="129" t="s">
        <v>98</v>
      </c>
    </row>
    <row r="65" spans="1:6">
      <c r="A65" s="9">
        <v>14</v>
      </c>
      <c r="B65" t="s">
        <v>4299</v>
      </c>
      <c r="C65" t="s">
        <v>48</v>
      </c>
      <c r="D65" t="s">
        <v>27</v>
      </c>
      <c r="E65" t="s">
        <v>165</v>
      </c>
      <c r="F65" s="129" t="s">
        <v>98</v>
      </c>
    </row>
    <row r="66" spans="1:6">
      <c r="A66" s="9">
        <v>14</v>
      </c>
      <c r="B66" t="s">
        <v>4299</v>
      </c>
      <c r="C66" t="s">
        <v>48</v>
      </c>
      <c r="D66" t="s">
        <v>28</v>
      </c>
      <c r="E66" t="s">
        <v>166</v>
      </c>
      <c r="F66" s="129" t="s">
        <v>116</v>
      </c>
    </row>
    <row r="67" spans="1:6">
      <c r="A67" s="9">
        <v>14</v>
      </c>
      <c r="B67" t="s">
        <v>4299</v>
      </c>
      <c r="C67" t="s">
        <v>48</v>
      </c>
      <c r="D67" t="s">
        <v>28</v>
      </c>
      <c r="E67" t="s">
        <v>168</v>
      </c>
      <c r="F67" s="129" t="s">
        <v>116</v>
      </c>
    </row>
    <row r="68" spans="1:6">
      <c r="A68" s="9">
        <v>14</v>
      </c>
      <c r="B68" t="s">
        <v>4299</v>
      </c>
      <c r="C68" t="s">
        <v>48</v>
      </c>
      <c r="D68" t="s">
        <v>28</v>
      </c>
      <c r="E68" t="s">
        <v>169</v>
      </c>
      <c r="F68" s="129" t="s">
        <v>116</v>
      </c>
    </row>
    <row r="69" spans="1:6">
      <c r="A69" s="9">
        <v>14</v>
      </c>
      <c r="B69" t="s">
        <v>4299</v>
      </c>
      <c r="C69" t="s">
        <v>48</v>
      </c>
      <c r="D69" t="s">
        <v>28</v>
      </c>
      <c r="E69" t="s">
        <v>170</v>
      </c>
      <c r="F69" s="129" t="s">
        <v>116</v>
      </c>
    </row>
    <row r="70" spans="1:6">
      <c r="A70" s="9">
        <v>14</v>
      </c>
      <c r="B70" t="s">
        <v>4299</v>
      </c>
      <c r="C70" t="s">
        <v>48</v>
      </c>
      <c r="D70" t="s">
        <v>28</v>
      </c>
      <c r="E70" t="s">
        <v>171</v>
      </c>
      <c r="F70" s="129" t="s">
        <v>116</v>
      </c>
    </row>
    <row r="71" spans="1:6">
      <c r="A71" s="9">
        <v>15</v>
      </c>
      <c r="B71" t="s">
        <v>4299</v>
      </c>
      <c r="C71" t="s">
        <v>48</v>
      </c>
      <c r="D71" t="s">
        <v>28</v>
      </c>
      <c r="E71" t="s">
        <v>174</v>
      </c>
      <c r="F71" s="129" t="s">
        <v>116</v>
      </c>
    </row>
    <row r="72" spans="1:6">
      <c r="A72" s="9">
        <v>15</v>
      </c>
      <c r="B72" t="s">
        <v>4299</v>
      </c>
      <c r="C72" t="s">
        <v>48</v>
      </c>
      <c r="D72" t="s">
        <v>28</v>
      </c>
      <c r="E72" t="s">
        <v>176</v>
      </c>
      <c r="F72" s="129" t="s">
        <v>116</v>
      </c>
    </row>
    <row r="73" spans="1:6">
      <c r="A73" s="9">
        <v>15</v>
      </c>
      <c r="B73" t="s">
        <v>4299</v>
      </c>
      <c r="C73" t="s">
        <v>48</v>
      </c>
      <c r="D73" t="s">
        <v>28</v>
      </c>
      <c r="E73" t="s">
        <v>177</v>
      </c>
      <c r="F73" s="129" t="s">
        <v>116</v>
      </c>
    </row>
    <row r="74" spans="1:6">
      <c r="A74" s="9">
        <v>15</v>
      </c>
      <c r="B74" t="s">
        <v>4299</v>
      </c>
      <c r="C74" t="s">
        <v>48</v>
      </c>
      <c r="D74" t="s">
        <v>28</v>
      </c>
      <c r="E74" t="s">
        <v>178</v>
      </c>
      <c r="F74" s="129" t="s">
        <v>116</v>
      </c>
    </row>
    <row r="75" spans="1:6">
      <c r="A75" s="9">
        <v>15</v>
      </c>
      <c r="B75" t="s">
        <v>4299</v>
      </c>
      <c r="C75" t="s">
        <v>48</v>
      </c>
      <c r="D75" t="s">
        <v>28</v>
      </c>
      <c r="E75" t="s">
        <v>179</v>
      </c>
      <c r="F75" s="129" t="s">
        <v>116</v>
      </c>
    </row>
    <row r="76" spans="1:6">
      <c r="A76" s="9">
        <v>16</v>
      </c>
      <c r="B76" t="s">
        <v>4299</v>
      </c>
      <c r="C76" t="s">
        <v>48</v>
      </c>
      <c r="D76" t="s">
        <v>27</v>
      </c>
      <c r="E76" t="s">
        <v>184</v>
      </c>
      <c r="F76" s="129" t="s">
        <v>93</v>
      </c>
    </row>
    <row r="77" spans="1:6">
      <c r="A77" s="9">
        <v>16</v>
      </c>
      <c r="B77" t="s">
        <v>4299</v>
      </c>
      <c r="C77" t="s">
        <v>48</v>
      </c>
      <c r="D77" t="s">
        <v>27</v>
      </c>
      <c r="E77" t="s">
        <v>181</v>
      </c>
      <c r="F77" s="129" t="s">
        <v>93</v>
      </c>
    </row>
    <row r="78" spans="1:6">
      <c r="A78" s="9">
        <v>16</v>
      </c>
      <c r="B78" t="s">
        <v>4299</v>
      </c>
      <c r="C78" t="s">
        <v>48</v>
      </c>
      <c r="D78" t="s">
        <v>27</v>
      </c>
      <c r="E78" t="s">
        <v>183</v>
      </c>
      <c r="F78" s="129" t="s">
        <v>93</v>
      </c>
    </row>
    <row r="79" spans="1:6">
      <c r="A79" s="9">
        <v>16</v>
      </c>
      <c r="B79" s="43" t="s">
        <v>4299</v>
      </c>
      <c r="C79" t="s">
        <v>48</v>
      </c>
      <c r="D79" t="s">
        <v>27</v>
      </c>
      <c r="E79" s="41" t="s">
        <v>186</v>
      </c>
      <c r="F79" s="129" t="s">
        <v>41</v>
      </c>
    </row>
    <row r="80" spans="1:6">
      <c r="A80" s="9">
        <v>16</v>
      </c>
      <c r="B80" s="43" t="s">
        <v>4299</v>
      </c>
      <c r="C80" t="s">
        <v>48</v>
      </c>
      <c r="D80" t="s">
        <v>27</v>
      </c>
      <c r="E80" s="41" t="s">
        <v>188</v>
      </c>
      <c r="F80" s="129" t="s">
        <v>98</v>
      </c>
    </row>
    <row r="81" spans="1:6">
      <c r="A81" s="9">
        <v>16</v>
      </c>
      <c r="B81" s="43" t="s">
        <v>4299</v>
      </c>
      <c r="C81" t="s">
        <v>48</v>
      </c>
      <c r="D81" t="s">
        <v>27</v>
      </c>
      <c r="E81" s="45" t="s">
        <v>1486</v>
      </c>
      <c r="F81" s="129" t="s">
        <v>191</v>
      </c>
    </row>
    <row r="82" spans="1:6">
      <c r="A82" s="9">
        <v>16</v>
      </c>
      <c r="B82" s="43" t="s">
        <v>4299</v>
      </c>
      <c r="C82" t="s">
        <v>48</v>
      </c>
      <c r="D82" t="s">
        <v>27</v>
      </c>
      <c r="E82" s="45" t="s">
        <v>190</v>
      </c>
      <c r="F82" s="129" t="s">
        <v>191</v>
      </c>
    </row>
    <row r="83" spans="1:6">
      <c r="A83" s="9">
        <v>16</v>
      </c>
      <c r="B83" s="43" t="s">
        <v>4299</v>
      </c>
      <c r="C83" t="s">
        <v>48</v>
      </c>
      <c r="D83" t="s">
        <v>27</v>
      </c>
      <c r="E83" s="45" t="s">
        <v>192</v>
      </c>
      <c r="F83" s="129" t="s">
        <v>191</v>
      </c>
    </row>
    <row r="84" spans="1:6">
      <c r="A84" s="9">
        <v>16</v>
      </c>
      <c r="B84" s="43" t="s">
        <v>4299</v>
      </c>
      <c r="C84" t="s">
        <v>48</v>
      </c>
      <c r="D84" t="s">
        <v>27</v>
      </c>
      <c r="E84" s="45" t="s">
        <v>1497</v>
      </c>
      <c r="F84" s="129" t="s">
        <v>191</v>
      </c>
    </row>
    <row r="85" spans="1:6">
      <c r="A85" s="9">
        <v>16</v>
      </c>
      <c r="B85" s="43" t="s">
        <v>4299</v>
      </c>
      <c r="C85" t="s">
        <v>48</v>
      </c>
      <c r="D85" t="s">
        <v>27</v>
      </c>
      <c r="E85" s="45" t="s">
        <v>194</v>
      </c>
      <c r="F85" s="129" t="s">
        <v>191</v>
      </c>
    </row>
    <row r="86" spans="1:6">
      <c r="A86" s="9">
        <v>17</v>
      </c>
      <c r="B86" t="s">
        <v>4299</v>
      </c>
      <c r="C86" t="s">
        <v>66</v>
      </c>
      <c r="D86" t="s">
        <v>28</v>
      </c>
      <c r="E86" s="11" t="s">
        <v>195</v>
      </c>
      <c r="F86" s="35" t="s">
        <v>86</v>
      </c>
    </row>
    <row r="87" spans="1:6">
      <c r="A87" s="9">
        <v>17</v>
      </c>
      <c r="B87" t="s">
        <v>4299</v>
      </c>
      <c r="C87" t="s">
        <v>66</v>
      </c>
      <c r="D87" t="s">
        <v>28</v>
      </c>
      <c r="E87" s="11" t="s">
        <v>197</v>
      </c>
      <c r="F87" s="35" t="s">
        <v>86</v>
      </c>
    </row>
    <row r="88" spans="1:6">
      <c r="A88" s="9">
        <v>17</v>
      </c>
      <c r="B88" t="s">
        <v>4299</v>
      </c>
      <c r="C88" t="s">
        <v>66</v>
      </c>
      <c r="D88" t="s">
        <v>28</v>
      </c>
      <c r="E88" s="11" t="s">
        <v>198</v>
      </c>
      <c r="F88" s="35" t="s">
        <v>86</v>
      </c>
    </row>
    <row r="89" spans="1:6">
      <c r="A89" s="9">
        <v>17</v>
      </c>
      <c r="B89" t="s">
        <v>4299</v>
      </c>
      <c r="C89" t="s">
        <v>66</v>
      </c>
      <c r="D89" t="s">
        <v>28</v>
      </c>
      <c r="E89" s="11" t="s">
        <v>199</v>
      </c>
      <c r="F89" s="35" t="s">
        <v>86</v>
      </c>
    </row>
    <row r="90" spans="1:6">
      <c r="A90" s="9">
        <v>17</v>
      </c>
      <c r="B90" t="s">
        <v>4299</v>
      </c>
      <c r="C90" t="s">
        <v>66</v>
      </c>
      <c r="D90" t="s">
        <v>28</v>
      </c>
      <c r="E90" s="11" t="s">
        <v>200</v>
      </c>
      <c r="F90" s="35" t="s">
        <v>86</v>
      </c>
    </row>
    <row r="91" spans="1:6">
      <c r="A91" s="9">
        <v>17</v>
      </c>
      <c r="B91" t="s">
        <v>4299</v>
      </c>
      <c r="C91" t="s">
        <v>66</v>
      </c>
      <c r="D91" t="s">
        <v>28</v>
      </c>
      <c r="E91" s="11" t="s">
        <v>201</v>
      </c>
      <c r="F91" s="35" t="s">
        <v>202</v>
      </c>
    </row>
    <row r="92" spans="1:6">
      <c r="A92" s="9">
        <v>17</v>
      </c>
      <c r="B92" t="s">
        <v>4299</v>
      </c>
      <c r="C92" t="s">
        <v>66</v>
      </c>
      <c r="D92" t="s">
        <v>28</v>
      </c>
      <c r="E92" s="11" t="s">
        <v>203</v>
      </c>
      <c r="F92" s="35" t="s">
        <v>202</v>
      </c>
    </row>
    <row r="93" spans="1:6">
      <c r="A93" s="9">
        <v>17</v>
      </c>
      <c r="B93" t="s">
        <v>4299</v>
      </c>
      <c r="C93" t="s">
        <v>66</v>
      </c>
      <c r="D93" t="s">
        <v>28</v>
      </c>
      <c r="E93" s="11" t="s">
        <v>204</v>
      </c>
      <c r="F93" s="35" t="s">
        <v>202</v>
      </c>
    </row>
    <row r="94" spans="1:6">
      <c r="A94" s="9">
        <v>17</v>
      </c>
      <c r="B94" t="s">
        <v>4299</v>
      </c>
      <c r="C94" t="s">
        <v>66</v>
      </c>
      <c r="D94" t="s">
        <v>28</v>
      </c>
      <c r="E94" s="11" t="s">
        <v>205</v>
      </c>
      <c r="F94" s="35" t="s">
        <v>202</v>
      </c>
    </row>
    <row r="95" spans="1:6">
      <c r="A95" s="9">
        <v>17</v>
      </c>
      <c r="B95" t="s">
        <v>4299</v>
      </c>
      <c r="C95" t="s">
        <v>66</v>
      </c>
      <c r="D95" t="s">
        <v>28</v>
      </c>
      <c r="E95" s="11" t="s">
        <v>206</v>
      </c>
      <c r="F95" s="35" t="s">
        <v>202</v>
      </c>
    </row>
    <row r="96" spans="1:6">
      <c r="A96" s="9">
        <v>17</v>
      </c>
      <c r="B96" t="s">
        <v>4299</v>
      </c>
      <c r="C96" t="s">
        <v>66</v>
      </c>
      <c r="D96" t="s">
        <v>28</v>
      </c>
      <c r="E96" s="11" t="s">
        <v>207</v>
      </c>
      <c r="F96" s="35" t="s">
        <v>202</v>
      </c>
    </row>
    <row r="97" spans="1:6">
      <c r="A97" s="9">
        <v>17</v>
      </c>
      <c r="B97" t="s">
        <v>4299</v>
      </c>
      <c r="C97" t="s">
        <v>66</v>
      </c>
      <c r="D97" t="s">
        <v>28</v>
      </c>
      <c r="E97" s="11" t="s">
        <v>208</v>
      </c>
      <c r="F97" s="35" t="s">
        <v>202</v>
      </c>
    </row>
    <row r="98" spans="1:6">
      <c r="A98" s="9">
        <v>17</v>
      </c>
      <c r="B98" t="s">
        <v>4299</v>
      </c>
      <c r="C98" t="s">
        <v>66</v>
      </c>
      <c r="D98" t="s">
        <v>28</v>
      </c>
      <c r="E98" s="11" t="s">
        <v>209</v>
      </c>
      <c r="F98" s="35" t="s">
        <v>202</v>
      </c>
    </row>
    <row r="99" spans="1:6">
      <c r="A99" s="9">
        <v>17</v>
      </c>
      <c r="B99" t="s">
        <v>4299</v>
      </c>
      <c r="C99" t="s">
        <v>66</v>
      </c>
      <c r="D99" t="s">
        <v>28</v>
      </c>
      <c r="E99" s="11" t="s">
        <v>210</v>
      </c>
      <c r="F99" s="35" t="s">
        <v>202</v>
      </c>
    </row>
    <row r="100" spans="1:6">
      <c r="A100" s="9">
        <v>17</v>
      </c>
      <c r="B100" t="s">
        <v>4299</v>
      </c>
      <c r="C100" t="s">
        <v>66</v>
      </c>
      <c r="D100" t="s">
        <v>28</v>
      </c>
      <c r="E100" s="11" t="s">
        <v>211</v>
      </c>
      <c r="F100" s="35" t="s">
        <v>202</v>
      </c>
    </row>
    <row r="101" spans="1:6">
      <c r="A101" s="9">
        <v>18</v>
      </c>
      <c r="B101" t="s">
        <v>4299</v>
      </c>
      <c r="C101" t="s">
        <v>66</v>
      </c>
      <c r="D101" t="s">
        <v>28</v>
      </c>
      <c r="E101" t="s">
        <v>216</v>
      </c>
      <c r="F101" s="129" t="s">
        <v>217</v>
      </c>
    </row>
    <row r="102" spans="1:6">
      <c r="A102" s="9">
        <v>18</v>
      </c>
      <c r="B102" t="s">
        <v>4299</v>
      </c>
      <c r="C102" t="s">
        <v>66</v>
      </c>
      <c r="D102" t="s">
        <v>28</v>
      </c>
      <c r="E102" t="s">
        <v>219</v>
      </c>
      <c r="F102" s="129" t="s">
        <v>217</v>
      </c>
    </row>
    <row r="103" spans="1:6">
      <c r="A103" s="9">
        <v>18</v>
      </c>
      <c r="B103" t="s">
        <v>4299</v>
      </c>
      <c r="C103" t="s">
        <v>66</v>
      </c>
      <c r="D103" t="s">
        <v>28</v>
      </c>
      <c r="E103" t="s">
        <v>220</v>
      </c>
      <c r="F103" s="129" t="s">
        <v>217</v>
      </c>
    </row>
    <row r="104" spans="1:6">
      <c r="A104" s="9">
        <v>18</v>
      </c>
      <c r="B104" t="s">
        <v>4299</v>
      </c>
      <c r="C104" t="s">
        <v>66</v>
      </c>
      <c r="D104" t="s">
        <v>28</v>
      </c>
      <c r="E104" t="s">
        <v>221</v>
      </c>
      <c r="F104" s="129" t="s">
        <v>217</v>
      </c>
    </row>
    <row r="105" spans="1:6">
      <c r="A105" s="9">
        <v>18</v>
      </c>
      <c r="B105" t="s">
        <v>4299</v>
      </c>
      <c r="C105" t="s">
        <v>66</v>
      </c>
      <c r="D105" t="s">
        <v>28</v>
      </c>
      <c r="E105" t="s">
        <v>222</v>
      </c>
      <c r="F105" s="129" t="s">
        <v>217</v>
      </c>
    </row>
    <row r="106" spans="1:6">
      <c r="A106" s="9">
        <v>19</v>
      </c>
      <c r="B106" t="s">
        <v>4299</v>
      </c>
      <c r="C106" t="s">
        <v>66</v>
      </c>
      <c r="D106" t="s">
        <v>27</v>
      </c>
      <c r="E106" t="s">
        <v>223</v>
      </c>
      <c r="F106" s="129" t="s">
        <v>2236</v>
      </c>
    </row>
    <row r="107" spans="1:6">
      <c r="A107" s="9">
        <v>19</v>
      </c>
      <c r="B107" t="s">
        <v>4299</v>
      </c>
      <c r="C107" t="s">
        <v>66</v>
      </c>
      <c r="D107" t="s">
        <v>27</v>
      </c>
      <c r="E107" t="s">
        <v>226</v>
      </c>
      <c r="F107" s="129" t="s">
        <v>2236</v>
      </c>
    </row>
    <row r="108" spans="1:6">
      <c r="A108" s="9">
        <v>19</v>
      </c>
      <c r="B108" t="s">
        <v>4299</v>
      </c>
      <c r="C108" t="s">
        <v>66</v>
      </c>
      <c r="D108" t="s">
        <v>27</v>
      </c>
      <c r="E108" t="s">
        <v>227</v>
      </c>
      <c r="F108" s="129" t="s">
        <v>2236</v>
      </c>
    </row>
    <row r="109" spans="1:6">
      <c r="A109" s="9">
        <v>20</v>
      </c>
      <c r="B109" t="s">
        <v>4299</v>
      </c>
      <c r="C109" t="s">
        <v>66</v>
      </c>
      <c r="D109" t="s">
        <v>28</v>
      </c>
      <c r="E109" t="s">
        <v>228</v>
      </c>
      <c r="F109" s="129" t="s">
        <v>217</v>
      </c>
    </row>
    <row r="110" spans="1:6">
      <c r="A110" s="9">
        <v>20</v>
      </c>
      <c r="B110" t="s">
        <v>4299</v>
      </c>
      <c r="C110" t="s">
        <v>66</v>
      </c>
      <c r="D110" t="s">
        <v>28</v>
      </c>
      <c r="E110" t="s">
        <v>230</v>
      </c>
      <c r="F110" s="129" t="s">
        <v>217</v>
      </c>
    </row>
    <row r="111" spans="1:6">
      <c r="A111" s="9">
        <v>20</v>
      </c>
      <c r="B111" t="s">
        <v>4299</v>
      </c>
      <c r="C111" t="s">
        <v>66</v>
      </c>
      <c r="D111" t="s">
        <v>28</v>
      </c>
      <c r="E111" t="s">
        <v>231</v>
      </c>
      <c r="F111" s="129" t="s">
        <v>217</v>
      </c>
    </row>
    <row r="112" spans="1:6">
      <c r="A112" s="9">
        <v>20</v>
      </c>
      <c r="B112" t="s">
        <v>4299</v>
      </c>
      <c r="C112" t="s">
        <v>66</v>
      </c>
      <c r="D112" t="s">
        <v>28</v>
      </c>
      <c r="E112" t="s">
        <v>232</v>
      </c>
      <c r="F112" s="129" t="s">
        <v>217</v>
      </c>
    </row>
    <row r="113" spans="1:6">
      <c r="A113" s="9">
        <v>20</v>
      </c>
      <c r="B113" t="s">
        <v>4299</v>
      </c>
      <c r="C113" t="s">
        <v>66</v>
      </c>
      <c r="D113" t="s">
        <v>28</v>
      </c>
      <c r="E113" t="s">
        <v>233</v>
      </c>
      <c r="F113" s="129" t="s">
        <v>217</v>
      </c>
    </row>
    <row r="114" spans="1:6">
      <c r="A114" s="9">
        <v>20</v>
      </c>
      <c r="B114" s="43" t="s">
        <v>4299</v>
      </c>
      <c r="C114" t="s">
        <v>66</v>
      </c>
      <c r="D114" t="s">
        <v>28</v>
      </c>
      <c r="E114" s="41" t="s">
        <v>69</v>
      </c>
      <c r="F114" s="129" t="s">
        <v>64</v>
      </c>
    </row>
    <row r="115" spans="1:6">
      <c r="A115" s="9">
        <v>20</v>
      </c>
      <c r="B115" s="43" t="s">
        <v>4299</v>
      </c>
      <c r="C115" t="s">
        <v>66</v>
      </c>
      <c r="D115" t="s">
        <v>28</v>
      </c>
      <c r="E115" s="41" t="s">
        <v>241</v>
      </c>
      <c r="F115" s="129" t="s">
        <v>41</v>
      </c>
    </row>
    <row r="116" spans="1:6">
      <c r="A116" s="9">
        <v>20</v>
      </c>
      <c r="B116" s="43" t="s">
        <v>4299</v>
      </c>
      <c r="C116" t="s">
        <v>66</v>
      </c>
      <c r="D116" t="s">
        <v>28</v>
      </c>
      <c r="F116" s="129"/>
    </row>
    <row r="117" spans="1:6">
      <c r="A117" s="9">
        <v>21</v>
      </c>
      <c r="B117" t="s">
        <v>4299</v>
      </c>
      <c r="C117" t="s">
        <v>66</v>
      </c>
      <c r="D117" t="s">
        <v>27</v>
      </c>
      <c r="E117" t="s">
        <v>243</v>
      </c>
      <c r="F117" s="129" t="s">
        <v>244</v>
      </c>
    </row>
    <row r="118" spans="1:6">
      <c r="A118" s="9">
        <v>21</v>
      </c>
      <c r="B118" t="s">
        <v>4299</v>
      </c>
      <c r="C118" t="s">
        <v>66</v>
      </c>
      <c r="D118" t="s">
        <v>27</v>
      </c>
      <c r="E118" t="s">
        <v>246</v>
      </c>
      <c r="F118" s="129" t="s">
        <v>244</v>
      </c>
    </row>
    <row r="119" spans="1:6">
      <c r="A119" s="9">
        <v>21</v>
      </c>
      <c r="B119" t="s">
        <v>4299</v>
      </c>
      <c r="C119" t="s">
        <v>66</v>
      </c>
      <c r="D119" t="s">
        <v>27</v>
      </c>
      <c r="E119" t="s">
        <v>247</v>
      </c>
      <c r="F119" s="129" t="s">
        <v>244</v>
      </c>
    </row>
    <row r="120" spans="1:6">
      <c r="A120" s="9">
        <v>22</v>
      </c>
      <c r="B120" t="s">
        <v>4299</v>
      </c>
      <c r="C120" t="s">
        <v>66</v>
      </c>
      <c r="D120" t="s">
        <v>28</v>
      </c>
      <c r="E120" t="s">
        <v>248</v>
      </c>
      <c r="F120" s="129" t="s">
        <v>217</v>
      </c>
    </row>
    <row r="121" spans="1:6">
      <c r="A121" s="9">
        <v>22</v>
      </c>
      <c r="B121" t="s">
        <v>4299</v>
      </c>
      <c r="C121" t="s">
        <v>66</v>
      </c>
      <c r="D121" t="s">
        <v>28</v>
      </c>
      <c r="E121" t="s">
        <v>250</v>
      </c>
      <c r="F121" s="129" t="s">
        <v>217</v>
      </c>
    </row>
    <row r="122" spans="1:6">
      <c r="A122" s="9">
        <v>22</v>
      </c>
      <c r="B122" t="s">
        <v>4299</v>
      </c>
      <c r="C122" t="s">
        <v>66</v>
      </c>
      <c r="D122" t="s">
        <v>28</v>
      </c>
      <c r="E122" t="s">
        <v>251</v>
      </c>
      <c r="F122" s="129" t="s">
        <v>217</v>
      </c>
    </row>
    <row r="123" spans="1:6">
      <c r="A123" s="9">
        <v>22</v>
      </c>
      <c r="B123" t="s">
        <v>4299</v>
      </c>
      <c r="C123" t="s">
        <v>66</v>
      </c>
      <c r="D123" t="s">
        <v>28</v>
      </c>
      <c r="E123" t="s">
        <v>252</v>
      </c>
      <c r="F123" s="129" t="s">
        <v>217</v>
      </c>
    </row>
    <row r="124" spans="1:6">
      <c r="A124" s="9">
        <v>22</v>
      </c>
      <c r="B124" t="s">
        <v>4299</v>
      </c>
      <c r="C124" t="s">
        <v>253</v>
      </c>
      <c r="D124" t="s">
        <v>28</v>
      </c>
      <c r="E124" t="s">
        <v>254</v>
      </c>
      <c r="F124" s="129" t="s">
        <v>217</v>
      </c>
    </row>
    <row r="125" spans="1:6">
      <c r="A125" s="9">
        <v>23</v>
      </c>
      <c r="B125" t="s">
        <v>4299</v>
      </c>
      <c r="C125" t="s">
        <v>253</v>
      </c>
      <c r="D125" t="s">
        <v>28</v>
      </c>
      <c r="E125" t="s">
        <v>255</v>
      </c>
      <c r="F125" s="129" t="s">
        <v>217</v>
      </c>
    </row>
    <row r="126" spans="1:6">
      <c r="A126" s="9">
        <v>23</v>
      </c>
      <c r="B126" t="s">
        <v>4299</v>
      </c>
      <c r="C126" t="s">
        <v>253</v>
      </c>
      <c r="D126" t="s">
        <v>28</v>
      </c>
      <c r="E126" t="s">
        <v>257</v>
      </c>
      <c r="F126" s="129" t="s">
        <v>217</v>
      </c>
    </row>
    <row r="127" spans="1:6">
      <c r="A127" s="9">
        <v>23</v>
      </c>
      <c r="B127" t="s">
        <v>4299</v>
      </c>
      <c r="C127" t="s">
        <v>253</v>
      </c>
      <c r="D127" t="s">
        <v>28</v>
      </c>
      <c r="E127" t="s">
        <v>258</v>
      </c>
      <c r="F127" s="129" t="s">
        <v>217</v>
      </c>
    </row>
    <row r="128" spans="1:6">
      <c r="A128" s="9">
        <v>23</v>
      </c>
      <c r="B128" t="s">
        <v>4299</v>
      </c>
      <c r="C128" t="s">
        <v>253</v>
      </c>
      <c r="D128" t="s">
        <v>28</v>
      </c>
      <c r="E128" t="s">
        <v>259</v>
      </c>
      <c r="F128" s="129" t="s">
        <v>217</v>
      </c>
    </row>
    <row r="129" spans="1:6">
      <c r="A129" s="9">
        <v>23</v>
      </c>
      <c r="B129" t="s">
        <v>4299</v>
      </c>
      <c r="C129" t="s">
        <v>253</v>
      </c>
      <c r="D129" t="s">
        <v>28</v>
      </c>
      <c r="E129" t="s">
        <v>260</v>
      </c>
      <c r="F129" s="129" t="s">
        <v>217</v>
      </c>
    </row>
    <row r="130" spans="1:6">
      <c r="A130" s="9">
        <v>23</v>
      </c>
      <c r="B130" t="s">
        <v>4299</v>
      </c>
      <c r="C130" t="s">
        <v>253</v>
      </c>
      <c r="D130" t="s">
        <v>28</v>
      </c>
      <c r="E130" t="s">
        <v>261</v>
      </c>
      <c r="F130" s="129" t="s">
        <v>217</v>
      </c>
    </row>
    <row r="131" spans="1:6">
      <c r="A131" s="9">
        <v>23</v>
      </c>
      <c r="B131" t="s">
        <v>4299</v>
      </c>
      <c r="C131" t="s">
        <v>253</v>
      </c>
      <c r="D131" t="s">
        <v>28</v>
      </c>
      <c r="E131" t="s">
        <v>263</v>
      </c>
      <c r="F131" s="129" t="s">
        <v>217</v>
      </c>
    </row>
    <row r="132" spans="1:6">
      <c r="A132" s="9">
        <v>23</v>
      </c>
      <c r="B132" s="43" t="s">
        <v>4299</v>
      </c>
      <c r="C132" t="s">
        <v>253</v>
      </c>
      <c r="D132" t="s">
        <v>28</v>
      </c>
      <c r="E132" s="41" t="s">
        <v>264</v>
      </c>
      <c r="F132" s="129" t="s">
        <v>202</v>
      </c>
    </row>
    <row r="133" spans="1:6">
      <c r="A133" s="9">
        <v>23</v>
      </c>
      <c r="B133" s="43" t="s">
        <v>4299</v>
      </c>
      <c r="C133" t="s">
        <v>253</v>
      </c>
      <c r="D133" t="s">
        <v>28</v>
      </c>
      <c r="E133" s="41" t="s">
        <v>265</v>
      </c>
      <c r="F133" s="129" t="s">
        <v>202</v>
      </c>
    </row>
    <row r="134" spans="1:6">
      <c r="A134" s="9">
        <v>23</v>
      </c>
      <c r="B134" s="43" t="s">
        <v>4299</v>
      </c>
      <c r="C134" t="s">
        <v>253</v>
      </c>
      <c r="D134" t="s">
        <v>28</v>
      </c>
      <c r="E134" s="41" t="s">
        <v>266</v>
      </c>
      <c r="F134" s="129" t="s">
        <v>202</v>
      </c>
    </row>
    <row r="135" spans="1:6">
      <c r="A135" s="9">
        <v>24</v>
      </c>
      <c r="B135" t="s">
        <v>4299</v>
      </c>
      <c r="C135" t="s">
        <v>253</v>
      </c>
      <c r="D135" t="s">
        <v>27</v>
      </c>
      <c r="E135" t="s">
        <v>280</v>
      </c>
      <c r="F135" s="129" t="s">
        <v>281</v>
      </c>
    </row>
    <row r="136" spans="1:6">
      <c r="A136" s="9">
        <v>24</v>
      </c>
      <c r="B136" t="s">
        <v>4299</v>
      </c>
      <c r="C136" t="s">
        <v>253</v>
      </c>
      <c r="D136" t="s">
        <v>27</v>
      </c>
      <c r="E136" t="s">
        <v>282</v>
      </c>
      <c r="F136" s="129" t="s">
        <v>281</v>
      </c>
    </row>
    <row r="137" spans="1:6">
      <c r="A137" s="9">
        <v>24</v>
      </c>
      <c r="B137" t="s">
        <v>4299</v>
      </c>
      <c r="C137" t="s">
        <v>253</v>
      </c>
      <c r="D137" t="s">
        <v>27</v>
      </c>
      <c r="E137" t="s">
        <v>283</v>
      </c>
      <c r="F137" s="129" t="s">
        <v>281</v>
      </c>
    </row>
    <row r="138" spans="1:6">
      <c r="A138" s="9">
        <v>24</v>
      </c>
      <c r="B138" s="43" t="s">
        <v>4299</v>
      </c>
      <c r="C138" t="s">
        <v>253</v>
      </c>
      <c r="D138" t="s">
        <v>27</v>
      </c>
      <c r="E138" s="41" t="s">
        <v>284</v>
      </c>
      <c r="F138" s="129" t="s">
        <v>41</v>
      </c>
    </row>
    <row r="139" spans="1:6">
      <c r="A139" s="9">
        <v>24</v>
      </c>
      <c r="B139" s="43" t="s">
        <v>4299</v>
      </c>
      <c r="C139" t="s">
        <v>253</v>
      </c>
      <c r="D139" t="s">
        <v>27</v>
      </c>
      <c r="E139" s="41" t="s">
        <v>285</v>
      </c>
      <c r="F139" s="129" t="s">
        <v>86</v>
      </c>
    </row>
    <row r="140" spans="1:6">
      <c r="A140" s="9">
        <v>24</v>
      </c>
      <c r="B140" s="43" t="s">
        <v>4299</v>
      </c>
      <c r="C140" t="s">
        <v>253</v>
      </c>
      <c r="D140" t="s">
        <v>27</v>
      </c>
      <c r="E140" s="41" t="s">
        <v>287</v>
      </c>
      <c r="F140" s="129" t="s">
        <v>86</v>
      </c>
    </row>
    <row r="141" spans="1:6">
      <c r="A141" s="9">
        <v>24</v>
      </c>
      <c r="B141" s="43" t="s">
        <v>4299</v>
      </c>
      <c r="C141" t="s">
        <v>253</v>
      </c>
      <c r="D141" t="s">
        <v>27</v>
      </c>
      <c r="E141" s="41" t="s">
        <v>288</v>
      </c>
      <c r="F141" s="129" t="s">
        <v>86</v>
      </c>
    </row>
    <row r="142" spans="1:6">
      <c r="A142" s="9">
        <v>24</v>
      </c>
      <c r="B142" s="43" t="s">
        <v>4299</v>
      </c>
      <c r="C142" t="s">
        <v>253</v>
      </c>
      <c r="D142" t="s">
        <v>27</v>
      </c>
      <c r="E142" s="41" t="s">
        <v>289</v>
      </c>
      <c r="F142" s="129" t="s">
        <v>86</v>
      </c>
    </row>
    <row r="143" spans="1:6">
      <c r="A143" s="9">
        <v>24</v>
      </c>
      <c r="B143" s="43" t="s">
        <v>4299</v>
      </c>
      <c r="C143" t="s">
        <v>253</v>
      </c>
      <c r="D143" t="s">
        <v>27</v>
      </c>
      <c r="E143" s="41" t="s">
        <v>290</v>
      </c>
      <c r="F143" s="129" t="s">
        <v>86</v>
      </c>
    </row>
    <row r="144" spans="1:6">
      <c r="A144" s="9">
        <v>24</v>
      </c>
      <c r="B144" s="43" t="s">
        <v>4299</v>
      </c>
      <c r="C144" t="s">
        <v>253</v>
      </c>
      <c r="D144" t="s">
        <v>27</v>
      </c>
      <c r="E144" s="41" t="s">
        <v>291</v>
      </c>
      <c r="F144" s="129" t="s">
        <v>64</v>
      </c>
    </row>
    <row r="145" spans="1:6">
      <c r="A145">
        <v>25</v>
      </c>
      <c r="B145" t="s">
        <v>4299</v>
      </c>
      <c r="C145" t="s">
        <v>253</v>
      </c>
      <c r="D145" t="s">
        <v>28</v>
      </c>
      <c r="E145" t="s">
        <v>295</v>
      </c>
      <c r="F145" s="129" t="s">
        <v>217</v>
      </c>
    </row>
    <row r="146" spans="1:6">
      <c r="A146">
        <v>25</v>
      </c>
      <c r="B146" t="s">
        <v>4299</v>
      </c>
      <c r="C146" t="s">
        <v>253</v>
      </c>
      <c r="D146" t="s">
        <v>28</v>
      </c>
      <c r="E146" t="s">
        <v>297</v>
      </c>
      <c r="F146" s="129" t="s">
        <v>217</v>
      </c>
    </row>
    <row r="147" spans="1:6">
      <c r="A147">
        <v>25</v>
      </c>
      <c r="B147" t="s">
        <v>4299</v>
      </c>
      <c r="C147" t="s">
        <v>253</v>
      </c>
      <c r="D147" t="s">
        <v>28</v>
      </c>
      <c r="E147" t="s">
        <v>298</v>
      </c>
      <c r="F147" s="129" t="s">
        <v>217</v>
      </c>
    </row>
    <row r="148" spans="1:6">
      <c r="A148">
        <v>25</v>
      </c>
      <c r="B148" t="s">
        <v>4299</v>
      </c>
      <c r="C148" t="s">
        <v>253</v>
      </c>
      <c r="D148" t="s">
        <v>28</v>
      </c>
      <c r="E148" t="s">
        <v>299</v>
      </c>
      <c r="F148" s="129" t="s">
        <v>217</v>
      </c>
    </row>
    <row r="149" spans="1:6">
      <c r="A149">
        <v>25</v>
      </c>
      <c r="B149" t="s">
        <v>4299</v>
      </c>
      <c r="C149" t="s">
        <v>253</v>
      </c>
      <c r="D149" t="s">
        <v>28</v>
      </c>
      <c r="E149" t="s">
        <v>300</v>
      </c>
      <c r="F149" s="129" t="s">
        <v>217</v>
      </c>
    </row>
    <row r="150" spans="1:6">
      <c r="A150">
        <v>25</v>
      </c>
      <c r="B150" s="43" t="s">
        <v>4299</v>
      </c>
      <c r="C150" t="s">
        <v>253</v>
      </c>
      <c r="D150" t="s">
        <v>28</v>
      </c>
      <c r="E150" s="41" t="s">
        <v>301</v>
      </c>
      <c r="F150" s="129" t="s">
        <v>202</v>
      </c>
    </row>
    <row r="151" spans="1:6">
      <c r="A151">
        <v>25</v>
      </c>
      <c r="B151" s="43" t="s">
        <v>4299</v>
      </c>
      <c r="C151" t="s">
        <v>253</v>
      </c>
      <c r="D151" t="s">
        <v>28</v>
      </c>
      <c r="E151" s="41" t="s">
        <v>302</v>
      </c>
      <c r="F151" s="129" t="s">
        <v>202</v>
      </c>
    </row>
    <row r="152" spans="1:6">
      <c r="A152">
        <v>25</v>
      </c>
      <c r="B152" s="43" t="s">
        <v>4299</v>
      </c>
      <c r="C152" t="s">
        <v>253</v>
      </c>
      <c r="D152" t="s">
        <v>28</v>
      </c>
      <c r="E152" s="41" t="s">
        <v>303</v>
      </c>
      <c r="F152" s="129" t="s">
        <v>202</v>
      </c>
    </row>
    <row r="153" spans="1:6">
      <c r="A153">
        <v>26</v>
      </c>
      <c r="B153" t="s">
        <v>4299</v>
      </c>
      <c r="C153" t="s">
        <v>253</v>
      </c>
      <c r="D153" t="s">
        <v>27</v>
      </c>
      <c r="E153" t="s">
        <v>314</v>
      </c>
      <c r="F153" s="129" t="s">
        <v>281</v>
      </c>
    </row>
    <row r="154" spans="1:6">
      <c r="A154">
        <v>26</v>
      </c>
      <c r="B154" t="s">
        <v>4299</v>
      </c>
      <c r="C154" t="s">
        <v>253</v>
      </c>
      <c r="D154" t="s">
        <v>27</v>
      </c>
      <c r="E154" t="s">
        <v>315</v>
      </c>
      <c r="F154" s="129" t="s">
        <v>281</v>
      </c>
    </row>
    <row r="155" spans="1:6">
      <c r="A155">
        <v>26</v>
      </c>
      <c r="B155" t="s">
        <v>4299</v>
      </c>
      <c r="C155" t="s">
        <v>253</v>
      </c>
      <c r="D155" t="s">
        <v>27</v>
      </c>
      <c r="E155" t="s">
        <v>316</v>
      </c>
      <c r="F155" s="129" t="s">
        <v>281</v>
      </c>
    </row>
    <row r="156" spans="1:6">
      <c r="A156">
        <v>27</v>
      </c>
      <c r="B156" t="s">
        <v>4299</v>
      </c>
      <c r="C156" t="s">
        <v>253</v>
      </c>
      <c r="D156" t="s">
        <v>28</v>
      </c>
      <c r="E156" t="s">
        <v>323</v>
      </c>
      <c r="F156" s="129" t="s">
        <v>217</v>
      </c>
    </row>
    <row r="157" spans="1:6">
      <c r="A157">
        <v>27</v>
      </c>
      <c r="B157" t="s">
        <v>4299</v>
      </c>
      <c r="C157" t="s">
        <v>253</v>
      </c>
      <c r="D157" t="s">
        <v>28</v>
      </c>
      <c r="E157" t="s">
        <v>325</v>
      </c>
      <c r="F157" s="129" t="s">
        <v>217</v>
      </c>
    </row>
    <row r="158" spans="1:6">
      <c r="A158">
        <v>27</v>
      </c>
      <c r="B158" t="s">
        <v>4299</v>
      </c>
      <c r="C158" t="s">
        <v>253</v>
      </c>
      <c r="D158" t="s">
        <v>28</v>
      </c>
      <c r="E158" t="s">
        <v>326</v>
      </c>
      <c r="F158" s="129" t="s">
        <v>217</v>
      </c>
    </row>
    <row r="159" spans="1:6">
      <c r="A159">
        <v>27</v>
      </c>
      <c r="B159" t="s">
        <v>4299</v>
      </c>
      <c r="C159" t="s">
        <v>253</v>
      </c>
      <c r="D159" t="s">
        <v>28</v>
      </c>
      <c r="E159" t="s">
        <v>327</v>
      </c>
      <c r="F159" s="129" t="s">
        <v>217</v>
      </c>
    </row>
    <row r="160" spans="1:6">
      <c r="A160">
        <v>27</v>
      </c>
      <c r="B160" t="s">
        <v>4299</v>
      </c>
      <c r="C160" t="s">
        <v>253</v>
      </c>
      <c r="D160" t="s">
        <v>28</v>
      </c>
      <c r="E160" t="s">
        <v>328</v>
      </c>
      <c r="F160" s="129" t="s">
        <v>217</v>
      </c>
    </row>
    <row r="161" spans="1:6">
      <c r="A161">
        <v>27</v>
      </c>
      <c r="B161" s="43" t="s">
        <v>4299</v>
      </c>
      <c r="C161" t="s">
        <v>253</v>
      </c>
      <c r="D161" t="s">
        <v>28</v>
      </c>
      <c r="E161" s="41" t="s">
        <v>329</v>
      </c>
      <c r="F161" s="129" t="s">
        <v>202</v>
      </c>
    </row>
    <row r="162" spans="1:6">
      <c r="A162">
        <v>27</v>
      </c>
      <c r="B162" s="43" t="s">
        <v>4299</v>
      </c>
      <c r="C162" t="s">
        <v>253</v>
      </c>
      <c r="D162" t="s">
        <v>28</v>
      </c>
      <c r="E162" s="41" t="s">
        <v>330</v>
      </c>
      <c r="F162" s="129" t="s">
        <v>202</v>
      </c>
    </row>
    <row r="163" spans="1:6">
      <c r="A163">
        <v>27</v>
      </c>
      <c r="B163" s="43" t="s">
        <v>4299</v>
      </c>
      <c r="C163" t="s">
        <v>253</v>
      </c>
      <c r="D163" t="s">
        <v>28</v>
      </c>
      <c r="E163" s="41" t="s">
        <v>331</v>
      </c>
      <c r="F163" s="129" t="s">
        <v>202</v>
      </c>
    </row>
    <row r="164" spans="1:6">
      <c r="A164">
        <v>28</v>
      </c>
      <c r="B164" t="s">
        <v>4299</v>
      </c>
      <c r="C164" t="s">
        <v>253</v>
      </c>
      <c r="D164" t="s">
        <v>27</v>
      </c>
      <c r="E164" t="s">
        <v>342</v>
      </c>
      <c r="F164" s="129" t="s">
        <v>281</v>
      </c>
    </row>
    <row r="165" spans="1:6">
      <c r="A165">
        <v>28</v>
      </c>
      <c r="B165" t="s">
        <v>4299</v>
      </c>
      <c r="C165" t="s">
        <v>253</v>
      </c>
      <c r="D165" t="s">
        <v>27</v>
      </c>
      <c r="E165" t="s">
        <v>342</v>
      </c>
      <c r="F165" s="129" t="s">
        <v>281</v>
      </c>
    </row>
    <row r="166" spans="1:6">
      <c r="A166">
        <v>28</v>
      </c>
      <c r="B166" t="s">
        <v>4299</v>
      </c>
      <c r="C166" t="s">
        <v>253</v>
      </c>
      <c r="D166" t="s">
        <v>27</v>
      </c>
      <c r="E166" t="s">
        <v>342</v>
      </c>
      <c r="F166" s="129" t="s">
        <v>281</v>
      </c>
    </row>
    <row r="167" spans="1:6">
      <c r="A167">
        <v>48</v>
      </c>
      <c r="B167" t="s">
        <v>4300</v>
      </c>
      <c r="C167" t="s">
        <v>66</v>
      </c>
      <c r="D167" t="s">
        <v>4301</v>
      </c>
      <c r="E167" t="s">
        <v>445</v>
      </c>
      <c r="F167" s="129" t="s">
        <v>446</v>
      </c>
    </row>
    <row r="168" spans="1:6">
      <c r="A168">
        <v>48</v>
      </c>
      <c r="B168" t="s">
        <v>4300</v>
      </c>
      <c r="C168" t="s">
        <v>66</v>
      </c>
      <c r="D168" t="s">
        <v>4301</v>
      </c>
      <c r="E168" t="s">
        <v>447</v>
      </c>
      <c r="F168" s="129" t="s">
        <v>446</v>
      </c>
    </row>
    <row r="169" spans="1:6">
      <c r="A169">
        <v>48</v>
      </c>
      <c r="B169" t="s">
        <v>4300</v>
      </c>
      <c r="C169" t="s">
        <v>66</v>
      </c>
      <c r="D169" t="s">
        <v>4301</v>
      </c>
      <c r="E169" t="s">
        <v>448</v>
      </c>
      <c r="F169" s="129" t="s">
        <v>446</v>
      </c>
    </row>
    <row r="170" spans="1:6">
      <c r="A170">
        <v>51</v>
      </c>
      <c r="B170" t="s">
        <v>4300</v>
      </c>
      <c r="C170" t="s">
        <v>66</v>
      </c>
      <c r="D170" t="s">
        <v>28</v>
      </c>
      <c r="E170" t="s">
        <v>460</v>
      </c>
      <c r="F170" s="1" t="s">
        <v>102</v>
      </c>
    </row>
    <row r="171" spans="1:6">
      <c r="A171">
        <v>51</v>
      </c>
      <c r="B171" t="s">
        <v>4300</v>
      </c>
      <c r="C171" t="s">
        <v>66</v>
      </c>
      <c r="D171" t="s">
        <v>28</v>
      </c>
      <c r="E171" t="s">
        <v>462</v>
      </c>
      <c r="F171" s="1" t="s">
        <v>102</v>
      </c>
    </row>
    <row r="172" spans="1:6">
      <c r="A172">
        <v>51</v>
      </c>
      <c r="B172" t="s">
        <v>4300</v>
      </c>
      <c r="C172" t="s">
        <v>66</v>
      </c>
      <c r="D172" t="s">
        <v>28</v>
      </c>
      <c r="E172" t="s">
        <v>463</v>
      </c>
      <c r="F172" s="1" t="s">
        <v>102</v>
      </c>
    </row>
    <row r="173" spans="1:6">
      <c r="A173">
        <v>51</v>
      </c>
      <c r="B173" t="s">
        <v>4300</v>
      </c>
      <c r="C173" t="s">
        <v>66</v>
      </c>
      <c r="D173" t="s">
        <v>28</v>
      </c>
      <c r="E173" t="s">
        <v>464</v>
      </c>
      <c r="F173" s="1" t="s">
        <v>102</v>
      </c>
    </row>
    <row r="174" spans="1:6">
      <c r="A174">
        <v>51</v>
      </c>
      <c r="B174" t="s">
        <v>4300</v>
      </c>
      <c r="C174" t="s">
        <v>66</v>
      </c>
      <c r="D174" t="s">
        <v>28</v>
      </c>
      <c r="E174" t="s">
        <v>465</v>
      </c>
      <c r="F174" s="1" t="s">
        <v>102</v>
      </c>
    </row>
    <row r="175" spans="1:6">
      <c r="A175">
        <v>51</v>
      </c>
      <c r="B175" s="43" t="s">
        <v>4300</v>
      </c>
      <c r="C175" t="s">
        <v>66</v>
      </c>
      <c r="D175" t="s">
        <v>28</v>
      </c>
      <c r="E175" s="41" t="s">
        <v>466</v>
      </c>
      <c r="F175" s="129" t="s">
        <v>41</v>
      </c>
    </row>
    <row r="176" spans="1:6">
      <c r="A176">
        <v>51</v>
      </c>
      <c r="B176" s="43" t="s">
        <v>4300</v>
      </c>
      <c r="C176" t="s">
        <v>66</v>
      </c>
      <c r="D176" t="s">
        <v>28</v>
      </c>
      <c r="E176" s="41" t="s">
        <v>4302</v>
      </c>
      <c r="F176" s="1" t="s">
        <v>64</v>
      </c>
    </row>
    <row r="177" spans="1:6">
      <c r="A177">
        <v>56</v>
      </c>
      <c r="B177" t="s">
        <v>2304</v>
      </c>
      <c r="C177" t="s">
        <v>66</v>
      </c>
      <c r="D177" t="s">
        <v>4301</v>
      </c>
      <c r="E177" t="s">
        <v>490</v>
      </c>
      <c r="F177" s="129" t="s">
        <v>446</v>
      </c>
    </row>
    <row r="178" spans="1:6">
      <c r="A178">
        <v>56</v>
      </c>
      <c r="B178" t="s">
        <v>2304</v>
      </c>
      <c r="C178" t="s">
        <v>66</v>
      </c>
      <c r="D178" t="s">
        <v>4301</v>
      </c>
      <c r="E178" t="s">
        <v>491</v>
      </c>
      <c r="F178" s="129" t="s">
        <v>446</v>
      </c>
    </row>
    <row r="179" spans="1:6">
      <c r="A179">
        <v>56</v>
      </c>
      <c r="B179" t="s">
        <v>2304</v>
      </c>
      <c r="C179" t="s">
        <v>66</v>
      </c>
      <c r="D179" t="s">
        <v>4301</v>
      </c>
      <c r="E179" t="s">
        <v>492</v>
      </c>
      <c r="F179" s="129" t="s">
        <v>446</v>
      </c>
    </row>
    <row r="180" spans="1:6">
      <c r="A180">
        <v>56</v>
      </c>
      <c r="B180" s="43" t="s">
        <v>2304</v>
      </c>
      <c r="C180" t="s">
        <v>66</v>
      </c>
      <c r="D180" t="s">
        <v>4301</v>
      </c>
      <c r="E180" s="41" t="s">
        <v>493</v>
      </c>
      <c r="F180" s="129" t="s">
        <v>202</v>
      </c>
    </row>
    <row r="181" spans="1:6">
      <c r="A181">
        <v>56</v>
      </c>
      <c r="B181" s="43" t="s">
        <v>2304</v>
      </c>
      <c r="C181" t="s">
        <v>66</v>
      </c>
      <c r="D181" t="s">
        <v>4301</v>
      </c>
      <c r="E181" s="41" t="s">
        <v>494</v>
      </c>
      <c r="F181" s="129" t="s">
        <v>202</v>
      </c>
    </row>
    <row r="182" spans="1:6">
      <c r="A182">
        <v>56</v>
      </c>
      <c r="B182" s="43" t="s">
        <v>2304</v>
      </c>
      <c r="C182" t="s">
        <v>66</v>
      </c>
      <c r="D182" t="s">
        <v>4301</v>
      </c>
      <c r="E182" s="41" t="s">
        <v>495</v>
      </c>
      <c r="F182" s="129" t="s">
        <v>202</v>
      </c>
    </row>
    <row r="183" spans="1:6">
      <c r="A183">
        <v>56</v>
      </c>
      <c r="B183" s="43" t="s">
        <v>2304</v>
      </c>
      <c r="C183" t="s">
        <v>66</v>
      </c>
      <c r="D183" t="s">
        <v>4301</v>
      </c>
      <c r="E183" s="41" t="s">
        <v>496</v>
      </c>
      <c r="F183" s="129" t="s">
        <v>86</v>
      </c>
    </row>
    <row r="184" spans="1:6">
      <c r="A184">
        <v>56</v>
      </c>
      <c r="B184" s="43" t="s">
        <v>2304</v>
      </c>
      <c r="C184" t="s">
        <v>66</v>
      </c>
      <c r="D184" t="s">
        <v>4301</v>
      </c>
      <c r="E184" s="41" t="s">
        <v>498</v>
      </c>
      <c r="F184" s="129" t="s">
        <v>86</v>
      </c>
    </row>
    <row r="185" spans="1:6">
      <c r="A185">
        <v>56</v>
      </c>
      <c r="B185" s="43" t="s">
        <v>2304</v>
      </c>
      <c r="C185" t="s">
        <v>66</v>
      </c>
      <c r="D185" t="s">
        <v>4301</v>
      </c>
      <c r="E185" s="41" t="s">
        <v>499</v>
      </c>
      <c r="F185" s="129" t="s">
        <v>86</v>
      </c>
    </row>
    <row r="186" spans="1:6">
      <c r="A186">
        <v>56</v>
      </c>
      <c r="B186" s="43" t="s">
        <v>2304</v>
      </c>
      <c r="C186" t="s">
        <v>66</v>
      </c>
      <c r="D186" t="s">
        <v>4301</v>
      </c>
      <c r="E186" s="41" t="s">
        <v>500</v>
      </c>
      <c r="F186" s="129" t="s">
        <v>86</v>
      </c>
    </row>
    <row r="187" spans="1:6">
      <c r="A187">
        <v>56</v>
      </c>
      <c r="B187" s="43" t="s">
        <v>2304</v>
      </c>
      <c r="C187" t="s">
        <v>66</v>
      </c>
      <c r="D187" t="s">
        <v>4301</v>
      </c>
      <c r="E187" s="41" t="s">
        <v>501</v>
      </c>
      <c r="F187" s="129" t="s">
        <v>86</v>
      </c>
    </row>
    <row r="188" spans="1:6">
      <c r="A188">
        <v>57</v>
      </c>
      <c r="B188" t="s">
        <v>2304</v>
      </c>
      <c r="C188" t="s">
        <v>66</v>
      </c>
      <c r="D188" t="s">
        <v>4301</v>
      </c>
      <c r="E188" t="s">
        <v>509</v>
      </c>
      <c r="F188" s="129" t="s">
        <v>446</v>
      </c>
    </row>
    <row r="189" spans="1:6">
      <c r="A189">
        <v>57</v>
      </c>
      <c r="B189" t="s">
        <v>2304</v>
      </c>
      <c r="C189" t="s">
        <v>66</v>
      </c>
      <c r="D189" t="s">
        <v>4301</v>
      </c>
      <c r="E189" t="s">
        <v>510</v>
      </c>
      <c r="F189" s="129" t="s">
        <v>446</v>
      </c>
    </row>
    <row r="190" spans="1:6">
      <c r="A190">
        <v>57</v>
      </c>
      <c r="B190" t="s">
        <v>2304</v>
      </c>
      <c r="C190" t="s">
        <v>66</v>
      </c>
      <c r="D190" t="s">
        <v>4301</v>
      </c>
      <c r="E190" t="s">
        <v>511</v>
      </c>
      <c r="F190" s="129" t="s">
        <v>446</v>
      </c>
    </row>
    <row r="191" spans="1:6">
      <c r="A191">
        <v>57</v>
      </c>
      <c r="B191" s="43" t="s">
        <v>2304</v>
      </c>
      <c r="C191" t="s">
        <v>66</v>
      </c>
      <c r="D191" t="s">
        <v>4301</v>
      </c>
      <c r="E191" s="41" t="s">
        <v>512</v>
      </c>
      <c r="F191" s="129" t="s">
        <v>86</v>
      </c>
    </row>
    <row r="192" spans="1:6">
      <c r="A192">
        <v>57</v>
      </c>
      <c r="B192" s="43" t="s">
        <v>2304</v>
      </c>
      <c r="C192" t="s">
        <v>66</v>
      </c>
      <c r="D192" t="s">
        <v>4301</v>
      </c>
      <c r="E192" s="41" t="s">
        <v>514</v>
      </c>
      <c r="F192" s="129" t="s">
        <v>86</v>
      </c>
    </row>
    <row r="193" spans="1:6">
      <c r="A193">
        <v>57</v>
      </c>
      <c r="B193" s="43" t="s">
        <v>2304</v>
      </c>
      <c r="C193" t="s">
        <v>66</v>
      </c>
      <c r="D193" t="s">
        <v>4301</v>
      </c>
      <c r="E193" s="41" t="s">
        <v>515</v>
      </c>
      <c r="F193" s="129" t="s">
        <v>86</v>
      </c>
    </row>
    <row r="194" spans="1:6">
      <c r="A194">
        <v>57</v>
      </c>
      <c r="B194" s="43" t="s">
        <v>2304</v>
      </c>
      <c r="C194" t="s">
        <v>66</v>
      </c>
      <c r="D194" t="s">
        <v>4301</v>
      </c>
      <c r="E194" s="41" t="s">
        <v>516</v>
      </c>
      <c r="F194" s="129" t="s">
        <v>86</v>
      </c>
    </row>
    <row r="195" spans="1:6">
      <c r="A195">
        <v>57</v>
      </c>
      <c r="B195" s="43" t="s">
        <v>2304</v>
      </c>
      <c r="C195" t="s">
        <v>66</v>
      </c>
      <c r="D195" t="s">
        <v>4301</v>
      </c>
      <c r="E195" s="41" t="s">
        <v>517</v>
      </c>
      <c r="F195" s="129" t="s">
        <v>86</v>
      </c>
    </row>
    <row r="196" spans="1:6">
      <c r="A196" s="2">
        <v>57</v>
      </c>
      <c r="B196" s="43" t="s">
        <v>2304</v>
      </c>
      <c r="C196" t="s">
        <v>66</v>
      </c>
      <c r="D196" t="s">
        <v>4301</v>
      </c>
      <c r="E196" s="41" t="s">
        <v>519</v>
      </c>
      <c r="F196" s="129" t="s">
        <v>202</v>
      </c>
    </row>
    <row r="197" spans="1:6">
      <c r="A197" s="2">
        <v>57</v>
      </c>
      <c r="B197" s="43" t="s">
        <v>2304</v>
      </c>
      <c r="C197" t="s">
        <v>66</v>
      </c>
      <c r="D197" t="s">
        <v>4301</v>
      </c>
      <c r="E197" s="41" t="s">
        <v>520</v>
      </c>
      <c r="F197" s="129" t="s">
        <v>202</v>
      </c>
    </row>
    <row r="198" spans="1:6">
      <c r="A198" s="2">
        <v>57</v>
      </c>
      <c r="B198" s="43" t="s">
        <v>2304</v>
      </c>
      <c r="C198" t="s">
        <v>66</v>
      </c>
      <c r="D198" t="s">
        <v>4301</v>
      </c>
      <c r="E198" s="41" t="s">
        <v>521</v>
      </c>
      <c r="F198" s="129" t="s">
        <v>202</v>
      </c>
    </row>
    <row r="199" spans="1:6">
      <c r="A199" s="2">
        <v>57</v>
      </c>
      <c r="B199" s="43" t="s">
        <v>2304</v>
      </c>
      <c r="C199" t="s">
        <v>66</v>
      </c>
      <c r="D199" t="s">
        <v>4301</v>
      </c>
      <c r="E199" s="41" t="s">
        <v>522</v>
      </c>
      <c r="F199" s="129" t="s">
        <v>202</v>
      </c>
    </row>
    <row r="200" spans="1:6">
      <c r="A200" s="2">
        <v>57</v>
      </c>
      <c r="B200" s="43" t="s">
        <v>2304</v>
      </c>
      <c r="C200" t="s">
        <v>66</v>
      </c>
      <c r="D200" t="s">
        <v>4301</v>
      </c>
      <c r="E200" s="41" t="s">
        <v>523</v>
      </c>
      <c r="F200" s="129" t="s">
        <v>202</v>
      </c>
    </row>
    <row r="201" spans="1:6">
      <c r="A201">
        <v>58</v>
      </c>
      <c r="B201" t="s">
        <v>2304</v>
      </c>
      <c r="C201" t="s">
        <v>66</v>
      </c>
      <c r="D201" t="s">
        <v>4301</v>
      </c>
      <c r="E201" t="s">
        <v>527</v>
      </c>
      <c r="F201" s="129" t="s">
        <v>446</v>
      </c>
    </row>
    <row r="202" spans="1:6">
      <c r="A202">
        <v>58</v>
      </c>
      <c r="B202" t="s">
        <v>2304</v>
      </c>
      <c r="C202" t="s">
        <v>66</v>
      </c>
      <c r="D202" t="s">
        <v>4301</v>
      </c>
      <c r="E202" t="s">
        <v>528</v>
      </c>
      <c r="F202" s="129" t="s">
        <v>446</v>
      </c>
    </row>
    <row r="203" spans="1:6">
      <c r="A203">
        <v>58</v>
      </c>
      <c r="B203" t="s">
        <v>2304</v>
      </c>
      <c r="C203" t="s">
        <v>66</v>
      </c>
      <c r="D203" t="s">
        <v>4301</v>
      </c>
      <c r="E203" t="s">
        <v>529</v>
      </c>
      <c r="F203" s="129" t="s">
        <v>446</v>
      </c>
    </row>
    <row r="204" spans="1:6">
      <c r="A204">
        <v>58</v>
      </c>
      <c r="B204" s="43" t="s">
        <v>2304</v>
      </c>
      <c r="C204" t="s">
        <v>66</v>
      </c>
      <c r="D204" t="s">
        <v>4301</v>
      </c>
      <c r="E204" s="41" t="s">
        <v>530</v>
      </c>
      <c r="F204" s="129" t="s">
        <v>86</v>
      </c>
    </row>
    <row r="205" spans="1:6">
      <c r="A205">
        <v>58</v>
      </c>
      <c r="B205" s="43" t="s">
        <v>2304</v>
      </c>
      <c r="C205" t="s">
        <v>66</v>
      </c>
      <c r="D205" t="s">
        <v>4301</v>
      </c>
      <c r="E205" s="41" t="s">
        <v>532</v>
      </c>
      <c r="F205" s="129" t="s">
        <v>86</v>
      </c>
    </row>
    <row r="206" spans="1:6">
      <c r="A206">
        <v>58</v>
      </c>
      <c r="B206" s="43" t="s">
        <v>2304</v>
      </c>
      <c r="C206" t="s">
        <v>66</v>
      </c>
      <c r="D206" t="s">
        <v>4301</v>
      </c>
      <c r="E206" s="41" t="s">
        <v>533</v>
      </c>
      <c r="F206" s="129" t="s">
        <v>86</v>
      </c>
    </row>
    <row r="207" spans="1:6">
      <c r="A207">
        <v>58</v>
      </c>
      <c r="B207" s="43" t="s">
        <v>2304</v>
      </c>
      <c r="C207" t="s">
        <v>66</v>
      </c>
      <c r="D207" t="s">
        <v>4301</v>
      </c>
      <c r="E207" s="41" t="s">
        <v>534</v>
      </c>
      <c r="F207" s="129" t="s">
        <v>86</v>
      </c>
    </row>
    <row r="208" spans="1:6">
      <c r="A208">
        <v>58</v>
      </c>
      <c r="B208" s="43" t="s">
        <v>2304</v>
      </c>
      <c r="C208" t="s">
        <v>66</v>
      </c>
      <c r="D208" t="s">
        <v>4301</v>
      </c>
      <c r="E208" s="41" t="s">
        <v>535</v>
      </c>
      <c r="F208" s="129" t="s">
        <v>86</v>
      </c>
    </row>
    <row r="209" spans="1:6">
      <c r="A209">
        <v>62</v>
      </c>
      <c r="B209" t="s">
        <v>2304</v>
      </c>
      <c r="C209" t="s">
        <v>66</v>
      </c>
      <c r="D209" t="s">
        <v>4301</v>
      </c>
      <c r="E209" s="11" t="s">
        <v>552</v>
      </c>
      <c r="F209" s="35" t="s">
        <v>475</v>
      </c>
    </row>
    <row r="210" spans="1:6">
      <c r="A210">
        <v>62</v>
      </c>
      <c r="B210" t="s">
        <v>2304</v>
      </c>
      <c r="C210" t="s">
        <v>66</v>
      </c>
      <c r="D210" t="s">
        <v>4301</v>
      </c>
      <c r="E210" s="11" t="s">
        <v>554</v>
      </c>
      <c r="F210" s="35" t="s">
        <v>475</v>
      </c>
    </row>
    <row r="211" spans="1:6">
      <c r="A211">
        <v>62</v>
      </c>
      <c r="B211" t="s">
        <v>2304</v>
      </c>
      <c r="C211" t="s">
        <v>66</v>
      </c>
      <c r="D211" t="s">
        <v>4301</v>
      </c>
      <c r="E211" s="11" t="s">
        <v>555</v>
      </c>
      <c r="F211" s="35" t="s">
        <v>475</v>
      </c>
    </row>
    <row r="212" spans="1:6">
      <c r="A212">
        <v>66</v>
      </c>
      <c r="B212" t="s">
        <v>4300</v>
      </c>
      <c r="C212" t="s">
        <v>253</v>
      </c>
      <c r="D212" t="s">
        <v>28</v>
      </c>
      <c r="E212" t="s">
        <v>576</v>
      </c>
      <c r="F212" t="s">
        <v>217</v>
      </c>
    </row>
    <row r="213" spans="1:6">
      <c r="A213">
        <v>66</v>
      </c>
      <c r="B213" t="s">
        <v>4300</v>
      </c>
      <c r="C213" t="s">
        <v>253</v>
      </c>
      <c r="D213" t="s">
        <v>28</v>
      </c>
      <c r="E213" t="s">
        <v>578</v>
      </c>
      <c r="F213" t="s">
        <v>217</v>
      </c>
    </row>
    <row r="214" spans="1:6">
      <c r="A214">
        <v>66</v>
      </c>
      <c r="B214" t="s">
        <v>4300</v>
      </c>
      <c r="C214" t="s">
        <v>253</v>
      </c>
      <c r="D214" t="s">
        <v>28</v>
      </c>
      <c r="E214" t="s">
        <v>579</v>
      </c>
      <c r="F214" t="s">
        <v>217</v>
      </c>
    </row>
    <row r="215" spans="1:6">
      <c r="A215">
        <v>66</v>
      </c>
      <c r="B215" t="s">
        <v>4300</v>
      </c>
      <c r="C215" t="s">
        <v>253</v>
      </c>
      <c r="D215" t="s">
        <v>28</v>
      </c>
      <c r="E215" t="s">
        <v>580</v>
      </c>
      <c r="F215" t="s">
        <v>217</v>
      </c>
    </row>
    <row r="216" spans="1:6">
      <c r="A216">
        <v>66</v>
      </c>
      <c r="B216" t="s">
        <v>4300</v>
      </c>
      <c r="C216" t="s">
        <v>253</v>
      </c>
      <c r="D216" t="s">
        <v>28</v>
      </c>
      <c r="E216" t="s">
        <v>581</v>
      </c>
      <c r="F216" t="s">
        <v>217</v>
      </c>
    </row>
    <row r="217" spans="1:6">
      <c r="A217">
        <v>67</v>
      </c>
      <c r="B217" t="s">
        <v>4300</v>
      </c>
      <c r="C217" t="s">
        <v>253</v>
      </c>
      <c r="D217" t="s">
        <v>28</v>
      </c>
      <c r="E217" t="s">
        <v>582</v>
      </c>
      <c r="F217" t="s">
        <v>217</v>
      </c>
    </row>
    <row r="218" spans="1:6">
      <c r="A218">
        <v>67</v>
      </c>
      <c r="B218" t="s">
        <v>4300</v>
      </c>
      <c r="C218" t="s">
        <v>253</v>
      </c>
      <c r="D218" t="s">
        <v>28</v>
      </c>
      <c r="E218" t="s">
        <v>584</v>
      </c>
      <c r="F218" t="s">
        <v>217</v>
      </c>
    </row>
    <row r="219" spans="1:6">
      <c r="A219">
        <v>67</v>
      </c>
      <c r="B219" t="s">
        <v>4300</v>
      </c>
      <c r="C219" t="s">
        <v>253</v>
      </c>
      <c r="D219" t="s">
        <v>28</v>
      </c>
      <c r="E219" t="s">
        <v>585</v>
      </c>
      <c r="F219" t="s">
        <v>217</v>
      </c>
    </row>
    <row r="220" spans="1:6">
      <c r="A220">
        <v>67</v>
      </c>
      <c r="B220" t="s">
        <v>4300</v>
      </c>
      <c r="C220" t="s">
        <v>253</v>
      </c>
      <c r="D220" t="s">
        <v>28</v>
      </c>
      <c r="E220" t="s">
        <v>586</v>
      </c>
      <c r="F220" t="s">
        <v>217</v>
      </c>
    </row>
    <row r="221" spans="1:6">
      <c r="A221">
        <v>67</v>
      </c>
      <c r="B221" s="43" t="s">
        <v>4300</v>
      </c>
      <c r="C221" t="s">
        <v>253</v>
      </c>
      <c r="D221" t="s">
        <v>28</v>
      </c>
      <c r="E221" s="41" t="s">
        <v>587</v>
      </c>
      <c r="F221" t="s">
        <v>217</v>
      </c>
    </row>
    <row r="222" spans="1:6">
      <c r="A222">
        <v>67</v>
      </c>
      <c r="B222" s="43" t="s">
        <v>4300</v>
      </c>
      <c r="C222" t="s">
        <v>253</v>
      </c>
      <c r="D222" t="s">
        <v>28</v>
      </c>
      <c r="E222" s="41" t="s">
        <v>588</v>
      </c>
      <c r="F222" s="129" t="s">
        <v>371</v>
      </c>
    </row>
    <row r="223" spans="1:6">
      <c r="A223">
        <v>67</v>
      </c>
      <c r="B223" s="43" t="s">
        <v>4300</v>
      </c>
      <c r="C223" t="s">
        <v>253</v>
      </c>
      <c r="D223" t="s">
        <v>28</v>
      </c>
      <c r="E223" s="41" t="s">
        <v>589</v>
      </c>
      <c r="F223" t="s">
        <v>371</v>
      </c>
    </row>
    <row r="224" spans="1:6">
      <c r="A224">
        <v>67</v>
      </c>
      <c r="B224" s="43" t="s">
        <v>4300</v>
      </c>
      <c r="C224" t="s">
        <v>253</v>
      </c>
      <c r="D224" t="s">
        <v>28</v>
      </c>
      <c r="E224" s="41" t="s">
        <v>590</v>
      </c>
      <c r="F224" t="s">
        <v>371</v>
      </c>
    </row>
    <row r="225" spans="1:6">
      <c r="A225">
        <v>68</v>
      </c>
      <c r="B225" t="s">
        <v>4300</v>
      </c>
      <c r="C225" t="s">
        <v>253</v>
      </c>
      <c r="D225" t="s">
        <v>27</v>
      </c>
      <c r="E225" s="11" t="s">
        <v>591</v>
      </c>
      <c r="F225" s="35" t="s">
        <v>130</v>
      </c>
    </row>
    <row r="226" spans="1:6">
      <c r="A226">
        <v>68</v>
      </c>
      <c r="B226" t="s">
        <v>4300</v>
      </c>
      <c r="C226" t="s">
        <v>253</v>
      </c>
      <c r="D226" t="s">
        <v>27</v>
      </c>
      <c r="E226" s="11" t="s">
        <v>592</v>
      </c>
      <c r="F226" s="35" t="s">
        <v>130</v>
      </c>
    </row>
    <row r="227" spans="1:6">
      <c r="A227">
        <v>68</v>
      </c>
      <c r="B227" t="s">
        <v>4300</v>
      </c>
      <c r="C227" t="s">
        <v>253</v>
      </c>
      <c r="D227" t="s">
        <v>27</v>
      </c>
      <c r="E227" s="11" t="s">
        <v>593</v>
      </c>
      <c r="F227" s="35" t="s">
        <v>130</v>
      </c>
    </row>
    <row r="228" spans="1:6">
      <c r="A228">
        <v>68</v>
      </c>
      <c r="B228" t="s">
        <v>4300</v>
      </c>
      <c r="C228" t="s">
        <v>253</v>
      </c>
      <c r="D228" t="s">
        <v>27</v>
      </c>
      <c r="E228" s="11" t="s">
        <v>594</v>
      </c>
      <c r="F228" s="35" t="s">
        <v>475</v>
      </c>
    </row>
    <row r="229" spans="1:6">
      <c r="A229">
        <v>68</v>
      </c>
      <c r="B229" t="s">
        <v>4300</v>
      </c>
      <c r="C229" t="s">
        <v>253</v>
      </c>
      <c r="D229" t="s">
        <v>27</v>
      </c>
      <c r="E229" s="11" t="s">
        <v>596</v>
      </c>
      <c r="F229" s="35" t="s">
        <v>475</v>
      </c>
    </row>
    <row r="230" spans="1:6">
      <c r="A230">
        <v>68</v>
      </c>
      <c r="B230" t="s">
        <v>4300</v>
      </c>
      <c r="C230" t="s">
        <v>253</v>
      </c>
      <c r="D230" t="s">
        <v>27</v>
      </c>
      <c r="E230" s="11" t="s">
        <v>597</v>
      </c>
      <c r="F230" s="35" t="s">
        <v>475</v>
      </c>
    </row>
    <row r="231" spans="1:6">
      <c r="A231">
        <v>68</v>
      </c>
      <c r="B231" s="43" t="s">
        <v>4300</v>
      </c>
      <c r="C231" t="s">
        <v>253</v>
      </c>
      <c r="D231" t="s">
        <v>27</v>
      </c>
      <c r="E231" s="41" t="s">
        <v>598</v>
      </c>
      <c r="F231" s="44" t="s">
        <v>64</v>
      </c>
    </row>
    <row r="232" spans="1:6">
      <c r="A232">
        <v>68</v>
      </c>
      <c r="B232" s="43" t="s">
        <v>4300</v>
      </c>
      <c r="C232" t="s">
        <v>253</v>
      </c>
      <c r="D232" t="s">
        <v>27</v>
      </c>
      <c r="E232" s="41" t="s">
        <v>600</v>
      </c>
      <c r="F232" s="44" t="s">
        <v>53</v>
      </c>
    </row>
    <row r="233" spans="1:6">
      <c r="A233">
        <v>69</v>
      </c>
      <c r="B233" t="s">
        <v>4300</v>
      </c>
      <c r="C233" t="s">
        <v>253</v>
      </c>
      <c r="D233" t="s">
        <v>28</v>
      </c>
      <c r="E233" t="s">
        <v>601</v>
      </c>
      <c r="F233" s="1" t="s">
        <v>217</v>
      </c>
    </row>
    <row r="234" spans="1:6">
      <c r="A234">
        <v>69</v>
      </c>
      <c r="B234" t="s">
        <v>4300</v>
      </c>
      <c r="C234" t="s">
        <v>253</v>
      </c>
      <c r="D234" t="s">
        <v>28</v>
      </c>
      <c r="E234" t="s">
        <v>603</v>
      </c>
      <c r="F234" s="1" t="s">
        <v>217</v>
      </c>
    </row>
    <row r="235" spans="1:6">
      <c r="A235">
        <v>69</v>
      </c>
      <c r="B235" t="s">
        <v>4300</v>
      </c>
      <c r="C235" t="s">
        <v>253</v>
      </c>
      <c r="D235" t="s">
        <v>28</v>
      </c>
      <c r="E235" t="s">
        <v>604</v>
      </c>
      <c r="F235" s="1" t="s">
        <v>217</v>
      </c>
    </row>
    <row r="236" spans="1:6">
      <c r="A236">
        <v>69</v>
      </c>
      <c r="B236" t="s">
        <v>4300</v>
      </c>
      <c r="C236" t="s">
        <v>253</v>
      </c>
      <c r="D236" t="s">
        <v>28</v>
      </c>
      <c r="E236" t="s">
        <v>605</v>
      </c>
      <c r="F236" s="1" t="s">
        <v>217</v>
      </c>
    </row>
    <row r="237" spans="1:6">
      <c r="A237">
        <v>69</v>
      </c>
      <c r="B237" s="43" t="s">
        <v>4300</v>
      </c>
      <c r="C237" t="s">
        <v>253</v>
      </c>
      <c r="D237" t="s">
        <v>28</v>
      </c>
      <c r="E237" s="41" t="s">
        <v>606</v>
      </c>
      <c r="F237" s="1" t="s">
        <v>217</v>
      </c>
    </row>
    <row r="238" spans="1:6">
      <c r="A238">
        <v>69</v>
      </c>
      <c r="B238" s="43" t="s">
        <v>4300</v>
      </c>
      <c r="C238" t="s">
        <v>253</v>
      </c>
      <c r="D238" t="s">
        <v>28</v>
      </c>
      <c r="E238" s="41" t="s">
        <v>608</v>
      </c>
      <c r="F238" s="1" t="s">
        <v>371</v>
      </c>
    </row>
    <row r="239" spans="1:6">
      <c r="A239">
        <v>69</v>
      </c>
      <c r="B239" s="43" t="s">
        <v>4300</v>
      </c>
      <c r="C239" t="s">
        <v>253</v>
      </c>
      <c r="D239" t="s">
        <v>28</v>
      </c>
      <c r="E239" s="41" t="s">
        <v>609</v>
      </c>
      <c r="F239" s="1" t="s">
        <v>371</v>
      </c>
    </row>
    <row r="240" spans="1:6">
      <c r="A240">
        <v>69</v>
      </c>
      <c r="B240" s="43" t="s">
        <v>4300</v>
      </c>
      <c r="C240" t="s">
        <v>253</v>
      </c>
      <c r="D240" t="s">
        <v>28</v>
      </c>
      <c r="E240" s="41" t="s">
        <v>610</v>
      </c>
      <c r="F240" s="1" t="s">
        <v>371</v>
      </c>
    </row>
    <row r="241" spans="1:6">
      <c r="A241" s="2">
        <v>70</v>
      </c>
      <c r="B241" t="s">
        <v>4300</v>
      </c>
      <c r="C241" t="s">
        <v>253</v>
      </c>
      <c r="D241" t="s">
        <v>28</v>
      </c>
      <c r="E241" t="s">
        <v>612</v>
      </c>
      <c r="F241" s="1" t="s">
        <v>217</v>
      </c>
    </row>
    <row r="242" spans="1:6">
      <c r="A242" s="2">
        <v>70</v>
      </c>
      <c r="B242" t="s">
        <v>4300</v>
      </c>
      <c r="C242" t="s">
        <v>253</v>
      </c>
      <c r="D242" t="s">
        <v>28</v>
      </c>
      <c r="E242" t="s">
        <v>645</v>
      </c>
      <c r="F242" s="1" t="s">
        <v>217</v>
      </c>
    </row>
    <row r="243" spans="1:6">
      <c r="A243" s="2">
        <v>70</v>
      </c>
      <c r="B243" t="s">
        <v>4300</v>
      </c>
      <c r="C243" t="s">
        <v>253</v>
      </c>
      <c r="D243" t="s">
        <v>28</v>
      </c>
      <c r="E243" t="s">
        <v>646</v>
      </c>
      <c r="F243" s="1" t="s">
        <v>217</v>
      </c>
    </row>
    <row r="244" spans="1:6">
      <c r="A244" s="2">
        <v>70</v>
      </c>
      <c r="B244" t="s">
        <v>4300</v>
      </c>
      <c r="C244" t="s">
        <v>253</v>
      </c>
      <c r="D244" t="s">
        <v>28</v>
      </c>
      <c r="E244" t="s">
        <v>647</v>
      </c>
      <c r="F244" s="1" t="s">
        <v>217</v>
      </c>
    </row>
    <row r="245" spans="1:6">
      <c r="A245" s="2">
        <v>70</v>
      </c>
      <c r="B245" t="s">
        <v>4300</v>
      </c>
      <c r="C245" t="s">
        <v>253</v>
      </c>
      <c r="D245" t="s">
        <v>28</v>
      </c>
      <c r="E245" t="s">
        <v>719</v>
      </c>
      <c r="F245" s="1" t="s">
        <v>217</v>
      </c>
    </row>
    <row r="246" spans="1:6">
      <c r="A246">
        <v>70</v>
      </c>
      <c r="B246" s="43" t="s">
        <v>4300</v>
      </c>
      <c r="C246" t="s">
        <v>253</v>
      </c>
      <c r="D246" t="s">
        <v>28</v>
      </c>
      <c r="E246" s="41" t="s">
        <v>621</v>
      </c>
      <c r="F246" s="1" t="s">
        <v>202</v>
      </c>
    </row>
    <row r="247" spans="1:6">
      <c r="A247">
        <v>70</v>
      </c>
      <c r="B247" s="43" t="s">
        <v>4300</v>
      </c>
      <c r="C247" t="s">
        <v>253</v>
      </c>
      <c r="D247" t="s">
        <v>28</v>
      </c>
      <c r="E247" s="41" t="s">
        <v>623</v>
      </c>
      <c r="F247" s="1" t="s">
        <v>202</v>
      </c>
    </row>
    <row r="248" spans="1:6">
      <c r="A248">
        <v>70</v>
      </c>
      <c r="B248" s="43" t="s">
        <v>4300</v>
      </c>
      <c r="C248" t="s">
        <v>253</v>
      </c>
      <c r="D248" t="s">
        <v>28</v>
      </c>
      <c r="E248" s="41" t="s">
        <v>624</v>
      </c>
      <c r="F248" s="1" t="s">
        <v>202</v>
      </c>
    </row>
    <row r="249" spans="1:6">
      <c r="A249">
        <v>70</v>
      </c>
      <c r="B249" s="43" t="s">
        <v>4300</v>
      </c>
      <c r="C249" t="s">
        <v>253</v>
      </c>
      <c r="D249" t="s">
        <v>28</v>
      </c>
      <c r="E249" s="41" t="s">
        <v>625</v>
      </c>
      <c r="F249" s="1" t="s">
        <v>202</v>
      </c>
    </row>
    <row r="250" spans="1:6">
      <c r="A250">
        <v>70</v>
      </c>
      <c r="B250" s="43" t="s">
        <v>4300</v>
      </c>
      <c r="C250" t="s">
        <v>253</v>
      </c>
      <c r="D250" t="s">
        <v>28</v>
      </c>
      <c r="E250" s="41" t="s">
        <v>626</v>
      </c>
      <c r="F250" s="1" t="s">
        <v>202</v>
      </c>
    </row>
    <row r="251" spans="1:6">
      <c r="A251">
        <v>84</v>
      </c>
      <c r="B251" t="s">
        <v>613</v>
      </c>
      <c r="D251" t="s">
        <v>28</v>
      </c>
      <c r="E251" t="s">
        <v>661</v>
      </c>
      <c r="F251" s="129" t="s">
        <v>217</v>
      </c>
    </row>
    <row r="252" spans="1:6">
      <c r="A252">
        <v>84</v>
      </c>
      <c r="B252" t="s">
        <v>613</v>
      </c>
      <c r="D252" t="s">
        <v>28</v>
      </c>
      <c r="E252" t="s">
        <v>663</v>
      </c>
      <c r="F252" s="129" t="s">
        <v>217</v>
      </c>
    </row>
    <row r="253" spans="1:6">
      <c r="A253">
        <v>84</v>
      </c>
      <c r="B253" t="s">
        <v>613</v>
      </c>
      <c r="D253" t="s">
        <v>28</v>
      </c>
      <c r="E253" t="s">
        <v>665</v>
      </c>
      <c r="F253" s="129" t="s">
        <v>217</v>
      </c>
    </row>
    <row r="254" spans="1:6">
      <c r="A254">
        <v>84</v>
      </c>
      <c r="B254" t="s">
        <v>613</v>
      </c>
      <c r="D254" t="s">
        <v>28</v>
      </c>
      <c r="E254" t="s">
        <v>666</v>
      </c>
      <c r="F254" s="129" t="s">
        <v>217</v>
      </c>
    </row>
    <row r="255" spans="1:6">
      <c r="A255">
        <v>84</v>
      </c>
      <c r="B255" t="s">
        <v>613</v>
      </c>
      <c r="D255" t="s">
        <v>28</v>
      </c>
      <c r="E255" t="s">
        <v>667</v>
      </c>
      <c r="F255" s="129" t="s">
        <v>217</v>
      </c>
    </row>
    <row r="256" spans="1:6">
      <c r="A256">
        <v>95</v>
      </c>
      <c r="B256" t="s">
        <v>613</v>
      </c>
      <c r="D256" t="s">
        <v>28</v>
      </c>
      <c r="E256" t="s">
        <v>708</v>
      </c>
      <c r="F256" s="129" t="s">
        <v>217</v>
      </c>
    </row>
    <row r="257" spans="1:6">
      <c r="A257">
        <v>95</v>
      </c>
      <c r="B257" t="s">
        <v>613</v>
      </c>
      <c r="D257" t="s">
        <v>28</v>
      </c>
      <c r="E257" t="s">
        <v>710</v>
      </c>
      <c r="F257" s="129" t="s">
        <v>217</v>
      </c>
    </row>
    <row r="258" spans="1:6">
      <c r="A258">
        <v>95</v>
      </c>
      <c r="B258" t="s">
        <v>613</v>
      </c>
      <c r="D258" t="s">
        <v>28</v>
      </c>
      <c r="E258" t="s">
        <v>711</v>
      </c>
      <c r="F258" s="129" t="s">
        <v>217</v>
      </c>
    </row>
    <row r="259" spans="1:6">
      <c r="A259">
        <v>95</v>
      </c>
      <c r="B259" t="s">
        <v>613</v>
      </c>
      <c r="D259" t="s">
        <v>28</v>
      </c>
      <c r="E259" t="s">
        <v>712</v>
      </c>
      <c r="F259" s="129" t="s">
        <v>217</v>
      </c>
    </row>
    <row r="260" spans="1:6">
      <c r="A260">
        <v>95</v>
      </c>
      <c r="B260" t="s">
        <v>613</v>
      </c>
      <c r="D260" t="s">
        <v>28</v>
      </c>
      <c r="E260" t="s">
        <v>713</v>
      </c>
      <c r="F260" s="129" t="s">
        <v>217</v>
      </c>
    </row>
    <row r="261" spans="1:6">
      <c r="A261">
        <v>97</v>
      </c>
      <c r="B261" t="s">
        <v>613</v>
      </c>
      <c r="D261" t="s">
        <v>28</v>
      </c>
      <c r="E261" t="s">
        <v>617</v>
      </c>
      <c r="F261" s="129" t="s">
        <v>102</v>
      </c>
    </row>
    <row r="262" spans="1:6">
      <c r="A262">
        <v>97</v>
      </c>
      <c r="B262" t="s">
        <v>613</v>
      </c>
      <c r="D262" t="s">
        <v>28</v>
      </c>
      <c r="E262" t="s">
        <v>618</v>
      </c>
      <c r="F262" s="129" t="s">
        <v>102</v>
      </c>
    </row>
    <row r="263" spans="1:6">
      <c r="A263">
        <v>97</v>
      </c>
      <c r="B263" t="s">
        <v>613</v>
      </c>
      <c r="D263" t="s">
        <v>28</v>
      </c>
      <c r="E263" t="s">
        <v>619</v>
      </c>
      <c r="F263" s="129" t="s">
        <v>102</v>
      </c>
    </row>
    <row r="264" spans="1:6">
      <c r="A264">
        <v>97</v>
      </c>
      <c r="B264" t="s">
        <v>613</v>
      </c>
      <c r="D264" t="s">
        <v>28</v>
      </c>
      <c r="E264" t="s">
        <v>620</v>
      </c>
      <c r="F264" s="129" t="s">
        <v>102</v>
      </c>
    </row>
    <row r="265" spans="1:6">
      <c r="A265">
        <v>103</v>
      </c>
      <c r="B265" t="s">
        <v>111</v>
      </c>
      <c r="D265" t="s">
        <v>27</v>
      </c>
      <c r="E265" t="s">
        <v>743</v>
      </c>
      <c r="F265" s="129" t="s">
        <v>2542</v>
      </c>
    </row>
    <row r="266" spans="1:6">
      <c r="A266">
        <v>103</v>
      </c>
      <c r="B266" t="s">
        <v>111</v>
      </c>
      <c r="D266" t="s">
        <v>27</v>
      </c>
      <c r="E266" t="s">
        <v>746</v>
      </c>
      <c r="F266" s="129" t="s">
        <v>2544</v>
      </c>
    </row>
    <row r="267" spans="1:6">
      <c r="A267">
        <v>103</v>
      </c>
      <c r="B267" t="s">
        <v>111</v>
      </c>
      <c r="D267" t="s">
        <v>27</v>
      </c>
      <c r="E267" t="s">
        <v>748</v>
      </c>
      <c r="F267" s="129" t="s">
        <v>2546</v>
      </c>
    </row>
    <row r="268" spans="1:6">
      <c r="A268">
        <v>103</v>
      </c>
      <c r="B268" t="s">
        <v>111</v>
      </c>
      <c r="D268" t="s">
        <v>27</v>
      </c>
      <c r="E268" t="s">
        <v>749</v>
      </c>
      <c r="F268" s="129" t="s">
        <v>2548</v>
      </c>
    </row>
    <row r="269" spans="1:6">
      <c r="A269">
        <v>182</v>
      </c>
      <c r="B269" t="s">
        <v>4299</v>
      </c>
      <c r="C269" t="s">
        <v>4303</v>
      </c>
      <c r="D269" t="s">
        <v>27</v>
      </c>
      <c r="E269" t="s">
        <v>1128</v>
      </c>
      <c r="F269" t="s">
        <v>33</v>
      </c>
    </row>
    <row r="270" spans="1:6">
      <c r="A270">
        <v>182</v>
      </c>
      <c r="B270" t="s">
        <v>4299</v>
      </c>
      <c r="C270" t="s">
        <v>4303</v>
      </c>
      <c r="D270" t="s">
        <v>27</v>
      </c>
      <c r="E270" t="s">
        <v>753</v>
      </c>
      <c r="F270" t="s">
        <v>754</v>
      </c>
    </row>
    <row r="271" spans="1:6">
      <c r="A271">
        <v>182</v>
      </c>
      <c r="B271" t="s">
        <v>4299</v>
      </c>
      <c r="C271" t="s">
        <v>4303</v>
      </c>
      <c r="D271" t="s">
        <v>27</v>
      </c>
      <c r="E271" t="s">
        <v>758</v>
      </c>
      <c r="F271" t="s">
        <v>754</v>
      </c>
    </row>
    <row r="272" spans="1:6">
      <c r="A272">
        <v>182</v>
      </c>
      <c r="B272" t="s">
        <v>4299</v>
      </c>
      <c r="C272" t="s">
        <v>4303</v>
      </c>
      <c r="D272" t="s">
        <v>27</v>
      </c>
      <c r="E272" t="s">
        <v>763</v>
      </c>
      <c r="F272" t="s">
        <v>754</v>
      </c>
    </row>
    <row r="273" spans="1:6">
      <c r="A273">
        <v>182</v>
      </c>
      <c r="B273" s="43" t="s">
        <v>4299</v>
      </c>
      <c r="C273" t="s">
        <v>4303</v>
      </c>
      <c r="D273" t="s">
        <v>27</v>
      </c>
      <c r="E273" s="41" t="s">
        <v>1460</v>
      </c>
      <c r="F273" t="s">
        <v>41</v>
      </c>
    </row>
    <row r="274" spans="1:6">
      <c r="A274">
        <v>183</v>
      </c>
      <c r="B274" t="s">
        <v>4299</v>
      </c>
      <c r="C274" t="s">
        <v>4303</v>
      </c>
      <c r="D274" t="s">
        <v>27</v>
      </c>
      <c r="E274" t="s">
        <v>1150</v>
      </c>
      <c r="F274" t="s">
        <v>33</v>
      </c>
    </row>
    <row r="275" spans="1:6">
      <c r="A275">
        <v>183</v>
      </c>
      <c r="B275" t="s">
        <v>4299</v>
      </c>
      <c r="C275" t="s">
        <v>4303</v>
      </c>
      <c r="D275" t="s">
        <v>27</v>
      </c>
      <c r="E275" t="s">
        <v>1152</v>
      </c>
      <c r="F275" t="s">
        <v>754</v>
      </c>
    </row>
    <row r="276" spans="1:6">
      <c r="A276">
        <v>183</v>
      </c>
      <c r="B276" t="s">
        <v>4299</v>
      </c>
      <c r="C276" t="s">
        <v>4303</v>
      </c>
      <c r="D276" t="s">
        <v>27</v>
      </c>
      <c r="E276" t="s">
        <v>1153</v>
      </c>
      <c r="F276" t="s">
        <v>754</v>
      </c>
    </row>
    <row r="277" spans="1:6">
      <c r="A277">
        <v>183</v>
      </c>
      <c r="B277" t="s">
        <v>4299</v>
      </c>
      <c r="C277" t="s">
        <v>4303</v>
      </c>
      <c r="D277" t="s">
        <v>27</v>
      </c>
      <c r="E277" t="s">
        <v>764</v>
      </c>
      <c r="F277" t="s">
        <v>754</v>
      </c>
    </row>
    <row r="278" spans="1:6">
      <c r="A278">
        <v>184</v>
      </c>
      <c r="B278" t="s">
        <v>4299</v>
      </c>
      <c r="C278" t="s">
        <v>4303</v>
      </c>
      <c r="D278" t="s">
        <v>27</v>
      </c>
      <c r="E278" t="s">
        <v>1155</v>
      </c>
      <c r="F278" t="s">
        <v>33</v>
      </c>
    </row>
    <row r="279" spans="1:6">
      <c r="A279">
        <v>184</v>
      </c>
      <c r="B279" t="s">
        <v>4299</v>
      </c>
      <c r="C279" t="s">
        <v>4303</v>
      </c>
      <c r="D279" t="s">
        <v>27</v>
      </c>
      <c r="E279" t="s">
        <v>1157</v>
      </c>
      <c r="F279" t="s">
        <v>754</v>
      </c>
    </row>
    <row r="280" spans="1:6">
      <c r="A280">
        <v>184</v>
      </c>
      <c r="B280" t="s">
        <v>4299</v>
      </c>
      <c r="C280" t="s">
        <v>4303</v>
      </c>
      <c r="D280" t="s">
        <v>27</v>
      </c>
      <c r="E280" t="s">
        <v>1158</v>
      </c>
      <c r="F280" t="s">
        <v>754</v>
      </c>
    </row>
    <row r="281" spans="1:6">
      <c r="A281">
        <v>184</v>
      </c>
      <c r="B281" t="s">
        <v>4299</v>
      </c>
      <c r="C281" t="s">
        <v>4303</v>
      </c>
      <c r="D281" t="s">
        <v>27</v>
      </c>
      <c r="E281" t="s">
        <v>1159</v>
      </c>
      <c r="F281" t="s">
        <v>754</v>
      </c>
    </row>
    <row r="282" spans="1:6">
      <c r="A282">
        <v>184</v>
      </c>
      <c r="B282" s="43" t="s">
        <v>4299</v>
      </c>
      <c r="C282" t="s">
        <v>4303</v>
      </c>
      <c r="D282" t="s">
        <v>27</v>
      </c>
      <c r="E282" s="41" t="s">
        <v>1160</v>
      </c>
      <c r="F282" t="s">
        <v>41</v>
      </c>
    </row>
    <row r="283" spans="1:6">
      <c r="A283">
        <v>185</v>
      </c>
      <c r="B283" t="s">
        <v>4299</v>
      </c>
      <c r="C283" t="s">
        <v>4303</v>
      </c>
      <c r="D283" t="s">
        <v>27</v>
      </c>
      <c r="E283" t="s">
        <v>1163</v>
      </c>
      <c r="F283" t="s">
        <v>33</v>
      </c>
    </row>
    <row r="284" spans="1:6">
      <c r="A284">
        <v>185</v>
      </c>
      <c r="B284" t="s">
        <v>4299</v>
      </c>
      <c r="C284" t="s">
        <v>4303</v>
      </c>
      <c r="D284" t="s">
        <v>27</v>
      </c>
      <c r="E284" t="s">
        <v>1164</v>
      </c>
      <c r="F284" t="s">
        <v>754</v>
      </c>
    </row>
    <row r="285" spans="1:6">
      <c r="A285">
        <v>185</v>
      </c>
      <c r="B285" t="s">
        <v>4299</v>
      </c>
      <c r="C285" t="s">
        <v>4303</v>
      </c>
      <c r="D285" t="s">
        <v>27</v>
      </c>
      <c r="E285" t="s">
        <v>1166</v>
      </c>
      <c r="F285" t="s">
        <v>754</v>
      </c>
    </row>
    <row r="286" spans="1:6">
      <c r="A286">
        <v>185</v>
      </c>
      <c r="B286" t="s">
        <v>4299</v>
      </c>
      <c r="C286" t="s">
        <v>4303</v>
      </c>
      <c r="D286" t="s">
        <v>27</v>
      </c>
      <c r="E286" t="s">
        <v>1167</v>
      </c>
      <c r="F286" t="s">
        <v>754</v>
      </c>
    </row>
    <row r="287" spans="1:6">
      <c r="A287">
        <v>186</v>
      </c>
      <c r="B287" t="s">
        <v>4299</v>
      </c>
      <c r="C287" t="s">
        <v>4303</v>
      </c>
      <c r="D287" t="s">
        <v>27</v>
      </c>
      <c r="E287" t="s">
        <v>1168</v>
      </c>
      <c r="F287" t="s">
        <v>33</v>
      </c>
    </row>
    <row r="288" spans="1:6">
      <c r="A288">
        <v>186</v>
      </c>
      <c r="B288" t="s">
        <v>4299</v>
      </c>
      <c r="C288" t="s">
        <v>4303</v>
      </c>
      <c r="D288" t="s">
        <v>27</v>
      </c>
      <c r="E288" t="s">
        <v>1170</v>
      </c>
      <c r="F288" t="s">
        <v>754</v>
      </c>
    </row>
    <row r="289" spans="1:6">
      <c r="A289">
        <v>186</v>
      </c>
      <c r="B289" t="s">
        <v>4299</v>
      </c>
      <c r="C289" t="s">
        <v>4303</v>
      </c>
      <c r="D289" t="s">
        <v>27</v>
      </c>
      <c r="E289" t="s">
        <v>1171</v>
      </c>
      <c r="F289" t="s">
        <v>754</v>
      </c>
    </row>
    <row r="290" spans="1:6">
      <c r="A290">
        <v>186</v>
      </c>
      <c r="B290" t="s">
        <v>4299</v>
      </c>
      <c r="C290" t="s">
        <v>4303</v>
      </c>
      <c r="D290" t="s">
        <v>27</v>
      </c>
      <c r="E290" t="s">
        <v>1172</v>
      </c>
      <c r="F290" t="s">
        <v>754</v>
      </c>
    </row>
    <row r="291" spans="1:6">
      <c r="A291">
        <v>187</v>
      </c>
      <c r="B291" t="s">
        <v>4299</v>
      </c>
      <c r="C291" t="s">
        <v>4303</v>
      </c>
      <c r="D291" t="s">
        <v>27</v>
      </c>
      <c r="E291" t="s">
        <v>1173</v>
      </c>
      <c r="F291" t="s">
        <v>33</v>
      </c>
    </row>
    <row r="292" spans="1:6">
      <c r="A292">
        <v>187</v>
      </c>
      <c r="B292" t="s">
        <v>4299</v>
      </c>
      <c r="C292" t="s">
        <v>4303</v>
      </c>
      <c r="D292" t="s">
        <v>27</v>
      </c>
      <c r="E292" t="s">
        <v>1175</v>
      </c>
      <c r="F292" t="s">
        <v>1176</v>
      </c>
    </row>
    <row r="293" spans="1:6">
      <c r="A293">
        <v>187</v>
      </c>
      <c r="B293" t="s">
        <v>4299</v>
      </c>
      <c r="C293" t="s">
        <v>4303</v>
      </c>
      <c r="D293" t="s">
        <v>27</v>
      </c>
      <c r="E293" t="s">
        <v>1178</v>
      </c>
      <c r="F293" t="s">
        <v>1176</v>
      </c>
    </row>
    <row r="294" spans="1:6">
      <c r="A294">
        <v>187</v>
      </c>
      <c r="B294" t="s">
        <v>4299</v>
      </c>
      <c r="C294" t="s">
        <v>4303</v>
      </c>
      <c r="D294" t="s">
        <v>27</v>
      </c>
      <c r="E294" t="s">
        <v>1180</v>
      </c>
      <c r="F294" t="s">
        <v>1176</v>
      </c>
    </row>
    <row r="295" spans="1:6">
      <c r="A295">
        <v>195</v>
      </c>
      <c r="B295" t="s">
        <v>1221</v>
      </c>
      <c r="C295" t="s">
        <v>4303</v>
      </c>
      <c r="D295" t="s">
        <v>27</v>
      </c>
      <c r="E295" t="s">
        <v>1227</v>
      </c>
      <c r="F295" s="129" t="s">
        <v>475</v>
      </c>
    </row>
    <row r="296" spans="1:6">
      <c r="A296">
        <v>195</v>
      </c>
      <c r="B296" t="s">
        <v>1221</v>
      </c>
      <c r="C296" t="s">
        <v>4303</v>
      </c>
      <c r="D296" t="s">
        <v>27</v>
      </c>
      <c r="E296" t="s">
        <v>1229</v>
      </c>
      <c r="F296" s="129" t="s">
        <v>475</v>
      </c>
    </row>
    <row r="297" spans="1:6">
      <c r="A297">
        <v>195</v>
      </c>
      <c r="B297" t="s">
        <v>1221</v>
      </c>
      <c r="C297" t="s">
        <v>4303</v>
      </c>
      <c r="D297" t="s">
        <v>27</v>
      </c>
      <c r="E297" t="s">
        <v>1230</v>
      </c>
      <c r="F297" s="129" t="s">
        <v>475</v>
      </c>
    </row>
    <row r="298" spans="1:6">
      <c r="A298">
        <v>195</v>
      </c>
      <c r="B298" s="43" t="s">
        <v>1221</v>
      </c>
      <c r="C298" t="s">
        <v>4303</v>
      </c>
      <c r="D298" t="s">
        <v>27</v>
      </c>
      <c r="E298" s="41" t="s">
        <v>1231</v>
      </c>
      <c r="F298" s="129" t="s">
        <v>41</v>
      </c>
    </row>
    <row r="299" spans="1:6">
      <c r="A299">
        <v>200</v>
      </c>
      <c r="B299" t="s">
        <v>4299</v>
      </c>
      <c r="C299" t="s">
        <v>48</v>
      </c>
      <c r="D299" t="s">
        <v>27</v>
      </c>
      <c r="E299" t="s">
        <v>1246</v>
      </c>
      <c r="F299" s="129" t="s">
        <v>93</v>
      </c>
    </row>
    <row r="300" spans="1:6">
      <c r="A300">
        <v>200</v>
      </c>
      <c r="B300" t="s">
        <v>4299</v>
      </c>
      <c r="C300" t="s">
        <v>48</v>
      </c>
      <c r="D300" t="s">
        <v>27</v>
      </c>
      <c r="E300" t="s">
        <v>1248</v>
      </c>
      <c r="F300" s="129" t="s">
        <v>1249</v>
      </c>
    </row>
    <row r="301" spans="1:6">
      <c r="A301">
        <v>200</v>
      </c>
      <c r="B301" t="s">
        <v>4299</v>
      </c>
      <c r="C301" t="s">
        <v>48</v>
      </c>
      <c r="D301" t="s">
        <v>27</v>
      </c>
      <c r="E301" t="s">
        <v>1250</v>
      </c>
      <c r="F301" s="129" t="s">
        <v>1249</v>
      </c>
    </row>
    <row r="302" spans="1:6">
      <c r="A302">
        <v>200</v>
      </c>
      <c r="B302" t="s">
        <v>4299</v>
      </c>
      <c r="C302" t="s">
        <v>48</v>
      </c>
      <c r="D302" t="s">
        <v>27</v>
      </c>
      <c r="E302" t="s">
        <v>1251</v>
      </c>
      <c r="F302" s="129" t="s">
        <v>1249</v>
      </c>
    </row>
    <row r="303" spans="1:6">
      <c r="A303" s="2">
        <v>201</v>
      </c>
      <c r="B303" t="s">
        <v>4299</v>
      </c>
      <c r="C303" t="s">
        <v>48</v>
      </c>
      <c r="D303" t="s">
        <v>27</v>
      </c>
      <c r="E303" t="s">
        <v>724</v>
      </c>
      <c r="F303" s="129" t="s">
        <v>380</v>
      </c>
    </row>
    <row r="304" spans="1:6" s="137" customFormat="1">
      <c r="A304" s="51">
        <v>201</v>
      </c>
      <c r="B304" s="137" t="s">
        <v>4299</v>
      </c>
      <c r="C304" s="137" t="s">
        <v>48</v>
      </c>
      <c r="D304" s="137" t="s">
        <v>723</v>
      </c>
      <c r="E304" s="137" t="s">
        <v>741</v>
      </c>
      <c r="F304" s="14" t="s">
        <v>380</v>
      </c>
    </row>
    <row r="305" spans="1:6" s="137" customFormat="1">
      <c r="A305" s="51">
        <v>201</v>
      </c>
      <c r="B305" s="137" t="s">
        <v>4299</v>
      </c>
      <c r="C305" s="137" t="s">
        <v>48</v>
      </c>
      <c r="D305" s="137" t="s">
        <v>723</v>
      </c>
      <c r="E305" s="137" t="s">
        <v>750</v>
      </c>
      <c r="F305" s="14" t="s">
        <v>380</v>
      </c>
    </row>
    <row r="306" spans="1:6">
      <c r="A306">
        <v>201</v>
      </c>
      <c r="B306" t="s">
        <v>4299</v>
      </c>
      <c r="C306" t="s">
        <v>48</v>
      </c>
      <c r="D306" t="s">
        <v>27</v>
      </c>
      <c r="E306" t="s">
        <v>1266</v>
      </c>
      <c r="F306" t="s">
        <v>475</v>
      </c>
    </row>
    <row r="307" spans="1:6">
      <c r="A307">
        <v>201</v>
      </c>
      <c r="B307" t="s">
        <v>4299</v>
      </c>
      <c r="C307" t="s">
        <v>48</v>
      </c>
      <c r="D307" t="s">
        <v>27</v>
      </c>
      <c r="E307" t="s">
        <v>1268</v>
      </c>
      <c r="F307" t="s">
        <v>475</v>
      </c>
    </row>
    <row r="308" spans="1:6">
      <c r="A308">
        <v>201</v>
      </c>
      <c r="B308" t="s">
        <v>4299</v>
      </c>
      <c r="C308" t="s">
        <v>48</v>
      </c>
      <c r="D308" t="s">
        <v>27</v>
      </c>
      <c r="E308" t="s">
        <v>1269</v>
      </c>
      <c r="F308" t="s">
        <v>475</v>
      </c>
    </row>
    <row r="309" spans="1:6">
      <c r="A309">
        <v>201</v>
      </c>
      <c r="B309" s="43" t="s">
        <v>4299</v>
      </c>
      <c r="C309" t="s">
        <v>48</v>
      </c>
      <c r="D309" t="s">
        <v>27</v>
      </c>
      <c r="E309" s="41" t="s">
        <v>1270</v>
      </c>
      <c r="F309" t="s">
        <v>86</v>
      </c>
    </row>
    <row r="310" spans="1:6">
      <c r="A310">
        <v>201</v>
      </c>
      <c r="B310" s="43" t="s">
        <v>4299</v>
      </c>
      <c r="C310" t="s">
        <v>48</v>
      </c>
      <c r="D310" t="s">
        <v>27</v>
      </c>
      <c r="E310" s="41" t="s">
        <v>1272</v>
      </c>
      <c r="F310" t="s">
        <v>86</v>
      </c>
    </row>
    <row r="311" spans="1:6">
      <c r="A311">
        <v>201</v>
      </c>
      <c r="B311" s="43" t="s">
        <v>4299</v>
      </c>
      <c r="C311" t="s">
        <v>48</v>
      </c>
      <c r="D311" t="s">
        <v>27</v>
      </c>
      <c r="E311" s="41" t="s">
        <v>1273</v>
      </c>
      <c r="F311" t="s">
        <v>86</v>
      </c>
    </row>
    <row r="312" spans="1:6">
      <c r="A312">
        <v>201</v>
      </c>
      <c r="B312" s="43" t="s">
        <v>4299</v>
      </c>
      <c r="C312" t="s">
        <v>48</v>
      </c>
      <c r="D312" t="s">
        <v>27</v>
      </c>
      <c r="E312" s="41" t="s">
        <v>1274</v>
      </c>
      <c r="F312" t="s">
        <v>86</v>
      </c>
    </row>
    <row r="313" spans="1:6">
      <c r="A313">
        <v>201</v>
      </c>
      <c r="B313" s="43" t="s">
        <v>4299</v>
      </c>
      <c r="C313" t="s">
        <v>48</v>
      </c>
      <c r="D313" t="s">
        <v>27</v>
      </c>
      <c r="E313" s="41" t="s">
        <v>1275</v>
      </c>
      <c r="F313" t="s">
        <v>86</v>
      </c>
    </row>
    <row r="314" spans="1:6">
      <c r="A314">
        <v>202</v>
      </c>
      <c r="B314" t="s">
        <v>4299</v>
      </c>
      <c r="C314" t="s">
        <v>48</v>
      </c>
      <c r="D314" t="s">
        <v>27</v>
      </c>
      <c r="E314" t="s">
        <v>1276</v>
      </c>
      <c r="F314" s="129" t="s">
        <v>93</v>
      </c>
    </row>
    <row r="315" spans="1:6">
      <c r="A315">
        <v>202</v>
      </c>
      <c r="B315" t="s">
        <v>4299</v>
      </c>
      <c r="C315" t="s">
        <v>48</v>
      </c>
      <c r="D315" t="s">
        <v>27</v>
      </c>
      <c r="E315" t="s">
        <v>1278</v>
      </c>
      <c r="F315" s="129" t="s">
        <v>752</v>
      </c>
    </row>
    <row r="316" spans="1:6">
      <c r="A316">
        <v>202</v>
      </c>
      <c r="B316" t="s">
        <v>4299</v>
      </c>
      <c r="C316" t="s">
        <v>48</v>
      </c>
      <c r="D316" t="s">
        <v>27</v>
      </c>
      <c r="E316" t="s">
        <v>1279</v>
      </c>
      <c r="F316" s="129" t="s">
        <v>752</v>
      </c>
    </row>
    <row r="317" spans="1:6">
      <c r="A317">
        <v>202</v>
      </c>
      <c r="B317" t="s">
        <v>4299</v>
      </c>
      <c r="C317" t="s">
        <v>48</v>
      </c>
      <c r="D317" t="s">
        <v>27</v>
      </c>
      <c r="E317" t="s">
        <v>1280</v>
      </c>
      <c r="F317" s="129" t="s">
        <v>752</v>
      </c>
    </row>
    <row r="318" spans="1:6">
      <c r="A318">
        <v>203</v>
      </c>
      <c r="B318" t="s">
        <v>4299</v>
      </c>
      <c r="C318" t="s">
        <v>48</v>
      </c>
      <c r="D318" t="s">
        <v>27</v>
      </c>
      <c r="E318" t="s">
        <v>1281</v>
      </c>
      <c r="F318" t="s">
        <v>475</v>
      </c>
    </row>
    <row r="319" spans="1:6">
      <c r="A319">
        <v>203</v>
      </c>
      <c r="B319" t="s">
        <v>4299</v>
      </c>
      <c r="C319" t="s">
        <v>48</v>
      </c>
      <c r="D319" t="s">
        <v>27</v>
      </c>
      <c r="E319" t="s">
        <v>1283</v>
      </c>
      <c r="F319" t="s">
        <v>475</v>
      </c>
    </row>
    <row r="320" spans="1:6">
      <c r="A320">
        <v>203</v>
      </c>
      <c r="B320" t="s">
        <v>4299</v>
      </c>
      <c r="C320" t="s">
        <v>48</v>
      </c>
      <c r="D320" t="s">
        <v>27</v>
      </c>
      <c r="E320" t="s">
        <v>1284</v>
      </c>
      <c r="F320" t="s">
        <v>475</v>
      </c>
    </row>
    <row r="321" spans="1:6">
      <c r="A321">
        <v>204</v>
      </c>
      <c r="B321" t="s">
        <v>4300</v>
      </c>
      <c r="C321" t="s">
        <v>66</v>
      </c>
      <c r="D321" t="s">
        <v>28</v>
      </c>
      <c r="E321" s="11" t="s">
        <v>1285</v>
      </c>
      <c r="F321" s="35" t="s">
        <v>86</v>
      </c>
    </row>
    <row r="322" spans="1:6">
      <c r="A322">
        <v>204</v>
      </c>
      <c r="B322" t="s">
        <v>4300</v>
      </c>
      <c r="C322" t="s">
        <v>66</v>
      </c>
      <c r="D322" t="s">
        <v>28</v>
      </c>
      <c r="E322" s="11" t="s">
        <v>1287</v>
      </c>
      <c r="F322" s="35" t="s">
        <v>86</v>
      </c>
    </row>
    <row r="323" spans="1:6">
      <c r="A323">
        <v>204</v>
      </c>
      <c r="B323" t="s">
        <v>4300</v>
      </c>
      <c r="C323" t="s">
        <v>66</v>
      </c>
      <c r="D323" t="s">
        <v>28</v>
      </c>
      <c r="E323" s="11" t="s">
        <v>1288</v>
      </c>
      <c r="F323" s="35" t="s">
        <v>86</v>
      </c>
    </row>
    <row r="324" spans="1:6">
      <c r="A324">
        <v>204</v>
      </c>
      <c r="B324" t="s">
        <v>4300</v>
      </c>
      <c r="C324" t="s">
        <v>66</v>
      </c>
      <c r="D324" t="s">
        <v>28</v>
      </c>
      <c r="E324" s="11" t="s">
        <v>1289</v>
      </c>
      <c r="F324" s="35" t="s">
        <v>86</v>
      </c>
    </row>
    <row r="325" spans="1:6">
      <c r="A325">
        <v>204</v>
      </c>
      <c r="B325" t="s">
        <v>4300</v>
      </c>
      <c r="C325" t="s">
        <v>66</v>
      </c>
      <c r="D325" t="s">
        <v>28</v>
      </c>
      <c r="E325" s="11" t="s">
        <v>1290</v>
      </c>
      <c r="F325" s="42" t="s">
        <v>86</v>
      </c>
    </row>
    <row r="326" spans="1:6">
      <c r="A326">
        <v>205</v>
      </c>
      <c r="B326" t="s">
        <v>4300</v>
      </c>
      <c r="C326" t="s">
        <v>66</v>
      </c>
      <c r="D326" t="s">
        <v>27</v>
      </c>
      <c r="E326" t="s">
        <v>1294</v>
      </c>
      <c r="F326" s="129" t="s">
        <v>475</v>
      </c>
    </row>
    <row r="327" spans="1:6">
      <c r="A327">
        <v>205</v>
      </c>
      <c r="B327" t="s">
        <v>4300</v>
      </c>
      <c r="C327" t="s">
        <v>66</v>
      </c>
      <c r="D327" t="s">
        <v>27</v>
      </c>
      <c r="E327" t="s">
        <v>1295</v>
      </c>
      <c r="F327" s="129" t="s">
        <v>475</v>
      </c>
    </row>
    <row r="328" spans="1:6">
      <c r="A328">
        <v>205</v>
      </c>
      <c r="B328" t="s">
        <v>4300</v>
      </c>
      <c r="C328" t="s">
        <v>66</v>
      </c>
      <c r="D328" t="s">
        <v>27</v>
      </c>
      <c r="E328" t="s">
        <v>1296</v>
      </c>
      <c r="F328" s="129" t="s">
        <v>475</v>
      </c>
    </row>
    <row r="329" spans="1:6">
      <c r="A329">
        <v>205</v>
      </c>
      <c r="B329" s="43" t="s">
        <v>4300</v>
      </c>
      <c r="C329" t="s">
        <v>66</v>
      </c>
      <c r="D329" t="s">
        <v>27</v>
      </c>
      <c r="E329" s="41" t="s">
        <v>1297</v>
      </c>
      <c r="F329" s="129" t="s">
        <v>86</v>
      </c>
    </row>
    <row r="330" spans="1:6">
      <c r="A330">
        <v>205</v>
      </c>
      <c r="B330" s="43" t="s">
        <v>4300</v>
      </c>
      <c r="C330" t="s">
        <v>66</v>
      </c>
      <c r="D330" t="s">
        <v>27</v>
      </c>
      <c r="E330" s="41" t="s">
        <v>1299</v>
      </c>
      <c r="F330" s="129" t="s">
        <v>86</v>
      </c>
    </row>
    <row r="331" spans="1:6">
      <c r="A331">
        <v>205</v>
      </c>
      <c r="B331" s="43" t="s">
        <v>4300</v>
      </c>
      <c r="C331" t="s">
        <v>66</v>
      </c>
      <c r="D331" t="s">
        <v>27</v>
      </c>
      <c r="E331" s="41" t="s">
        <v>1300</v>
      </c>
      <c r="F331" s="129" t="s">
        <v>86</v>
      </c>
    </row>
    <row r="332" spans="1:6">
      <c r="A332">
        <v>205</v>
      </c>
      <c r="B332" s="43" t="s">
        <v>4300</v>
      </c>
      <c r="C332" t="s">
        <v>66</v>
      </c>
      <c r="D332" t="s">
        <v>27</v>
      </c>
      <c r="E332" s="41" t="s">
        <v>1301</v>
      </c>
      <c r="F332" s="129" t="s">
        <v>86</v>
      </c>
    </row>
    <row r="333" spans="1:6">
      <c r="A333">
        <v>205</v>
      </c>
      <c r="B333" s="43" t="s">
        <v>4300</v>
      </c>
      <c r="C333" t="s">
        <v>66</v>
      </c>
      <c r="D333" t="s">
        <v>27</v>
      </c>
      <c r="E333" s="41" t="s">
        <v>1302</v>
      </c>
      <c r="F333" s="129" t="s">
        <v>86</v>
      </c>
    </row>
    <row r="334" spans="1:6">
      <c r="A334">
        <v>206</v>
      </c>
      <c r="B334" t="s">
        <v>4300</v>
      </c>
      <c r="C334" t="s">
        <v>253</v>
      </c>
      <c r="D334" t="s">
        <v>27</v>
      </c>
      <c r="E334" t="s">
        <v>1303</v>
      </c>
      <c r="F334" s="129" t="s">
        <v>475</v>
      </c>
    </row>
    <row r="335" spans="1:6">
      <c r="A335">
        <v>206</v>
      </c>
      <c r="B335" t="s">
        <v>4300</v>
      </c>
      <c r="C335" t="s">
        <v>253</v>
      </c>
      <c r="D335" t="s">
        <v>27</v>
      </c>
      <c r="E335" t="s">
        <v>1304</v>
      </c>
      <c r="F335" s="129" t="s">
        <v>475</v>
      </c>
    </row>
    <row r="336" spans="1:6">
      <c r="A336">
        <v>206</v>
      </c>
      <c r="B336" t="s">
        <v>4300</v>
      </c>
      <c r="C336" t="s">
        <v>253</v>
      </c>
      <c r="D336" t="s">
        <v>27</v>
      </c>
      <c r="E336" t="s">
        <v>1305</v>
      </c>
      <c r="F336" s="129" t="s">
        <v>475</v>
      </c>
    </row>
    <row r="337" spans="1:6">
      <c r="A337">
        <v>206</v>
      </c>
      <c r="B337" s="43" t="s">
        <v>4300</v>
      </c>
      <c r="C337" t="s">
        <v>253</v>
      </c>
      <c r="D337" t="s">
        <v>27</v>
      </c>
      <c r="E337" s="41" t="s">
        <v>1306</v>
      </c>
      <c r="F337" s="129" t="s">
        <v>86</v>
      </c>
    </row>
    <row r="338" spans="1:6">
      <c r="A338">
        <v>206</v>
      </c>
      <c r="B338" s="43" t="s">
        <v>4300</v>
      </c>
      <c r="C338" t="s">
        <v>253</v>
      </c>
      <c r="D338" t="s">
        <v>27</v>
      </c>
      <c r="E338" s="41" t="s">
        <v>1308</v>
      </c>
      <c r="F338" s="129" t="s">
        <v>86</v>
      </c>
    </row>
    <row r="339" spans="1:6">
      <c r="A339">
        <v>206</v>
      </c>
      <c r="B339" s="43" t="s">
        <v>4300</v>
      </c>
      <c r="C339" t="s">
        <v>253</v>
      </c>
      <c r="D339" t="s">
        <v>27</v>
      </c>
      <c r="E339" s="41" t="s">
        <v>1309</v>
      </c>
      <c r="F339" s="129" t="s">
        <v>86</v>
      </c>
    </row>
    <row r="340" spans="1:6">
      <c r="A340">
        <v>206</v>
      </c>
      <c r="B340" s="43" t="s">
        <v>4300</v>
      </c>
      <c r="C340" t="s">
        <v>253</v>
      </c>
      <c r="D340" t="s">
        <v>27</v>
      </c>
      <c r="E340" s="41" t="s">
        <v>1310</v>
      </c>
      <c r="F340" s="129" t="s">
        <v>86</v>
      </c>
    </row>
    <row r="341" spans="1:6">
      <c r="A341">
        <v>207</v>
      </c>
      <c r="B341" t="s">
        <v>4300</v>
      </c>
      <c r="C341" t="s">
        <v>66</v>
      </c>
      <c r="D341" t="s">
        <v>27</v>
      </c>
      <c r="E341" t="s">
        <v>1311</v>
      </c>
      <c r="F341" s="129" t="s">
        <v>475</v>
      </c>
    </row>
    <row r="342" spans="1:6">
      <c r="A342">
        <v>207</v>
      </c>
      <c r="B342" t="s">
        <v>4300</v>
      </c>
      <c r="C342" t="s">
        <v>66</v>
      </c>
      <c r="D342" t="s">
        <v>27</v>
      </c>
      <c r="E342" t="s">
        <v>1312</v>
      </c>
      <c r="F342" s="129" t="s">
        <v>475</v>
      </c>
    </row>
    <row r="343" spans="1:6">
      <c r="A343">
        <v>207</v>
      </c>
      <c r="B343" t="s">
        <v>4300</v>
      </c>
      <c r="C343" t="s">
        <v>66</v>
      </c>
      <c r="D343" t="s">
        <v>27</v>
      </c>
      <c r="E343" t="s">
        <v>1313</v>
      </c>
      <c r="F343" s="129" t="s">
        <v>475</v>
      </c>
    </row>
    <row r="344" spans="1:6">
      <c r="A344">
        <v>207</v>
      </c>
      <c r="B344" s="43" t="s">
        <v>4300</v>
      </c>
      <c r="C344" t="s">
        <v>66</v>
      </c>
      <c r="D344" t="s">
        <v>27</v>
      </c>
      <c r="E344" s="41" t="s">
        <v>1314</v>
      </c>
      <c r="F344" s="129" t="s">
        <v>86</v>
      </c>
    </row>
    <row r="345" spans="1:6">
      <c r="A345">
        <v>207</v>
      </c>
      <c r="B345" s="43" t="s">
        <v>4300</v>
      </c>
      <c r="C345" t="s">
        <v>66</v>
      </c>
      <c r="D345" t="s">
        <v>27</v>
      </c>
      <c r="E345" s="41" t="s">
        <v>1316</v>
      </c>
      <c r="F345" s="129" t="s">
        <v>86</v>
      </c>
    </row>
    <row r="346" spans="1:6">
      <c r="A346">
        <v>207</v>
      </c>
      <c r="B346" s="43" t="s">
        <v>4300</v>
      </c>
      <c r="C346" t="s">
        <v>66</v>
      </c>
      <c r="D346" t="s">
        <v>27</v>
      </c>
      <c r="E346" s="41" t="s">
        <v>1317</v>
      </c>
      <c r="F346" s="129" t="s">
        <v>86</v>
      </c>
    </row>
    <row r="347" spans="1:6">
      <c r="A347">
        <v>207</v>
      </c>
      <c r="B347" s="43" t="s">
        <v>4300</v>
      </c>
      <c r="C347" t="s">
        <v>66</v>
      </c>
      <c r="D347" t="s">
        <v>27</v>
      </c>
      <c r="E347" s="41" t="s">
        <v>1318</v>
      </c>
      <c r="F347" s="129" t="s">
        <v>86</v>
      </c>
    </row>
    <row r="348" spans="1:6">
      <c r="A348">
        <v>207</v>
      </c>
      <c r="B348" s="43" t="s">
        <v>4300</v>
      </c>
      <c r="C348" t="s">
        <v>66</v>
      </c>
      <c r="D348" t="s">
        <v>27</v>
      </c>
      <c r="E348" s="41" t="s">
        <v>1319</v>
      </c>
      <c r="F348" s="129" t="s">
        <v>86</v>
      </c>
    </row>
    <row r="349" spans="1:6">
      <c r="A349">
        <v>209</v>
      </c>
      <c r="B349" t="s">
        <v>4300</v>
      </c>
      <c r="C349" t="s">
        <v>253</v>
      </c>
      <c r="D349" t="s">
        <v>27</v>
      </c>
      <c r="E349" t="s">
        <v>1327</v>
      </c>
      <c r="F349" s="129" t="s">
        <v>475</v>
      </c>
    </row>
    <row r="350" spans="1:6">
      <c r="A350">
        <v>209</v>
      </c>
      <c r="B350" t="s">
        <v>4300</v>
      </c>
      <c r="C350" t="s">
        <v>253</v>
      </c>
      <c r="D350" t="s">
        <v>27</v>
      </c>
      <c r="E350" t="s">
        <v>1329</v>
      </c>
      <c r="F350" s="129" t="s">
        <v>475</v>
      </c>
    </row>
    <row r="351" spans="1:6">
      <c r="A351">
        <v>209</v>
      </c>
      <c r="B351" t="s">
        <v>4300</v>
      </c>
      <c r="C351" t="s">
        <v>253</v>
      </c>
      <c r="D351" t="s">
        <v>27</v>
      </c>
      <c r="E351" t="s">
        <v>1330</v>
      </c>
      <c r="F351" s="129" t="s">
        <v>475</v>
      </c>
    </row>
    <row r="352" spans="1:6">
      <c r="A352">
        <v>210</v>
      </c>
      <c r="B352" t="s">
        <v>4300</v>
      </c>
      <c r="C352" t="s">
        <v>253</v>
      </c>
      <c r="D352" t="s">
        <v>28</v>
      </c>
      <c r="E352" t="s">
        <v>1331</v>
      </c>
      <c r="F352" s="129" t="s">
        <v>475</v>
      </c>
    </row>
    <row r="353" spans="1:6">
      <c r="A353">
        <v>210</v>
      </c>
      <c r="B353" t="s">
        <v>4300</v>
      </c>
      <c r="C353" t="s">
        <v>253</v>
      </c>
      <c r="D353" t="s">
        <v>28</v>
      </c>
      <c r="E353" t="s">
        <v>1333</v>
      </c>
      <c r="F353" s="129" t="s">
        <v>475</v>
      </c>
    </row>
    <row r="354" spans="1:6">
      <c r="A354">
        <v>210</v>
      </c>
      <c r="B354" t="s">
        <v>4300</v>
      </c>
      <c r="C354" t="s">
        <v>253</v>
      </c>
      <c r="D354" t="s">
        <v>28</v>
      </c>
      <c r="E354" t="s">
        <v>1334</v>
      </c>
      <c r="F354" s="129" t="s">
        <v>475</v>
      </c>
    </row>
    <row r="355" spans="1:6">
      <c r="A355">
        <v>212</v>
      </c>
      <c r="B355" t="s">
        <v>4300</v>
      </c>
      <c r="C355" t="s">
        <v>253</v>
      </c>
      <c r="D355" t="s">
        <v>27</v>
      </c>
      <c r="E355" t="s">
        <v>1338</v>
      </c>
      <c r="F355" s="129" t="s">
        <v>475</v>
      </c>
    </row>
    <row r="356" spans="1:6">
      <c r="A356">
        <v>212</v>
      </c>
      <c r="B356" t="s">
        <v>4300</v>
      </c>
      <c r="C356" t="s">
        <v>253</v>
      </c>
      <c r="D356" t="s">
        <v>27</v>
      </c>
      <c r="E356" t="s">
        <v>1340</v>
      </c>
      <c r="F356" s="129" t="s">
        <v>475</v>
      </c>
    </row>
    <row r="357" spans="1:6">
      <c r="A357">
        <v>212</v>
      </c>
      <c r="B357" t="s">
        <v>4300</v>
      </c>
      <c r="C357" t="s">
        <v>253</v>
      </c>
      <c r="D357" t="s">
        <v>27</v>
      </c>
      <c r="E357" t="s">
        <v>1341</v>
      </c>
      <c r="F357" s="129" t="s">
        <v>475</v>
      </c>
    </row>
    <row r="358" spans="1:6">
      <c r="A358">
        <v>216</v>
      </c>
      <c r="B358" t="s">
        <v>4300</v>
      </c>
      <c r="C358" t="s">
        <v>253</v>
      </c>
      <c r="D358" t="s">
        <v>236</v>
      </c>
      <c r="E358" s="11" t="s">
        <v>1357</v>
      </c>
      <c r="F358" s="35" t="s">
        <v>202</v>
      </c>
    </row>
    <row r="359" spans="1:6">
      <c r="A359">
        <v>216</v>
      </c>
      <c r="B359" t="s">
        <v>4300</v>
      </c>
      <c r="C359" t="s">
        <v>253</v>
      </c>
      <c r="D359" t="s">
        <v>236</v>
      </c>
      <c r="E359" s="11" t="s">
        <v>1359</v>
      </c>
      <c r="F359" s="35" t="s">
        <v>202</v>
      </c>
    </row>
    <row r="360" spans="1:6">
      <c r="A360">
        <v>216</v>
      </c>
      <c r="B360" t="s">
        <v>4300</v>
      </c>
      <c r="C360" t="s">
        <v>253</v>
      </c>
      <c r="D360" t="s">
        <v>236</v>
      </c>
      <c r="E360" s="11" t="s">
        <v>1360</v>
      </c>
      <c r="F360" s="35" t="s">
        <v>202</v>
      </c>
    </row>
    <row r="361" spans="1:6">
      <c r="A361">
        <v>216</v>
      </c>
      <c r="B361" t="s">
        <v>4300</v>
      </c>
      <c r="C361" t="s">
        <v>253</v>
      </c>
      <c r="D361" t="s">
        <v>236</v>
      </c>
      <c r="E361" s="11" t="s">
        <v>1361</v>
      </c>
      <c r="F361" s="35" t="s">
        <v>202</v>
      </c>
    </row>
    <row r="362" spans="1:6">
      <c r="A362">
        <v>216</v>
      </c>
      <c r="B362" t="s">
        <v>4300</v>
      </c>
      <c r="C362" t="s">
        <v>253</v>
      </c>
      <c r="D362" t="s">
        <v>236</v>
      </c>
      <c r="E362" s="11" t="s">
        <v>1362</v>
      </c>
      <c r="F362" s="35" t="s">
        <v>202</v>
      </c>
    </row>
    <row r="363" spans="1:6" s="130" customFormat="1">
      <c r="A363" s="130">
        <v>217</v>
      </c>
      <c r="B363" s="130" t="s">
        <v>4296</v>
      </c>
      <c r="C363" s="15" t="s">
        <v>253</v>
      </c>
      <c r="D363" s="130" t="s">
        <v>27</v>
      </c>
      <c r="E363" s="130" t="s">
        <v>1374</v>
      </c>
      <c r="F363" s="131" t="s">
        <v>475</v>
      </c>
    </row>
    <row r="364" spans="1:6" s="130" customFormat="1">
      <c r="A364" s="130">
        <v>217</v>
      </c>
      <c r="B364" s="130" t="s">
        <v>4296</v>
      </c>
      <c r="C364" s="15" t="s">
        <v>253</v>
      </c>
      <c r="D364" s="130" t="s">
        <v>27</v>
      </c>
      <c r="E364" s="130" t="s">
        <v>1375</v>
      </c>
      <c r="F364" s="131" t="s">
        <v>475</v>
      </c>
    </row>
    <row r="365" spans="1:6" s="130" customFormat="1">
      <c r="A365" s="130">
        <v>217</v>
      </c>
      <c r="B365" s="130" t="s">
        <v>4296</v>
      </c>
      <c r="C365" s="15" t="s">
        <v>253</v>
      </c>
      <c r="D365" s="130" t="s">
        <v>27</v>
      </c>
      <c r="E365" s="130" t="s">
        <v>1376</v>
      </c>
      <c r="F365" s="131" t="s">
        <v>475</v>
      </c>
    </row>
    <row r="366" spans="1:6">
      <c r="A366">
        <v>221</v>
      </c>
      <c r="B366" t="s">
        <v>4300</v>
      </c>
      <c r="C366" s="13" t="s">
        <v>253</v>
      </c>
      <c r="D366" t="s">
        <v>28</v>
      </c>
      <c r="E366" t="s">
        <v>1394</v>
      </c>
      <c r="F366" s="129" t="s">
        <v>102</v>
      </c>
    </row>
    <row r="367" spans="1:6">
      <c r="A367">
        <v>221</v>
      </c>
      <c r="B367" t="s">
        <v>4300</v>
      </c>
      <c r="C367" s="13" t="s">
        <v>253</v>
      </c>
      <c r="D367" t="s">
        <v>28</v>
      </c>
      <c r="E367" t="s">
        <v>1396</v>
      </c>
      <c r="F367" s="129" t="s">
        <v>102</v>
      </c>
    </row>
    <row r="368" spans="1:6" s="130" customFormat="1">
      <c r="A368" s="52">
        <v>221</v>
      </c>
      <c r="B368" s="130" t="s">
        <v>4300</v>
      </c>
      <c r="C368" s="15" t="s">
        <v>253</v>
      </c>
      <c r="D368" s="130" t="s">
        <v>723</v>
      </c>
      <c r="E368" s="130" t="s">
        <v>1397</v>
      </c>
      <c r="F368" s="131" t="s">
        <v>102</v>
      </c>
    </row>
    <row r="369" spans="1:6">
      <c r="A369">
        <v>221</v>
      </c>
      <c r="B369" t="s">
        <v>4300</v>
      </c>
      <c r="C369" s="13" t="s">
        <v>253</v>
      </c>
      <c r="D369" t="s">
        <v>28</v>
      </c>
      <c r="E369" t="s">
        <v>1398</v>
      </c>
      <c r="F369" s="129" t="s">
        <v>102</v>
      </c>
    </row>
    <row r="370" spans="1:6">
      <c r="A370">
        <v>221</v>
      </c>
      <c r="B370" t="s">
        <v>4300</v>
      </c>
      <c r="C370" s="13" t="s">
        <v>253</v>
      </c>
      <c r="D370" t="s">
        <v>28</v>
      </c>
      <c r="E370" t="s">
        <v>1399</v>
      </c>
      <c r="F370" s="129" t="s">
        <v>102</v>
      </c>
    </row>
    <row r="371" spans="1:6">
      <c r="A371">
        <v>221</v>
      </c>
      <c r="B371" t="s">
        <v>4300</v>
      </c>
      <c r="C371" s="13" t="s">
        <v>253</v>
      </c>
      <c r="D371" t="s">
        <v>28</v>
      </c>
      <c r="E371" t="s">
        <v>1400</v>
      </c>
      <c r="F371" s="129" t="s">
        <v>102</v>
      </c>
    </row>
    <row r="372" spans="1:6">
      <c r="A372">
        <v>221</v>
      </c>
      <c r="B372" s="43" t="s">
        <v>4300</v>
      </c>
      <c r="C372" s="13" t="s">
        <v>253</v>
      </c>
      <c r="D372" t="s">
        <v>28</v>
      </c>
      <c r="E372" s="41" t="s">
        <v>1401</v>
      </c>
      <c r="F372" s="129" t="s">
        <v>202</v>
      </c>
    </row>
    <row r="373" spans="1:6">
      <c r="A373">
        <v>221</v>
      </c>
      <c r="B373" s="43" t="s">
        <v>4300</v>
      </c>
      <c r="C373" s="13" t="s">
        <v>253</v>
      </c>
      <c r="D373" t="s">
        <v>28</v>
      </c>
      <c r="E373" s="41" t="s">
        <v>1402</v>
      </c>
      <c r="F373" s="129" t="s">
        <v>202</v>
      </c>
    </row>
    <row r="374" spans="1:6">
      <c r="A374">
        <v>221</v>
      </c>
      <c r="B374" s="43" t="s">
        <v>4300</v>
      </c>
      <c r="C374" s="13" t="s">
        <v>253</v>
      </c>
      <c r="D374" t="s">
        <v>28</v>
      </c>
      <c r="E374" s="41" t="s">
        <v>1403</v>
      </c>
      <c r="F374" s="129" t="s">
        <v>202</v>
      </c>
    </row>
    <row r="375" spans="1:6">
      <c r="A375">
        <v>221</v>
      </c>
      <c r="B375" s="43" t="s">
        <v>4300</v>
      </c>
      <c r="C375" s="13" t="s">
        <v>253</v>
      </c>
      <c r="D375" t="s">
        <v>28</v>
      </c>
      <c r="E375" s="41" t="s">
        <v>1404</v>
      </c>
      <c r="F375" s="129" t="s">
        <v>202</v>
      </c>
    </row>
    <row r="376" spans="1:6">
      <c r="A376">
        <v>221</v>
      </c>
      <c r="B376" s="43" t="s">
        <v>4300</v>
      </c>
      <c r="C376" s="13" t="s">
        <v>253</v>
      </c>
      <c r="D376" t="s">
        <v>28</v>
      </c>
      <c r="E376" s="41" t="s">
        <v>1405</v>
      </c>
      <c r="F376" s="129" t="s">
        <v>202</v>
      </c>
    </row>
    <row r="377" spans="1:6">
      <c r="A377">
        <v>221</v>
      </c>
      <c r="B377" s="43" t="s">
        <v>4300</v>
      </c>
      <c r="C377" s="13" t="s">
        <v>253</v>
      </c>
      <c r="D377" t="s">
        <v>28</v>
      </c>
      <c r="E377" s="41" t="s">
        <v>1406</v>
      </c>
      <c r="F377" s="129" t="s">
        <v>202</v>
      </c>
    </row>
    <row r="378" spans="1:6">
      <c r="A378">
        <v>221</v>
      </c>
      <c r="B378" s="43" t="s">
        <v>4300</v>
      </c>
      <c r="C378" s="13" t="s">
        <v>253</v>
      </c>
      <c r="D378" t="s">
        <v>28</v>
      </c>
      <c r="E378" s="41" t="s">
        <v>1407</v>
      </c>
      <c r="F378" s="129" t="s">
        <v>202</v>
      </c>
    </row>
    <row r="379" spans="1:6">
      <c r="A379">
        <v>221</v>
      </c>
      <c r="B379" s="43" t="s">
        <v>4300</v>
      </c>
      <c r="C379" s="13" t="s">
        <v>253</v>
      </c>
      <c r="D379" t="s">
        <v>28</v>
      </c>
      <c r="E379" s="41" t="s">
        <v>1408</v>
      </c>
      <c r="F379" s="129" t="s">
        <v>202</v>
      </c>
    </row>
    <row r="380" spans="1:6">
      <c r="A380">
        <v>221</v>
      </c>
      <c r="B380" s="43" t="s">
        <v>4300</v>
      </c>
      <c r="C380" s="13" t="s">
        <v>253</v>
      </c>
      <c r="D380" t="s">
        <v>28</v>
      </c>
      <c r="E380" s="41" t="s">
        <v>1409</v>
      </c>
      <c r="F380" s="129" t="s">
        <v>202</v>
      </c>
    </row>
    <row r="381" spans="1:6">
      <c r="A381">
        <v>223</v>
      </c>
      <c r="B381" t="s">
        <v>4300</v>
      </c>
      <c r="C381" s="13" t="s">
        <v>253</v>
      </c>
      <c r="D381" t="s">
        <v>28</v>
      </c>
      <c r="E381" t="s">
        <v>1410</v>
      </c>
      <c r="F381" s="129" t="s">
        <v>102</v>
      </c>
    </row>
    <row r="382" spans="1:6">
      <c r="A382">
        <v>223</v>
      </c>
      <c r="B382" t="s">
        <v>4300</v>
      </c>
      <c r="C382" s="13" t="s">
        <v>253</v>
      </c>
      <c r="D382" t="s">
        <v>28</v>
      </c>
      <c r="E382" t="s">
        <v>1412</v>
      </c>
      <c r="F382" s="129" t="s">
        <v>102</v>
      </c>
    </row>
    <row r="383" spans="1:6">
      <c r="A383">
        <v>223</v>
      </c>
      <c r="B383" t="s">
        <v>4300</v>
      </c>
      <c r="C383" s="13" t="s">
        <v>253</v>
      </c>
      <c r="D383" t="s">
        <v>28</v>
      </c>
      <c r="E383" t="s">
        <v>1413</v>
      </c>
      <c r="F383" s="129" t="s">
        <v>102</v>
      </c>
    </row>
    <row r="384" spans="1:6">
      <c r="A384">
        <v>223</v>
      </c>
      <c r="B384" t="s">
        <v>4300</v>
      </c>
      <c r="C384" s="13" t="s">
        <v>253</v>
      </c>
      <c r="D384" t="s">
        <v>28</v>
      </c>
      <c r="E384" t="s">
        <v>1414</v>
      </c>
      <c r="F384" s="129" t="s">
        <v>102</v>
      </c>
    </row>
    <row r="385" spans="1:6">
      <c r="A385">
        <v>223</v>
      </c>
      <c r="B385" t="s">
        <v>4300</v>
      </c>
      <c r="C385" s="13" t="s">
        <v>253</v>
      </c>
      <c r="D385" t="s">
        <v>28</v>
      </c>
      <c r="E385" t="s">
        <v>1415</v>
      </c>
      <c r="F385" s="129" t="s">
        <v>102</v>
      </c>
    </row>
    <row r="386" spans="1:6">
      <c r="A386">
        <v>225</v>
      </c>
      <c r="B386" t="s">
        <v>4300</v>
      </c>
      <c r="C386" s="13" t="s">
        <v>253</v>
      </c>
      <c r="D386" t="s">
        <v>28</v>
      </c>
      <c r="E386" t="s">
        <v>1416</v>
      </c>
      <c r="F386" s="129" t="s">
        <v>102</v>
      </c>
    </row>
    <row r="387" spans="1:6">
      <c r="A387">
        <v>225</v>
      </c>
      <c r="B387" t="s">
        <v>4300</v>
      </c>
      <c r="C387" s="13" t="s">
        <v>253</v>
      </c>
      <c r="D387" t="s">
        <v>28</v>
      </c>
      <c r="E387" t="s">
        <v>1418</v>
      </c>
      <c r="F387" s="129" t="s">
        <v>102</v>
      </c>
    </row>
    <row r="388" spans="1:6">
      <c r="A388">
        <v>225</v>
      </c>
      <c r="B388" t="s">
        <v>4300</v>
      </c>
      <c r="C388" s="13" t="s">
        <v>253</v>
      </c>
      <c r="D388" t="s">
        <v>28</v>
      </c>
      <c r="E388" t="s">
        <v>1419</v>
      </c>
      <c r="F388" s="129" t="s">
        <v>102</v>
      </c>
    </row>
    <row r="389" spans="1:6">
      <c r="A389">
        <v>225</v>
      </c>
      <c r="B389" t="s">
        <v>4300</v>
      </c>
      <c r="C389" s="13" t="s">
        <v>253</v>
      </c>
      <c r="D389" t="s">
        <v>28</v>
      </c>
      <c r="E389" t="s">
        <v>1420</v>
      </c>
      <c r="F389" s="129" t="s">
        <v>102</v>
      </c>
    </row>
    <row r="390" spans="1:6">
      <c r="A390">
        <v>225</v>
      </c>
      <c r="B390" t="s">
        <v>4300</v>
      </c>
      <c r="C390" s="13" t="s">
        <v>253</v>
      </c>
      <c r="D390" t="s">
        <v>28</v>
      </c>
      <c r="E390" t="s">
        <v>1421</v>
      </c>
      <c r="F390" s="129" t="s">
        <v>102</v>
      </c>
    </row>
    <row r="391" spans="1:6">
      <c r="A391">
        <v>229</v>
      </c>
      <c r="B391" t="s">
        <v>4300</v>
      </c>
      <c r="C391" s="13" t="s">
        <v>253</v>
      </c>
      <c r="D391" t="s">
        <v>28</v>
      </c>
      <c r="E391" t="s">
        <v>1428</v>
      </c>
      <c r="F391" s="129" t="s">
        <v>102</v>
      </c>
    </row>
    <row r="392" spans="1:6">
      <c r="A392">
        <v>229</v>
      </c>
      <c r="B392" t="s">
        <v>4300</v>
      </c>
      <c r="C392" s="13" t="s">
        <v>253</v>
      </c>
      <c r="D392" t="s">
        <v>28</v>
      </c>
      <c r="E392" t="s">
        <v>1430</v>
      </c>
      <c r="F392" s="129" t="s">
        <v>102</v>
      </c>
    </row>
    <row r="393" spans="1:6">
      <c r="A393">
        <v>229</v>
      </c>
      <c r="B393" t="s">
        <v>4300</v>
      </c>
      <c r="C393" s="13" t="s">
        <v>253</v>
      </c>
      <c r="D393" t="s">
        <v>28</v>
      </c>
      <c r="E393" t="s">
        <v>1431</v>
      </c>
      <c r="F393" s="129" t="s">
        <v>102</v>
      </c>
    </row>
    <row r="394" spans="1:6">
      <c r="A394">
        <v>229</v>
      </c>
      <c r="B394" t="s">
        <v>4300</v>
      </c>
      <c r="C394" s="13" t="s">
        <v>253</v>
      </c>
      <c r="D394" t="s">
        <v>28</v>
      </c>
      <c r="E394" t="s">
        <v>1432</v>
      </c>
      <c r="F394" s="129" t="s">
        <v>102</v>
      </c>
    </row>
    <row r="395" spans="1:6">
      <c r="A395">
        <v>229</v>
      </c>
      <c r="B395" t="s">
        <v>4300</v>
      </c>
      <c r="C395" s="13" t="s">
        <v>253</v>
      </c>
      <c r="D395" t="s">
        <v>28</v>
      </c>
      <c r="E395" t="s">
        <v>1433</v>
      </c>
      <c r="F395" s="129" t="s">
        <v>102</v>
      </c>
    </row>
    <row r="396" spans="1:6">
      <c r="A396">
        <v>230</v>
      </c>
      <c r="B396" t="s">
        <v>4300</v>
      </c>
      <c r="C396" s="13" t="s">
        <v>253</v>
      </c>
      <c r="D396" t="s">
        <v>28</v>
      </c>
      <c r="E396" t="s">
        <v>1437</v>
      </c>
      <c r="F396" s="129" t="s">
        <v>217</v>
      </c>
    </row>
    <row r="397" spans="1:6">
      <c r="A397">
        <v>230</v>
      </c>
      <c r="B397" t="s">
        <v>4300</v>
      </c>
      <c r="C397" s="13" t="s">
        <v>253</v>
      </c>
      <c r="D397" t="s">
        <v>28</v>
      </c>
      <c r="E397" t="s">
        <v>1438</v>
      </c>
      <c r="F397" s="129" t="s">
        <v>217</v>
      </c>
    </row>
    <row r="398" spans="1:6">
      <c r="A398">
        <v>230</v>
      </c>
      <c r="B398" t="s">
        <v>4300</v>
      </c>
      <c r="C398" s="13" t="s">
        <v>253</v>
      </c>
      <c r="D398" t="s">
        <v>28</v>
      </c>
      <c r="E398" t="s">
        <v>1439</v>
      </c>
      <c r="F398" s="129" t="s">
        <v>217</v>
      </c>
    </row>
    <row r="399" spans="1:6">
      <c r="A399">
        <v>230</v>
      </c>
      <c r="B399" t="s">
        <v>4300</v>
      </c>
      <c r="C399" s="13" t="s">
        <v>253</v>
      </c>
      <c r="D399" t="s">
        <v>28</v>
      </c>
      <c r="E399" t="s">
        <v>1440</v>
      </c>
      <c r="F399" s="129" t="s">
        <v>217</v>
      </c>
    </row>
    <row r="400" spans="1:6">
      <c r="A400">
        <v>230</v>
      </c>
      <c r="B400" t="s">
        <v>4300</v>
      </c>
      <c r="C400" s="13" t="s">
        <v>253</v>
      </c>
      <c r="D400" t="s">
        <v>28</v>
      </c>
      <c r="E400" t="s">
        <v>1441</v>
      </c>
      <c r="F400" s="129" t="s">
        <v>217</v>
      </c>
    </row>
    <row r="401" spans="1:6">
      <c r="A401">
        <v>231</v>
      </c>
      <c r="B401" t="s">
        <v>4300</v>
      </c>
      <c r="C401" t="s">
        <v>253</v>
      </c>
      <c r="D401" t="s">
        <v>28</v>
      </c>
      <c r="E401" t="s">
        <v>1442</v>
      </c>
      <c r="F401" s="1" t="s">
        <v>102</v>
      </c>
    </row>
    <row r="402" spans="1:6">
      <c r="A402">
        <v>231</v>
      </c>
      <c r="B402" t="s">
        <v>4300</v>
      </c>
      <c r="C402" t="s">
        <v>253</v>
      </c>
      <c r="D402" t="s">
        <v>28</v>
      </c>
      <c r="E402" t="s">
        <v>1443</v>
      </c>
      <c r="F402" s="129" t="s">
        <v>102</v>
      </c>
    </row>
    <row r="403" spans="1:6">
      <c r="A403">
        <v>231</v>
      </c>
      <c r="B403" t="s">
        <v>4300</v>
      </c>
      <c r="C403" t="s">
        <v>253</v>
      </c>
      <c r="D403" t="s">
        <v>28</v>
      </c>
      <c r="E403" t="s">
        <v>1444</v>
      </c>
      <c r="F403" s="1" t="s">
        <v>102</v>
      </c>
    </row>
    <row r="404" spans="1:6">
      <c r="A404">
        <v>231</v>
      </c>
      <c r="B404" t="s">
        <v>4300</v>
      </c>
      <c r="C404" t="s">
        <v>253</v>
      </c>
      <c r="D404" t="s">
        <v>28</v>
      </c>
      <c r="E404" t="s">
        <v>1445</v>
      </c>
      <c r="F404" s="1" t="s">
        <v>102</v>
      </c>
    </row>
    <row r="405" spans="1:6">
      <c r="A405">
        <v>231</v>
      </c>
      <c r="B405" t="s">
        <v>4300</v>
      </c>
      <c r="C405" t="s">
        <v>253</v>
      </c>
      <c r="D405" t="s">
        <v>28</v>
      </c>
      <c r="E405" t="s">
        <v>1446</v>
      </c>
      <c r="F405" s="1" t="s">
        <v>102</v>
      </c>
    </row>
    <row r="406" spans="1:6">
      <c r="A406">
        <v>232</v>
      </c>
      <c r="B406" t="s">
        <v>4300</v>
      </c>
      <c r="C406" t="s">
        <v>253</v>
      </c>
      <c r="D406" t="s">
        <v>28</v>
      </c>
      <c r="E406" t="s">
        <v>1447</v>
      </c>
      <c r="F406" s="1" t="s">
        <v>102</v>
      </c>
    </row>
    <row r="407" spans="1:6">
      <c r="A407">
        <v>232</v>
      </c>
      <c r="B407" t="s">
        <v>4300</v>
      </c>
      <c r="C407" t="s">
        <v>253</v>
      </c>
      <c r="D407" t="s">
        <v>28</v>
      </c>
      <c r="E407" t="s">
        <v>1448</v>
      </c>
      <c r="F407" s="1" t="s">
        <v>102</v>
      </c>
    </row>
    <row r="408" spans="1:6">
      <c r="A408">
        <v>232</v>
      </c>
      <c r="B408" t="s">
        <v>4300</v>
      </c>
      <c r="C408" t="s">
        <v>253</v>
      </c>
      <c r="D408" t="s">
        <v>28</v>
      </c>
      <c r="E408" t="s">
        <v>1449</v>
      </c>
      <c r="F408" s="1" t="s">
        <v>102</v>
      </c>
    </row>
    <row r="409" spans="1:6">
      <c r="A409">
        <v>232</v>
      </c>
      <c r="B409" t="s">
        <v>4300</v>
      </c>
      <c r="C409" t="s">
        <v>253</v>
      </c>
      <c r="D409" t="s">
        <v>28</v>
      </c>
      <c r="E409" t="s">
        <v>1450</v>
      </c>
      <c r="F409" s="1" t="s">
        <v>102</v>
      </c>
    </row>
    <row r="410" spans="1:6">
      <c r="A410">
        <v>232</v>
      </c>
      <c r="B410" t="s">
        <v>4300</v>
      </c>
      <c r="C410" t="s">
        <v>253</v>
      </c>
      <c r="D410" t="s">
        <v>28</v>
      </c>
      <c r="E410" t="s">
        <v>1451</v>
      </c>
      <c r="F410" s="1" t="s">
        <v>102</v>
      </c>
    </row>
    <row r="411" spans="1:6">
      <c r="A411">
        <v>235</v>
      </c>
      <c r="B411" t="s">
        <v>4300</v>
      </c>
      <c r="C411" t="s">
        <v>253</v>
      </c>
      <c r="D411" t="s">
        <v>28</v>
      </c>
      <c r="E411" t="s">
        <v>1452</v>
      </c>
      <c r="F411" s="129" t="s">
        <v>102</v>
      </c>
    </row>
    <row r="412" spans="1:6">
      <c r="A412">
        <v>235</v>
      </c>
      <c r="B412" t="s">
        <v>4300</v>
      </c>
      <c r="C412" t="s">
        <v>253</v>
      </c>
      <c r="D412" t="s">
        <v>28</v>
      </c>
      <c r="E412" t="s">
        <v>1453</v>
      </c>
      <c r="F412" s="129" t="s">
        <v>102</v>
      </c>
    </row>
    <row r="413" spans="1:6">
      <c r="A413">
        <v>235</v>
      </c>
      <c r="B413" t="s">
        <v>4300</v>
      </c>
      <c r="C413" t="s">
        <v>253</v>
      </c>
      <c r="D413" t="s">
        <v>28</v>
      </c>
      <c r="E413" t="s">
        <v>1454</v>
      </c>
      <c r="F413" s="129" t="s">
        <v>102</v>
      </c>
    </row>
    <row r="414" spans="1:6">
      <c r="A414">
        <v>235</v>
      </c>
      <c r="B414" t="s">
        <v>4300</v>
      </c>
      <c r="C414" t="s">
        <v>253</v>
      </c>
      <c r="D414" t="s">
        <v>28</v>
      </c>
      <c r="E414" t="s">
        <v>1455</v>
      </c>
      <c r="F414" s="129" t="s">
        <v>102</v>
      </c>
    </row>
    <row r="415" spans="1:6">
      <c r="A415">
        <v>235</v>
      </c>
      <c r="B415" t="s">
        <v>4300</v>
      </c>
      <c r="C415" t="s">
        <v>253</v>
      </c>
      <c r="D415" t="s">
        <v>28</v>
      </c>
      <c r="E415" t="s">
        <v>1456</v>
      </c>
      <c r="F415" s="129" t="s">
        <v>102</v>
      </c>
    </row>
    <row r="416" spans="1:6">
      <c r="A416">
        <v>236</v>
      </c>
      <c r="B416" t="s">
        <v>4300</v>
      </c>
      <c r="C416" t="s">
        <v>253</v>
      </c>
      <c r="D416" t="s">
        <v>28</v>
      </c>
      <c r="E416" t="s">
        <v>1464</v>
      </c>
      <c r="F416" s="129" t="s">
        <v>102</v>
      </c>
    </row>
    <row r="417" spans="1:6">
      <c r="A417">
        <v>236</v>
      </c>
      <c r="B417" t="s">
        <v>4300</v>
      </c>
      <c r="C417" t="s">
        <v>253</v>
      </c>
      <c r="D417" t="s">
        <v>28</v>
      </c>
      <c r="E417" t="s">
        <v>1465</v>
      </c>
      <c r="F417" s="129" t="s">
        <v>102</v>
      </c>
    </row>
    <row r="418" spans="1:6">
      <c r="A418">
        <v>236</v>
      </c>
      <c r="B418" t="s">
        <v>4300</v>
      </c>
      <c r="C418" t="s">
        <v>253</v>
      </c>
      <c r="D418" t="s">
        <v>28</v>
      </c>
      <c r="E418" t="s">
        <v>1466</v>
      </c>
      <c r="F418" s="129" t="s">
        <v>102</v>
      </c>
    </row>
    <row r="419" spans="1:6">
      <c r="A419">
        <v>236</v>
      </c>
      <c r="B419" t="s">
        <v>4300</v>
      </c>
      <c r="C419" t="s">
        <v>253</v>
      </c>
      <c r="D419" t="s">
        <v>28</v>
      </c>
      <c r="E419" t="s">
        <v>1467</v>
      </c>
      <c r="F419" s="129" t="s">
        <v>102</v>
      </c>
    </row>
    <row r="420" spans="1:6">
      <c r="A420">
        <v>236</v>
      </c>
      <c r="B420" t="s">
        <v>4300</v>
      </c>
      <c r="C420" t="s">
        <v>253</v>
      </c>
      <c r="D420" t="s">
        <v>28</v>
      </c>
      <c r="E420" t="s">
        <v>1468</v>
      </c>
      <c r="F420" s="129" t="s">
        <v>102</v>
      </c>
    </row>
    <row r="421" spans="1:6" s="10" customFormat="1">
      <c r="A421" s="10">
        <v>238</v>
      </c>
      <c r="B421" s="10" t="s">
        <v>4300</v>
      </c>
      <c r="C421" s="10" t="s">
        <v>66</v>
      </c>
      <c r="E421" s="10" t="s">
        <v>4304</v>
      </c>
      <c r="F421" s="12"/>
    </row>
    <row r="422" spans="1:6">
      <c r="A422">
        <v>239</v>
      </c>
      <c r="B422" t="s">
        <v>4300</v>
      </c>
      <c r="C422" t="s">
        <v>66</v>
      </c>
      <c r="D422" t="s">
        <v>28</v>
      </c>
      <c r="E422" s="16" t="s">
        <v>1475</v>
      </c>
      <c r="F422" s="36" t="s">
        <v>86</v>
      </c>
    </row>
    <row r="423" spans="1:6">
      <c r="A423">
        <v>239</v>
      </c>
      <c r="B423" t="s">
        <v>4305</v>
      </c>
      <c r="C423" t="s">
        <v>66</v>
      </c>
      <c r="D423" t="s">
        <v>28</v>
      </c>
      <c r="E423" s="16" t="s">
        <v>1477</v>
      </c>
      <c r="F423" s="37" t="s">
        <v>86</v>
      </c>
    </row>
    <row r="424" spans="1:6">
      <c r="A424">
        <v>239</v>
      </c>
      <c r="B424" t="s">
        <v>4306</v>
      </c>
      <c r="C424" t="s">
        <v>66</v>
      </c>
      <c r="D424" t="s">
        <v>28</v>
      </c>
      <c r="E424" s="16" t="s">
        <v>1478</v>
      </c>
      <c r="F424" s="37" t="s">
        <v>86</v>
      </c>
    </row>
    <row r="425" spans="1:6">
      <c r="A425">
        <v>239</v>
      </c>
      <c r="B425" t="s">
        <v>4307</v>
      </c>
      <c r="C425" t="s">
        <v>66</v>
      </c>
      <c r="D425" t="s">
        <v>28</v>
      </c>
      <c r="E425" s="16" t="s">
        <v>1479</v>
      </c>
      <c r="F425" s="38" t="s">
        <v>86</v>
      </c>
    </row>
    <row r="426" spans="1:6">
      <c r="A426">
        <v>239</v>
      </c>
      <c r="B426" t="s">
        <v>4308</v>
      </c>
      <c r="C426" t="s">
        <v>66</v>
      </c>
      <c r="D426" t="s">
        <v>28</v>
      </c>
      <c r="E426" s="16" t="s">
        <v>1480</v>
      </c>
      <c r="F426" s="37" t="s">
        <v>86</v>
      </c>
    </row>
    <row r="427" spans="1:6" s="10" customFormat="1">
      <c r="A427" s="10">
        <v>240</v>
      </c>
      <c r="B427" s="10" t="s">
        <v>4300</v>
      </c>
      <c r="C427" s="10" t="s">
        <v>66</v>
      </c>
      <c r="E427" s="10" t="s">
        <v>4304</v>
      </c>
      <c r="F427" s="12"/>
    </row>
    <row r="428" spans="1:6">
      <c r="A428">
        <v>243</v>
      </c>
      <c r="B428" t="s">
        <v>4300</v>
      </c>
      <c r="C428" t="s">
        <v>66</v>
      </c>
      <c r="D428" t="s">
        <v>28</v>
      </c>
      <c r="E428" s="16" t="s">
        <v>1491</v>
      </c>
      <c r="F428" s="39" t="s">
        <v>86</v>
      </c>
    </row>
    <row r="429" spans="1:6">
      <c r="A429">
        <v>243</v>
      </c>
      <c r="B429" t="s">
        <v>4300</v>
      </c>
      <c r="C429" t="s">
        <v>66</v>
      </c>
      <c r="D429" t="s">
        <v>28</v>
      </c>
      <c r="E429" s="16" t="s">
        <v>1493</v>
      </c>
      <c r="F429" s="40" t="s">
        <v>86</v>
      </c>
    </row>
    <row r="430" spans="1:6">
      <c r="A430">
        <v>243</v>
      </c>
      <c r="B430" t="s">
        <v>4300</v>
      </c>
      <c r="C430" t="s">
        <v>66</v>
      </c>
      <c r="D430" t="s">
        <v>28</v>
      </c>
      <c r="E430" s="16" t="s">
        <v>1494</v>
      </c>
      <c r="F430" s="40" t="s">
        <v>86</v>
      </c>
    </row>
    <row r="431" spans="1:6">
      <c r="A431">
        <v>243</v>
      </c>
      <c r="B431" t="s">
        <v>4300</v>
      </c>
      <c r="C431" t="s">
        <v>66</v>
      </c>
      <c r="D431" t="s">
        <v>28</v>
      </c>
      <c r="E431" s="16" t="s">
        <v>1495</v>
      </c>
      <c r="F431" s="40" t="s">
        <v>86</v>
      </c>
    </row>
    <row r="432" spans="1:6">
      <c r="A432">
        <v>243</v>
      </c>
      <c r="B432" t="s">
        <v>4300</v>
      </c>
      <c r="C432" t="s">
        <v>66</v>
      </c>
      <c r="D432" t="s">
        <v>28</v>
      </c>
      <c r="E432" s="16" t="s">
        <v>1496</v>
      </c>
      <c r="F432" s="40" t="s">
        <v>86</v>
      </c>
    </row>
    <row r="433" spans="1:6" s="10" customFormat="1">
      <c r="A433" s="10">
        <v>244</v>
      </c>
      <c r="B433" s="10" t="s">
        <v>4300</v>
      </c>
      <c r="C433" s="10" t="s">
        <v>66</v>
      </c>
      <c r="E433" s="10" t="s">
        <v>4304</v>
      </c>
      <c r="F433" s="12"/>
    </row>
    <row r="434" spans="1:6" s="137" customFormat="1">
      <c r="A434" s="137">
        <v>261</v>
      </c>
      <c r="B434" s="137" t="s">
        <v>4296</v>
      </c>
      <c r="C434" s="137" t="s">
        <v>253</v>
      </c>
      <c r="D434" s="137" t="s">
        <v>27</v>
      </c>
      <c r="E434" s="55" t="s">
        <v>1531</v>
      </c>
      <c r="F434" s="56" t="s">
        <v>475</v>
      </c>
    </row>
    <row r="435" spans="1:6" s="137" customFormat="1">
      <c r="A435" s="137">
        <v>261</v>
      </c>
      <c r="B435" s="137" t="s">
        <v>4296</v>
      </c>
      <c r="C435" s="137" t="s">
        <v>253</v>
      </c>
      <c r="D435" s="137" t="s">
        <v>27</v>
      </c>
      <c r="E435" s="55" t="s">
        <v>1532</v>
      </c>
      <c r="F435" s="56" t="s">
        <v>475</v>
      </c>
    </row>
    <row r="436" spans="1:6" s="137" customFormat="1">
      <c r="A436" s="137">
        <v>261</v>
      </c>
      <c r="B436" s="137" t="s">
        <v>4296</v>
      </c>
      <c r="C436" s="137" t="s">
        <v>253</v>
      </c>
      <c r="D436" s="137" t="s">
        <v>27</v>
      </c>
      <c r="E436" s="55" t="s">
        <v>1533</v>
      </c>
      <c r="F436" s="56" t="s">
        <v>475</v>
      </c>
    </row>
    <row r="437" spans="1:6">
      <c r="A437" s="17">
        <v>191</v>
      </c>
      <c r="B437" s="18" t="s">
        <v>4299</v>
      </c>
      <c r="C437" s="18" t="s">
        <v>48</v>
      </c>
      <c r="D437" s="20"/>
      <c r="E437" s="18" t="s">
        <v>1202</v>
      </c>
      <c r="F437" s="35" t="s">
        <v>475</v>
      </c>
    </row>
    <row r="438" spans="1:6">
      <c r="A438" s="21">
        <v>191</v>
      </c>
      <c r="B438" s="22" t="s">
        <v>4299</v>
      </c>
      <c r="C438" s="22" t="s">
        <v>48</v>
      </c>
      <c r="D438" s="20"/>
      <c r="E438" s="22" t="s">
        <v>1204</v>
      </c>
      <c r="F438" s="35" t="s">
        <v>475</v>
      </c>
    </row>
    <row r="439" spans="1:6">
      <c r="A439" s="17">
        <v>191</v>
      </c>
      <c r="B439" s="18" t="s">
        <v>4299</v>
      </c>
      <c r="C439" s="18" t="s">
        <v>48</v>
      </c>
      <c r="D439" s="20"/>
      <c r="E439" s="18" t="s">
        <v>1205</v>
      </c>
      <c r="F439" s="35" t="s">
        <v>475</v>
      </c>
    </row>
    <row r="440" spans="1:6">
      <c r="A440" s="21">
        <v>193</v>
      </c>
      <c r="B440" s="22" t="s">
        <v>4299</v>
      </c>
      <c r="C440" s="22" t="s">
        <v>48</v>
      </c>
      <c r="D440" s="20"/>
      <c r="E440" s="22" t="s">
        <v>1217</v>
      </c>
      <c r="F440" s="35" t="s">
        <v>475</v>
      </c>
    </row>
    <row r="441" spans="1:6">
      <c r="A441" s="17">
        <v>193</v>
      </c>
      <c r="B441" s="18" t="s">
        <v>4299</v>
      </c>
      <c r="C441" s="18" t="s">
        <v>48</v>
      </c>
      <c r="D441" s="20"/>
      <c r="E441" s="18" t="s">
        <v>1219</v>
      </c>
      <c r="F441" s="35" t="s">
        <v>475</v>
      </c>
    </row>
    <row r="442" spans="1:6">
      <c r="A442" s="21">
        <v>193</v>
      </c>
      <c r="B442" s="22" t="s">
        <v>4299</v>
      </c>
      <c r="C442" s="22" t="s">
        <v>48</v>
      </c>
      <c r="D442" s="20"/>
      <c r="E442" s="22" t="s">
        <v>1220</v>
      </c>
      <c r="F442" s="35" t="s">
        <v>475</v>
      </c>
    </row>
    <row r="443" spans="1:6">
      <c r="A443" s="17">
        <v>249</v>
      </c>
      <c r="B443" s="18" t="s">
        <v>4300</v>
      </c>
      <c r="C443" s="18" t="s">
        <v>66</v>
      </c>
      <c r="D443" s="20"/>
      <c r="E443" s="18" t="s">
        <v>1510</v>
      </c>
      <c r="F443" s="35" t="s">
        <v>475</v>
      </c>
    </row>
    <row r="444" spans="1:6">
      <c r="A444" s="21">
        <v>249</v>
      </c>
      <c r="B444" s="22" t="s">
        <v>4300</v>
      </c>
      <c r="C444" s="22" t="s">
        <v>66</v>
      </c>
      <c r="D444" s="20"/>
      <c r="E444" s="22" t="s">
        <v>1512</v>
      </c>
      <c r="F444" s="35" t="s">
        <v>475</v>
      </c>
    </row>
    <row r="445" spans="1:6">
      <c r="A445" s="17">
        <v>249</v>
      </c>
      <c r="B445" s="18" t="s">
        <v>4300</v>
      </c>
      <c r="C445" s="18" t="s">
        <v>66</v>
      </c>
      <c r="D445" s="20"/>
      <c r="E445" s="18" t="s">
        <v>1513</v>
      </c>
      <c r="F445" s="35" t="s">
        <v>475</v>
      </c>
    </row>
    <row r="446" spans="1:6">
      <c r="A446" s="21">
        <v>252</v>
      </c>
      <c r="B446" s="22" t="s">
        <v>4300</v>
      </c>
      <c r="C446" s="22" t="s">
        <v>66</v>
      </c>
      <c r="D446" s="20"/>
      <c r="E446" s="22" t="s">
        <v>1517</v>
      </c>
      <c r="F446" s="35" t="s">
        <v>475</v>
      </c>
    </row>
    <row r="447" spans="1:6">
      <c r="A447" s="17">
        <v>252</v>
      </c>
      <c r="B447" s="18" t="s">
        <v>4300</v>
      </c>
      <c r="C447" s="18" t="s">
        <v>66</v>
      </c>
      <c r="D447" s="20"/>
      <c r="E447" s="18" t="s">
        <v>1519</v>
      </c>
      <c r="F447" s="35" t="s">
        <v>475</v>
      </c>
    </row>
    <row r="448" spans="1:6">
      <c r="A448" s="21">
        <v>252</v>
      </c>
      <c r="B448" s="22" t="s">
        <v>4300</v>
      </c>
      <c r="C448" s="22" t="s">
        <v>66</v>
      </c>
      <c r="D448" s="20"/>
      <c r="E448" s="22" t="s">
        <v>1520</v>
      </c>
      <c r="F448" s="35" t="s">
        <v>475</v>
      </c>
    </row>
    <row r="449" spans="1:6">
      <c r="A449" s="17">
        <v>253</v>
      </c>
      <c r="B449" s="18" t="s">
        <v>4300</v>
      </c>
      <c r="C449" s="18" t="s">
        <v>66</v>
      </c>
      <c r="D449" s="20"/>
      <c r="E449" s="18" t="s">
        <v>1521</v>
      </c>
      <c r="F449" s="35" t="s">
        <v>475</v>
      </c>
    </row>
    <row r="450" spans="1:6">
      <c r="A450" s="21">
        <v>253</v>
      </c>
      <c r="B450" s="22" t="s">
        <v>4300</v>
      </c>
      <c r="C450" s="22" t="s">
        <v>66</v>
      </c>
      <c r="D450" s="20"/>
      <c r="E450" s="22" t="s">
        <v>1523</v>
      </c>
      <c r="F450" s="35" t="s">
        <v>475</v>
      </c>
    </row>
    <row r="451" spans="1:6">
      <c r="A451" s="17">
        <v>253</v>
      </c>
      <c r="B451" s="18" t="s">
        <v>4300</v>
      </c>
      <c r="C451" s="18" t="s">
        <v>66</v>
      </c>
      <c r="D451" s="20"/>
      <c r="E451" s="18" t="s">
        <v>1524</v>
      </c>
      <c r="F451" s="42" t="s">
        <v>475</v>
      </c>
    </row>
    <row r="452" spans="1:6">
      <c r="A452" s="21">
        <v>42</v>
      </c>
      <c r="B452" s="22" t="s">
        <v>4300</v>
      </c>
      <c r="C452" s="22" t="s">
        <v>66</v>
      </c>
      <c r="D452" s="20"/>
      <c r="E452" s="22" t="s">
        <v>419</v>
      </c>
      <c r="F452" s="35" t="s">
        <v>102</v>
      </c>
    </row>
    <row r="453" spans="1:6">
      <c r="A453" s="17">
        <v>42</v>
      </c>
      <c r="B453" s="18" t="s">
        <v>4300</v>
      </c>
      <c r="C453" s="18" t="s">
        <v>66</v>
      </c>
      <c r="D453" s="20"/>
      <c r="E453" s="18" t="s">
        <v>421</v>
      </c>
      <c r="F453" s="35" t="s">
        <v>102</v>
      </c>
    </row>
    <row r="454" spans="1:6">
      <c r="A454" s="21">
        <v>42</v>
      </c>
      <c r="B454" s="22" t="s">
        <v>4300</v>
      </c>
      <c r="C454" s="22" t="s">
        <v>66</v>
      </c>
      <c r="D454" s="20"/>
      <c r="E454" s="22" t="s">
        <v>422</v>
      </c>
      <c r="F454" s="35" t="s">
        <v>102</v>
      </c>
    </row>
    <row r="455" spans="1:6">
      <c r="A455" s="17">
        <v>42</v>
      </c>
      <c r="B455" s="18" t="s">
        <v>4300</v>
      </c>
      <c r="C455" s="18" t="s">
        <v>66</v>
      </c>
      <c r="D455" s="20"/>
      <c r="E455" s="18" t="s">
        <v>423</v>
      </c>
      <c r="F455" s="35" t="s">
        <v>102</v>
      </c>
    </row>
    <row r="456" spans="1:6">
      <c r="A456" s="21">
        <v>42</v>
      </c>
      <c r="B456" s="22" t="s">
        <v>4300</v>
      </c>
      <c r="C456" s="22" t="s">
        <v>66</v>
      </c>
      <c r="D456" s="20"/>
      <c r="E456" s="22" t="s">
        <v>424</v>
      </c>
      <c r="F456" s="35" t="s">
        <v>102</v>
      </c>
    </row>
    <row r="457" spans="1:6">
      <c r="A457" s="21">
        <v>188</v>
      </c>
      <c r="B457" s="22" t="s">
        <v>4298</v>
      </c>
      <c r="C457" s="22" t="s">
        <v>48</v>
      </c>
      <c r="D457" s="20"/>
      <c r="E457" s="22" t="s">
        <v>1182</v>
      </c>
      <c r="F457" s="41" t="s">
        <v>93</v>
      </c>
    </row>
    <row r="458" spans="1:6">
      <c r="A458" s="21">
        <v>188</v>
      </c>
      <c r="B458" s="22" t="s">
        <v>4298</v>
      </c>
      <c r="C458" s="22" t="s">
        <v>48</v>
      </c>
      <c r="D458" s="20"/>
      <c r="E458" s="22" t="s">
        <v>1184</v>
      </c>
      <c r="F458" s="41" t="s">
        <v>752</v>
      </c>
    </row>
    <row r="459" spans="1:6">
      <c r="A459" s="17">
        <v>188</v>
      </c>
      <c r="B459" s="18" t="s">
        <v>4298</v>
      </c>
      <c r="C459" s="18" t="s">
        <v>48</v>
      </c>
      <c r="D459" s="20"/>
      <c r="E459" s="18" t="s">
        <v>1186</v>
      </c>
      <c r="F459" s="41" t="s">
        <v>752</v>
      </c>
    </row>
    <row r="460" spans="1:6" s="137" customFormat="1">
      <c r="A460" s="23">
        <v>188</v>
      </c>
      <c r="B460" s="24" t="s">
        <v>4298</v>
      </c>
      <c r="C460" s="24" t="s">
        <v>48</v>
      </c>
      <c r="D460" s="25" t="s">
        <v>1187</v>
      </c>
      <c r="E460" s="24" t="s">
        <v>1188</v>
      </c>
      <c r="F460" s="29" t="s">
        <v>752</v>
      </c>
    </row>
    <row r="461" spans="1:6">
      <c r="A461" s="17">
        <v>190</v>
      </c>
      <c r="B461" s="18" t="s">
        <v>4298</v>
      </c>
      <c r="C461" s="18" t="s">
        <v>48</v>
      </c>
      <c r="D461" s="20"/>
      <c r="E461" s="18" t="s">
        <v>722</v>
      </c>
      <c r="F461" s="41" t="s">
        <v>93</v>
      </c>
    </row>
    <row r="462" spans="1:6">
      <c r="A462" s="17">
        <v>190</v>
      </c>
      <c r="B462" s="18" t="s">
        <v>4298</v>
      </c>
      <c r="C462" s="18" t="s">
        <v>48</v>
      </c>
      <c r="D462" s="20"/>
      <c r="E462" s="18" t="s">
        <v>1197</v>
      </c>
      <c r="F462" s="41" t="s">
        <v>752</v>
      </c>
    </row>
    <row r="463" spans="1:6">
      <c r="A463" s="21">
        <v>190</v>
      </c>
      <c r="B463" s="22" t="s">
        <v>4298</v>
      </c>
      <c r="C463" s="22" t="s">
        <v>48</v>
      </c>
      <c r="D463" s="20"/>
      <c r="E463" s="22" t="s">
        <v>1199</v>
      </c>
      <c r="F463" s="41" t="s">
        <v>752</v>
      </c>
    </row>
    <row r="464" spans="1:6">
      <c r="A464" s="17">
        <v>190</v>
      </c>
      <c r="B464" s="18" t="s">
        <v>4298</v>
      </c>
      <c r="C464" s="18" t="s">
        <v>48</v>
      </c>
      <c r="D464" s="20"/>
      <c r="E464" s="18" t="s">
        <v>751</v>
      </c>
      <c r="F464" s="41" t="s">
        <v>752</v>
      </c>
    </row>
    <row r="465" spans="1:6">
      <c r="A465" s="21">
        <v>192</v>
      </c>
      <c r="B465" s="22" t="s">
        <v>4298</v>
      </c>
      <c r="C465" s="22" t="s">
        <v>48</v>
      </c>
      <c r="D465" s="20"/>
      <c r="E465" s="22" t="s">
        <v>1206</v>
      </c>
      <c r="F465" s="41" t="s">
        <v>93</v>
      </c>
    </row>
    <row r="466" spans="1:6">
      <c r="A466" s="21">
        <v>192</v>
      </c>
      <c r="B466" s="22" t="s">
        <v>4298</v>
      </c>
      <c r="C466" s="22" t="s">
        <v>48</v>
      </c>
      <c r="D466" s="20"/>
      <c r="E466" s="22" t="s">
        <v>1208</v>
      </c>
      <c r="F466" s="41" t="s">
        <v>752</v>
      </c>
    </row>
    <row r="467" spans="1:6">
      <c r="A467" s="17">
        <v>192</v>
      </c>
      <c r="B467" s="18" t="s">
        <v>4298</v>
      </c>
      <c r="C467" s="18" t="s">
        <v>48</v>
      </c>
      <c r="D467" s="20"/>
      <c r="E467" s="18" t="s">
        <v>1209</v>
      </c>
      <c r="F467" s="41" t="s">
        <v>752</v>
      </c>
    </row>
    <row r="468" spans="1:6">
      <c r="A468" s="21">
        <v>192</v>
      </c>
      <c r="B468" s="22" t="s">
        <v>4298</v>
      </c>
      <c r="C468" s="22" t="s">
        <v>48</v>
      </c>
      <c r="D468" s="20"/>
      <c r="E468" s="22" t="s">
        <v>1210</v>
      </c>
      <c r="F468" s="41" t="s">
        <v>752</v>
      </c>
    </row>
    <row r="469" spans="1:6">
      <c r="A469" s="17">
        <v>94</v>
      </c>
      <c r="B469" s="18" t="s">
        <v>613</v>
      </c>
      <c r="C469" s="18"/>
      <c r="D469" s="20"/>
      <c r="E469" s="18" t="s">
        <v>703</v>
      </c>
      <c r="F469" s="41" t="s">
        <v>671</v>
      </c>
    </row>
    <row r="470" spans="1:6">
      <c r="A470" s="21">
        <v>94</v>
      </c>
      <c r="B470" s="22" t="s">
        <v>613</v>
      </c>
      <c r="C470" s="22"/>
      <c r="D470" s="20"/>
      <c r="E470" s="22" t="s">
        <v>705</v>
      </c>
      <c r="F470" s="41" t="s">
        <v>671</v>
      </c>
    </row>
    <row r="471" spans="1:6">
      <c r="A471" s="17">
        <v>94</v>
      </c>
      <c r="B471" s="18" t="s">
        <v>613</v>
      </c>
      <c r="C471" s="18"/>
      <c r="D471" s="20"/>
      <c r="E471" s="18" t="s">
        <v>706</v>
      </c>
      <c r="F471" s="41" t="s">
        <v>671</v>
      </c>
    </row>
    <row r="472" spans="1:6">
      <c r="A472" s="21">
        <v>102</v>
      </c>
      <c r="B472" s="22" t="s">
        <v>111</v>
      </c>
      <c r="C472" s="22"/>
      <c r="D472" s="20"/>
      <c r="E472" s="22" t="s">
        <v>736</v>
      </c>
      <c r="F472" s="41" t="s">
        <v>671</v>
      </c>
    </row>
    <row r="473" spans="1:6">
      <c r="A473" s="17">
        <v>102</v>
      </c>
      <c r="B473" s="18" t="s">
        <v>111</v>
      </c>
      <c r="C473" s="18"/>
      <c r="D473" s="20"/>
      <c r="E473" s="18" t="s">
        <v>738</v>
      </c>
      <c r="F473" s="41" t="s">
        <v>671</v>
      </c>
    </row>
    <row r="474" spans="1:6">
      <c r="A474" s="21">
        <v>102</v>
      </c>
      <c r="B474" s="22" t="s">
        <v>111</v>
      </c>
      <c r="C474" s="22"/>
      <c r="D474" s="20"/>
      <c r="E474" s="22" t="s">
        <v>739</v>
      </c>
      <c r="F474" s="41" t="s">
        <v>671</v>
      </c>
    </row>
    <row r="475" spans="1:6">
      <c r="A475" s="49">
        <v>102</v>
      </c>
      <c r="B475" s="48" t="s">
        <v>111</v>
      </c>
      <c r="C475" s="22"/>
      <c r="D475" s="20"/>
      <c r="E475" s="41" t="s">
        <v>740</v>
      </c>
      <c r="F475" s="41" t="s">
        <v>53</v>
      </c>
    </row>
    <row r="476" spans="1:6">
      <c r="A476" s="49">
        <v>102</v>
      </c>
      <c r="B476" s="48" t="s">
        <v>111</v>
      </c>
      <c r="C476" s="22"/>
      <c r="D476" s="20"/>
      <c r="E476" s="41" t="s">
        <v>114</v>
      </c>
      <c r="F476" s="41" t="s">
        <v>64</v>
      </c>
    </row>
    <row r="477" spans="1:6">
      <c r="A477" s="49">
        <v>102</v>
      </c>
      <c r="B477" s="48" t="s">
        <v>111</v>
      </c>
      <c r="C477" s="22"/>
      <c r="D477" s="20"/>
      <c r="E477" s="22"/>
      <c r="F477" s="41"/>
    </row>
    <row r="478" spans="1:6">
      <c r="A478" s="17">
        <v>104</v>
      </c>
      <c r="B478" s="18" t="s">
        <v>111</v>
      </c>
      <c r="C478" s="18"/>
      <c r="D478" s="20"/>
      <c r="E478" s="18" t="s">
        <v>759</v>
      </c>
      <c r="F478" s="41" t="s">
        <v>671</v>
      </c>
    </row>
    <row r="479" spans="1:6">
      <c r="A479" s="21">
        <v>104</v>
      </c>
      <c r="B479" s="22" t="s">
        <v>111</v>
      </c>
      <c r="C479" s="22"/>
      <c r="D479" s="20"/>
      <c r="E479" s="22" t="s">
        <v>761</v>
      </c>
      <c r="F479" s="41" t="s">
        <v>671</v>
      </c>
    </row>
    <row r="480" spans="1:6">
      <c r="A480" s="17">
        <v>104</v>
      </c>
      <c r="B480" s="18" t="s">
        <v>111</v>
      </c>
      <c r="C480" s="18"/>
      <c r="D480" s="20"/>
      <c r="E480" s="18" t="s">
        <v>762</v>
      </c>
      <c r="F480" s="41" t="s">
        <v>671</v>
      </c>
    </row>
    <row r="481" spans="1:6">
      <c r="A481" s="21">
        <v>105</v>
      </c>
      <c r="B481" s="22" t="s">
        <v>111</v>
      </c>
      <c r="C481" s="22"/>
      <c r="D481" s="20"/>
      <c r="E481" s="22" t="s">
        <v>771</v>
      </c>
      <c r="F481" s="41" t="s">
        <v>671</v>
      </c>
    </row>
    <row r="482" spans="1:6">
      <c r="A482" s="17">
        <v>105</v>
      </c>
      <c r="B482" s="18" t="s">
        <v>111</v>
      </c>
      <c r="C482" s="18"/>
      <c r="D482" s="20"/>
      <c r="E482" s="18" t="s">
        <v>773</v>
      </c>
      <c r="F482" s="41" t="s">
        <v>671</v>
      </c>
    </row>
    <row r="483" spans="1:6">
      <c r="A483" s="21">
        <v>105</v>
      </c>
      <c r="B483" s="22" t="s">
        <v>111</v>
      </c>
      <c r="C483" s="22"/>
      <c r="D483" s="20"/>
      <c r="E483" s="22" t="s">
        <v>774</v>
      </c>
      <c r="F483" s="41" t="s">
        <v>671</v>
      </c>
    </row>
    <row r="484" spans="1:6">
      <c r="A484" s="17">
        <v>107</v>
      </c>
      <c r="B484" s="18" t="s">
        <v>111</v>
      </c>
      <c r="C484" s="18"/>
      <c r="D484" s="20"/>
      <c r="E484" s="18" t="s">
        <v>780</v>
      </c>
      <c r="F484" s="41" t="s">
        <v>671</v>
      </c>
    </row>
    <row r="485" spans="1:6">
      <c r="A485" s="21">
        <v>107</v>
      </c>
      <c r="B485" s="22" t="s">
        <v>111</v>
      </c>
      <c r="C485" s="22"/>
      <c r="D485" s="20"/>
      <c r="E485" s="22" t="s">
        <v>782</v>
      </c>
      <c r="F485" s="41" t="s">
        <v>671</v>
      </c>
    </row>
    <row r="486" spans="1:6">
      <c r="A486" s="17">
        <v>107</v>
      </c>
      <c r="B486" s="18" t="s">
        <v>111</v>
      </c>
      <c r="C486" s="18"/>
      <c r="D486" s="20"/>
      <c r="E486" s="18" t="s">
        <v>783</v>
      </c>
      <c r="F486" s="41" t="s">
        <v>671</v>
      </c>
    </row>
    <row r="487" spans="1:6">
      <c r="A487" s="21">
        <v>108</v>
      </c>
      <c r="B487" s="22" t="s">
        <v>111</v>
      </c>
      <c r="C487" s="22"/>
      <c r="D487" s="20"/>
      <c r="E487" s="22" t="s">
        <v>979</v>
      </c>
      <c r="F487" s="41" t="s">
        <v>671</v>
      </c>
    </row>
    <row r="488" spans="1:6">
      <c r="A488" s="17">
        <v>108</v>
      </c>
      <c r="B488" s="18" t="s">
        <v>111</v>
      </c>
      <c r="C488" s="18"/>
      <c r="D488" s="20"/>
      <c r="E488" s="18" t="s">
        <v>785</v>
      </c>
      <c r="F488" s="41" t="s">
        <v>671</v>
      </c>
    </row>
    <row r="489" spans="1:6">
      <c r="A489" s="21">
        <v>108</v>
      </c>
      <c r="B489" s="22" t="s">
        <v>111</v>
      </c>
      <c r="C489" s="22"/>
      <c r="D489" s="20"/>
      <c r="E489" s="22" t="s">
        <v>787</v>
      </c>
      <c r="F489" s="41" t="s">
        <v>671</v>
      </c>
    </row>
    <row r="490" spans="1:6">
      <c r="A490" s="17">
        <v>109</v>
      </c>
      <c r="B490" s="18" t="s">
        <v>111</v>
      </c>
      <c r="C490" s="18"/>
      <c r="D490" s="20"/>
      <c r="E490" s="18" t="s">
        <v>794</v>
      </c>
      <c r="F490" s="41" t="s">
        <v>671</v>
      </c>
    </row>
    <row r="491" spans="1:6">
      <c r="A491" s="21">
        <v>109</v>
      </c>
      <c r="B491" s="22" t="s">
        <v>111</v>
      </c>
      <c r="C491" s="22"/>
      <c r="D491" s="20"/>
      <c r="E491" s="22" t="s">
        <v>796</v>
      </c>
      <c r="F491" s="41" t="s">
        <v>671</v>
      </c>
    </row>
    <row r="492" spans="1:6">
      <c r="A492" s="17">
        <v>109</v>
      </c>
      <c r="B492" s="18" t="s">
        <v>111</v>
      </c>
      <c r="C492" s="18"/>
      <c r="D492" s="20"/>
      <c r="E492" s="18" t="s">
        <v>797</v>
      </c>
      <c r="F492" s="41" t="s">
        <v>671</v>
      </c>
    </row>
    <row r="493" spans="1:6">
      <c r="A493" s="21">
        <v>110</v>
      </c>
      <c r="B493" s="22" t="s">
        <v>111</v>
      </c>
      <c r="C493" s="22"/>
      <c r="D493" s="20"/>
      <c r="E493" s="22" t="s">
        <v>798</v>
      </c>
      <c r="F493" s="41" t="s">
        <v>671</v>
      </c>
    </row>
    <row r="494" spans="1:6">
      <c r="A494" s="17">
        <v>110</v>
      </c>
      <c r="B494" s="18" t="s">
        <v>111</v>
      </c>
      <c r="C494" s="18"/>
      <c r="D494" s="20"/>
      <c r="E494" s="18" t="s">
        <v>800</v>
      </c>
      <c r="F494" s="41" t="s">
        <v>671</v>
      </c>
    </row>
    <row r="495" spans="1:6">
      <c r="A495" s="21">
        <v>110</v>
      </c>
      <c r="B495" s="22" t="s">
        <v>111</v>
      </c>
      <c r="C495" s="22"/>
      <c r="D495" s="20"/>
      <c r="E495" s="22" t="s">
        <v>801</v>
      </c>
      <c r="F495" s="41" t="s">
        <v>671</v>
      </c>
    </row>
    <row r="496" spans="1:6">
      <c r="A496" s="21">
        <v>73</v>
      </c>
      <c r="B496" s="22" t="s">
        <v>2304</v>
      </c>
      <c r="C496" s="22" t="s">
        <v>253</v>
      </c>
      <c r="D496" s="20"/>
      <c r="E496" s="22" t="s">
        <v>651</v>
      </c>
      <c r="F496" s="35" t="s">
        <v>217</v>
      </c>
    </row>
    <row r="497" spans="1:6">
      <c r="A497" s="17">
        <v>73</v>
      </c>
      <c r="B497" s="18" t="s">
        <v>2304</v>
      </c>
      <c r="C497" s="18" t="s">
        <v>253</v>
      </c>
      <c r="D497" s="20"/>
      <c r="E497" s="18" t="s">
        <v>653</v>
      </c>
      <c r="F497" s="35" t="s">
        <v>217</v>
      </c>
    </row>
    <row r="498" spans="1:6">
      <c r="A498" s="21">
        <v>73</v>
      </c>
      <c r="B498" s="22" t="s">
        <v>2304</v>
      </c>
      <c r="C498" s="22" t="s">
        <v>253</v>
      </c>
      <c r="D498" s="20"/>
      <c r="E498" s="22" t="s">
        <v>654</v>
      </c>
      <c r="F498" s="35" t="s">
        <v>217</v>
      </c>
    </row>
    <row r="499" spans="1:6">
      <c r="A499" s="17">
        <v>73</v>
      </c>
      <c r="B499" s="18" t="s">
        <v>2304</v>
      </c>
      <c r="C499" s="18" t="s">
        <v>253</v>
      </c>
      <c r="D499" s="20"/>
      <c r="E499" s="18" t="s">
        <v>655</v>
      </c>
      <c r="F499" s="35" t="s">
        <v>217</v>
      </c>
    </row>
    <row r="500" spans="1:6">
      <c r="A500" s="21">
        <v>73</v>
      </c>
      <c r="B500" s="22" t="s">
        <v>2304</v>
      </c>
      <c r="C500" s="22" t="s">
        <v>253</v>
      </c>
      <c r="D500" s="20"/>
      <c r="E500" s="22" t="s">
        <v>656</v>
      </c>
      <c r="F500" s="35" t="s">
        <v>217</v>
      </c>
    </row>
    <row r="501" spans="1:6">
      <c r="A501" s="17">
        <v>31</v>
      </c>
      <c r="B501" s="18" t="s">
        <v>2304</v>
      </c>
      <c r="C501" s="18" t="s">
        <v>66</v>
      </c>
      <c r="D501" s="20"/>
      <c r="E501" s="18" t="s">
        <v>364</v>
      </c>
      <c r="F501" s="35" t="s">
        <v>217</v>
      </c>
    </row>
    <row r="502" spans="1:6">
      <c r="A502" s="21">
        <v>31</v>
      </c>
      <c r="B502" s="22" t="s">
        <v>2304</v>
      </c>
      <c r="C502" s="22" t="s">
        <v>66</v>
      </c>
      <c r="D502" s="20"/>
      <c r="E502" s="22" t="s">
        <v>366</v>
      </c>
      <c r="F502" s="35" t="s">
        <v>217</v>
      </c>
    </row>
    <row r="503" spans="1:6">
      <c r="A503" s="17">
        <v>31</v>
      </c>
      <c r="B503" s="18" t="s">
        <v>2304</v>
      </c>
      <c r="C503" s="18" t="s">
        <v>66</v>
      </c>
      <c r="D503" s="20"/>
      <c r="E503" s="18" t="s">
        <v>367</v>
      </c>
      <c r="F503" s="35" t="s">
        <v>217</v>
      </c>
    </row>
    <row r="504" spans="1:6">
      <c r="A504" s="21">
        <v>31</v>
      </c>
      <c r="B504" s="22" t="s">
        <v>2304</v>
      </c>
      <c r="C504" s="22" t="s">
        <v>66</v>
      </c>
      <c r="D504" s="20"/>
      <c r="E504" s="22" t="s">
        <v>368</v>
      </c>
      <c r="F504" s="35" t="s">
        <v>217</v>
      </c>
    </row>
    <row r="505" spans="1:6">
      <c r="A505" s="17">
        <v>31</v>
      </c>
      <c r="B505" s="18" t="s">
        <v>2304</v>
      </c>
      <c r="C505" s="18" t="s">
        <v>66</v>
      </c>
      <c r="D505" s="20"/>
      <c r="E505" s="18" t="s">
        <v>369</v>
      </c>
      <c r="F505" s="35" t="s">
        <v>217</v>
      </c>
    </row>
    <row r="506" spans="1:6">
      <c r="A506" s="46">
        <v>189</v>
      </c>
      <c r="B506" s="19" t="s">
        <v>4298</v>
      </c>
      <c r="C506" s="19" t="s">
        <v>48</v>
      </c>
      <c r="D506" s="25" t="s">
        <v>1187</v>
      </c>
      <c r="E506" s="19" t="s">
        <v>1189</v>
      </c>
      <c r="F506" s="29" t="s">
        <v>380</v>
      </c>
    </row>
    <row r="507" spans="1:6">
      <c r="A507" s="46">
        <v>189</v>
      </c>
      <c r="B507" s="24" t="s">
        <v>4298</v>
      </c>
      <c r="C507" s="24" t="s">
        <v>48</v>
      </c>
      <c r="D507" s="25" t="s">
        <v>1187</v>
      </c>
      <c r="E507" s="24" t="s">
        <v>1190</v>
      </c>
      <c r="F507" s="29" t="s">
        <v>380</v>
      </c>
    </row>
    <row r="508" spans="1:6">
      <c r="A508" s="46">
        <v>189</v>
      </c>
      <c r="B508" s="19" t="s">
        <v>4298</v>
      </c>
      <c r="C508" s="19" t="s">
        <v>48</v>
      </c>
      <c r="D508" s="25" t="s">
        <v>1187</v>
      </c>
      <c r="E508" s="19" t="s">
        <v>1191</v>
      </c>
      <c r="F508" s="29" t="s">
        <v>380</v>
      </c>
    </row>
    <row r="509" spans="1:6">
      <c r="A509" s="47">
        <v>189</v>
      </c>
      <c r="B509" s="26" t="s">
        <v>4298</v>
      </c>
      <c r="C509" s="26" t="s">
        <v>48</v>
      </c>
      <c r="D509" s="20"/>
      <c r="E509" s="28" t="s">
        <v>1192</v>
      </c>
      <c r="F509" s="35" t="s">
        <v>475</v>
      </c>
    </row>
    <row r="510" spans="1:6">
      <c r="A510" s="47">
        <v>189</v>
      </c>
      <c r="B510" s="27" t="s">
        <v>4298</v>
      </c>
      <c r="C510" s="27" t="s">
        <v>48</v>
      </c>
      <c r="D510" s="20"/>
      <c r="E510" s="28" t="s">
        <v>1194</v>
      </c>
      <c r="F510" s="35" t="s">
        <v>475</v>
      </c>
    </row>
    <row r="511" spans="1:6">
      <c r="A511" s="47">
        <v>189</v>
      </c>
      <c r="B511" s="26" t="s">
        <v>4298</v>
      </c>
      <c r="C511" s="26" t="s">
        <v>48</v>
      </c>
      <c r="D511" s="20"/>
      <c r="E511" s="28" t="s">
        <v>1195</v>
      </c>
      <c r="F511" s="35" t="s">
        <v>475</v>
      </c>
    </row>
    <row r="512" spans="1:6">
      <c r="A512" s="30">
        <v>65</v>
      </c>
      <c r="B512" s="31" t="s">
        <v>2304</v>
      </c>
      <c r="C512" s="31" t="s">
        <v>253</v>
      </c>
      <c r="D512" s="32" t="s">
        <v>28</v>
      </c>
      <c r="E512" s="31" t="s">
        <v>568</v>
      </c>
      <c r="F512" s="35" t="s">
        <v>217</v>
      </c>
    </row>
    <row r="513" spans="1:6">
      <c r="A513" s="33">
        <v>65</v>
      </c>
      <c r="B513" s="34" t="s">
        <v>2304</v>
      </c>
      <c r="C513" s="34" t="s">
        <v>253</v>
      </c>
      <c r="D513" s="32" t="s">
        <v>28</v>
      </c>
      <c r="E513" s="34" t="s">
        <v>570</v>
      </c>
      <c r="F513" s="35" t="s">
        <v>217</v>
      </c>
    </row>
    <row r="514" spans="1:6">
      <c r="A514" s="30">
        <v>65</v>
      </c>
      <c r="B514" s="31" t="s">
        <v>2304</v>
      </c>
      <c r="C514" s="31" t="s">
        <v>253</v>
      </c>
      <c r="D514" s="32" t="s">
        <v>28</v>
      </c>
      <c r="E514" s="31" t="s">
        <v>571</v>
      </c>
      <c r="F514" s="35" t="s">
        <v>217</v>
      </c>
    </row>
    <row r="515" spans="1:6">
      <c r="A515" s="33">
        <v>65</v>
      </c>
      <c r="B515" s="34" t="s">
        <v>2304</v>
      </c>
      <c r="C515" s="34" t="s">
        <v>253</v>
      </c>
      <c r="D515" s="32" t="s">
        <v>28</v>
      </c>
      <c r="E515" s="34" t="s">
        <v>572</v>
      </c>
      <c r="F515" s="35" t="s">
        <v>217</v>
      </c>
    </row>
    <row r="516" spans="1:6">
      <c r="A516" s="49">
        <v>65</v>
      </c>
      <c r="B516" s="48" t="s">
        <v>2304</v>
      </c>
      <c r="C516" s="34" t="s">
        <v>253</v>
      </c>
      <c r="D516" s="32" t="s">
        <v>28</v>
      </c>
      <c r="E516" s="41" t="s">
        <v>573</v>
      </c>
      <c r="F516" s="11" t="s">
        <v>371</v>
      </c>
    </row>
    <row r="517" spans="1:6">
      <c r="A517" s="49">
        <v>65</v>
      </c>
      <c r="B517" s="48" t="s">
        <v>2304</v>
      </c>
      <c r="C517" s="34" t="s">
        <v>253</v>
      </c>
      <c r="D517" s="32" t="s">
        <v>28</v>
      </c>
      <c r="E517" s="41" t="s">
        <v>574</v>
      </c>
      <c r="F517" t="s">
        <v>371</v>
      </c>
    </row>
    <row r="518" spans="1:6">
      <c r="A518" s="49">
        <v>65</v>
      </c>
      <c r="B518" s="48" t="s">
        <v>2304</v>
      </c>
      <c r="C518" s="34" t="s">
        <v>253</v>
      </c>
      <c r="D518" s="32" t="s">
        <v>28</v>
      </c>
      <c r="E518" s="41" t="s">
        <v>575</v>
      </c>
      <c r="F518" t="s">
        <v>371</v>
      </c>
    </row>
    <row r="519" spans="1:6">
      <c r="A519">
        <v>9</v>
      </c>
      <c r="B519" s="43" t="s">
        <v>4298</v>
      </c>
      <c r="C519" t="s">
        <v>48</v>
      </c>
      <c r="D519" t="s">
        <v>28</v>
      </c>
      <c r="E519" s="45" t="s">
        <v>85</v>
      </c>
      <c r="F519" s="129" t="s">
        <v>86</v>
      </c>
    </row>
    <row r="520" spans="1:6">
      <c r="A520">
        <v>9</v>
      </c>
      <c r="B520" s="43" t="s">
        <v>4309</v>
      </c>
      <c r="C520" t="s">
        <v>48</v>
      </c>
      <c r="D520" t="s">
        <v>28</v>
      </c>
      <c r="E520" s="45" t="s">
        <v>88</v>
      </c>
      <c r="F520" s="129" t="s">
        <v>86</v>
      </c>
    </row>
    <row r="521" spans="1:6">
      <c r="A521">
        <v>9</v>
      </c>
      <c r="B521" s="43" t="s">
        <v>4310</v>
      </c>
      <c r="C521" t="s">
        <v>48</v>
      </c>
      <c r="D521" t="s">
        <v>28</v>
      </c>
      <c r="E521" s="45" t="s">
        <v>89</v>
      </c>
      <c r="F521" s="129" t="s">
        <v>86</v>
      </c>
    </row>
    <row r="522" spans="1:6">
      <c r="A522">
        <v>9</v>
      </c>
      <c r="B522" s="43" t="s">
        <v>4311</v>
      </c>
      <c r="C522" t="s">
        <v>48</v>
      </c>
      <c r="D522" t="s">
        <v>28</v>
      </c>
      <c r="E522" s="45" t="s">
        <v>90</v>
      </c>
      <c r="F522" s="129" t="s">
        <v>86</v>
      </c>
    </row>
    <row r="523" spans="1:6">
      <c r="A523">
        <v>9</v>
      </c>
      <c r="B523" s="43" t="s">
        <v>4312</v>
      </c>
      <c r="C523" t="s">
        <v>48</v>
      </c>
      <c r="D523" t="s">
        <v>28</v>
      </c>
      <c r="E523" s="45" t="s">
        <v>91</v>
      </c>
      <c r="F523" s="129" t="s">
        <v>86</v>
      </c>
    </row>
    <row r="524" spans="1:6">
      <c r="A524">
        <v>70</v>
      </c>
      <c r="B524" s="43" t="s">
        <v>2304</v>
      </c>
      <c r="C524" t="s">
        <v>253</v>
      </c>
      <c r="D524" t="s">
        <v>28</v>
      </c>
      <c r="E524" s="45" t="s">
        <v>627</v>
      </c>
      <c r="F524" t="s">
        <v>86</v>
      </c>
    </row>
    <row r="525" spans="1:6">
      <c r="A525">
        <v>70</v>
      </c>
      <c r="B525" s="43" t="s">
        <v>2304</v>
      </c>
      <c r="C525" t="s">
        <v>253</v>
      </c>
      <c r="D525" t="s">
        <v>28</v>
      </c>
      <c r="E525" s="45" t="s">
        <v>629</v>
      </c>
      <c r="F525" t="s">
        <v>86</v>
      </c>
    </row>
    <row r="526" spans="1:6">
      <c r="A526">
        <v>70</v>
      </c>
      <c r="B526" s="43" t="s">
        <v>2304</v>
      </c>
      <c r="C526" t="s">
        <v>253</v>
      </c>
      <c r="D526" t="s">
        <v>28</v>
      </c>
      <c r="E526" s="45" t="s">
        <v>630</v>
      </c>
      <c r="F526" t="s">
        <v>86</v>
      </c>
    </row>
    <row r="527" spans="1:6">
      <c r="A527">
        <v>70</v>
      </c>
      <c r="B527" s="43" t="s">
        <v>2304</v>
      </c>
      <c r="C527" t="s">
        <v>253</v>
      </c>
      <c r="D527" t="s">
        <v>28</v>
      </c>
      <c r="E527" s="45" t="s">
        <v>631</v>
      </c>
      <c r="F527" t="s">
        <v>86</v>
      </c>
    </row>
    <row r="528" spans="1:6">
      <c r="A528">
        <v>70</v>
      </c>
      <c r="B528" s="43" t="s">
        <v>2304</v>
      </c>
      <c r="C528" t="s">
        <v>253</v>
      </c>
      <c r="D528" t="s">
        <v>28</v>
      </c>
      <c r="E528" s="45" t="s">
        <v>632</v>
      </c>
      <c r="F528" t="s">
        <v>86</v>
      </c>
    </row>
    <row r="529" spans="1:6">
      <c r="A529">
        <v>216</v>
      </c>
      <c r="B529" s="43" t="s">
        <v>2304</v>
      </c>
      <c r="C529" t="s">
        <v>253</v>
      </c>
      <c r="D529" t="s">
        <v>28</v>
      </c>
      <c r="E529" s="45" t="s">
        <v>1363</v>
      </c>
      <c r="F529" t="s">
        <v>86</v>
      </c>
    </row>
    <row r="530" spans="1:6">
      <c r="A530">
        <v>216</v>
      </c>
      <c r="B530" s="43" t="s">
        <v>2304</v>
      </c>
      <c r="C530" t="s">
        <v>253</v>
      </c>
      <c r="D530" t="s">
        <v>28</v>
      </c>
      <c r="E530" s="45" t="s">
        <v>1364</v>
      </c>
      <c r="F530" t="s">
        <v>86</v>
      </c>
    </row>
    <row r="531" spans="1:6">
      <c r="A531">
        <v>216</v>
      </c>
      <c r="B531" s="43" t="s">
        <v>2304</v>
      </c>
      <c r="C531" t="s">
        <v>253</v>
      </c>
      <c r="D531" t="s">
        <v>28</v>
      </c>
      <c r="E531" s="45" t="s">
        <v>1365</v>
      </c>
      <c r="F531" t="s">
        <v>86</v>
      </c>
    </row>
    <row r="532" spans="1:6">
      <c r="A532">
        <v>216</v>
      </c>
      <c r="B532" s="43" t="s">
        <v>2304</v>
      </c>
      <c r="C532" t="s">
        <v>253</v>
      </c>
      <c r="D532" t="s">
        <v>28</v>
      </c>
      <c r="E532" s="45" t="s">
        <v>1366</v>
      </c>
      <c r="F532" t="s">
        <v>86</v>
      </c>
    </row>
    <row r="533" spans="1:6">
      <c r="A533">
        <v>216</v>
      </c>
      <c r="B533" s="43" t="s">
        <v>2304</v>
      </c>
      <c r="C533" t="s">
        <v>253</v>
      </c>
      <c r="D533" t="s">
        <v>28</v>
      </c>
      <c r="E533" s="45" t="s">
        <v>1367</v>
      </c>
      <c r="F533" t="s">
        <v>86</v>
      </c>
    </row>
    <row r="534" spans="1:6">
      <c r="A534">
        <v>238</v>
      </c>
      <c r="B534" s="43" t="s">
        <v>2304</v>
      </c>
      <c r="C534" t="s">
        <v>66</v>
      </c>
      <c r="D534" t="s">
        <v>28</v>
      </c>
      <c r="E534" s="45" t="s">
        <v>1469</v>
      </c>
      <c r="F534" t="s">
        <v>86</v>
      </c>
    </row>
    <row r="535" spans="1:6">
      <c r="A535">
        <v>238</v>
      </c>
      <c r="B535" s="43" t="s">
        <v>2304</v>
      </c>
      <c r="C535" t="s">
        <v>66</v>
      </c>
      <c r="D535" t="s">
        <v>28</v>
      </c>
      <c r="E535" s="45" t="s">
        <v>1471</v>
      </c>
      <c r="F535" t="s">
        <v>86</v>
      </c>
    </row>
    <row r="536" spans="1:6">
      <c r="A536">
        <v>238</v>
      </c>
      <c r="B536" s="43" t="s">
        <v>2304</v>
      </c>
      <c r="C536" t="s">
        <v>66</v>
      </c>
      <c r="D536" t="s">
        <v>28</v>
      </c>
      <c r="E536" s="45" t="s">
        <v>1472</v>
      </c>
      <c r="F536" t="s">
        <v>86</v>
      </c>
    </row>
    <row r="537" spans="1:6">
      <c r="A537">
        <v>238</v>
      </c>
      <c r="B537" s="43" t="s">
        <v>2304</v>
      </c>
      <c r="C537" t="s">
        <v>66</v>
      </c>
      <c r="D537" t="s">
        <v>28</v>
      </c>
      <c r="E537" s="45" t="s">
        <v>1473</v>
      </c>
      <c r="F537" t="s">
        <v>86</v>
      </c>
    </row>
    <row r="538" spans="1:6">
      <c r="A538">
        <v>238</v>
      </c>
      <c r="B538" s="43" t="s">
        <v>2304</v>
      </c>
      <c r="C538" t="s">
        <v>66</v>
      </c>
      <c r="D538" t="s">
        <v>28</v>
      </c>
      <c r="E538" s="45" t="s">
        <v>1474</v>
      </c>
      <c r="F538" t="s">
        <v>86</v>
      </c>
    </row>
    <row r="539" spans="1:6">
      <c r="A539">
        <v>240</v>
      </c>
      <c r="B539" s="43" t="s">
        <v>2304</v>
      </c>
      <c r="C539" t="s">
        <v>66</v>
      </c>
      <c r="D539" t="s">
        <v>28</v>
      </c>
      <c r="E539" s="45" t="s">
        <v>1481</v>
      </c>
      <c r="F539" t="s">
        <v>86</v>
      </c>
    </row>
    <row r="540" spans="1:6">
      <c r="A540">
        <v>240</v>
      </c>
      <c r="B540" s="43" t="s">
        <v>2304</v>
      </c>
      <c r="C540" t="s">
        <v>66</v>
      </c>
      <c r="D540" t="s">
        <v>28</v>
      </c>
      <c r="E540" s="45" t="s">
        <v>1483</v>
      </c>
      <c r="F540" t="s">
        <v>86</v>
      </c>
    </row>
    <row r="541" spans="1:6">
      <c r="A541">
        <v>240</v>
      </c>
      <c r="B541" s="43" t="s">
        <v>2304</v>
      </c>
      <c r="C541" t="s">
        <v>66</v>
      </c>
      <c r="D541" t="s">
        <v>28</v>
      </c>
      <c r="E541" s="45" t="s">
        <v>1484</v>
      </c>
      <c r="F541" t="s">
        <v>86</v>
      </c>
    </row>
    <row r="542" spans="1:6">
      <c r="A542">
        <v>240</v>
      </c>
      <c r="B542" s="43" t="s">
        <v>2304</v>
      </c>
      <c r="C542" t="s">
        <v>66</v>
      </c>
      <c r="D542" t="s">
        <v>28</v>
      </c>
      <c r="E542" s="45" t="s">
        <v>1485</v>
      </c>
      <c r="F542" t="s">
        <v>86</v>
      </c>
    </row>
    <row r="543" spans="1:6">
      <c r="A543">
        <v>240</v>
      </c>
      <c r="B543" s="43" t="s">
        <v>2304</v>
      </c>
      <c r="C543" t="s">
        <v>66</v>
      </c>
      <c r="D543" t="s">
        <v>28</v>
      </c>
      <c r="E543" s="45" t="s">
        <v>128</v>
      </c>
      <c r="F543" t="s">
        <v>86</v>
      </c>
    </row>
    <row r="544" spans="1:6">
      <c r="A544">
        <v>240</v>
      </c>
      <c r="B544" s="43" t="s">
        <v>2304</v>
      </c>
      <c r="C544" t="s">
        <v>66</v>
      </c>
      <c r="D544" t="s">
        <v>28</v>
      </c>
      <c r="E544" s="50" t="s">
        <v>4313</v>
      </c>
      <c r="F544" t="s">
        <v>86</v>
      </c>
    </row>
    <row r="545" spans="1:6">
      <c r="A545">
        <v>244</v>
      </c>
      <c r="B545" s="43" t="s">
        <v>2304</v>
      </c>
      <c r="C545" t="s">
        <v>66</v>
      </c>
      <c r="D545" t="s">
        <v>28</v>
      </c>
      <c r="E545" s="45" t="s">
        <v>138</v>
      </c>
      <c r="F545" t="s">
        <v>86</v>
      </c>
    </row>
    <row r="546" spans="1:6">
      <c r="A546">
        <v>244</v>
      </c>
      <c r="B546" s="43" t="s">
        <v>2304</v>
      </c>
      <c r="C546" t="s">
        <v>66</v>
      </c>
      <c r="D546" t="s">
        <v>28</v>
      </c>
      <c r="E546" s="45" t="s">
        <v>1498</v>
      </c>
      <c r="F546" t="s">
        <v>86</v>
      </c>
    </row>
    <row r="547" spans="1:6">
      <c r="A547">
        <v>244</v>
      </c>
      <c r="B547" s="43" t="s">
        <v>2304</v>
      </c>
      <c r="C547" t="s">
        <v>66</v>
      </c>
      <c r="D547" t="s">
        <v>28</v>
      </c>
      <c r="E547" s="45" t="s">
        <v>152</v>
      </c>
      <c r="F547" t="s">
        <v>86</v>
      </c>
    </row>
    <row r="548" spans="1:6">
      <c r="A548">
        <v>244</v>
      </c>
      <c r="B548" s="43" t="s">
        <v>2304</v>
      </c>
      <c r="C548" t="s">
        <v>66</v>
      </c>
      <c r="D548" t="s">
        <v>28</v>
      </c>
      <c r="E548" s="45" t="s">
        <v>1502</v>
      </c>
      <c r="F548" t="s">
        <v>86</v>
      </c>
    </row>
    <row r="549" spans="1:6">
      <c r="A549">
        <v>244</v>
      </c>
      <c r="B549" s="43" t="s">
        <v>2304</v>
      </c>
      <c r="C549" t="s">
        <v>66</v>
      </c>
      <c r="D549" t="s">
        <v>28</v>
      </c>
      <c r="E549" s="45" t="s">
        <v>1503</v>
      </c>
      <c r="F549" t="s">
        <v>86</v>
      </c>
    </row>
    <row r="550" spans="1:6">
      <c r="A550">
        <v>2</v>
      </c>
      <c r="B550" s="43" t="s">
        <v>4298</v>
      </c>
      <c r="C550" t="s">
        <v>43</v>
      </c>
      <c r="D550" t="s">
        <v>27</v>
      </c>
      <c r="E550" t="s">
        <v>44</v>
      </c>
      <c r="F550" t="s">
        <v>45</v>
      </c>
    </row>
    <row r="551" spans="1:6">
      <c r="A551">
        <v>2</v>
      </c>
      <c r="B551" s="43" t="s">
        <v>4298</v>
      </c>
      <c r="C551" t="s">
        <v>43</v>
      </c>
      <c r="D551" t="s">
        <v>27</v>
      </c>
      <c r="E551" t="s">
        <v>46</v>
      </c>
      <c r="F551" t="s">
        <v>45</v>
      </c>
    </row>
    <row r="552" spans="1:6">
      <c r="A552">
        <v>2</v>
      </c>
      <c r="B552" s="43" t="s">
        <v>4298</v>
      </c>
      <c r="C552" t="s">
        <v>43</v>
      </c>
      <c r="D552" t="s">
        <v>27</v>
      </c>
      <c r="E552" t="s">
        <v>47</v>
      </c>
      <c r="F552" t="s">
        <v>45</v>
      </c>
    </row>
    <row r="553" spans="1:6">
      <c r="A553">
        <v>56</v>
      </c>
      <c r="B553" s="43" t="s">
        <v>2304</v>
      </c>
      <c r="C553" t="s">
        <v>66</v>
      </c>
      <c r="D553" t="s">
        <v>28</v>
      </c>
      <c r="E553" t="s">
        <v>502</v>
      </c>
      <c r="F553" t="s">
        <v>86</v>
      </c>
    </row>
    <row r="554" spans="1:6" s="137" customFormat="1">
      <c r="A554" s="137">
        <v>56</v>
      </c>
      <c r="B554" s="53" t="s">
        <v>503</v>
      </c>
      <c r="C554" s="137" t="s">
        <v>66</v>
      </c>
      <c r="D554" s="137" t="s">
        <v>28</v>
      </c>
      <c r="E554" s="137" t="s">
        <v>504</v>
      </c>
      <c r="F554" s="137" t="s">
        <v>86</v>
      </c>
    </row>
    <row r="555" spans="1:6">
      <c r="A555">
        <v>56</v>
      </c>
      <c r="B555" s="43" t="s">
        <v>2304</v>
      </c>
      <c r="C555" t="s">
        <v>66</v>
      </c>
      <c r="D555" t="s">
        <v>28</v>
      </c>
      <c r="E555" t="s">
        <v>505</v>
      </c>
      <c r="F555" t="s">
        <v>86</v>
      </c>
    </row>
    <row r="556" spans="1:6">
      <c r="A556">
        <v>56</v>
      </c>
      <c r="B556" s="43" t="s">
        <v>2304</v>
      </c>
      <c r="C556" t="s">
        <v>66</v>
      </c>
      <c r="D556" t="s">
        <v>28</v>
      </c>
      <c r="E556" t="s">
        <v>506</v>
      </c>
      <c r="F556" t="s">
        <v>86</v>
      </c>
    </row>
    <row r="557" spans="1:6">
      <c r="A557">
        <v>56</v>
      </c>
      <c r="B557" s="43" t="s">
        <v>2304</v>
      </c>
      <c r="C557" t="s">
        <v>66</v>
      </c>
      <c r="D557" t="s">
        <v>28</v>
      </c>
      <c r="E557" t="s">
        <v>507</v>
      </c>
      <c r="F557" t="s">
        <v>86</v>
      </c>
    </row>
    <row r="558" spans="1:6">
      <c r="A558">
        <v>263</v>
      </c>
      <c r="B558" s="43" t="s">
        <v>2304</v>
      </c>
      <c r="D558" t="s">
        <v>28</v>
      </c>
      <c r="E558" s="45" t="s">
        <v>1557</v>
      </c>
      <c r="F558" t="s">
        <v>4314</v>
      </c>
    </row>
    <row r="559" spans="1:6">
      <c r="A559">
        <v>263</v>
      </c>
      <c r="B559" s="43" t="s">
        <v>2304</v>
      </c>
      <c r="D559" t="s">
        <v>28</v>
      </c>
      <c r="E559" s="45" t="s">
        <v>1559</v>
      </c>
      <c r="F559" t="s">
        <v>4314</v>
      </c>
    </row>
    <row r="560" spans="1:6">
      <c r="A560">
        <v>263</v>
      </c>
      <c r="B560" s="43" t="s">
        <v>2304</v>
      </c>
      <c r="D560" t="s">
        <v>28</v>
      </c>
      <c r="E560" s="45" t="s">
        <v>1560</v>
      </c>
      <c r="F560" t="s">
        <v>4314</v>
      </c>
    </row>
    <row r="561" spans="1:6">
      <c r="A561">
        <v>263</v>
      </c>
      <c r="B561" s="43" t="s">
        <v>2304</v>
      </c>
      <c r="D561" t="s">
        <v>28</v>
      </c>
      <c r="E561" s="45" t="s">
        <v>1561</v>
      </c>
      <c r="F561" t="s">
        <v>4314</v>
      </c>
    </row>
    <row r="562" spans="1:6">
      <c r="A562">
        <v>263</v>
      </c>
      <c r="B562" s="43" t="s">
        <v>2304</v>
      </c>
      <c r="D562" t="s">
        <v>28</v>
      </c>
      <c r="E562" s="45" t="s">
        <v>1562</v>
      </c>
      <c r="F562" t="s">
        <v>4314</v>
      </c>
    </row>
    <row r="563" spans="1:6">
      <c r="A563">
        <v>264</v>
      </c>
      <c r="B563" s="43" t="s">
        <v>2304</v>
      </c>
      <c r="D563" t="s">
        <v>28</v>
      </c>
      <c r="E563" s="45" t="s">
        <v>1563</v>
      </c>
      <c r="F563" t="s">
        <v>4314</v>
      </c>
    </row>
    <row r="564" spans="1:6">
      <c r="A564">
        <v>264</v>
      </c>
      <c r="B564" s="43" t="s">
        <v>2304</v>
      </c>
      <c r="D564" t="s">
        <v>28</v>
      </c>
      <c r="E564" s="45" t="s">
        <v>1564</v>
      </c>
      <c r="F564" t="s">
        <v>4314</v>
      </c>
    </row>
    <row r="565" spans="1:6">
      <c r="A565">
        <v>264</v>
      </c>
      <c r="B565" s="43" t="s">
        <v>2304</v>
      </c>
      <c r="D565" t="s">
        <v>28</v>
      </c>
      <c r="E565" s="45" t="s">
        <v>1565</v>
      </c>
      <c r="F565" t="s">
        <v>4314</v>
      </c>
    </row>
    <row r="566" spans="1:6">
      <c r="A566">
        <v>264</v>
      </c>
      <c r="B566" s="43" t="s">
        <v>2304</v>
      </c>
      <c r="D566" t="s">
        <v>28</v>
      </c>
      <c r="E566" s="45" t="s">
        <v>1566</v>
      </c>
      <c r="F566" t="s">
        <v>4314</v>
      </c>
    </row>
    <row r="567" spans="1:6">
      <c r="A567">
        <v>264</v>
      </c>
      <c r="B567" s="43" t="s">
        <v>2304</v>
      </c>
      <c r="D567" t="s">
        <v>28</v>
      </c>
      <c r="E567" s="45" t="s">
        <v>1567</v>
      </c>
      <c r="F567" t="s">
        <v>4314</v>
      </c>
    </row>
    <row r="568" spans="1:6">
      <c r="A568">
        <v>265</v>
      </c>
      <c r="B568" s="43" t="s">
        <v>2304</v>
      </c>
      <c r="D568" t="s">
        <v>28</v>
      </c>
      <c r="E568" s="45" t="s">
        <v>1568</v>
      </c>
      <c r="F568" t="s">
        <v>4314</v>
      </c>
    </row>
    <row r="569" spans="1:6">
      <c r="A569">
        <v>265</v>
      </c>
      <c r="B569" s="43" t="s">
        <v>2304</v>
      </c>
      <c r="D569" t="s">
        <v>28</v>
      </c>
      <c r="E569" s="45" t="s">
        <v>1569</v>
      </c>
      <c r="F569" t="s">
        <v>4314</v>
      </c>
    </row>
    <row r="570" spans="1:6">
      <c r="A570">
        <v>265</v>
      </c>
      <c r="B570" s="43" t="s">
        <v>2304</v>
      </c>
      <c r="D570" t="s">
        <v>28</v>
      </c>
      <c r="E570" s="45" t="s">
        <v>1570</v>
      </c>
      <c r="F570" t="s">
        <v>4314</v>
      </c>
    </row>
    <row r="571" spans="1:6">
      <c r="A571">
        <v>265</v>
      </c>
      <c r="B571" s="43" t="s">
        <v>2304</v>
      </c>
      <c r="D571" t="s">
        <v>28</v>
      </c>
      <c r="E571" s="45" t="s">
        <v>1571</v>
      </c>
      <c r="F571" t="s">
        <v>4314</v>
      </c>
    </row>
    <row r="572" spans="1:6">
      <c r="A572">
        <v>265</v>
      </c>
      <c r="B572" s="43" t="s">
        <v>2304</v>
      </c>
      <c r="D572" t="s">
        <v>28</v>
      </c>
      <c r="E572" s="45" t="s">
        <v>1572</v>
      </c>
      <c r="F572" t="s">
        <v>4314</v>
      </c>
    </row>
    <row r="573" spans="1:6">
      <c r="A573">
        <v>216</v>
      </c>
      <c r="B573" s="43" t="s">
        <v>2304</v>
      </c>
      <c r="D573" t="s">
        <v>28</v>
      </c>
      <c r="E573" s="45" t="s">
        <v>1364</v>
      </c>
      <c r="F573" t="s">
        <v>4314</v>
      </c>
    </row>
    <row r="574" spans="1:6">
      <c r="A574">
        <v>216</v>
      </c>
      <c r="B574" s="43" t="s">
        <v>2304</v>
      </c>
      <c r="D574" t="s">
        <v>28</v>
      </c>
      <c r="E574" s="45" t="s">
        <v>1365</v>
      </c>
      <c r="F574" t="s">
        <v>4314</v>
      </c>
    </row>
    <row r="575" spans="1:6">
      <c r="A575">
        <v>216</v>
      </c>
      <c r="B575" s="43" t="s">
        <v>2304</v>
      </c>
      <c r="D575" t="s">
        <v>28</v>
      </c>
      <c r="E575" s="45" t="s">
        <v>1366</v>
      </c>
      <c r="F575" t="s">
        <v>4314</v>
      </c>
    </row>
    <row r="576" spans="1:6">
      <c r="A576">
        <v>216</v>
      </c>
      <c r="B576" s="43" t="s">
        <v>2304</v>
      </c>
      <c r="D576" t="s">
        <v>28</v>
      </c>
      <c r="E576" s="45" t="s">
        <v>1367</v>
      </c>
      <c r="F576" t="s">
        <v>4314</v>
      </c>
    </row>
    <row r="577" spans="1:6">
      <c r="A577">
        <v>216</v>
      </c>
      <c r="B577" s="43" t="s">
        <v>2304</v>
      </c>
      <c r="D577" t="s">
        <v>28</v>
      </c>
      <c r="E577" s="45" t="s">
        <v>1363</v>
      </c>
      <c r="F577" t="s">
        <v>4314</v>
      </c>
    </row>
    <row r="578" spans="1:6">
      <c r="A578">
        <v>266</v>
      </c>
      <c r="B578" s="43" t="s">
        <v>2304</v>
      </c>
      <c r="D578" t="s">
        <v>28</v>
      </c>
      <c r="E578" s="45" t="s">
        <v>1573</v>
      </c>
      <c r="F578" t="s">
        <v>4314</v>
      </c>
    </row>
    <row r="579" spans="1:6">
      <c r="A579">
        <v>266</v>
      </c>
      <c r="B579" s="43" t="s">
        <v>2304</v>
      </c>
      <c r="D579" t="s">
        <v>28</v>
      </c>
      <c r="E579" s="45" t="s">
        <v>1575</v>
      </c>
      <c r="F579" t="s">
        <v>4314</v>
      </c>
    </row>
    <row r="580" spans="1:6">
      <c r="A580">
        <v>266</v>
      </c>
      <c r="B580" s="43" t="s">
        <v>2304</v>
      </c>
      <c r="D580" t="s">
        <v>28</v>
      </c>
      <c r="E580" s="45" t="s">
        <v>1576</v>
      </c>
      <c r="F580" t="s">
        <v>4314</v>
      </c>
    </row>
    <row r="581" spans="1:6">
      <c r="A581">
        <v>266</v>
      </c>
      <c r="B581" s="43" t="s">
        <v>2304</v>
      </c>
      <c r="D581" t="s">
        <v>28</v>
      </c>
      <c r="E581" s="45" t="s">
        <v>1577</v>
      </c>
      <c r="F581" t="s">
        <v>4314</v>
      </c>
    </row>
    <row r="582" spans="1:6">
      <c r="A582">
        <v>266</v>
      </c>
      <c r="B582" s="43" t="s">
        <v>2304</v>
      </c>
      <c r="D582" t="s">
        <v>28</v>
      </c>
      <c r="E582" s="45" t="s">
        <v>1578</v>
      </c>
      <c r="F582" t="s">
        <v>4314</v>
      </c>
    </row>
    <row r="583" spans="1:6">
      <c r="A583">
        <v>267</v>
      </c>
      <c r="B583" s="43" t="s">
        <v>2304</v>
      </c>
      <c r="D583" t="s">
        <v>28</v>
      </c>
      <c r="E583" s="45" t="s">
        <v>1579</v>
      </c>
      <c r="F583" t="s">
        <v>4314</v>
      </c>
    </row>
    <row r="584" spans="1:6">
      <c r="A584">
        <v>267</v>
      </c>
      <c r="B584" s="43" t="s">
        <v>2304</v>
      </c>
      <c r="D584" t="s">
        <v>28</v>
      </c>
      <c r="E584" s="45" t="s">
        <v>1580</v>
      </c>
      <c r="F584" t="s">
        <v>4314</v>
      </c>
    </row>
    <row r="585" spans="1:6">
      <c r="A585">
        <v>267</v>
      </c>
      <c r="B585" s="43" t="s">
        <v>2304</v>
      </c>
      <c r="D585" t="s">
        <v>28</v>
      </c>
      <c r="E585" s="45" t="s">
        <v>1581</v>
      </c>
      <c r="F585" t="s">
        <v>4314</v>
      </c>
    </row>
    <row r="586" spans="1:6">
      <c r="A586">
        <v>267</v>
      </c>
      <c r="B586" s="43" t="s">
        <v>2304</v>
      </c>
      <c r="D586" t="s">
        <v>28</v>
      </c>
      <c r="E586" s="45" t="s">
        <v>1582</v>
      </c>
      <c r="F586" t="s">
        <v>4314</v>
      </c>
    </row>
    <row r="587" spans="1:6">
      <c r="A587">
        <v>261</v>
      </c>
      <c r="B587" s="43" t="s">
        <v>2304</v>
      </c>
      <c r="D587" t="s">
        <v>28</v>
      </c>
      <c r="E587" s="45" t="s">
        <v>1534</v>
      </c>
      <c r="F587" t="s">
        <v>4314</v>
      </c>
    </row>
    <row r="588" spans="1:6">
      <c r="A588">
        <v>261</v>
      </c>
      <c r="B588" s="43" t="s">
        <v>2304</v>
      </c>
      <c r="D588" t="s">
        <v>28</v>
      </c>
      <c r="E588" s="45" t="s">
        <v>1535</v>
      </c>
      <c r="F588" t="s">
        <v>4314</v>
      </c>
    </row>
    <row r="589" spans="1:6">
      <c r="A589">
        <v>261</v>
      </c>
      <c r="B589" s="43" t="s">
        <v>2304</v>
      </c>
      <c r="D589" t="s">
        <v>28</v>
      </c>
      <c r="E589" s="45" t="s">
        <v>1536</v>
      </c>
      <c r="F589" t="s">
        <v>4314</v>
      </c>
    </row>
    <row r="590" spans="1:6">
      <c r="A590">
        <v>261</v>
      </c>
      <c r="B590" s="43" t="s">
        <v>2304</v>
      </c>
      <c r="D590" t="s">
        <v>28</v>
      </c>
      <c r="E590" s="45" t="s">
        <v>1537</v>
      </c>
      <c r="F590" t="s">
        <v>4314</v>
      </c>
    </row>
    <row r="591" spans="1:6">
      <c r="A591">
        <v>261</v>
      </c>
      <c r="B591" s="43" t="s">
        <v>2304</v>
      </c>
      <c r="D591" t="s">
        <v>28</v>
      </c>
      <c r="E591" s="45" t="s">
        <v>1538</v>
      </c>
      <c r="F591" t="s">
        <v>4314</v>
      </c>
    </row>
    <row r="592" spans="1:6">
      <c r="A592">
        <v>268</v>
      </c>
      <c r="B592" s="43" t="s">
        <v>2304</v>
      </c>
      <c r="D592" t="s">
        <v>28</v>
      </c>
      <c r="E592" s="45" t="s">
        <v>1583</v>
      </c>
      <c r="F592" t="s">
        <v>4314</v>
      </c>
    </row>
    <row r="593" spans="1:6">
      <c r="A593">
        <v>268</v>
      </c>
      <c r="B593" s="43" t="s">
        <v>2304</v>
      </c>
      <c r="D593" t="s">
        <v>28</v>
      </c>
      <c r="E593" s="45" t="s">
        <v>1585</v>
      </c>
      <c r="F593" t="s">
        <v>4314</v>
      </c>
    </row>
    <row r="594" spans="1:6">
      <c r="A594">
        <v>268</v>
      </c>
      <c r="B594" s="43" t="s">
        <v>2304</v>
      </c>
      <c r="D594" t="s">
        <v>28</v>
      </c>
      <c r="E594" s="45" t="s">
        <v>1586</v>
      </c>
      <c r="F594" t="s">
        <v>4314</v>
      </c>
    </row>
    <row r="595" spans="1:6">
      <c r="A595">
        <v>268</v>
      </c>
      <c r="B595" s="43" t="s">
        <v>2304</v>
      </c>
      <c r="D595" t="s">
        <v>28</v>
      </c>
      <c r="E595" s="45" t="s">
        <v>1587</v>
      </c>
      <c r="F595" t="s">
        <v>4314</v>
      </c>
    </row>
    <row r="596" spans="1:6">
      <c r="A596">
        <v>268</v>
      </c>
      <c r="B596" s="43" t="s">
        <v>2304</v>
      </c>
      <c r="D596" t="s">
        <v>28</v>
      </c>
      <c r="E596" s="45" t="s">
        <v>1588</v>
      </c>
      <c r="F596" t="s">
        <v>4314</v>
      </c>
    </row>
    <row r="597" spans="1:6">
      <c r="A597">
        <v>217</v>
      </c>
      <c r="B597" s="43" t="s">
        <v>2304</v>
      </c>
      <c r="D597" t="s">
        <v>28</v>
      </c>
      <c r="E597" s="45" t="s">
        <v>1377</v>
      </c>
      <c r="F597" t="s">
        <v>4314</v>
      </c>
    </row>
    <row r="598" spans="1:6">
      <c r="A598">
        <v>217</v>
      </c>
      <c r="B598" s="43" t="s">
        <v>2304</v>
      </c>
      <c r="D598" t="s">
        <v>28</v>
      </c>
      <c r="E598" s="45" t="s">
        <v>1379</v>
      </c>
      <c r="F598" t="s">
        <v>4314</v>
      </c>
    </row>
    <row r="599" spans="1:6">
      <c r="A599">
        <v>217</v>
      </c>
      <c r="B599" s="43" t="s">
        <v>2304</v>
      </c>
      <c r="D599" t="s">
        <v>28</v>
      </c>
      <c r="E599" s="45" t="s">
        <v>1380</v>
      </c>
      <c r="F599" t="s">
        <v>4314</v>
      </c>
    </row>
    <row r="600" spans="1:6">
      <c r="A600">
        <v>217</v>
      </c>
      <c r="B600" s="43" t="s">
        <v>2304</v>
      </c>
      <c r="D600" t="s">
        <v>28</v>
      </c>
      <c r="E600" s="45" t="s">
        <v>1381</v>
      </c>
      <c r="F600" t="s">
        <v>4314</v>
      </c>
    </row>
    <row r="601" spans="1:6">
      <c r="A601">
        <v>262</v>
      </c>
      <c r="B601" s="43" t="s">
        <v>1539</v>
      </c>
      <c r="D601" t="s">
        <v>27</v>
      </c>
      <c r="E601" s="45" t="s">
        <v>1540</v>
      </c>
      <c r="F601" s="129" t="s">
        <v>1541</v>
      </c>
    </row>
    <row r="602" spans="1:6">
      <c r="A602">
        <v>262</v>
      </c>
      <c r="B602" s="43" t="s">
        <v>1539</v>
      </c>
      <c r="D602" t="s">
        <v>27</v>
      </c>
      <c r="E602" s="45" t="s">
        <v>1543</v>
      </c>
      <c r="F602" s="129" t="s">
        <v>1541</v>
      </c>
    </row>
    <row r="603" spans="1:6">
      <c r="A603">
        <v>262</v>
      </c>
      <c r="B603" s="43" t="s">
        <v>1539</v>
      </c>
      <c r="D603" t="s">
        <v>27</v>
      </c>
      <c r="E603" s="45" t="s">
        <v>1545</v>
      </c>
      <c r="F603" s="129" t="s">
        <v>1541</v>
      </c>
    </row>
    <row r="604" spans="1:6">
      <c r="A604">
        <v>262</v>
      </c>
      <c r="B604" s="43" t="s">
        <v>1539</v>
      </c>
      <c r="D604" t="s">
        <v>27</v>
      </c>
      <c r="E604" s="45" t="s">
        <v>1547</v>
      </c>
      <c r="F604" s="129" t="s">
        <v>1541</v>
      </c>
    </row>
    <row r="605" spans="1:6">
      <c r="A605">
        <v>262</v>
      </c>
      <c r="B605" s="43" t="s">
        <v>1539</v>
      </c>
      <c r="D605" t="s">
        <v>27</v>
      </c>
      <c r="E605" s="45" t="s">
        <v>1550</v>
      </c>
      <c r="F605" s="129" t="s">
        <v>1541</v>
      </c>
    </row>
    <row r="606" spans="1:6">
      <c r="A606">
        <v>262</v>
      </c>
      <c r="B606" s="43" t="s">
        <v>1539</v>
      </c>
      <c r="D606" t="s">
        <v>27</v>
      </c>
      <c r="E606" s="45" t="s">
        <v>1551</v>
      </c>
      <c r="F606" s="129" t="s">
        <v>1541</v>
      </c>
    </row>
    <row r="607" spans="1:6">
      <c r="A607">
        <v>262</v>
      </c>
      <c r="B607" s="43" t="s">
        <v>1539</v>
      </c>
      <c r="D607" t="s">
        <v>27</v>
      </c>
      <c r="E607" s="45" t="s">
        <v>1553</v>
      </c>
      <c r="F607" s="129" t="s">
        <v>1541</v>
      </c>
    </row>
    <row r="608" spans="1:6">
      <c r="A608">
        <v>262</v>
      </c>
      <c r="B608" s="43" t="s">
        <v>1539</v>
      </c>
      <c r="D608" t="s">
        <v>27</v>
      </c>
      <c r="E608" s="45" t="s">
        <v>1555</v>
      </c>
      <c r="F608" s="129" t="s">
        <v>1541</v>
      </c>
    </row>
    <row r="609" spans="1:6" s="137" customFormat="1">
      <c r="A609" s="137">
        <v>182</v>
      </c>
      <c r="B609" s="137" t="s">
        <v>1133</v>
      </c>
      <c r="E609" s="57" t="s">
        <v>1134</v>
      </c>
      <c r="F609" s="137" t="s">
        <v>4315</v>
      </c>
    </row>
    <row r="610" spans="1:6">
      <c r="A610">
        <v>182</v>
      </c>
      <c r="B610" s="43" t="s">
        <v>4298</v>
      </c>
      <c r="C610" t="s">
        <v>43</v>
      </c>
      <c r="D610" t="s">
        <v>27</v>
      </c>
      <c r="E610" s="45" t="s">
        <v>172</v>
      </c>
      <c r="F610" t="s">
        <v>4316</v>
      </c>
    </row>
    <row r="611" spans="1:6">
      <c r="A611">
        <v>182</v>
      </c>
      <c r="B611" s="43" t="s">
        <v>4298</v>
      </c>
      <c r="C611" t="s">
        <v>43</v>
      </c>
      <c r="D611" t="s">
        <v>27</v>
      </c>
      <c r="E611" s="45" t="s">
        <v>189</v>
      </c>
      <c r="F611" t="s">
        <v>4317</v>
      </c>
    </row>
    <row r="612" spans="1:6">
      <c r="A612">
        <v>182</v>
      </c>
      <c r="B612" s="43" t="s">
        <v>4298</v>
      </c>
      <c r="C612" t="s">
        <v>43</v>
      </c>
      <c r="D612" t="s">
        <v>27</v>
      </c>
      <c r="E612" s="45" t="s">
        <v>193</v>
      </c>
      <c r="F612" t="s">
        <v>4318</v>
      </c>
    </row>
    <row r="613" spans="1:6">
      <c r="A613">
        <v>182</v>
      </c>
      <c r="B613" s="43" t="s">
        <v>4298</v>
      </c>
      <c r="C613" t="s">
        <v>43</v>
      </c>
      <c r="D613" t="s">
        <v>27</v>
      </c>
      <c r="E613" s="45" t="s">
        <v>214</v>
      </c>
      <c r="F613" t="s">
        <v>4319</v>
      </c>
    </row>
    <row r="614" spans="1:6">
      <c r="A614" s="43">
        <v>108</v>
      </c>
      <c r="B614" s="43" t="s">
        <v>111</v>
      </c>
      <c r="C614" s="43"/>
      <c r="D614" s="43" t="s">
        <v>27</v>
      </c>
      <c r="E614" s="58" t="s">
        <v>788</v>
      </c>
      <c r="F614" s="129" t="s">
        <v>4320</v>
      </c>
    </row>
    <row r="615" spans="1:6">
      <c r="A615" s="43">
        <v>108</v>
      </c>
      <c r="B615" s="43" t="s">
        <v>111</v>
      </c>
      <c r="C615" s="43"/>
      <c r="D615" s="43" t="s">
        <v>27</v>
      </c>
      <c r="E615" s="45" t="s">
        <v>790</v>
      </c>
      <c r="F615" t="s">
        <v>4321</v>
      </c>
    </row>
    <row r="616" spans="1:6">
      <c r="A616" s="43">
        <v>108</v>
      </c>
      <c r="B616" s="43" t="s">
        <v>111</v>
      </c>
      <c r="C616" s="43"/>
      <c r="D616" s="43" t="s">
        <v>27</v>
      </c>
      <c r="E616" s="45" t="s">
        <v>791</v>
      </c>
      <c r="F616" t="s">
        <v>4322</v>
      </c>
    </row>
    <row r="617" spans="1:6">
      <c r="A617" s="43">
        <v>108</v>
      </c>
      <c r="B617" s="43" t="s">
        <v>111</v>
      </c>
      <c r="C617" s="43"/>
      <c r="D617" s="43" t="s">
        <v>27</v>
      </c>
      <c r="E617" s="45" t="s">
        <v>792</v>
      </c>
      <c r="F617" t="s">
        <v>4323</v>
      </c>
    </row>
    <row r="618" spans="1:6">
      <c r="A618" s="43">
        <v>108</v>
      </c>
      <c r="B618" s="43" t="s">
        <v>111</v>
      </c>
      <c r="C618" s="43"/>
      <c r="D618" s="43" t="s">
        <v>27</v>
      </c>
      <c r="E618" s="45" t="s">
        <v>793</v>
      </c>
      <c r="F618" t="s">
        <v>4324</v>
      </c>
    </row>
    <row r="619" spans="1:6">
      <c r="E619" t="s">
        <v>4325</v>
      </c>
    </row>
    <row r="620" spans="1:6">
      <c r="E620" t="s">
        <v>4326</v>
      </c>
    </row>
    <row r="621" spans="1:6">
      <c r="E621" t="s">
        <v>4327</v>
      </c>
    </row>
    <row r="622" spans="1:6">
      <c r="E622" t="s">
        <v>4328</v>
      </c>
    </row>
    <row r="623" spans="1:6">
      <c r="E623" t="s">
        <v>4329</v>
      </c>
    </row>
    <row r="624" spans="1:6">
      <c r="E624" t="s">
        <v>4330</v>
      </c>
    </row>
    <row r="625" spans="5:5">
      <c r="E625" t="s">
        <v>4331</v>
      </c>
    </row>
    <row r="626" spans="5:5">
      <c r="E626" t="s">
        <v>4332</v>
      </c>
    </row>
    <row r="627" spans="5:5">
      <c r="E627" t="s">
        <v>4333</v>
      </c>
    </row>
    <row r="628" spans="5:5">
      <c r="E628" t="s">
        <v>4334</v>
      </c>
    </row>
    <row r="629" spans="5:5">
      <c r="E629" t="s">
        <v>4335</v>
      </c>
    </row>
    <row r="630" spans="5:5">
      <c r="E630" t="s">
        <v>4336</v>
      </c>
    </row>
    <row r="631" spans="5:5">
      <c r="E631" t="s">
        <v>4337</v>
      </c>
    </row>
    <row r="632" spans="5:5">
      <c r="E632" t="s">
        <v>4338</v>
      </c>
    </row>
    <row r="633" spans="5:5">
      <c r="E633" t="s">
        <v>4339</v>
      </c>
    </row>
    <row r="634" spans="5:5">
      <c r="E634" t="s">
        <v>4340</v>
      </c>
    </row>
    <row r="635" spans="5:5">
      <c r="E635" t="s">
        <v>4341</v>
      </c>
    </row>
    <row r="636" spans="5:5">
      <c r="E636" t="s">
        <v>4342</v>
      </c>
    </row>
    <row r="637" spans="5:5">
      <c r="E637" t="s">
        <v>4343</v>
      </c>
    </row>
    <row r="638" spans="5:5">
      <c r="E638" t="s">
        <v>4344</v>
      </c>
    </row>
    <row r="639" spans="5:5">
      <c r="E639" t="s">
        <v>4345</v>
      </c>
    </row>
    <row r="640" spans="5:5">
      <c r="E640" t="s">
        <v>4346</v>
      </c>
    </row>
    <row r="641" spans="5:5">
      <c r="E641" t="s">
        <v>4347</v>
      </c>
    </row>
    <row r="642" spans="5:5">
      <c r="E642" t="s">
        <v>4348</v>
      </c>
    </row>
  </sheetData>
  <autoFilter ref="A1:F608" xr:uid="{00000000-0009-0000-0000-000003000000}">
    <sortState xmlns:xlrd2="http://schemas.microsoft.com/office/spreadsheetml/2017/richdata2" ref="A2:F323">
      <sortCondition ref="A1"/>
    </sortState>
  </autoFilter>
  <conditionalFormatting sqref="E11">
    <cfRule type="duplicateValues" dxfId="45" priority="46"/>
  </conditionalFormatting>
  <conditionalFormatting sqref="E12">
    <cfRule type="duplicateValues" dxfId="44" priority="45"/>
  </conditionalFormatting>
  <conditionalFormatting sqref="E21">
    <cfRule type="duplicateValues" dxfId="43" priority="43"/>
  </conditionalFormatting>
  <conditionalFormatting sqref="E22">
    <cfRule type="duplicateValues" dxfId="42" priority="44"/>
  </conditionalFormatting>
  <conditionalFormatting sqref="E34">
    <cfRule type="duplicateValues" dxfId="41" priority="42"/>
  </conditionalFormatting>
  <conditionalFormatting sqref="E39">
    <cfRule type="duplicateValues" dxfId="40" priority="41"/>
  </conditionalFormatting>
  <conditionalFormatting sqref="E40">
    <cfRule type="duplicateValues" dxfId="39" priority="40"/>
  </conditionalFormatting>
  <conditionalFormatting sqref="E41">
    <cfRule type="duplicateValues" dxfId="38" priority="39"/>
  </conditionalFormatting>
  <conditionalFormatting sqref="E52">
    <cfRule type="duplicateValues" dxfId="37" priority="38"/>
  </conditionalFormatting>
  <conditionalFormatting sqref="E53">
    <cfRule type="duplicateValues" dxfId="36" priority="37"/>
  </conditionalFormatting>
  <conditionalFormatting sqref="E54:E55">
    <cfRule type="duplicateValues" dxfId="35" priority="36"/>
  </conditionalFormatting>
  <conditionalFormatting sqref="E79">
    <cfRule type="duplicateValues" dxfId="34" priority="35"/>
  </conditionalFormatting>
  <conditionalFormatting sqref="E80">
    <cfRule type="duplicateValues" dxfId="33" priority="1"/>
  </conditionalFormatting>
  <conditionalFormatting sqref="E114">
    <cfRule type="duplicateValues" dxfId="32" priority="34"/>
  </conditionalFormatting>
  <conditionalFormatting sqref="E115">
    <cfRule type="duplicateValues" dxfId="31" priority="33"/>
  </conditionalFormatting>
  <conditionalFormatting sqref="E132:E134">
    <cfRule type="duplicateValues" dxfId="30" priority="32"/>
  </conditionalFormatting>
  <conditionalFormatting sqref="E138">
    <cfRule type="duplicateValues" dxfId="29" priority="31"/>
  </conditionalFormatting>
  <conditionalFormatting sqref="E139:E143">
    <cfRule type="duplicateValues" dxfId="28" priority="30"/>
  </conditionalFormatting>
  <conditionalFormatting sqref="E144">
    <cfRule type="duplicateValues" dxfId="27" priority="29"/>
  </conditionalFormatting>
  <conditionalFormatting sqref="E150:E152">
    <cfRule type="duplicateValues" dxfId="26" priority="28"/>
  </conditionalFormatting>
  <conditionalFormatting sqref="E161:E163">
    <cfRule type="duplicateValues" dxfId="25" priority="27"/>
  </conditionalFormatting>
  <conditionalFormatting sqref="E175">
    <cfRule type="duplicateValues" dxfId="24" priority="26"/>
  </conditionalFormatting>
  <conditionalFormatting sqref="E176">
    <cfRule type="duplicateValues" dxfId="23" priority="25"/>
  </conditionalFormatting>
  <conditionalFormatting sqref="E180:E182">
    <cfRule type="duplicateValues" dxfId="22" priority="24"/>
  </conditionalFormatting>
  <conditionalFormatting sqref="E183:E187">
    <cfRule type="duplicateValues" dxfId="21" priority="23"/>
  </conditionalFormatting>
  <conditionalFormatting sqref="E191:E195">
    <cfRule type="duplicateValues" dxfId="20" priority="22"/>
  </conditionalFormatting>
  <conditionalFormatting sqref="E196:E200">
    <cfRule type="duplicateValues" dxfId="19" priority="21"/>
  </conditionalFormatting>
  <conditionalFormatting sqref="E204:E208">
    <cfRule type="duplicateValues" dxfId="18" priority="20"/>
  </conditionalFormatting>
  <conditionalFormatting sqref="E221">
    <cfRule type="duplicateValues" dxfId="17" priority="19"/>
  </conditionalFormatting>
  <conditionalFormatting sqref="E222:E224">
    <cfRule type="duplicateValues" dxfId="16" priority="14"/>
  </conditionalFormatting>
  <conditionalFormatting sqref="E231">
    <cfRule type="duplicateValues" dxfId="15" priority="18"/>
  </conditionalFormatting>
  <conditionalFormatting sqref="E232">
    <cfRule type="duplicateValues" dxfId="14" priority="17"/>
  </conditionalFormatting>
  <conditionalFormatting sqref="E237">
    <cfRule type="duplicateValues" dxfId="13" priority="16"/>
  </conditionalFormatting>
  <conditionalFormatting sqref="E238:E240">
    <cfRule type="duplicateValues" dxfId="12" priority="15"/>
  </conditionalFormatting>
  <conditionalFormatting sqref="E246:E250">
    <cfRule type="duplicateValues" dxfId="11" priority="13"/>
  </conditionalFormatting>
  <conditionalFormatting sqref="E273">
    <cfRule type="duplicateValues" dxfId="10" priority="12"/>
  </conditionalFormatting>
  <conditionalFormatting sqref="E282">
    <cfRule type="duplicateValues" dxfId="9" priority="11"/>
  </conditionalFormatting>
  <conditionalFormatting sqref="E298">
    <cfRule type="duplicateValues" dxfId="8" priority="10"/>
  </conditionalFormatting>
  <conditionalFormatting sqref="E309:E313">
    <cfRule type="duplicateValues" dxfId="7" priority="9"/>
  </conditionalFormatting>
  <conditionalFormatting sqref="E329:E333">
    <cfRule type="duplicateValues" dxfId="6" priority="8"/>
  </conditionalFormatting>
  <conditionalFormatting sqref="E337:E340">
    <cfRule type="duplicateValues" dxfId="5" priority="7"/>
  </conditionalFormatting>
  <conditionalFormatting sqref="E344:E348">
    <cfRule type="duplicateValues" dxfId="4" priority="6"/>
  </conditionalFormatting>
  <conditionalFormatting sqref="E372:E380">
    <cfRule type="duplicateValues" dxfId="3" priority="5"/>
  </conditionalFormatting>
  <conditionalFormatting sqref="E475">
    <cfRule type="duplicateValues" dxfId="2" priority="4"/>
  </conditionalFormatting>
  <conditionalFormatting sqref="E476">
    <cfRule type="duplicateValues" dxfId="1" priority="3"/>
  </conditionalFormatting>
  <conditionalFormatting sqref="E516:E518">
    <cfRule type="duplicateValues" dxfId="0" priority="2"/>
  </conditionalFormatting>
  <hyperlinks>
    <hyperlink ref="F3" r:id="rId1" display="\\abtvdfs2.de.bosch.com\ismdfs\ilm\abt\IMS\Platform\400_Cabin_Sensing_Radar\20_Measurements\07_CANape\Mitsubishi\5K45\MMC4.1.2\Validation\2025_11_29\child\part1\Sleep" xr:uid="{00000000-0004-0000-0300-000000000000}"/>
    <hyperlink ref="F11" r:id="rId2" display="\\abt-soc501-dfs.de.bosch.com\XC_IMS_Platform\400_Cabin_Sensing_Radar\20_Measurements\07_CANape\Mitsubishi\5K45\5.2.0\5K457EG11\SmokeTest\CPD" xr:uid="{00000000-0004-0000-0300-000001000000}"/>
    <hyperlink ref="F29" r:id="rId3" display="\\abtvdfs2.de.bosch.com\ismdfs\ilm\abt\IMS\Platform\400_Cabin_Sensing_Radar\20_Measurements\07_CANape\Mitsubishi\5K45\MMC5.0.1\5K457EG-11\Real_Child_Measurements" xr:uid="{00000000-0004-0000-0300-000002000000}"/>
    <hyperlink ref="F30" r:id="rId4" display="\\abtvdfs2.de.bosch.com\ismdfs\ilm\abt\IMS\Platform\400_Cabin_Sensing_Radar\20_Measurements\07_CANape\Mitsubishi\5K45\MMC5.0.1\5K457EG-11\Real_Child_Measurements" xr:uid="{00000000-0004-0000-0300-000003000000}"/>
    <hyperlink ref="F31" r:id="rId5" display="\\abtvdfs2.de.bosch.com\ismdfs\ilm\abt\IMS\Platform\400_Cabin_Sensing_Radar\20_Measurements\07_CANape\Mitsubishi\5K45\MMC5.0.1\5K457EG-11\Real_Child_Measurements" xr:uid="{00000000-0004-0000-0300-000004000000}"/>
    <hyperlink ref="F32" r:id="rId6" display="\\abtvdfs2.de.bosch.com\ismdfs\ilm\abt\IMS\Platform\400_Cabin_Sensing_Radar\20_Measurements\07_CANape\Mitsubishi\5K45\MMC5.0.1\5K457EG-11\Real_Child_Measurements" xr:uid="{00000000-0004-0000-0300-000005000000}"/>
    <hyperlink ref="F33" r:id="rId7" display="\\abtvdfs2.de.bosch.com\ismdfs\ilm\abt\IMS\Platform\400_Cabin_Sensing_Radar\20_Measurements\07_CANape\Mitsubishi\5K45\MMC5.0.1\5K457EG-11\Real_Child_Measurements" xr:uid="{00000000-0004-0000-0300-000006000000}"/>
    <hyperlink ref="F40" r:id="rId8" display="\\abt-soc501-dfs.de.bosch.com\XC_IMS_Platform\400_Cabin_Sensing_Radar\20_Measurements\07_CANape\Mitsubishi\5K45\MMC5.0.2\5K457MG57\SmokeTest" xr:uid="{00000000-0004-0000-0300-000007000000}"/>
    <hyperlink ref="F41" r:id="rId9" display="\\abt-soc501-dfs.de.bosch.com\XC_IMS_Platform\400_Cabin_Sensing_Radar\20_Measurements\07_CANape\Mitsubishi\5K45\MMC5.1.1\5K457EG11\Smoke Tests" xr:uid="{00000000-0004-0000-0300-000008000000}"/>
    <hyperlink ref="F47" r:id="rId10" display="\\abtvdfs2.de.bosch.com\ismdfs\ilm\abt\IMS\Platform\400_Cabin_Sensing_Radar\20_Measurements\07_CANape\Mitsubishi\5K45\MMC5.0.1\5K457EG-11\Real_Child_Measurements" xr:uid="{00000000-0004-0000-0300-000009000000}"/>
    <hyperlink ref="F48" r:id="rId11" display="\\abtvdfs2.de.bosch.com\ismdfs\ilm\abt\IMS\Platform\400_Cabin_Sensing_Radar\20_Measurements\07_CANape\Mitsubishi\5K45\MMC5.0.1\5K457EG-11\Real_Child_Measurements" xr:uid="{00000000-0004-0000-0300-00000A000000}"/>
    <hyperlink ref="F49" r:id="rId12" display="\\abtvdfs2.de.bosch.com\ismdfs\ilm\abt\IMS\Platform\400_Cabin_Sensing_Radar\20_Measurements\07_CANape\Mitsubishi\5K45\MMC5.0.1\5K457EG-11\Real_Child_Measurements" xr:uid="{00000000-0004-0000-0300-00000B000000}"/>
    <hyperlink ref="F50" r:id="rId13" display="\\abtvdfs2.de.bosch.com\ismdfs\ilm\abt\IMS\Platform\400_Cabin_Sensing_Radar\20_Measurements\07_CANape\Mitsubishi\5K45\MMC5.0.1\5K457EG-11\Real_Child_Measurements" xr:uid="{00000000-0004-0000-0300-00000C000000}"/>
    <hyperlink ref="F51" r:id="rId14" display="\\abtvdfs2.de.bosch.com\ismdfs\ilm\abt\IMS\Platform\400_Cabin_Sensing_Radar\20_Measurements\07_CANape\Mitsubishi\5K45\MMC5.0.1\5K457EG-11\Real_Child_Measurements" xr:uid="{00000000-0004-0000-0300-00000D000000}"/>
    <hyperlink ref="F77" r:id="rId15" display="\\abtvdfs2.de.bosch.com\ismdfs\ilm\abt\IMS\Platform\400_Cabin_Sensing_Radar\20_Measurements\07_CANape\Mitsubishi\5K45\MMC4.1.2\Validation\child\Awake" xr:uid="{00000000-0004-0000-0300-00000E000000}"/>
    <hyperlink ref="F78" r:id="rId16" display="\\abtvdfs2.de.bosch.com\ismdfs\ilm\abt\IMS\Platform\400_Cabin_Sensing_Radar\20_Measurements\07_CANape\Mitsubishi\5K45\MMC4.1.2\Validation\child\Awake" xr:uid="{00000000-0004-0000-0300-00000F000000}"/>
    <hyperlink ref="F80" r:id="rId17" display="\\abt-soc501-dfs.de.bosch.com\XC_IMS_Platform\400_Cabin_Sensing_Radar\20_Measurements\07_CANape\Mitsubishi\5K45\MMC4.1.2\Validation\2025_11_29\child\part1\Awake" xr:uid="{00000000-0004-0000-0300-000010000000}"/>
    <hyperlink ref="F81" r:id="rId18" display="\\abtvdfs2.de.bosch.com\ismdfs\ilm\abt\IMS\Platform\400_Cabin_Sensing_Radar\20_Measurements\07_CANape\Mitsubishi\5K45\5.2.0\5K457EG11\Real_Childs" xr:uid="{00000000-0004-0000-0300-000011000000}"/>
    <hyperlink ref="F82" r:id="rId19" display="\\abtvdfs2.de.bosch.com\ismdfs\ilm\abt\IMS\Platform\400_Cabin_Sensing_Radar\20_Measurements\07_CANape\Mitsubishi\5K45\5.2.0\5K457EG11\Real_Childs" xr:uid="{00000000-0004-0000-0300-000012000000}"/>
    <hyperlink ref="F83" r:id="rId20" display="\\abtvdfs2.de.bosch.com\ismdfs\ilm\abt\IMS\Platform\400_Cabin_Sensing_Radar\20_Measurements\07_CANape\Mitsubishi\5K45\5.2.0\5K457EG11\Real_Childs" xr:uid="{00000000-0004-0000-0300-000013000000}"/>
    <hyperlink ref="F84" r:id="rId21" display="\\abtvdfs2.de.bosch.com\ismdfs\ilm\abt\IMS\Platform\400_Cabin_Sensing_Radar\20_Measurements\07_CANape\Mitsubishi\5K45\5.2.0\5K457EG11\Real_Childs" xr:uid="{00000000-0004-0000-0300-000014000000}"/>
    <hyperlink ref="F85" r:id="rId22" display="\\abtvdfs2.de.bosch.com\ismdfs\ilm\abt\IMS\Platform\400_Cabin_Sensing_Radar\20_Measurements\07_CANape\Mitsubishi\5K45\5.2.0\5K457EG11\Real_Childs" xr:uid="{00000000-0004-0000-0300-000015000000}"/>
    <hyperlink ref="F101" r:id="rId23" display="\\abtvdfs2.de.bosch.com\ismdfs\ilm\abt\IMS\Platform\400_Cabin_Sensing_Radar\20_Measurements\07_CANape\Mitsubishi\5K45\MMC5.0.0_RC3\Real_Child_Tests" xr:uid="{00000000-0004-0000-0300-000016000000}"/>
    <hyperlink ref="F102" r:id="rId24" display="\\abtvdfs2.de.bosch.com\ismdfs\ilm\abt\IMS\Platform\400_Cabin_Sensing_Radar\20_Measurements\07_CANape\Mitsubishi\5K45\MMC5.0.0_RC3\Real_Child_Tests" xr:uid="{00000000-0004-0000-0300-000017000000}"/>
    <hyperlink ref="F103" r:id="rId25" display="\\abtvdfs2.de.bosch.com\ismdfs\ilm\abt\IMS\Platform\400_Cabin_Sensing_Radar\20_Measurements\07_CANape\Mitsubishi\5K45\MMC5.0.0_RC3\Real_Child_Tests" xr:uid="{00000000-0004-0000-0300-000018000000}"/>
    <hyperlink ref="F104" r:id="rId26" display="\\abtvdfs2.de.bosch.com\ismdfs\ilm\abt\IMS\Platform\400_Cabin_Sensing_Radar\20_Measurements\07_CANape\Mitsubishi\5K45\MMC5.0.0_RC3\Real_Child_Tests" xr:uid="{00000000-0004-0000-0300-000019000000}"/>
    <hyperlink ref="F105" r:id="rId27" display="\\abtvdfs2.de.bosch.com\ismdfs\ilm\abt\IMS\Platform\400_Cabin_Sensing_Radar\20_Measurements\07_CANape\Mitsubishi\5K45\MMC5.0.0_RC3\Real_Child_Tests" xr:uid="{00000000-0004-0000-0300-00001A000000}"/>
    <hyperlink ref="F109" r:id="rId28" display="\\abtvdfs2.de.bosch.com\ismdfs\ilm\abt\IMS\Platform\400_Cabin_Sensing_Radar\20_Measurements\07_CANape\Mitsubishi\5K45\MMC5.0.0_RC3\Real_Child_Tests" xr:uid="{00000000-0004-0000-0300-00001B000000}"/>
    <hyperlink ref="F110" r:id="rId29" display="\\abtvdfs2.de.bosch.com\ismdfs\ilm\abt\IMS\Platform\400_Cabin_Sensing_Radar\20_Measurements\07_CANape\Mitsubishi\5K45\MMC5.0.0_RC3\Real_Child_Tests" xr:uid="{00000000-0004-0000-0300-00001C000000}"/>
    <hyperlink ref="F111" r:id="rId30" display="\\abtvdfs2.de.bosch.com\ismdfs\ilm\abt\IMS\Platform\400_Cabin_Sensing_Radar\20_Measurements\07_CANape\Mitsubishi\5K45\MMC5.0.0_RC3\Real_Child_Tests" xr:uid="{00000000-0004-0000-0300-00001D000000}"/>
    <hyperlink ref="F112" r:id="rId31" display="\\abtvdfs2.de.bosch.com\ismdfs\ilm\abt\IMS\Platform\400_Cabin_Sensing_Radar\20_Measurements\07_CANape\Mitsubishi\5K45\MMC5.0.0_RC3\Real_Child_Tests" xr:uid="{00000000-0004-0000-0300-00001E000000}"/>
    <hyperlink ref="F113" r:id="rId32" display="\\abtvdfs2.de.bosch.com\ismdfs\ilm\abt\IMS\Platform\400_Cabin_Sensing_Radar\20_Measurements\07_CANape\Mitsubishi\5K45\MMC5.0.0_RC3\Real_Child_Tests" xr:uid="{00000000-0004-0000-0300-00001F000000}"/>
    <hyperlink ref="F117" r:id="rId33" display="\\abtvdfs2.de.bosch.com\ismdfs\ilm\abt\IMS\Platform\400_Cabin_Sensing_Radar\20_Measurements\07_CANape\Mitsubishi\5K45\MMC4.1.2\Validation\2025_11_29\child\part2\Awake\" xr:uid="{00000000-0004-0000-0300-000020000000}"/>
    <hyperlink ref="F118" r:id="rId34" display="\\abtvdfs2.de.bosch.com\ismdfs\ilm\abt\IMS\Platform\400_Cabin_Sensing_Radar\20_Measurements\07_CANape\Mitsubishi\5K45\MMC4.1.2\Validation\2025_11_29\child\part2\Awake\" xr:uid="{00000000-0004-0000-0300-000021000000}"/>
    <hyperlink ref="F119" r:id="rId35" display="\\abtvdfs2.de.bosch.com\ismdfs\ilm\abt\IMS\Platform\400_Cabin_Sensing_Radar\20_Measurements\07_CANape\Mitsubishi\5K45\MMC4.1.2\Validation\2025_11_29\child\part2\Awake\" xr:uid="{00000000-0004-0000-0300-000022000000}"/>
    <hyperlink ref="F120" r:id="rId36" display="\\abtvdfs2.de.bosch.com\ismdfs\ilm\abt\IMS\Platform\400_Cabin_Sensing_Radar\20_Measurements\07_CANape\Mitsubishi\5K45\MMC5.0.0_RC3\Real_Child_Tests" xr:uid="{00000000-0004-0000-0300-000023000000}"/>
    <hyperlink ref="F121" r:id="rId37" display="\\abtvdfs2.de.bosch.com\ismdfs\ilm\abt\IMS\Platform\400_Cabin_Sensing_Radar\20_Measurements\07_CANape\Mitsubishi\5K45\MMC5.0.0_RC3\Real_Child_Tests" xr:uid="{00000000-0004-0000-0300-000024000000}"/>
    <hyperlink ref="F122" r:id="rId38" display="\\abtvdfs2.de.bosch.com\ismdfs\ilm\abt\IMS\Platform\400_Cabin_Sensing_Radar\20_Measurements\07_CANape\Mitsubishi\5K45\MMC5.0.0_RC3\Real_Child_Tests" xr:uid="{00000000-0004-0000-0300-000025000000}"/>
    <hyperlink ref="F123" r:id="rId39" display="\\abtvdfs2.de.bosch.com\ismdfs\ilm\abt\IMS\Platform\400_Cabin_Sensing_Radar\20_Measurements\07_CANape\Mitsubishi\5K45\MMC5.0.0_RC3\Real_Child_Tests" xr:uid="{00000000-0004-0000-0300-000026000000}"/>
    <hyperlink ref="F124" r:id="rId40" display="\\abtvdfs2.de.bosch.com\ismdfs\ilm\abt\IMS\Platform\400_Cabin_Sensing_Radar\20_Measurements\07_CANape\Mitsubishi\5K45\MMC5.0.0_RC3\Real_Child_Tests" xr:uid="{00000000-0004-0000-0300-000027000000}"/>
    <hyperlink ref="F125" r:id="rId41" display="\\abtvdfs2.de.bosch.com\ismdfs\ilm\abt\IMS\Platform\400_Cabin_Sensing_Radar\20_Measurements\07_CANape\Mitsubishi\5K45\MMC5.0.0_RC3\Real_Child_Tests" xr:uid="{00000000-0004-0000-0300-000028000000}"/>
    <hyperlink ref="F126" r:id="rId42" display="\\abtvdfs2.de.bosch.com\ismdfs\ilm\abt\IMS\Platform\400_Cabin_Sensing_Radar\20_Measurements\07_CANape\Mitsubishi\5K45\MMC5.0.0_RC3\Real_Child_Tests" xr:uid="{00000000-0004-0000-0300-000029000000}"/>
    <hyperlink ref="F127" r:id="rId43" display="\\abtvdfs2.de.bosch.com\ismdfs\ilm\abt\IMS\Platform\400_Cabin_Sensing_Radar\20_Measurements\07_CANape\Mitsubishi\5K45\MMC5.0.0_RC3\Real_Child_Tests" xr:uid="{00000000-0004-0000-0300-00002A000000}"/>
    <hyperlink ref="F128" r:id="rId44" display="\\abtvdfs2.de.bosch.com\ismdfs\ilm\abt\IMS\Platform\400_Cabin_Sensing_Radar\20_Measurements\07_CANape\Mitsubishi\5K45\MMC5.0.0_RC3\Real_Child_Tests" xr:uid="{00000000-0004-0000-0300-00002B000000}"/>
    <hyperlink ref="F129" r:id="rId45" display="\\abtvdfs2.de.bosch.com\ismdfs\ilm\abt\IMS\Platform\400_Cabin_Sensing_Radar\20_Measurements\07_CANape\Mitsubishi\5K45\MMC5.0.0_RC3\Real_Child_Tests" xr:uid="{00000000-0004-0000-0300-00002C000000}"/>
    <hyperlink ref="F130" r:id="rId46" display="\\abtvdfs2.de.bosch.com\ismdfs\ilm\abt\IMS\Platform\400_Cabin_Sensing_Radar\20_Measurements\07_CANape\Mitsubishi\5K45\MMC5.0.0_RC3\Real_Child_Tests" xr:uid="{00000000-0004-0000-0300-00002D000000}"/>
    <hyperlink ref="F131" r:id="rId47" display="\\abtvdfs2.de.bosch.com\ismdfs\ilm\abt\IMS\Platform\400_Cabin_Sensing_Radar\20_Measurements\07_CANape\Mitsubishi\5K45\MMC5.0.0_RC3\Real_Child_Tests" xr:uid="{00000000-0004-0000-0300-00002E000000}"/>
    <hyperlink ref="F135" r:id="rId48" display="\\abtvdfs2.de.bosch.com\ismdfs\ilm\abt\IMS\Platform\400_Cabin_Sensing_Radar\20_Measurements\07_CANape\Mitsubishi\5K45\MMC4.1.2\Validation\2025_11_29\child\part2\Sleep\" xr:uid="{00000000-0004-0000-0300-00002F000000}"/>
    <hyperlink ref="F136" r:id="rId49" display="\\abtvdfs2.de.bosch.com\ismdfs\ilm\abt\IMS\Platform\400_Cabin_Sensing_Radar\20_Measurements\07_CANape\Mitsubishi\5K45\MMC4.1.2\Validation\2025_11_29\child\part2\Sleep\" xr:uid="{00000000-0004-0000-0300-000030000000}"/>
    <hyperlink ref="F137" r:id="rId50" display="\\abtvdfs2.de.bosch.com\ismdfs\ilm\abt\IMS\Platform\400_Cabin_Sensing_Radar\20_Measurements\07_CANape\Mitsubishi\5K45\MMC4.1.2\Validation\2025_11_29\child\part2\Sleep\" xr:uid="{00000000-0004-0000-0300-000031000000}"/>
    <hyperlink ref="F145" r:id="rId51" display="\\abtvdfs2.de.bosch.com\ismdfs\ilm\abt\IMS\Platform\400_Cabin_Sensing_Radar\20_Measurements\07_CANape\Mitsubishi\5K45\MMC5.0.0_RC3\Real_Child_Tests" xr:uid="{00000000-0004-0000-0300-000032000000}"/>
    <hyperlink ref="F146" r:id="rId52" display="\\abtvdfs2.de.bosch.com\ismdfs\ilm\abt\IMS\Platform\400_Cabin_Sensing_Radar\20_Measurements\07_CANape\Mitsubishi\5K45\MMC5.0.0_RC3\Real_Child_Tests" xr:uid="{00000000-0004-0000-0300-000033000000}"/>
    <hyperlink ref="F147" r:id="rId53" display="\\abtvdfs2.de.bosch.com\ismdfs\ilm\abt\IMS\Platform\400_Cabin_Sensing_Radar\20_Measurements\07_CANape\Mitsubishi\5K45\MMC5.0.0_RC3\Real_Child_Tests" xr:uid="{00000000-0004-0000-0300-000034000000}"/>
    <hyperlink ref="F148" r:id="rId54" display="\\abtvdfs2.de.bosch.com\ismdfs\ilm\abt\IMS\Platform\400_Cabin_Sensing_Radar\20_Measurements\07_CANape\Mitsubishi\5K45\MMC5.0.0_RC3\Real_Child_Tests" xr:uid="{00000000-0004-0000-0300-000035000000}"/>
    <hyperlink ref="F149" r:id="rId55" display="\\abtvdfs2.de.bosch.com\ismdfs\ilm\abt\IMS\Platform\400_Cabin_Sensing_Radar\20_Measurements\07_CANape\Mitsubishi\5K45\MMC5.0.0_RC3\Real_Child_Tests" xr:uid="{00000000-0004-0000-0300-000036000000}"/>
    <hyperlink ref="F153" r:id="rId56" display="\\abtvdfs2.de.bosch.com\ismdfs\ilm\abt\IMS\Platform\400_Cabin_Sensing_Radar\20_Measurements\07_CANape\Mitsubishi\5K45\MMC4.1.2\Validation\2025_11_29\child\part2\Sleep\" xr:uid="{00000000-0004-0000-0300-000037000000}"/>
    <hyperlink ref="F154" r:id="rId57" display="\\abtvdfs2.de.bosch.com\ismdfs\ilm\abt\IMS\Platform\400_Cabin_Sensing_Radar\20_Measurements\07_CANape\Mitsubishi\5K45\MMC4.1.2\Validation\2025_11_29\child\part2\Sleep\" xr:uid="{00000000-0004-0000-0300-000038000000}"/>
    <hyperlink ref="F155" r:id="rId58" display="\\abtvdfs2.de.bosch.com\ismdfs\ilm\abt\IMS\Platform\400_Cabin_Sensing_Radar\20_Measurements\07_CANape\Mitsubishi\5K45\MMC4.1.2\Validation\2025_11_29\child\part2\Sleep\" xr:uid="{00000000-0004-0000-0300-000039000000}"/>
    <hyperlink ref="F156" r:id="rId59" display="\\abtvdfs2.de.bosch.com\ismdfs\ilm\abt\IMS\Platform\400_Cabin_Sensing_Radar\20_Measurements\07_CANape\Mitsubishi\5K45\MMC5.0.0_RC3\Real_Child_Tests" xr:uid="{00000000-0004-0000-0300-00003A000000}"/>
    <hyperlink ref="F157" r:id="rId60" display="\\abtvdfs2.de.bosch.com\ismdfs\ilm\abt\IMS\Platform\400_Cabin_Sensing_Radar\20_Measurements\07_CANape\Mitsubishi\5K45\MMC5.0.0_RC3\Real_Child_Tests" xr:uid="{00000000-0004-0000-0300-00003B000000}"/>
    <hyperlink ref="F158" r:id="rId61" display="\\abtvdfs2.de.bosch.com\ismdfs\ilm\abt\IMS\Platform\400_Cabin_Sensing_Radar\20_Measurements\07_CANape\Mitsubishi\5K45\MMC5.0.0_RC3\Real_Child_Tests" xr:uid="{00000000-0004-0000-0300-00003C000000}"/>
    <hyperlink ref="F159" r:id="rId62" display="\\abtvdfs2.de.bosch.com\ismdfs\ilm\abt\IMS\Platform\400_Cabin_Sensing_Radar\20_Measurements\07_CANape\Mitsubishi\5K45\MMC5.0.0_RC3\Real_Child_Tests" xr:uid="{00000000-0004-0000-0300-00003D000000}"/>
    <hyperlink ref="F160" r:id="rId63" display="\\abtvdfs2.de.bosch.com\ismdfs\ilm\abt\IMS\Platform\400_Cabin_Sensing_Radar\20_Measurements\07_CANape\Mitsubishi\5K45\MMC5.0.0_RC3\Real_Child_Tests" xr:uid="{00000000-0004-0000-0300-00003E000000}"/>
    <hyperlink ref="F164" r:id="rId64" display="\\abtvdfs2.de.bosch.com\ismdfs\ilm\abt\IMS\Platform\400_Cabin_Sensing_Radar\20_Measurements\07_CANape\Mitsubishi\5K45\MMC4.1.2\Validation\2025_11_29\child\part2\Sleep\" xr:uid="{00000000-0004-0000-0300-00003F000000}"/>
    <hyperlink ref="F165" r:id="rId65" display="\\abtvdfs2.de.bosch.com\ismdfs\ilm\abt\IMS\Platform\400_Cabin_Sensing_Radar\20_Measurements\07_CANape\Mitsubishi\5K45\MMC4.1.2\Validation\2025_11_29\child\part2\Sleep\" xr:uid="{00000000-0004-0000-0300-000040000000}"/>
    <hyperlink ref="F166" r:id="rId66" display="\\abtvdfs2.de.bosch.com\ismdfs\ilm\abt\IMS\Platform\400_Cabin_Sensing_Radar\20_Measurements\07_CANape\Mitsubishi\5K45\MMC4.1.2\Validation\2025_11_29\child\part2\Sleep\" xr:uid="{00000000-0004-0000-0300-000041000000}"/>
    <hyperlink ref="F167" r:id="rId67" display="\\abtvdfs2.de.bosch.com\ismdfs\ilm\abt\IMS\Platform\400_Cabin_Sensing_Radar\20_Measurements\07_CANape\Mitsubishi\5K45\MMC5.0.0_RC3_with_resetfix\CPD\" xr:uid="{00000000-0004-0000-0300-000042000000}"/>
    <hyperlink ref="F168" r:id="rId68" display="\\abtvdfs2.de.bosch.com\ismdfs\ilm\abt\IMS\Platform\400_Cabin_Sensing_Radar\20_Measurements\07_CANape\Mitsubishi\5K45\MMC5.0.0_RC3_with_resetfix\CPD\" xr:uid="{00000000-0004-0000-0300-000043000000}"/>
    <hyperlink ref="F169" r:id="rId69" display="\\abtvdfs2.de.bosch.com\ismdfs\ilm\abt\IMS\Platform\400_Cabin_Sensing_Radar\20_Measurements\07_CANape\Mitsubishi\5K45\MMC5.0.0_RC3_with_resetfix\CPD\" xr:uid="{00000000-0004-0000-0300-000044000000}"/>
    <hyperlink ref="F177" r:id="rId70" display="\\abtvdfs2.de.bosch.com\ismdfs\ilm\abt\IMS\Platform\400_Cabin_Sensing_Radar\20_Measurements\07_CANape\Mitsubishi\5K45\MMC5.0.0_RC3_with_resetfix\CPD\" xr:uid="{00000000-0004-0000-0300-000045000000}"/>
    <hyperlink ref="F178" r:id="rId71" display="\\abtvdfs2.de.bosch.com\ismdfs\ilm\abt\IMS\Platform\400_Cabin_Sensing_Radar\20_Measurements\07_CANape\Mitsubishi\5K45\MMC5.0.0_RC3_with_resetfix\CPD\" xr:uid="{00000000-0004-0000-0300-000046000000}"/>
    <hyperlink ref="F179" r:id="rId72" display="\\abtvdfs2.de.bosch.com\ismdfs\ilm\abt\IMS\Platform\400_Cabin_Sensing_Radar\20_Measurements\07_CANape\Mitsubishi\5K45\MMC5.0.0_RC3_with_resetfix\CPD\" xr:uid="{00000000-0004-0000-0300-000047000000}"/>
    <hyperlink ref="F188" r:id="rId73" display="\\abtvdfs2.de.bosch.com\ismdfs\ilm\abt\IMS\Platform\400_Cabin_Sensing_Radar\20_Measurements\07_CANape\Mitsubishi\5K45\MMC5.0.0_RC3_with_resetfix\CPD\" xr:uid="{00000000-0004-0000-0300-000048000000}"/>
    <hyperlink ref="F189" r:id="rId74" display="\\abtvdfs2.de.bosch.com\ismdfs\ilm\abt\IMS\Platform\400_Cabin_Sensing_Radar\20_Measurements\07_CANape\Mitsubishi\5K45\MMC5.0.0_RC3_with_resetfix\CPD\" xr:uid="{00000000-0004-0000-0300-000049000000}"/>
    <hyperlink ref="F190" r:id="rId75" display="\\abtvdfs2.de.bosch.com\ismdfs\ilm\abt\IMS\Platform\400_Cabin_Sensing_Radar\20_Measurements\07_CANape\Mitsubishi\5K45\MMC5.0.0_RC3_with_resetfix\CPD\" xr:uid="{00000000-0004-0000-0300-00004A000000}"/>
    <hyperlink ref="F201" r:id="rId76" display="\\abtvdfs2.de.bosch.com\ismdfs\ilm\abt\IMS\Platform\400_Cabin_Sensing_Radar\20_Measurements\07_CANape\Mitsubishi\5K45\MMC5.0.0_RC3_with_resetfix\CPD\" xr:uid="{00000000-0004-0000-0300-00004B000000}"/>
    <hyperlink ref="F202" r:id="rId77" display="\\abtvdfs2.de.bosch.com\ismdfs\ilm\abt\IMS\Platform\400_Cabin_Sensing_Radar\20_Measurements\07_CANape\Mitsubishi\5K45\MMC5.0.0_RC3_with_resetfix\CPD\" xr:uid="{00000000-0004-0000-0300-00004C000000}"/>
    <hyperlink ref="F203" r:id="rId78" display="\\abtvdfs2.de.bosch.com\ismdfs\ilm\abt\IMS\Platform\400_Cabin_Sensing_Radar\20_Measurements\07_CANape\Mitsubishi\5K45\MMC5.0.0_RC3_with_resetfix\CPD\" xr:uid="{00000000-0004-0000-0300-00004D000000}"/>
    <hyperlink ref="F222" r:id="rId79" display="\\abt-soc501-dfs.de.bosch.com\XC_IMS_Platform\400_Cabin_Sensing_Radar\20_Measurements\07_CANape\Mitsubishi\5K45\MMC4.1.2\Validation\2025_12_02\ChildAwake" xr:uid="{00000000-0004-0000-0300-00004E000000}"/>
    <hyperlink ref="F251" r:id="rId80" display="\\abtvdfs2.de.bosch.com\ismdfs\ilm\abt\IMS\Platform\400_Cabin_Sensing_Radar\20_Measurements\07_CANape\Mitsubishi\5K45\MMC5.0.0_RC3\Real_Child_Tests" xr:uid="{00000000-0004-0000-0300-00004F000000}"/>
    <hyperlink ref="F252" r:id="rId81" display="\\abtvdfs2.de.bosch.com\ismdfs\ilm\abt\IMS\Platform\400_Cabin_Sensing_Radar\20_Measurements\07_CANape\Mitsubishi\5K45\MMC5.0.0_RC3\Real_Child_Tests" xr:uid="{00000000-0004-0000-0300-000050000000}"/>
    <hyperlink ref="F253" r:id="rId82" display="\\abtvdfs2.de.bosch.com\ismdfs\ilm\abt\IMS\Platform\400_Cabin_Sensing_Radar\20_Measurements\07_CANape\Mitsubishi\5K45\MMC5.0.0_RC3\Real_Child_Tests" xr:uid="{00000000-0004-0000-0300-000051000000}"/>
    <hyperlink ref="F254" r:id="rId83" display="\\abtvdfs2.de.bosch.com\ismdfs\ilm\abt\IMS\Platform\400_Cabin_Sensing_Radar\20_Measurements\07_CANape\Mitsubishi\5K45\MMC5.0.0_RC3\Real_Child_Tests" xr:uid="{00000000-0004-0000-0300-000052000000}"/>
    <hyperlink ref="F255" r:id="rId84" display="\\abtvdfs2.de.bosch.com\ismdfs\ilm\abt\IMS\Platform\400_Cabin_Sensing_Radar\20_Measurements\07_CANape\Mitsubishi\5K45\MMC5.0.0_RC3\Real_Child_Tests" xr:uid="{00000000-0004-0000-0300-000053000000}"/>
    <hyperlink ref="F256" r:id="rId85" display="\\abtvdfs2.de.bosch.com\ismdfs\ilm\abt\IMS\Platform\400_Cabin_Sensing_Radar\20_Measurements\07_CANape\Mitsubishi\5K45\MMC5.0.0_RC3\Real_Child_Tests" xr:uid="{00000000-0004-0000-0300-000054000000}"/>
    <hyperlink ref="F257" r:id="rId86" display="\\abtvdfs2.de.bosch.com\ismdfs\ilm\abt\IMS\Platform\400_Cabin_Sensing_Radar\20_Measurements\07_CANape\Mitsubishi\5K45\MMC5.0.0_RC3\Real_Child_Tests" xr:uid="{00000000-0004-0000-0300-000055000000}"/>
    <hyperlink ref="F258" r:id="rId87" display="\\abtvdfs2.de.bosch.com\ismdfs\ilm\abt\IMS\Platform\400_Cabin_Sensing_Radar\20_Measurements\07_CANape\Mitsubishi\5K45\MMC5.0.0_RC3\Real_Child_Tests" xr:uid="{00000000-0004-0000-0300-000056000000}"/>
    <hyperlink ref="F259" r:id="rId88" display="\\abtvdfs2.de.bosch.com\ismdfs\ilm\abt\IMS\Platform\400_Cabin_Sensing_Radar\20_Measurements\07_CANape\Mitsubishi\5K45\MMC5.0.0_RC3\Real_Child_Tests" xr:uid="{00000000-0004-0000-0300-000057000000}"/>
    <hyperlink ref="F260" r:id="rId89" display="\\abtvdfs2.de.bosch.com\ismdfs\ilm\abt\IMS\Platform\400_Cabin_Sensing_Radar\20_Measurements\07_CANape\Mitsubishi\5K45\MMC5.0.0_RC3\Real_Child_Tests" xr:uid="{00000000-0004-0000-0300-000058000000}"/>
    <hyperlink ref="F261" r:id="rId90" display="\\abtvdfs2.de.bosch.com\ismdfs\ilm\abt\IMS\Platform\400_Cabin_Sensing_Radar\20_Measurements\07_CANape\Mitsubishi\5K45\MMC5.0.1\5K457EG-11\Real_Child_Measurements" xr:uid="{00000000-0004-0000-0300-000059000000}"/>
    <hyperlink ref="F262" r:id="rId91" display="\\abtvdfs2.de.bosch.com\ismdfs\ilm\abt\IMS\Platform\400_Cabin_Sensing_Radar\20_Measurements\07_CANape\Mitsubishi\5K45\MMC5.0.1\5K457EG-11\Real_Child_Measurements" xr:uid="{00000000-0004-0000-0300-00005A000000}"/>
    <hyperlink ref="F263" r:id="rId92" display="\\abtvdfs2.de.bosch.com\ismdfs\ilm\abt\IMS\Platform\400_Cabin_Sensing_Radar\20_Measurements\07_CANape\Mitsubishi\5K45\MMC5.0.1\5K457EG-11\Real_Child_Measurements" xr:uid="{00000000-0004-0000-0300-00005B000000}"/>
    <hyperlink ref="F264" r:id="rId93" display="\\abtvdfs2.de.bosch.com\ismdfs\ilm\abt\IMS\Platform\400_Cabin_Sensing_Radar\20_Measurements\07_CANape\Mitsubishi\5K45\MMC5.0.1\5K457EG-11\Real_Child_Measurements" xr:uid="{00000000-0004-0000-0300-00005C000000}"/>
    <hyperlink ref="F265" r:id="rId94" display="\\abtvdfs2.de.bosch.com\ismdfs\ilm\abt\IMS\Platform\400_Cabin_Sensing_Radar\20_Measurements\07_CANape\Mitsubishi\5K45\MMC4.1.2\Validation\2025_11_28\TC_103_Try1.MF4.xz" xr:uid="{00000000-0004-0000-0300-00005D000000}"/>
    <hyperlink ref="F266" r:id="rId95" display="\\abtvdfs2.de.bosch.com\ismdfs\ilm\abt\IMS\Platform\400_Cabin_Sensing_Radar\20_Measurements\07_CANape\Mitsubishi\5K45\MMC4.1.2\Validation\2025_11_28\TC_103_Try2.MF4.xz" xr:uid="{00000000-0004-0000-0300-00005E000000}"/>
    <hyperlink ref="F267" r:id="rId96" display="\\abtvdfs2.de.bosch.com\ismdfs\ilm\abt\IMS\Platform\400_Cabin_Sensing_Radar\20_Measurements\07_CANape\Mitsubishi\5K45\MMC4.1.2\Validation\2025_11_28\TC_103_Try3.MF4.xz" xr:uid="{00000000-0004-0000-0300-00005F000000}"/>
    <hyperlink ref="F268" r:id="rId97" display="\\abtvdfs2.de.bosch.com\ismdfs\ilm\abt\IMS\Platform\400_Cabin_Sensing_Radar\20_Measurements\07_CANape\Mitsubishi\5K45\MMC4.1.2\Validation\2025_11_28\TC_103_Try3_Retry.MF4.xz" xr:uid="{00000000-0004-0000-0300-000060000000}"/>
    <hyperlink ref="F295" r:id="rId98" display="\\abtvdfs2.de.bosch.com\ismdfs\ilm\abt\IMS\Platform\400_Cabin_Sensing_Radar\20_Measurements\07_CANape\Mitsubishi\5K45\MMC5.0.0_RC3_with_resetfix\CPD" xr:uid="{00000000-0004-0000-0300-000061000000}"/>
    <hyperlink ref="F296" r:id="rId99" display="\\abtvdfs2.de.bosch.com\ismdfs\ilm\abt\IMS\Platform\400_Cabin_Sensing_Radar\20_Measurements\07_CANape\Mitsubishi\5K45\MMC5.0.0_RC3_with_resetfix\CPD" xr:uid="{00000000-0004-0000-0300-000062000000}"/>
    <hyperlink ref="F297" r:id="rId100" display="\\abtvdfs2.de.bosch.com\ismdfs\ilm\abt\IMS\Platform\400_Cabin_Sensing_Radar\20_Measurements\07_CANape\Mitsubishi\5K45\MMC5.0.0_RC3_with_resetfix\CPD" xr:uid="{00000000-0004-0000-0300-000063000000}"/>
    <hyperlink ref="F299" r:id="rId101" display="\\abtvdfs2.de.bosch.com\ismdfs\ilm\abt\IMS\Platform\400_Cabin_Sensing_Radar\20_Measurements\07_CANape\Mitsubishi\5K45\MMC4.1.2\Validation\child\Awake" xr:uid="{00000000-0004-0000-0300-000064000000}"/>
    <hyperlink ref="F325" r:id="rId102" display="\\abt-soc501-dfs.de.bosch.com\XC_IMS_Platform\400_Cabin_Sensing_Radar\20_Measurements\07_CANape\Mitsubishi\5K45\MMC5.0.2\5K457EG11\RealChild" xr:uid="{00000000-0004-0000-0300-000065000000}"/>
    <hyperlink ref="F326" r:id="rId103" display="\\abtvdfs2.de.bosch.com\ismdfs\ilm\abt\IMS\Platform\400_Cabin_Sensing_Radar\20_Measurements\07_CANape\Mitsubishi\5K45\MMC5.0.0_RC3_with_resetfix\CPD" xr:uid="{00000000-0004-0000-0300-000066000000}"/>
    <hyperlink ref="F327" r:id="rId104" display="\\abtvdfs2.de.bosch.com\ismdfs\ilm\abt\IMS\Platform\400_Cabin_Sensing_Radar\20_Measurements\07_CANape\Mitsubishi\5K45\MMC5.0.0_RC3_with_resetfix\CPD" xr:uid="{00000000-0004-0000-0300-000067000000}"/>
    <hyperlink ref="F328" r:id="rId105" display="\\abtvdfs2.de.bosch.com\ismdfs\ilm\abt\IMS\Platform\400_Cabin_Sensing_Radar\20_Measurements\07_CANape\Mitsubishi\5K45\MMC5.0.0_RC3_with_resetfix\CPD" xr:uid="{00000000-0004-0000-0300-000068000000}"/>
    <hyperlink ref="F334" r:id="rId106" display="\\abtvdfs2.de.bosch.com\ismdfs\ilm\abt\IMS\Platform\400_Cabin_Sensing_Radar\20_Measurements\07_CANape\Mitsubishi\5K45\MMC5.0.0_RC3_with_resetfix\CPD" xr:uid="{00000000-0004-0000-0300-000069000000}"/>
    <hyperlink ref="F335" r:id="rId107" display="\\abtvdfs2.de.bosch.com\ismdfs\ilm\abt\IMS\Platform\400_Cabin_Sensing_Radar\20_Measurements\07_CANape\Mitsubishi\5K45\MMC5.0.0_RC3_with_resetfix\CPD" xr:uid="{00000000-0004-0000-0300-00006A000000}"/>
    <hyperlink ref="F336" r:id="rId108" display="\\abtvdfs2.de.bosch.com\ismdfs\ilm\abt\IMS\Platform\400_Cabin_Sensing_Radar\20_Measurements\07_CANape\Mitsubishi\5K45\MMC5.0.0_RC3_with_resetfix\CPD" xr:uid="{00000000-0004-0000-0300-00006B000000}"/>
    <hyperlink ref="F341" r:id="rId109" display="\\abtvdfs2.de.bosch.com\ismdfs\ilm\abt\IMS\Platform\400_Cabin_Sensing_Radar\20_Measurements\07_CANape\Mitsubishi\5K45\MMC5.0.0_RC3_with_resetfix\CPD" xr:uid="{00000000-0004-0000-0300-00006C000000}"/>
    <hyperlink ref="F342" r:id="rId110" display="\\abtvdfs2.de.bosch.com\ismdfs\ilm\abt\IMS\Platform\400_Cabin_Sensing_Radar\20_Measurements\07_CANape\Mitsubishi\5K45\MMC5.0.0_RC3_with_resetfix\CPD" xr:uid="{00000000-0004-0000-0300-00006D000000}"/>
    <hyperlink ref="F343" r:id="rId111" display="\\abtvdfs2.de.bosch.com\ismdfs\ilm\abt\IMS\Platform\400_Cabin_Sensing_Radar\20_Measurements\07_CANape\Mitsubishi\5K45\MMC5.0.0_RC3_with_resetfix\CPD" xr:uid="{00000000-0004-0000-0300-00006E000000}"/>
    <hyperlink ref="F349" r:id="rId112" display="\\abtvdfs2.de.bosch.com\ismdfs\ilm\abt\IMS\Platform\400_Cabin_Sensing_Radar\20_Measurements\07_CANape\Mitsubishi\5K45\MMC5.0.0_RC3_with_resetfix\CPD" xr:uid="{00000000-0004-0000-0300-00006F000000}"/>
    <hyperlink ref="F350" r:id="rId113" display="\\abtvdfs2.de.bosch.com\ismdfs\ilm\abt\IMS\Platform\400_Cabin_Sensing_Radar\20_Measurements\07_CANape\Mitsubishi\5K45\MMC5.0.0_RC3_with_resetfix\CPD" xr:uid="{00000000-0004-0000-0300-000070000000}"/>
    <hyperlink ref="F351" r:id="rId114" display="\\abtvdfs2.de.bosch.com\ismdfs\ilm\abt\IMS\Platform\400_Cabin_Sensing_Radar\20_Measurements\07_CANape\Mitsubishi\5K45\MMC5.0.0_RC3_with_resetfix\CPD" xr:uid="{00000000-0004-0000-0300-000071000000}"/>
    <hyperlink ref="F352" r:id="rId115" display="\\abtvdfs2.de.bosch.com\ismdfs\ilm\abt\IMS\Platform\400_Cabin_Sensing_Radar\20_Measurements\07_CANape\Mitsubishi\5K45\MMC5.0.0_RC3_with_resetfix\CPD" xr:uid="{00000000-0004-0000-0300-000072000000}"/>
    <hyperlink ref="F353" r:id="rId116" display="\\abtvdfs2.de.bosch.com\ismdfs\ilm\abt\IMS\Platform\400_Cabin_Sensing_Radar\20_Measurements\07_CANape\Mitsubishi\5K45\MMC5.0.0_RC3_with_resetfix\CPD" xr:uid="{00000000-0004-0000-0300-000073000000}"/>
    <hyperlink ref="F354" r:id="rId117" display="\\abtvdfs2.de.bosch.com\ismdfs\ilm\abt\IMS\Platform\400_Cabin_Sensing_Radar\20_Measurements\07_CANape\Mitsubishi\5K45\MMC5.0.0_RC3_with_resetfix\CPD" xr:uid="{00000000-0004-0000-0300-000074000000}"/>
    <hyperlink ref="F355" r:id="rId118" display="\\abtvdfs2.de.bosch.com\ismdfs\ilm\abt\IMS\Platform\400_Cabin_Sensing_Radar\20_Measurements\07_CANape\Mitsubishi\5K45\MMC5.0.0_RC3_with_resetfix\CPD" xr:uid="{00000000-0004-0000-0300-000075000000}"/>
    <hyperlink ref="F356" r:id="rId119" display="\\abtvdfs2.de.bosch.com\ismdfs\ilm\abt\IMS\Platform\400_Cabin_Sensing_Radar\20_Measurements\07_CANape\Mitsubishi\5K45\MMC5.0.0_RC3_with_resetfix\CPD" xr:uid="{00000000-0004-0000-0300-000076000000}"/>
    <hyperlink ref="F357" r:id="rId120" display="\\abtvdfs2.de.bosch.com\ismdfs\ilm\abt\IMS\Platform\400_Cabin_Sensing_Radar\20_Measurements\07_CANape\Mitsubishi\5K45\MMC5.0.0_RC3_with_resetfix\CPD" xr:uid="{00000000-0004-0000-0300-000077000000}"/>
    <hyperlink ref="F363" r:id="rId121" display="\\abtvdfs2.de.bosch.com\ismdfs\ilm\abt\IMS\Platform\400_Cabin_Sensing_Radar\20_Measurements\07_CANape\Mitsubishi\5K45\MMC5.0.0_RC3_with_resetfix\CPD" xr:uid="{00000000-0004-0000-0300-000078000000}"/>
    <hyperlink ref="F364" r:id="rId122" display="\\abtvdfs2.de.bosch.com\ismdfs\ilm\abt\IMS\Platform\400_Cabin_Sensing_Radar\20_Measurements\07_CANape\Mitsubishi\5K45\MMC5.0.0_RC3_with_resetfix\CPD" xr:uid="{00000000-0004-0000-0300-000079000000}"/>
    <hyperlink ref="F365" r:id="rId123" display="\\abtvdfs2.de.bosch.com\ismdfs\ilm\abt\IMS\Platform\400_Cabin_Sensing_Radar\20_Measurements\07_CANape\Mitsubishi\5K45\MMC5.0.0_RC3_with_resetfix\CPD" xr:uid="{00000000-0004-0000-0300-00007A000000}"/>
    <hyperlink ref="F366" r:id="rId124" display="\\abtvdfs2.de.bosch.com\ismdfs\ilm\abt\IMS\Platform\400_Cabin_Sensing_Radar\20_Measurements\07_CANape\Mitsubishi\5K45\MMC5.0.1\5K457EG-11\Real_Child_Measurements" xr:uid="{00000000-0004-0000-0300-00007B000000}"/>
    <hyperlink ref="F367" r:id="rId125" display="\\abtvdfs2.de.bosch.com\ismdfs\ilm\abt\IMS\Platform\400_Cabin_Sensing_Radar\20_Measurements\07_CANape\Mitsubishi\5K45\MMC5.0.1\5K457EG-11\Real_Child_Measurements" xr:uid="{00000000-0004-0000-0300-00007C000000}"/>
    <hyperlink ref="F368" r:id="rId126" display="\\abtvdfs2.de.bosch.com\ismdfs\ilm\abt\IMS\Platform\400_Cabin_Sensing_Radar\20_Measurements\07_CANape\Mitsubishi\5K45\MMC5.0.1\5K457EG-11\Real_Child_Measurements" xr:uid="{00000000-0004-0000-0300-00007D000000}"/>
    <hyperlink ref="F369" r:id="rId127" display="\\abtvdfs2.de.bosch.com\ismdfs\ilm\abt\IMS\Platform\400_Cabin_Sensing_Radar\20_Measurements\07_CANape\Mitsubishi\5K45\MMC5.0.1\5K457EG-11\Real_Child_Measurements" xr:uid="{00000000-0004-0000-0300-00007E000000}"/>
    <hyperlink ref="F370" r:id="rId128" display="\\abtvdfs2.de.bosch.com\ismdfs\ilm\abt\IMS\Platform\400_Cabin_Sensing_Radar\20_Measurements\07_CANape\Mitsubishi\5K45\MMC5.0.1\5K457EG-11\Real_Child_Measurements" xr:uid="{00000000-0004-0000-0300-00007F000000}"/>
    <hyperlink ref="F371" r:id="rId129" display="\\abtvdfs2.de.bosch.com\ismdfs\ilm\abt\IMS\Platform\400_Cabin_Sensing_Radar\20_Measurements\07_CANape\Mitsubishi\5K45\MMC5.0.1\5K457EG-11\Real_Child_Measurements" xr:uid="{00000000-0004-0000-0300-000080000000}"/>
    <hyperlink ref="F381" r:id="rId130" display="\\abtvdfs2.de.bosch.com\ismdfs\ilm\abt\IMS\Platform\400_Cabin_Sensing_Radar\20_Measurements\07_CANape\Mitsubishi\5K45\MMC5.0.1\5K457EG-11\Real_Child_Measurements" xr:uid="{00000000-0004-0000-0300-000081000000}"/>
    <hyperlink ref="F382" r:id="rId131" display="\\abtvdfs2.de.bosch.com\ismdfs\ilm\abt\IMS\Platform\400_Cabin_Sensing_Radar\20_Measurements\07_CANape\Mitsubishi\5K45\MMC5.0.1\5K457EG-11\Real_Child_Measurements" xr:uid="{00000000-0004-0000-0300-000082000000}"/>
    <hyperlink ref="F383" r:id="rId132" display="\\abtvdfs2.de.bosch.com\ismdfs\ilm\abt\IMS\Platform\400_Cabin_Sensing_Radar\20_Measurements\07_CANape\Mitsubishi\5K45\MMC5.0.1\5K457EG-11\Real_Child_Measurements" xr:uid="{00000000-0004-0000-0300-000083000000}"/>
    <hyperlink ref="F384" r:id="rId133" display="\\abtvdfs2.de.bosch.com\ismdfs\ilm\abt\IMS\Platform\400_Cabin_Sensing_Radar\20_Measurements\07_CANape\Mitsubishi\5K45\MMC5.0.1\5K457EG-11\Real_Child_Measurements" xr:uid="{00000000-0004-0000-0300-000084000000}"/>
    <hyperlink ref="F385" r:id="rId134" display="\\abtvdfs2.de.bosch.com\ismdfs\ilm\abt\IMS\Platform\400_Cabin_Sensing_Radar\20_Measurements\07_CANape\Mitsubishi\5K45\MMC5.0.1\5K457EG-11\Real_Child_Measurements" xr:uid="{00000000-0004-0000-0300-000085000000}"/>
    <hyperlink ref="F386" r:id="rId135" display="\\abtvdfs2.de.bosch.com\ismdfs\ilm\abt\IMS\Platform\400_Cabin_Sensing_Radar\20_Measurements\07_CANape\Mitsubishi\5K45\MMC5.0.1\5K457EG-11\Real_Child_Measurements" xr:uid="{00000000-0004-0000-0300-000086000000}"/>
    <hyperlink ref="F387" r:id="rId136" display="\\abtvdfs2.de.bosch.com\ismdfs\ilm\abt\IMS\Platform\400_Cabin_Sensing_Radar\20_Measurements\07_CANape\Mitsubishi\5K45\MMC5.0.1\5K457EG-11\Real_Child_Measurements" xr:uid="{00000000-0004-0000-0300-000087000000}"/>
    <hyperlink ref="F388" r:id="rId137" display="\\abtvdfs2.de.bosch.com\ismdfs\ilm\abt\IMS\Platform\400_Cabin_Sensing_Radar\20_Measurements\07_CANape\Mitsubishi\5K45\MMC5.0.1\5K457EG-11\Real_Child_Measurements" xr:uid="{00000000-0004-0000-0300-000088000000}"/>
    <hyperlink ref="F389" r:id="rId138" display="\\abtvdfs2.de.bosch.com\ismdfs\ilm\abt\IMS\Platform\400_Cabin_Sensing_Radar\20_Measurements\07_CANape\Mitsubishi\5K45\MMC5.0.1\5K457EG-11\Real_Child_Measurements" xr:uid="{00000000-0004-0000-0300-000089000000}"/>
    <hyperlink ref="F390" r:id="rId139" display="\\abtvdfs2.de.bosch.com\ismdfs\ilm\abt\IMS\Platform\400_Cabin_Sensing_Radar\20_Measurements\07_CANape\Mitsubishi\5K45\MMC5.0.1\5K457EG-11\Real_Child_Measurements" xr:uid="{00000000-0004-0000-0300-00008A000000}"/>
    <hyperlink ref="F391" r:id="rId140" display="\\abtvdfs2.de.bosch.com\ismdfs\ilm\abt\IMS\Platform\400_Cabin_Sensing_Radar\20_Measurements\07_CANape\Mitsubishi\5K45\MMC5.0.1\5K457EG-11\Real_Child_Measurements" xr:uid="{00000000-0004-0000-0300-00008B000000}"/>
    <hyperlink ref="F392" r:id="rId141" display="\\abtvdfs2.de.bosch.com\ismdfs\ilm\abt\IMS\Platform\400_Cabin_Sensing_Radar\20_Measurements\07_CANape\Mitsubishi\5K45\MMC5.0.1\5K457EG-11\Real_Child_Measurements" xr:uid="{00000000-0004-0000-0300-00008C000000}"/>
    <hyperlink ref="F393" r:id="rId142" display="\\abtvdfs2.de.bosch.com\ismdfs\ilm\abt\IMS\Platform\400_Cabin_Sensing_Radar\20_Measurements\07_CANape\Mitsubishi\5K45\MMC5.0.1\5K457EG-11\Real_Child_Measurements" xr:uid="{00000000-0004-0000-0300-00008D000000}"/>
    <hyperlink ref="F394" r:id="rId143" display="\\abtvdfs2.de.bosch.com\ismdfs\ilm\abt\IMS\Platform\400_Cabin_Sensing_Radar\20_Measurements\07_CANape\Mitsubishi\5K45\MMC5.0.1\5K457EG-11\Real_Child_Measurements" xr:uid="{00000000-0004-0000-0300-00008E000000}"/>
    <hyperlink ref="F395" r:id="rId144" display="\\abtvdfs2.de.bosch.com\ismdfs\ilm\abt\IMS\Platform\400_Cabin_Sensing_Radar\20_Measurements\07_CANape\Mitsubishi\5K45\MMC5.0.1\5K457EG-11\Real_Child_Measurements" xr:uid="{00000000-0004-0000-0300-00008F000000}"/>
    <hyperlink ref="F396" r:id="rId145" display="\\abtvdfs2.de.bosch.com\ismdfs\ilm\abt\IMS\Platform\400_Cabin_Sensing_Radar\20_Measurements\07_CANape\Mitsubishi\5K45\MMC5.0.0_RC3\Real_Child_Tests" xr:uid="{00000000-0004-0000-0300-000090000000}"/>
    <hyperlink ref="F397" r:id="rId146" display="\\abtvdfs2.de.bosch.com\ismdfs\ilm\abt\IMS\Platform\400_Cabin_Sensing_Radar\20_Measurements\07_CANape\Mitsubishi\5K45\MMC5.0.0_RC3\Real_Child_Tests" xr:uid="{00000000-0004-0000-0300-000091000000}"/>
    <hyperlink ref="F398" r:id="rId147" display="\\abtvdfs2.de.bosch.com\ismdfs\ilm\abt\IMS\Platform\400_Cabin_Sensing_Radar\20_Measurements\07_CANape\Mitsubishi\5K45\MMC5.0.0_RC3\Real_Child_Tests" xr:uid="{00000000-0004-0000-0300-000092000000}"/>
    <hyperlink ref="F399" r:id="rId148" display="\\abtvdfs2.de.bosch.com\ismdfs\ilm\abt\IMS\Platform\400_Cabin_Sensing_Radar\20_Measurements\07_CANape\Mitsubishi\5K45\MMC5.0.0_RC3\Real_Child_Tests" xr:uid="{00000000-0004-0000-0300-000093000000}"/>
    <hyperlink ref="F400" r:id="rId149" display="\\abtvdfs2.de.bosch.com\ismdfs\ilm\abt\IMS\Platform\400_Cabin_Sensing_Radar\20_Measurements\07_CANape\Mitsubishi\5K45\MMC5.0.0_RC3\Real_Child_Tests" xr:uid="{00000000-0004-0000-0300-000094000000}"/>
    <hyperlink ref="F402" r:id="rId150" display="\\abtvdfs2.de.bosch.com\ismdfs\ilm\abt\IMS\Platform\400_Cabin_Sensing_Radar\20_Measurements\07_CANape\Mitsubishi\5K45\MMC5.0.1\5K457EG-11\Real_Child_Measurements" xr:uid="{00000000-0004-0000-0300-000095000000}"/>
    <hyperlink ref="F411" r:id="rId151" display="\\abtvdfs2.de.bosch.com\ismdfs\ilm\abt\IMS\Platform\400_Cabin_Sensing_Radar\20_Measurements\07_CANape\Mitsubishi\5K45\MMC5.0.1\5K457EG-11\Real_Child_Measurements" xr:uid="{00000000-0004-0000-0300-000096000000}"/>
    <hyperlink ref="F412" r:id="rId152" display="\\abtvdfs2.de.bosch.com\ismdfs\ilm\abt\IMS\Platform\400_Cabin_Sensing_Radar\20_Measurements\07_CANape\Mitsubishi\5K45\MMC5.0.1\5K457EG-11\Real_Child_Measurements" xr:uid="{00000000-0004-0000-0300-000097000000}"/>
    <hyperlink ref="F413" r:id="rId153" display="\\abtvdfs2.de.bosch.com\ismdfs\ilm\abt\IMS\Platform\400_Cabin_Sensing_Radar\20_Measurements\07_CANape\Mitsubishi\5K45\MMC5.0.1\5K457EG-11\Real_Child_Measurements" xr:uid="{00000000-0004-0000-0300-000098000000}"/>
    <hyperlink ref="F414" r:id="rId154" display="\\abtvdfs2.de.bosch.com\ismdfs\ilm\abt\IMS\Platform\400_Cabin_Sensing_Radar\20_Measurements\07_CANape\Mitsubishi\5K45\MMC5.0.1\5K457EG-11\Real_Child_Measurements" xr:uid="{00000000-0004-0000-0300-000099000000}"/>
    <hyperlink ref="F415" r:id="rId155" display="\\abtvdfs2.de.bosch.com\ismdfs\ilm\abt\IMS\Platform\400_Cabin_Sensing_Radar\20_Measurements\07_CANape\Mitsubishi\5K45\MMC5.0.1\5K457EG-11\Real_Child_Measurements" xr:uid="{00000000-0004-0000-0300-00009A000000}"/>
    <hyperlink ref="F416" r:id="rId156" display="\\abtvdfs2.de.bosch.com\ismdfs\ilm\abt\IMS\Platform\400_Cabin_Sensing_Radar\20_Measurements\07_CANape\Mitsubishi\5K45\MMC5.0.1\5K457EG-11\Real_Child_Measurements" xr:uid="{00000000-0004-0000-0300-00009B000000}"/>
    <hyperlink ref="F417" r:id="rId157" display="\\abtvdfs2.de.bosch.com\ismdfs\ilm\abt\IMS\Platform\400_Cabin_Sensing_Radar\20_Measurements\07_CANape\Mitsubishi\5K45\MMC5.0.1\5K457EG-11\Real_Child_Measurements" xr:uid="{00000000-0004-0000-0300-00009C000000}"/>
    <hyperlink ref="F418" r:id="rId158" display="\\abtvdfs2.de.bosch.com\ismdfs\ilm\abt\IMS\Platform\400_Cabin_Sensing_Radar\20_Measurements\07_CANape\Mitsubishi\5K45\MMC5.0.1\5K457EG-11\Real_Child_Measurements" xr:uid="{00000000-0004-0000-0300-00009D000000}"/>
    <hyperlink ref="F419" r:id="rId159" display="\\abtvdfs2.de.bosch.com\ismdfs\ilm\abt\IMS\Platform\400_Cabin_Sensing_Radar\20_Measurements\07_CANape\Mitsubishi\5K45\MMC5.0.1\5K457EG-11\Real_Child_Measurements" xr:uid="{00000000-0004-0000-0300-00009E000000}"/>
    <hyperlink ref="F420" r:id="rId160" display="\\abtvdfs2.de.bosch.com\ismdfs\ilm\abt\IMS\Platform\400_Cabin_Sensing_Radar\20_Measurements\07_CANape\Mitsubishi\5K45\MMC5.0.1\5K457EG-11\Real_Child_Measurements" xr:uid="{00000000-0004-0000-0300-00009F000000}"/>
    <hyperlink ref="F428" r:id="rId161" display="\\abtvdfs2.de.bosch.com\ismdfs\ilm\abt\IMS\Platform\400_Cabin_Sensing_Radar\20_Measurements\07_CANape\Mitsubishi\5K45\MMC5.0.2\5K457EG11\RealChild" xr:uid="{00000000-0004-0000-0300-0000A0000000}"/>
    <hyperlink ref="F451" r:id="rId162" display="\\abt-soc501-dfs.de.bosch.com\XC_IMS_Platform\400_Cabin_Sensing_Radar\20_Measurements\07_CANape\Mitsubishi\5K45\MMC5.0.0_RC3_with_resetfix\CPD" xr:uid="{00000000-0004-0000-0300-0000A1000000}"/>
    <hyperlink ref="F519" r:id="rId163" display="\\abtvdfs2.de.bosch.com\ismdfs\ilm\abt\IMS\Platform\400_Cabin_Sensing_Radar\20_Measurements\07_CANape\Mitsubishi\5K45\MMC5.0.2\5K457EG11\RealChild" xr:uid="{00000000-0004-0000-0300-0000A2000000}"/>
    <hyperlink ref="F520" r:id="rId164" display="\\abtvdfs2.de.bosch.com\ismdfs\ilm\abt\IMS\Platform\400_Cabin_Sensing_Radar\20_Measurements\07_CANape\Mitsubishi\5K45\MMC5.0.2\5K457EG11\RealChild" xr:uid="{00000000-0004-0000-0300-0000A3000000}"/>
    <hyperlink ref="F521" r:id="rId165" display="\\abtvdfs2.de.bosch.com\ismdfs\ilm\abt\IMS\Platform\400_Cabin_Sensing_Radar\20_Measurements\07_CANape\Mitsubishi\5K45\MMC5.0.2\5K457EG11\RealChild" xr:uid="{00000000-0004-0000-0300-0000A4000000}"/>
    <hyperlink ref="F522" r:id="rId166" display="\\abtvdfs2.de.bosch.com\ismdfs\ilm\abt\IMS\Platform\400_Cabin_Sensing_Radar\20_Measurements\07_CANape\Mitsubishi\5K45\MMC5.0.2\5K457EG11\RealChild" xr:uid="{00000000-0004-0000-0300-0000A5000000}"/>
    <hyperlink ref="F523" r:id="rId167" display="\\abtvdfs2.de.bosch.com\ismdfs\ilm\abt\IMS\Platform\400_Cabin_Sensing_Radar\20_Measurements\07_CANape\Mitsubishi\5K45\MMC5.0.2\5K457EG11\RealChild" xr:uid="{00000000-0004-0000-0300-0000A6000000}"/>
    <hyperlink ref="F601" r:id="rId168" display="\\abtvdfs2.de.bosch.com\ismdfs\ilm\abt\IMS\Platform\400_Cabin_Sensing_Radar\20_Measurements\07_CANape\Mitsubishi\5K45\MMC4.1.2\8EmptyCases" xr:uid="{00000000-0004-0000-0300-0000A7000000}"/>
    <hyperlink ref="F602" r:id="rId169" display="\\abtvdfs2.de.bosch.com\ismdfs\ilm\abt\IMS\Platform\400_Cabin_Sensing_Radar\20_Measurements\07_CANape\Mitsubishi\5K45\MMC4.1.2\8EmptyCases" xr:uid="{00000000-0004-0000-0300-0000A8000000}"/>
    <hyperlink ref="F603" r:id="rId170" display="\\abtvdfs2.de.bosch.com\ismdfs\ilm\abt\IMS\Platform\400_Cabin_Sensing_Radar\20_Measurements\07_CANape\Mitsubishi\5K45\MMC4.1.2\8EmptyCases" xr:uid="{00000000-0004-0000-0300-0000A9000000}"/>
    <hyperlink ref="F604" r:id="rId171" display="\\abtvdfs2.de.bosch.com\ismdfs\ilm\abt\IMS\Platform\400_Cabin_Sensing_Radar\20_Measurements\07_CANape\Mitsubishi\5K45\MMC4.1.2\8EmptyCases" xr:uid="{00000000-0004-0000-0300-0000AA000000}"/>
    <hyperlink ref="F605" r:id="rId172" display="\\abtvdfs2.de.bosch.com\ismdfs\ilm\abt\IMS\Platform\400_Cabin_Sensing_Radar\20_Measurements\07_CANape\Mitsubishi\5K45\MMC4.1.2\8EmptyCases" xr:uid="{00000000-0004-0000-0300-0000AB000000}"/>
    <hyperlink ref="F606" r:id="rId173" display="\\abtvdfs2.de.bosch.com\ismdfs\ilm\abt\IMS\Platform\400_Cabin_Sensing_Radar\20_Measurements\07_CANape\Mitsubishi\5K45\MMC4.1.2\8EmptyCases" xr:uid="{00000000-0004-0000-0300-0000AC000000}"/>
    <hyperlink ref="F607" r:id="rId174" display="\\abtvdfs2.de.bosch.com\ismdfs\ilm\abt\IMS\Platform\400_Cabin_Sensing_Radar\20_Measurements\07_CANape\Mitsubishi\5K45\MMC4.1.2\8EmptyCases" xr:uid="{00000000-0004-0000-0300-0000AD000000}"/>
    <hyperlink ref="F608" r:id="rId175" display="\\abtvdfs2.de.bosch.com\ismdfs\ilm\abt\IMS\Platform\400_Cabin_Sensing_Radar\20_Measurements\07_CANape\Mitsubishi\5K45\MMC4.1.2\8EmptyCases" xr:uid="{00000000-0004-0000-0300-0000AE000000}"/>
    <hyperlink ref="E609" r:id="rId176" display="\\abtvdfs2.de.bosch.com\ismdfs\ilm\abt\IMS\Platform\400_Cabin_Sensing_Radar\20_Measurements\07_CANape\Mitsubishi\5K45\MMC5.0.2\5K457EG11\CPD\CSR_XCP_Signals_Recorder_2026-01-26_11-23-32_CPD_TC182_Try5.MF4.xz" xr:uid="{00000000-0004-0000-0300-0000AF000000}"/>
    <hyperlink ref="E614" r:id="rId177" display="\\abtvdfs2.de.bosch.com\ismdfs\ilm\abt\IMS\Platform\400_Cabin_Sensing_Radar\20_Measurements\07_CANape\Mitsubishi\5K45\MMC5.0.2\5K457EG11\CPD\CSR_XCP_Signals_Recorder_2026-01-27_13-57-58_CPD_TC108_Try5.MF4.xz" xr:uid="{00000000-0004-0000-0300-0000B0000000}"/>
    <hyperlink ref="F614" r:id="rId178" display="\\abtvdfs2.de.bosch.com\ismdfs\ilm\abt\IMS\Platform\400_Cabin_Sensing_Radar\20_Measurements\07_CANape\Mitsubishi\5K45\MMC5.0.2\5K457EG11\CPD\CSR_XCP_Signals_Recorder_2026-01-27_13-57-58_CPD_TC108_Try5.MF4.xz" xr:uid="{00000000-0004-0000-0300-0000B1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5"/>
  <sheetViews>
    <sheetView topLeftCell="A297" zoomScale="115" zoomScaleNormal="115" workbookViewId="0">
      <selection activeCell="A321" sqref="A321:C325"/>
    </sheetView>
  </sheetViews>
  <sheetFormatPr defaultRowHeight="15"/>
  <cols>
    <col min="1" max="1" width="8.85546875" style="133" customWidth="1"/>
    <col min="2" max="2" width="12.28515625" style="133" bestFit="1" customWidth="1"/>
    <col min="4" max="4" width="36.7109375" style="133" customWidth="1"/>
    <col min="5" max="5" width="101.42578125" style="133" customWidth="1"/>
    <col min="10" max="10" width="11.28515625" style="133" bestFit="1" customWidth="1"/>
  </cols>
  <sheetData>
    <row r="1" spans="1:10">
      <c r="A1" t="s">
        <v>0</v>
      </c>
      <c r="B1" t="s">
        <v>1</v>
      </c>
      <c r="C1" t="s">
        <v>6</v>
      </c>
      <c r="D1" t="s">
        <v>14</v>
      </c>
      <c r="E1" t="s">
        <v>15</v>
      </c>
      <c r="J1" s="2" t="s">
        <v>4295</v>
      </c>
    </row>
    <row r="2" spans="1:10">
      <c r="A2">
        <v>10</v>
      </c>
      <c r="B2" t="s">
        <v>48</v>
      </c>
      <c r="C2" t="s">
        <v>27</v>
      </c>
      <c r="D2" t="s">
        <v>92</v>
      </c>
      <c r="E2" s="129" t="s">
        <v>4349</v>
      </c>
    </row>
    <row r="3" spans="1:10">
      <c r="A3">
        <v>10</v>
      </c>
      <c r="B3" t="s">
        <v>48</v>
      </c>
      <c r="C3" t="s">
        <v>27</v>
      </c>
      <c r="D3" t="s">
        <v>95</v>
      </c>
      <c r="E3" s="129" t="s">
        <v>4349</v>
      </c>
    </row>
    <row r="4" spans="1:10">
      <c r="A4">
        <v>10</v>
      </c>
      <c r="B4" t="s">
        <v>48</v>
      </c>
      <c r="C4" t="s">
        <v>27</v>
      </c>
      <c r="D4" t="s">
        <v>96</v>
      </c>
      <c r="E4" s="129" t="s">
        <v>4349</v>
      </c>
    </row>
    <row r="5" spans="1:10">
      <c r="A5">
        <v>10</v>
      </c>
      <c r="B5" t="s">
        <v>48</v>
      </c>
      <c r="C5" t="s">
        <v>27</v>
      </c>
      <c r="D5" t="s">
        <v>97</v>
      </c>
      <c r="E5" s="129" t="s">
        <v>4350</v>
      </c>
    </row>
    <row r="6" spans="1:10">
      <c r="A6">
        <v>10</v>
      </c>
      <c r="B6" t="s">
        <v>48</v>
      </c>
      <c r="C6" t="s">
        <v>27</v>
      </c>
      <c r="D6" t="s">
        <v>99</v>
      </c>
      <c r="E6" s="129" t="s">
        <v>4350</v>
      </c>
    </row>
    <row r="7" spans="1:10">
      <c r="A7">
        <v>10</v>
      </c>
      <c r="B7" t="s">
        <v>48</v>
      </c>
      <c r="C7" t="s">
        <v>27</v>
      </c>
      <c r="D7" t="s">
        <v>100</v>
      </c>
      <c r="E7" s="129" t="s">
        <v>4350</v>
      </c>
    </row>
    <row r="8" spans="1:10">
      <c r="A8">
        <v>12</v>
      </c>
      <c r="B8" t="s">
        <v>48</v>
      </c>
      <c r="C8" t="s">
        <v>27</v>
      </c>
      <c r="D8" t="s">
        <v>132</v>
      </c>
      <c r="E8" s="129" t="s">
        <v>4349</v>
      </c>
    </row>
    <row r="9" spans="1:10">
      <c r="A9">
        <v>12</v>
      </c>
      <c r="B9" t="s">
        <v>48</v>
      </c>
      <c r="C9" t="s">
        <v>27</v>
      </c>
      <c r="D9" t="s">
        <v>134</v>
      </c>
      <c r="E9" s="129" t="s">
        <v>4350</v>
      </c>
    </row>
    <row r="10" spans="1:10">
      <c r="A10">
        <v>12</v>
      </c>
      <c r="B10" t="s">
        <v>48</v>
      </c>
      <c r="C10" t="s">
        <v>27</v>
      </c>
      <c r="D10" t="s">
        <v>135</v>
      </c>
      <c r="E10" s="129" t="s">
        <v>4350</v>
      </c>
    </row>
    <row r="11" spans="1:10">
      <c r="A11">
        <v>12</v>
      </c>
      <c r="B11" t="s">
        <v>48</v>
      </c>
      <c r="C11" t="s">
        <v>27</v>
      </c>
      <c r="D11" t="s">
        <v>784</v>
      </c>
      <c r="E11" s="129" t="s">
        <v>4350</v>
      </c>
    </row>
    <row r="12" spans="1:10">
      <c r="A12">
        <v>14</v>
      </c>
      <c r="B12" t="s">
        <v>48</v>
      </c>
      <c r="C12" t="s">
        <v>27</v>
      </c>
      <c r="D12" t="s">
        <v>161</v>
      </c>
      <c r="E12" s="129" t="s">
        <v>4349</v>
      </c>
    </row>
    <row r="13" spans="1:10">
      <c r="A13">
        <v>14</v>
      </c>
      <c r="B13" t="s">
        <v>48</v>
      </c>
      <c r="C13" t="s">
        <v>27</v>
      </c>
      <c r="D13" t="s">
        <v>163</v>
      </c>
      <c r="E13" s="129" t="s">
        <v>4350</v>
      </c>
    </row>
    <row r="14" spans="1:10">
      <c r="A14">
        <v>14</v>
      </c>
      <c r="B14" t="s">
        <v>48</v>
      </c>
      <c r="C14" t="s">
        <v>27</v>
      </c>
      <c r="D14" t="s">
        <v>164</v>
      </c>
      <c r="E14" s="129" t="s">
        <v>4350</v>
      </c>
    </row>
    <row r="15" spans="1:10">
      <c r="A15">
        <v>14</v>
      </c>
      <c r="B15" t="s">
        <v>48</v>
      </c>
      <c r="C15" t="s">
        <v>27</v>
      </c>
      <c r="D15" t="s">
        <v>165</v>
      </c>
      <c r="E15" s="129" t="s">
        <v>4350</v>
      </c>
    </row>
    <row r="16" spans="1:10">
      <c r="A16">
        <v>188</v>
      </c>
      <c r="B16" t="s">
        <v>48</v>
      </c>
      <c r="C16" t="s">
        <v>27</v>
      </c>
      <c r="D16" t="s">
        <v>1182</v>
      </c>
      <c r="E16" s="129" t="s">
        <v>4349</v>
      </c>
    </row>
    <row r="17" spans="1:5">
      <c r="A17">
        <v>188</v>
      </c>
      <c r="B17" t="s">
        <v>48</v>
      </c>
      <c r="C17" t="s">
        <v>27</v>
      </c>
      <c r="D17" t="s">
        <v>1184</v>
      </c>
      <c r="E17" t="s">
        <v>4351</v>
      </c>
    </row>
    <row r="18" spans="1:5">
      <c r="A18">
        <v>188</v>
      </c>
      <c r="B18" t="s">
        <v>48</v>
      </c>
      <c r="C18" t="s">
        <v>27</v>
      </c>
      <c r="D18" t="s">
        <v>1186</v>
      </c>
      <c r="E18" t="s">
        <v>4351</v>
      </c>
    </row>
    <row r="19" spans="1:5">
      <c r="A19">
        <v>188</v>
      </c>
      <c r="B19" t="s">
        <v>48</v>
      </c>
      <c r="C19" t="s">
        <v>27</v>
      </c>
      <c r="D19" t="s">
        <v>1188</v>
      </c>
      <c r="E19" t="s">
        <v>4351</v>
      </c>
    </row>
    <row r="20" spans="1:5">
      <c r="A20">
        <v>189</v>
      </c>
      <c r="B20" t="s">
        <v>48</v>
      </c>
      <c r="C20" t="s">
        <v>27</v>
      </c>
      <c r="D20" t="s">
        <v>1189</v>
      </c>
      <c r="E20" t="s">
        <v>4352</v>
      </c>
    </row>
    <row r="21" spans="1:5">
      <c r="A21">
        <v>189</v>
      </c>
      <c r="B21" t="s">
        <v>48</v>
      </c>
      <c r="C21" t="s">
        <v>27</v>
      </c>
      <c r="D21" t="s">
        <v>1190</v>
      </c>
      <c r="E21" t="s">
        <v>4352</v>
      </c>
    </row>
    <row r="22" spans="1:5">
      <c r="A22">
        <v>189</v>
      </c>
      <c r="B22" t="s">
        <v>48</v>
      </c>
      <c r="C22" t="s">
        <v>27</v>
      </c>
      <c r="D22" t="s">
        <v>1191</v>
      </c>
      <c r="E22" t="s">
        <v>4352</v>
      </c>
    </row>
    <row r="23" spans="1:5">
      <c r="A23">
        <v>190</v>
      </c>
      <c r="B23" t="s">
        <v>48</v>
      </c>
      <c r="C23" t="s">
        <v>27</v>
      </c>
      <c r="D23" t="s">
        <v>722</v>
      </c>
      <c r="E23" s="129" t="s">
        <v>4349</v>
      </c>
    </row>
    <row r="24" spans="1:5">
      <c r="A24">
        <v>190</v>
      </c>
      <c r="B24" t="s">
        <v>48</v>
      </c>
      <c r="C24" t="s">
        <v>27</v>
      </c>
      <c r="D24" t="s">
        <v>1197</v>
      </c>
      <c r="E24" t="s">
        <v>4351</v>
      </c>
    </row>
    <row r="25" spans="1:5">
      <c r="A25">
        <v>190</v>
      </c>
      <c r="B25" t="s">
        <v>48</v>
      </c>
      <c r="C25" t="s">
        <v>27</v>
      </c>
      <c r="D25" t="s">
        <v>1199</v>
      </c>
      <c r="E25" t="s">
        <v>4351</v>
      </c>
    </row>
    <row r="26" spans="1:5">
      <c r="A26">
        <v>190</v>
      </c>
      <c r="B26" t="s">
        <v>48</v>
      </c>
      <c r="C26" t="s">
        <v>27</v>
      </c>
      <c r="D26" t="s">
        <v>751</v>
      </c>
      <c r="E26" t="s">
        <v>4351</v>
      </c>
    </row>
    <row r="27" spans="1:5">
      <c r="A27">
        <v>191</v>
      </c>
      <c r="B27" t="s">
        <v>48</v>
      </c>
      <c r="C27" t="s">
        <v>27</v>
      </c>
      <c r="D27" t="s">
        <v>1202</v>
      </c>
      <c r="E27" s="129" t="s">
        <v>4353</v>
      </c>
    </row>
    <row r="28" spans="1:5">
      <c r="A28">
        <v>191</v>
      </c>
      <c r="B28" t="s">
        <v>48</v>
      </c>
      <c r="C28" t="s">
        <v>27</v>
      </c>
      <c r="D28" t="s">
        <v>1204</v>
      </c>
      <c r="E28" t="s">
        <v>4353</v>
      </c>
    </row>
    <row r="29" spans="1:5">
      <c r="A29">
        <v>191</v>
      </c>
      <c r="B29" t="s">
        <v>48</v>
      </c>
      <c r="C29" t="s">
        <v>27</v>
      </c>
      <c r="D29" t="s">
        <v>1205</v>
      </c>
      <c r="E29" t="s">
        <v>4353</v>
      </c>
    </row>
    <row r="30" spans="1:5">
      <c r="A30">
        <v>192</v>
      </c>
      <c r="B30" t="s">
        <v>48</v>
      </c>
      <c r="C30" t="s">
        <v>27</v>
      </c>
      <c r="D30" t="s">
        <v>1206</v>
      </c>
      <c r="E30" t="s">
        <v>4349</v>
      </c>
    </row>
    <row r="31" spans="1:5">
      <c r="A31">
        <v>192</v>
      </c>
      <c r="B31" t="s">
        <v>48</v>
      </c>
      <c r="C31" t="s">
        <v>27</v>
      </c>
      <c r="D31" t="s">
        <v>1208</v>
      </c>
      <c r="E31" t="s">
        <v>4351</v>
      </c>
    </row>
    <row r="32" spans="1:5">
      <c r="A32">
        <v>192</v>
      </c>
      <c r="B32" t="s">
        <v>48</v>
      </c>
      <c r="C32" t="s">
        <v>27</v>
      </c>
      <c r="D32" t="s">
        <v>1209</v>
      </c>
      <c r="E32" t="s">
        <v>4351</v>
      </c>
    </row>
    <row r="33" spans="1:5">
      <c r="A33">
        <v>192</v>
      </c>
      <c r="B33" t="s">
        <v>48</v>
      </c>
      <c r="C33" t="s">
        <v>27</v>
      </c>
      <c r="D33" t="s">
        <v>1210</v>
      </c>
      <c r="E33" t="s">
        <v>4351</v>
      </c>
    </row>
    <row r="34" spans="1:5">
      <c r="A34">
        <v>193</v>
      </c>
      <c r="B34" t="s">
        <v>48</v>
      </c>
      <c r="C34" t="s">
        <v>27</v>
      </c>
      <c r="D34" t="s">
        <v>1217</v>
      </c>
      <c r="E34" t="s">
        <v>4353</v>
      </c>
    </row>
    <row r="35" spans="1:5">
      <c r="A35">
        <v>193</v>
      </c>
      <c r="B35" t="s">
        <v>48</v>
      </c>
      <c r="C35" t="s">
        <v>27</v>
      </c>
      <c r="D35" t="s">
        <v>1219</v>
      </c>
      <c r="E35" t="s">
        <v>4353</v>
      </c>
    </row>
    <row r="36" spans="1:5">
      <c r="A36">
        <v>193</v>
      </c>
      <c r="B36" t="s">
        <v>48</v>
      </c>
      <c r="C36" t="s">
        <v>27</v>
      </c>
      <c r="D36" t="s">
        <v>1220</v>
      </c>
      <c r="E36" t="s">
        <v>4353</v>
      </c>
    </row>
    <row r="37" spans="1:5">
      <c r="A37">
        <v>200</v>
      </c>
      <c r="B37" t="s">
        <v>48</v>
      </c>
      <c r="C37" t="s">
        <v>27</v>
      </c>
      <c r="D37" t="s">
        <v>1246</v>
      </c>
      <c r="E37" s="129" t="s">
        <v>4349</v>
      </c>
    </row>
    <row r="38" spans="1:5">
      <c r="A38">
        <v>200</v>
      </c>
      <c r="B38" t="s">
        <v>48</v>
      </c>
      <c r="C38" t="s">
        <v>27</v>
      </c>
      <c r="D38" t="s">
        <v>1248</v>
      </c>
      <c r="E38" s="129" t="s">
        <v>4354</v>
      </c>
    </row>
    <row r="39" spans="1:5">
      <c r="A39">
        <v>200</v>
      </c>
      <c r="B39" t="s">
        <v>48</v>
      </c>
      <c r="C39" t="s">
        <v>27</v>
      </c>
      <c r="D39" t="s">
        <v>1250</v>
      </c>
      <c r="E39" s="129" t="s">
        <v>4354</v>
      </c>
    </row>
    <row r="40" spans="1:5">
      <c r="A40">
        <v>200</v>
      </c>
      <c r="B40" t="s">
        <v>48</v>
      </c>
      <c r="C40" t="s">
        <v>27</v>
      </c>
      <c r="D40" t="s">
        <v>1251</v>
      </c>
      <c r="E40" s="129" t="s">
        <v>4354</v>
      </c>
    </row>
    <row r="41" spans="1:5">
      <c r="A41">
        <v>201</v>
      </c>
      <c r="B41" t="s">
        <v>48</v>
      </c>
      <c r="C41" t="s">
        <v>27</v>
      </c>
      <c r="D41" t="s">
        <v>724</v>
      </c>
      <c r="E41" s="129" t="s">
        <v>4352</v>
      </c>
    </row>
    <row r="42" spans="1:5">
      <c r="A42">
        <v>201</v>
      </c>
      <c r="B42" t="s">
        <v>48</v>
      </c>
      <c r="C42" t="s">
        <v>27</v>
      </c>
      <c r="D42" t="s">
        <v>741</v>
      </c>
      <c r="E42" s="129" t="s">
        <v>4352</v>
      </c>
    </row>
    <row r="43" spans="1:5">
      <c r="A43">
        <v>201</v>
      </c>
      <c r="B43" t="s">
        <v>48</v>
      </c>
      <c r="C43" t="s">
        <v>27</v>
      </c>
      <c r="D43" t="s">
        <v>750</v>
      </c>
      <c r="E43" s="129" t="s">
        <v>4352</v>
      </c>
    </row>
    <row r="44" spans="1:5">
      <c r="A44">
        <v>201</v>
      </c>
      <c r="B44" t="s">
        <v>48</v>
      </c>
      <c r="C44" t="s">
        <v>27</v>
      </c>
      <c r="D44" t="s">
        <v>1266</v>
      </c>
      <c r="E44" t="s">
        <v>4353</v>
      </c>
    </row>
    <row r="45" spans="1:5">
      <c r="A45">
        <v>201</v>
      </c>
      <c r="B45" t="s">
        <v>48</v>
      </c>
      <c r="C45" t="s">
        <v>27</v>
      </c>
      <c r="D45" t="s">
        <v>1268</v>
      </c>
      <c r="E45" t="s">
        <v>4353</v>
      </c>
    </row>
    <row r="46" spans="1:5">
      <c r="A46">
        <v>201</v>
      </c>
      <c r="B46" t="s">
        <v>48</v>
      </c>
      <c r="C46" t="s">
        <v>27</v>
      </c>
      <c r="D46" t="s">
        <v>1269</v>
      </c>
      <c r="E46" t="s">
        <v>4353</v>
      </c>
    </row>
    <row r="47" spans="1:5">
      <c r="A47">
        <v>202</v>
      </c>
      <c r="B47" t="s">
        <v>48</v>
      </c>
      <c r="C47" t="s">
        <v>27</v>
      </c>
      <c r="D47" t="s">
        <v>1276</v>
      </c>
      <c r="E47" s="129" t="s">
        <v>4349</v>
      </c>
    </row>
    <row r="48" spans="1:5">
      <c r="A48">
        <v>202</v>
      </c>
      <c r="B48" t="s">
        <v>48</v>
      </c>
      <c r="C48" t="s">
        <v>27</v>
      </c>
      <c r="D48" t="s">
        <v>1278</v>
      </c>
      <c r="E48" s="129" t="s">
        <v>4351</v>
      </c>
    </row>
    <row r="49" spans="1:5">
      <c r="A49">
        <v>202</v>
      </c>
      <c r="B49" t="s">
        <v>48</v>
      </c>
      <c r="C49" t="s">
        <v>27</v>
      </c>
      <c r="D49" t="s">
        <v>1279</v>
      </c>
      <c r="E49" s="129" t="s">
        <v>4351</v>
      </c>
    </row>
    <row r="50" spans="1:5">
      <c r="A50">
        <v>202</v>
      </c>
      <c r="B50" t="s">
        <v>48</v>
      </c>
      <c r="C50" t="s">
        <v>27</v>
      </c>
      <c r="D50" t="s">
        <v>1280</v>
      </c>
      <c r="E50" s="129" t="s">
        <v>4351</v>
      </c>
    </row>
    <row r="51" spans="1:5">
      <c r="A51">
        <v>203</v>
      </c>
      <c r="B51" t="s">
        <v>48</v>
      </c>
      <c r="C51" t="s">
        <v>27</v>
      </c>
      <c r="D51" t="s">
        <v>1281</v>
      </c>
      <c r="E51" t="s">
        <v>4353</v>
      </c>
    </row>
    <row r="52" spans="1:5">
      <c r="A52">
        <v>203</v>
      </c>
      <c r="B52" t="s">
        <v>48</v>
      </c>
      <c r="C52" t="s">
        <v>27</v>
      </c>
      <c r="D52" t="s">
        <v>1283</v>
      </c>
      <c r="E52" t="s">
        <v>4353</v>
      </c>
    </row>
    <row r="53" spans="1:5">
      <c r="A53">
        <v>203</v>
      </c>
      <c r="B53" t="s">
        <v>48</v>
      </c>
      <c r="C53" t="s">
        <v>27</v>
      </c>
      <c r="D53" t="s">
        <v>1284</v>
      </c>
      <c r="E53" t="s">
        <v>4353</v>
      </c>
    </row>
    <row r="54" spans="1:5">
      <c r="A54">
        <v>231</v>
      </c>
      <c r="B54" t="s">
        <v>253</v>
      </c>
      <c r="C54" t="s">
        <v>28</v>
      </c>
      <c r="D54" t="s">
        <v>1442</v>
      </c>
      <c r="E54" s="1" t="s">
        <v>4355</v>
      </c>
    </row>
    <row r="55" spans="1:5">
      <c r="A55">
        <v>231</v>
      </c>
      <c r="B55" t="s">
        <v>253</v>
      </c>
      <c r="C55" t="s">
        <v>28</v>
      </c>
      <c r="D55" t="s">
        <v>1443</v>
      </c>
      <c r="E55" s="129" t="s">
        <v>4355</v>
      </c>
    </row>
    <row r="56" spans="1:5">
      <c r="A56">
        <v>231</v>
      </c>
      <c r="B56" t="s">
        <v>253</v>
      </c>
      <c r="C56" t="s">
        <v>28</v>
      </c>
      <c r="D56" t="s">
        <v>1444</v>
      </c>
      <c r="E56" s="1" t="s">
        <v>4355</v>
      </c>
    </row>
    <row r="57" spans="1:5">
      <c r="A57">
        <v>231</v>
      </c>
      <c r="B57" t="s">
        <v>253</v>
      </c>
      <c r="C57" t="s">
        <v>28</v>
      </c>
      <c r="D57" t="s">
        <v>1445</v>
      </c>
      <c r="E57" s="1" t="s">
        <v>4355</v>
      </c>
    </row>
    <row r="58" spans="1:5">
      <c r="A58">
        <v>231</v>
      </c>
      <c r="B58" t="s">
        <v>253</v>
      </c>
      <c r="C58" t="s">
        <v>28</v>
      </c>
      <c r="D58" t="s">
        <v>1446</v>
      </c>
      <c r="E58" s="1" t="s">
        <v>4355</v>
      </c>
    </row>
    <row r="59" spans="1:5">
      <c r="A59">
        <v>232</v>
      </c>
      <c r="B59" t="s">
        <v>253</v>
      </c>
      <c r="C59" t="s">
        <v>28</v>
      </c>
      <c r="D59" t="s">
        <v>1447</v>
      </c>
      <c r="E59" s="1" t="s">
        <v>4355</v>
      </c>
    </row>
    <row r="60" spans="1:5">
      <c r="A60">
        <v>232</v>
      </c>
      <c r="B60" t="s">
        <v>253</v>
      </c>
      <c r="C60" t="s">
        <v>28</v>
      </c>
      <c r="D60" t="s">
        <v>1448</v>
      </c>
      <c r="E60" s="1" t="s">
        <v>4355</v>
      </c>
    </row>
    <row r="61" spans="1:5">
      <c r="A61">
        <v>232</v>
      </c>
      <c r="B61" t="s">
        <v>253</v>
      </c>
      <c r="C61" t="s">
        <v>28</v>
      </c>
      <c r="D61" t="s">
        <v>1449</v>
      </c>
      <c r="E61" s="1" t="s">
        <v>4355</v>
      </c>
    </row>
    <row r="62" spans="1:5">
      <c r="A62">
        <v>232</v>
      </c>
      <c r="B62" t="s">
        <v>253</v>
      </c>
      <c r="C62" t="s">
        <v>28</v>
      </c>
      <c r="D62" t="s">
        <v>1450</v>
      </c>
      <c r="E62" s="1" t="s">
        <v>4355</v>
      </c>
    </row>
    <row r="63" spans="1:5">
      <c r="A63">
        <v>232</v>
      </c>
      <c r="B63" t="s">
        <v>253</v>
      </c>
      <c r="C63" t="s">
        <v>28</v>
      </c>
      <c r="D63" t="s">
        <v>1451</v>
      </c>
      <c r="E63" s="1" t="s">
        <v>4355</v>
      </c>
    </row>
    <row r="64" spans="1:5">
      <c r="A64">
        <v>84</v>
      </c>
      <c r="B64" t="s">
        <v>613</v>
      </c>
      <c r="C64" t="s">
        <v>28</v>
      </c>
      <c r="D64" t="s">
        <v>661</v>
      </c>
      <c r="E64" s="129" t="s">
        <v>4356</v>
      </c>
    </row>
    <row r="65" spans="1:5">
      <c r="A65">
        <v>84</v>
      </c>
      <c r="B65" t="s">
        <v>613</v>
      </c>
      <c r="C65" t="s">
        <v>28</v>
      </c>
      <c r="D65" t="s">
        <v>663</v>
      </c>
      <c r="E65" s="129" t="s">
        <v>4356</v>
      </c>
    </row>
    <row r="66" spans="1:5">
      <c r="A66">
        <v>84</v>
      </c>
      <c r="B66" t="s">
        <v>613</v>
      </c>
      <c r="C66" t="s">
        <v>28</v>
      </c>
      <c r="D66" t="s">
        <v>665</v>
      </c>
      <c r="E66" s="129" t="s">
        <v>4356</v>
      </c>
    </row>
    <row r="67" spans="1:5">
      <c r="A67">
        <v>84</v>
      </c>
      <c r="B67" t="s">
        <v>613</v>
      </c>
      <c r="C67" t="s">
        <v>28</v>
      </c>
      <c r="D67" t="s">
        <v>666</v>
      </c>
      <c r="E67" s="129" t="s">
        <v>4356</v>
      </c>
    </row>
    <row r="68" spans="1:5">
      <c r="A68">
        <v>84</v>
      </c>
      <c r="B68" t="s">
        <v>613</v>
      </c>
      <c r="C68" t="s">
        <v>28</v>
      </c>
      <c r="D68" t="s">
        <v>667</v>
      </c>
      <c r="E68" s="129" t="s">
        <v>4356</v>
      </c>
    </row>
    <row r="69" spans="1:5">
      <c r="A69">
        <v>94</v>
      </c>
      <c r="B69" t="s">
        <v>613</v>
      </c>
      <c r="C69" t="s">
        <v>27</v>
      </c>
      <c r="D69" t="s">
        <v>703</v>
      </c>
      <c r="E69" t="s">
        <v>4357</v>
      </c>
    </row>
    <row r="70" spans="1:5">
      <c r="A70">
        <v>94</v>
      </c>
      <c r="B70" t="s">
        <v>613</v>
      </c>
      <c r="C70" t="s">
        <v>27</v>
      </c>
      <c r="D70" t="s">
        <v>705</v>
      </c>
      <c r="E70" t="s">
        <v>4357</v>
      </c>
    </row>
    <row r="71" spans="1:5">
      <c r="A71">
        <v>94</v>
      </c>
      <c r="B71" t="s">
        <v>613</v>
      </c>
      <c r="C71" t="s">
        <v>27</v>
      </c>
      <c r="D71" t="s">
        <v>706</v>
      </c>
      <c r="E71" t="s">
        <v>4357</v>
      </c>
    </row>
    <row r="72" spans="1:5">
      <c r="A72">
        <v>95</v>
      </c>
      <c r="B72" t="s">
        <v>613</v>
      </c>
      <c r="C72" t="s">
        <v>28</v>
      </c>
      <c r="D72" t="s">
        <v>708</v>
      </c>
      <c r="E72" s="129" t="s">
        <v>4356</v>
      </c>
    </row>
    <row r="73" spans="1:5">
      <c r="A73">
        <v>95</v>
      </c>
      <c r="B73" t="s">
        <v>613</v>
      </c>
      <c r="C73" t="s">
        <v>28</v>
      </c>
      <c r="D73" t="s">
        <v>710</v>
      </c>
      <c r="E73" s="129" t="s">
        <v>4356</v>
      </c>
    </row>
    <row r="74" spans="1:5">
      <c r="A74">
        <v>95</v>
      </c>
      <c r="B74" t="s">
        <v>613</v>
      </c>
      <c r="C74" t="s">
        <v>28</v>
      </c>
      <c r="D74" t="s">
        <v>711</v>
      </c>
      <c r="E74" s="129" t="s">
        <v>4356</v>
      </c>
    </row>
    <row r="75" spans="1:5">
      <c r="A75">
        <v>95</v>
      </c>
      <c r="B75" t="s">
        <v>613</v>
      </c>
      <c r="C75" t="s">
        <v>28</v>
      </c>
      <c r="D75" t="s">
        <v>712</v>
      </c>
      <c r="E75" s="129" t="s">
        <v>4356</v>
      </c>
    </row>
    <row r="76" spans="1:5">
      <c r="A76">
        <v>95</v>
      </c>
      <c r="B76" t="s">
        <v>613</v>
      </c>
      <c r="C76" t="s">
        <v>28</v>
      </c>
      <c r="D76" t="s">
        <v>713</v>
      </c>
      <c r="E76" s="129" t="s">
        <v>4356</v>
      </c>
    </row>
    <row r="77" spans="1:5">
      <c r="A77">
        <v>97</v>
      </c>
      <c r="B77" t="s">
        <v>613</v>
      </c>
      <c r="C77" t="s">
        <v>28</v>
      </c>
      <c r="D77" t="s">
        <v>617</v>
      </c>
      <c r="E77" s="129" t="s">
        <v>4355</v>
      </c>
    </row>
    <row r="78" spans="1:5">
      <c r="A78">
        <v>97</v>
      </c>
      <c r="B78" t="s">
        <v>613</v>
      </c>
      <c r="C78" t="s">
        <v>28</v>
      </c>
      <c r="D78" t="s">
        <v>618</v>
      </c>
      <c r="E78" s="129" t="s">
        <v>4355</v>
      </c>
    </row>
    <row r="79" spans="1:5">
      <c r="A79">
        <v>97</v>
      </c>
      <c r="B79" t="s">
        <v>613</v>
      </c>
      <c r="C79" t="s">
        <v>28</v>
      </c>
      <c r="D79" t="s">
        <v>619</v>
      </c>
      <c r="E79" s="129" t="s">
        <v>4355</v>
      </c>
    </row>
    <row r="80" spans="1:5">
      <c r="A80">
        <v>97</v>
      </c>
      <c r="B80" t="s">
        <v>613</v>
      </c>
      <c r="C80" t="s">
        <v>28</v>
      </c>
      <c r="D80" t="s">
        <v>620</v>
      </c>
      <c r="E80" s="129" t="s">
        <v>4355</v>
      </c>
    </row>
    <row r="81" spans="1:5">
      <c r="A81">
        <v>195</v>
      </c>
      <c r="B81" t="s">
        <v>1221</v>
      </c>
      <c r="C81" t="s">
        <v>27</v>
      </c>
      <c r="D81" t="s">
        <v>1227</v>
      </c>
      <c r="E81" s="129" t="s">
        <v>4353</v>
      </c>
    </row>
    <row r="82" spans="1:5">
      <c r="A82">
        <v>195</v>
      </c>
      <c r="B82" t="s">
        <v>1221</v>
      </c>
      <c r="C82" t="s">
        <v>27</v>
      </c>
      <c r="D82" t="s">
        <v>1229</v>
      </c>
      <c r="E82" s="129" t="s">
        <v>4353</v>
      </c>
    </row>
    <row r="83" spans="1:5">
      <c r="A83">
        <v>195</v>
      </c>
      <c r="B83" t="s">
        <v>1221</v>
      </c>
      <c r="C83" t="s">
        <v>27</v>
      </c>
      <c r="D83" t="s">
        <v>1230</v>
      </c>
      <c r="E83" s="129" t="s">
        <v>4353</v>
      </c>
    </row>
    <row r="84" spans="1:5">
      <c r="A84">
        <v>10</v>
      </c>
      <c r="B84" t="s">
        <v>4299</v>
      </c>
      <c r="C84" t="s">
        <v>28</v>
      </c>
      <c r="D84" t="s">
        <v>101</v>
      </c>
      <c r="E84" s="129" t="s">
        <v>4355</v>
      </c>
    </row>
    <row r="85" spans="1:5">
      <c r="A85">
        <v>10</v>
      </c>
      <c r="B85" t="s">
        <v>4299</v>
      </c>
      <c r="C85" t="s">
        <v>28</v>
      </c>
      <c r="D85" t="s">
        <v>104</v>
      </c>
      <c r="E85" s="129" t="s">
        <v>4355</v>
      </c>
    </row>
    <row r="86" spans="1:5">
      <c r="A86">
        <v>10</v>
      </c>
      <c r="B86" t="s">
        <v>4299</v>
      </c>
      <c r="C86" t="s">
        <v>28</v>
      </c>
      <c r="D86" t="s">
        <v>106</v>
      </c>
      <c r="E86" s="129" t="s">
        <v>4355</v>
      </c>
    </row>
    <row r="87" spans="1:5">
      <c r="A87">
        <v>10</v>
      </c>
      <c r="B87" t="s">
        <v>4299</v>
      </c>
      <c r="C87" t="s">
        <v>28</v>
      </c>
      <c r="D87" t="s">
        <v>107</v>
      </c>
      <c r="E87" s="129" t="s">
        <v>4355</v>
      </c>
    </row>
    <row r="88" spans="1:5">
      <c r="A88">
        <v>10</v>
      </c>
      <c r="B88" t="s">
        <v>4299</v>
      </c>
      <c r="C88" t="s">
        <v>28</v>
      </c>
      <c r="D88" t="s">
        <v>108</v>
      </c>
      <c r="E88" s="129" t="s">
        <v>4355</v>
      </c>
    </row>
    <row r="89" spans="1:5">
      <c r="A89">
        <v>11</v>
      </c>
      <c r="B89" t="s">
        <v>4299</v>
      </c>
      <c r="C89" t="s">
        <v>28</v>
      </c>
      <c r="D89" t="s">
        <v>115</v>
      </c>
      <c r="E89" s="129" t="s">
        <v>4358</v>
      </c>
    </row>
    <row r="90" spans="1:5">
      <c r="A90">
        <v>11</v>
      </c>
      <c r="B90" t="s">
        <v>4299</v>
      </c>
      <c r="C90" t="s">
        <v>28</v>
      </c>
      <c r="D90" t="s">
        <v>118</v>
      </c>
      <c r="E90" s="129" t="s">
        <v>4358</v>
      </c>
    </row>
    <row r="91" spans="1:5">
      <c r="A91">
        <v>11</v>
      </c>
      <c r="B91" t="s">
        <v>4299</v>
      </c>
      <c r="C91" t="s">
        <v>28</v>
      </c>
      <c r="D91" t="s">
        <v>119</v>
      </c>
      <c r="E91" s="129" t="s">
        <v>4358</v>
      </c>
    </row>
    <row r="92" spans="1:5">
      <c r="A92">
        <v>11</v>
      </c>
      <c r="B92" t="s">
        <v>4299</v>
      </c>
      <c r="C92" t="s">
        <v>28</v>
      </c>
      <c r="D92" t="s">
        <v>120</v>
      </c>
      <c r="E92" s="129" t="s">
        <v>4358</v>
      </c>
    </row>
    <row r="93" spans="1:5">
      <c r="A93">
        <v>12</v>
      </c>
      <c r="B93" t="s">
        <v>4299</v>
      </c>
      <c r="C93" t="s">
        <v>28</v>
      </c>
      <c r="D93" t="s">
        <v>139</v>
      </c>
      <c r="E93" s="129" t="s">
        <v>4355</v>
      </c>
    </row>
    <row r="94" spans="1:5">
      <c r="A94">
        <v>12</v>
      </c>
      <c r="B94" t="s">
        <v>4299</v>
      </c>
      <c r="C94" t="s">
        <v>28</v>
      </c>
      <c r="D94" t="s">
        <v>141</v>
      </c>
      <c r="E94" s="129" t="s">
        <v>4355</v>
      </c>
    </row>
    <row r="95" spans="1:5">
      <c r="A95">
        <v>12</v>
      </c>
      <c r="B95" t="s">
        <v>4299</v>
      </c>
      <c r="C95" t="s">
        <v>28</v>
      </c>
      <c r="D95" t="s">
        <v>142</v>
      </c>
      <c r="E95" s="129" t="s">
        <v>4355</v>
      </c>
    </row>
    <row r="96" spans="1:5">
      <c r="A96">
        <v>12</v>
      </c>
      <c r="B96" t="s">
        <v>4299</v>
      </c>
      <c r="C96" t="s">
        <v>28</v>
      </c>
      <c r="D96" t="s">
        <v>143</v>
      </c>
      <c r="E96" s="129" t="s">
        <v>4355</v>
      </c>
    </row>
    <row r="97" spans="1:5">
      <c r="A97">
        <v>12</v>
      </c>
      <c r="B97" t="s">
        <v>4299</v>
      </c>
      <c r="C97" t="s">
        <v>28</v>
      </c>
      <c r="D97" t="s">
        <v>144</v>
      </c>
      <c r="E97" s="129" t="s">
        <v>4355</v>
      </c>
    </row>
    <row r="98" spans="1:5">
      <c r="A98">
        <v>13</v>
      </c>
      <c r="B98" t="s">
        <v>4299</v>
      </c>
      <c r="C98" t="s">
        <v>28</v>
      </c>
      <c r="D98" t="s">
        <v>153</v>
      </c>
      <c r="E98" s="129" t="s">
        <v>4358</v>
      </c>
    </row>
    <row r="99" spans="1:5">
      <c r="A99">
        <v>13</v>
      </c>
      <c r="B99" t="s">
        <v>4299</v>
      </c>
      <c r="C99" t="s">
        <v>28</v>
      </c>
      <c r="D99" t="s">
        <v>155</v>
      </c>
      <c r="E99" s="129" t="s">
        <v>4358</v>
      </c>
    </row>
    <row r="100" spans="1:5">
      <c r="A100">
        <v>13</v>
      </c>
      <c r="B100" t="s">
        <v>4299</v>
      </c>
      <c r="C100" t="s">
        <v>28</v>
      </c>
      <c r="D100" t="s">
        <v>156</v>
      </c>
      <c r="E100" s="129" t="s">
        <v>4358</v>
      </c>
    </row>
    <row r="101" spans="1:5">
      <c r="A101">
        <v>13</v>
      </c>
      <c r="B101" t="s">
        <v>4299</v>
      </c>
      <c r="C101" t="s">
        <v>28</v>
      </c>
      <c r="D101" t="s">
        <v>159</v>
      </c>
      <c r="E101" s="129" t="s">
        <v>4358</v>
      </c>
    </row>
    <row r="102" spans="1:5">
      <c r="A102">
        <v>13</v>
      </c>
      <c r="B102" t="s">
        <v>4299</v>
      </c>
      <c r="C102" t="s">
        <v>28</v>
      </c>
      <c r="D102" t="s">
        <v>160</v>
      </c>
      <c r="E102" s="129" t="s">
        <v>4358</v>
      </c>
    </row>
    <row r="103" spans="1:5">
      <c r="A103">
        <v>14</v>
      </c>
      <c r="B103" t="s">
        <v>4299</v>
      </c>
      <c r="C103" t="s">
        <v>28</v>
      </c>
      <c r="D103" t="s">
        <v>166</v>
      </c>
      <c r="E103" s="129" t="s">
        <v>4358</v>
      </c>
    </row>
    <row r="104" spans="1:5">
      <c r="A104">
        <v>14</v>
      </c>
      <c r="B104" t="s">
        <v>4299</v>
      </c>
      <c r="C104" t="s">
        <v>28</v>
      </c>
      <c r="D104" t="s">
        <v>168</v>
      </c>
      <c r="E104" s="129" t="s">
        <v>4358</v>
      </c>
    </row>
    <row r="105" spans="1:5">
      <c r="A105">
        <v>14</v>
      </c>
      <c r="B105" t="s">
        <v>4299</v>
      </c>
      <c r="C105" t="s">
        <v>28</v>
      </c>
      <c r="D105" t="s">
        <v>169</v>
      </c>
      <c r="E105" s="129" t="s">
        <v>4358</v>
      </c>
    </row>
    <row r="106" spans="1:5">
      <c r="A106">
        <v>14</v>
      </c>
      <c r="B106" t="s">
        <v>4299</v>
      </c>
      <c r="C106" t="s">
        <v>28</v>
      </c>
      <c r="D106" t="s">
        <v>170</v>
      </c>
      <c r="E106" s="129" t="s">
        <v>4358</v>
      </c>
    </row>
    <row r="107" spans="1:5">
      <c r="A107">
        <v>14</v>
      </c>
      <c r="B107" t="s">
        <v>4299</v>
      </c>
      <c r="C107" t="s">
        <v>28</v>
      </c>
      <c r="D107" t="s">
        <v>171</v>
      </c>
      <c r="E107" s="129" t="s">
        <v>4358</v>
      </c>
    </row>
    <row r="108" spans="1:5">
      <c r="A108">
        <v>15</v>
      </c>
      <c r="B108" t="s">
        <v>4299</v>
      </c>
      <c r="C108" t="s">
        <v>28</v>
      </c>
      <c r="D108" t="s">
        <v>174</v>
      </c>
      <c r="E108" s="129" t="s">
        <v>4358</v>
      </c>
    </row>
    <row r="109" spans="1:5">
      <c r="A109">
        <v>15</v>
      </c>
      <c r="B109" t="s">
        <v>4299</v>
      </c>
      <c r="C109" t="s">
        <v>28</v>
      </c>
      <c r="D109" t="s">
        <v>176</v>
      </c>
      <c r="E109" s="129" t="s">
        <v>4358</v>
      </c>
    </row>
    <row r="110" spans="1:5">
      <c r="A110">
        <v>15</v>
      </c>
      <c r="B110" t="s">
        <v>4299</v>
      </c>
      <c r="C110" t="s">
        <v>28</v>
      </c>
      <c r="D110" t="s">
        <v>177</v>
      </c>
      <c r="E110" s="129" t="s">
        <v>4358</v>
      </c>
    </row>
    <row r="111" spans="1:5">
      <c r="A111">
        <v>15</v>
      </c>
      <c r="B111" t="s">
        <v>4299</v>
      </c>
      <c r="C111" t="s">
        <v>28</v>
      </c>
      <c r="D111" t="s">
        <v>178</v>
      </c>
      <c r="E111" s="129" t="s">
        <v>4358</v>
      </c>
    </row>
    <row r="112" spans="1:5">
      <c r="A112">
        <v>15</v>
      </c>
      <c r="B112" t="s">
        <v>4299</v>
      </c>
      <c r="C112" t="s">
        <v>28</v>
      </c>
      <c r="D112" t="s">
        <v>179</v>
      </c>
      <c r="E112" s="129" t="s">
        <v>4358</v>
      </c>
    </row>
    <row r="113" spans="1:5">
      <c r="A113">
        <v>16</v>
      </c>
      <c r="B113" t="s">
        <v>4299</v>
      </c>
      <c r="C113" t="s">
        <v>27</v>
      </c>
      <c r="D113" t="s">
        <v>184</v>
      </c>
      <c r="E113" s="129" t="s">
        <v>4349</v>
      </c>
    </row>
    <row r="114" spans="1:5">
      <c r="A114">
        <v>16</v>
      </c>
      <c r="B114" t="s">
        <v>4299</v>
      </c>
      <c r="C114" t="s">
        <v>27</v>
      </c>
      <c r="D114" t="s">
        <v>181</v>
      </c>
      <c r="E114" s="129" t="s">
        <v>4349</v>
      </c>
    </row>
    <row r="115" spans="1:5">
      <c r="A115">
        <v>16</v>
      </c>
      <c r="B115" t="s">
        <v>4299</v>
      </c>
      <c r="C115" t="s">
        <v>27</v>
      </c>
      <c r="D115" t="s">
        <v>183</v>
      </c>
      <c r="E115" s="129" t="s">
        <v>4349</v>
      </c>
    </row>
    <row r="116" spans="1:5">
      <c r="A116">
        <v>18</v>
      </c>
      <c r="B116" t="s">
        <v>4299</v>
      </c>
      <c r="C116" t="s">
        <v>28</v>
      </c>
      <c r="D116" t="s">
        <v>216</v>
      </c>
      <c r="E116" s="129" t="s">
        <v>4356</v>
      </c>
    </row>
    <row r="117" spans="1:5">
      <c r="A117">
        <v>18</v>
      </c>
      <c r="B117" t="s">
        <v>4299</v>
      </c>
      <c r="C117" t="s">
        <v>28</v>
      </c>
      <c r="D117" t="s">
        <v>219</v>
      </c>
      <c r="E117" s="129" t="s">
        <v>4356</v>
      </c>
    </row>
    <row r="118" spans="1:5">
      <c r="A118">
        <v>18</v>
      </c>
      <c r="B118" t="s">
        <v>4299</v>
      </c>
      <c r="C118" t="s">
        <v>28</v>
      </c>
      <c r="D118" t="s">
        <v>220</v>
      </c>
      <c r="E118" s="129" t="s">
        <v>4356</v>
      </c>
    </row>
    <row r="119" spans="1:5">
      <c r="A119">
        <v>18</v>
      </c>
      <c r="B119" t="s">
        <v>4299</v>
      </c>
      <c r="C119" t="s">
        <v>28</v>
      </c>
      <c r="D119" t="s">
        <v>221</v>
      </c>
      <c r="E119" s="129" t="s">
        <v>4356</v>
      </c>
    </row>
    <row r="120" spans="1:5">
      <c r="A120">
        <v>18</v>
      </c>
      <c r="B120" t="s">
        <v>4299</v>
      </c>
      <c r="C120" t="s">
        <v>28</v>
      </c>
      <c r="D120" t="s">
        <v>222</v>
      </c>
      <c r="E120" s="129" t="s">
        <v>4356</v>
      </c>
    </row>
    <row r="121" spans="1:5">
      <c r="A121">
        <v>20</v>
      </c>
      <c r="B121" t="s">
        <v>4299</v>
      </c>
      <c r="C121" t="s">
        <v>28</v>
      </c>
      <c r="D121" t="s">
        <v>228</v>
      </c>
      <c r="E121" s="129" t="s">
        <v>4356</v>
      </c>
    </row>
    <row r="122" spans="1:5">
      <c r="A122">
        <v>20</v>
      </c>
      <c r="B122" t="s">
        <v>4299</v>
      </c>
      <c r="C122" t="s">
        <v>28</v>
      </c>
      <c r="D122" t="s">
        <v>230</v>
      </c>
      <c r="E122" s="129" t="s">
        <v>4356</v>
      </c>
    </row>
    <row r="123" spans="1:5">
      <c r="A123">
        <v>20</v>
      </c>
      <c r="B123" t="s">
        <v>4299</v>
      </c>
      <c r="C123" t="s">
        <v>28</v>
      </c>
      <c r="D123" t="s">
        <v>231</v>
      </c>
      <c r="E123" s="129" t="s">
        <v>4356</v>
      </c>
    </row>
    <row r="124" spans="1:5">
      <c r="A124">
        <v>20</v>
      </c>
      <c r="B124" t="s">
        <v>4299</v>
      </c>
      <c r="C124" t="s">
        <v>28</v>
      </c>
      <c r="D124" t="s">
        <v>232</v>
      </c>
      <c r="E124" s="129" t="s">
        <v>4356</v>
      </c>
    </row>
    <row r="125" spans="1:5">
      <c r="A125">
        <v>20</v>
      </c>
      <c r="B125" t="s">
        <v>4299</v>
      </c>
      <c r="C125" t="s">
        <v>28</v>
      </c>
      <c r="D125" t="s">
        <v>233</v>
      </c>
      <c r="E125" s="129" t="s">
        <v>4356</v>
      </c>
    </row>
    <row r="126" spans="1:5">
      <c r="A126">
        <v>22</v>
      </c>
      <c r="B126" t="s">
        <v>4299</v>
      </c>
      <c r="C126" t="s">
        <v>28</v>
      </c>
      <c r="D126" t="s">
        <v>248</v>
      </c>
      <c r="E126" s="129" t="s">
        <v>4356</v>
      </c>
    </row>
    <row r="127" spans="1:5">
      <c r="A127">
        <v>22</v>
      </c>
      <c r="B127" t="s">
        <v>4299</v>
      </c>
      <c r="C127" t="s">
        <v>28</v>
      </c>
      <c r="D127" t="s">
        <v>250</v>
      </c>
      <c r="E127" s="129" t="s">
        <v>4356</v>
      </c>
    </row>
    <row r="128" spans="1:5">
      <c r="A128">
        <v>22</v>
      </c>
      <c r="B128" t="s">
        <v>4299</v>
      </c>
      <c r="C128" t="s">
        <v>28</v>
      </c>
      <c r="D128" t="s">
        <v>251</v>
      </c>
      <c r="E128" s="129" t="s">
        <v>4356</v>
      </c>
    </row>
    <row r="129" spans="1:5">
      <c r="A129">
        <v>22</v>
      </c>
      <c r="B129" t="s">
        <v>4299</v>
      </c>
      <c r="C129" t="s">
        <v>28</v>
      </c>
      <c r="D129" t="s">
        <v>252</v>
      </c>
      <c r="E129" s="129" t="s">
        <v>4356</v>
      </c>
    </row>
    <row r="130" spans="1:5">
      <c r="A130">
        <v>22</v>
      </c>
      <c r="B130" t="s">
        <v>4299</v>
      </c>
      <c r="C130" t="s">
        <v>28</v>
      </c>
      <c r="D130" t="s">
        <v>254</v>
      </c>
      <c r="E130" s="129" t="s">
        <v>4356</v>
      </c>
    </row>
    <row r="131" spans="1:5">
      <c r="A131">
        <v>23</v>
      </c>
      <c r="B131" t="s">
        <v>4299</v>
      </c>
      <c r="C131" t="s">
        <v>28</v>
      </c>
      <c r="D131" t="s">
        <v>255</v>
      </c>
      <c r="E131" s="129" t="s">
        <v>4356</v>
      </c>
    </row>
    <row r="132" spans="1:5">
      <c r="A132">
        <v>23</v>
      </c>
      <c r="B132" t="s">
        <v>4299</v>
      </c>
      <c r="C132" t="s">
        <v>28</v>
      </c>
      <c r="D132" t="s">
        <v>257</v>
      </c>
      <c r="E132" s="129" t="s">
        <v>4356</v>
      </c>
    </row>
    <row r="133" spans="1:5">
      <c r="A133">
        <v>23</v>
      </c>
      <c r="B133" t="s">
        <v>4299</v>
      </c>
      <c r="C133" t="s">
        <v>28</v>
      </c>
      <c r="D133" t="s">
        <v>258</v>
      </c>
      <c r="E133" s="129" t="s">
        <v>4356</v>
      </c>
    </row>
    <row r="134" spans="1:5">
      <c r="A134">
        <v>23</v>
      </c>
      <c r="B134" t="s">
        <v>4299</v>
      </c>
      <c r="C134" t="s">
        <v>28</v>
      </c>
      <c r="D134" t="s">
        <v>259</v>
      </c>
      <c r="E134" s="129" t="s">
        <v>4356</v>
      </c>
    </row>
    <row r="135" spans="1:5">
      <c r="A135">
        <v>23</v>
      </c>
      <c r="B135" t="s">
        <v>4299</v>
      </c>
      <c r="C135" t="s">
        <v>28</v>
      </c>
      <c r="D135" t="s">
        <v>260</v>
      </c>
      <c r="E135" s="129" t="s">
        <v>4356</v>
      </c>
    </row>
    <row r="136" spans="1:5">
      <c r="A136">
        <v>23</v>
      </c>
      <c r="B136" t="s">
        <v>4299</v>
      </c>
      <c r="C136" t="s">
        <v>28</v>
      </c>
      <c r="D136" t="s">
        <v>261</v>
      </c>
      <c r="E136" s="129" t="s">
        <v>4356</v>
      </c>
    </row>
    <row r="137" spans="1:5">
      <c r="A137">
        <v>23</v>
      </c>
      <c r="B137" t="s">
        <v>4299</v>
      </c>
      <c r="C137" t="s">
        <v>28</v>
      </c>
      <c r="D137" t="s">
        <v>263</v>
      </c>
      <c r="E137" s="129" t="s">
        <v>4356</v>
      </c>
    </row>
    <row r="138" spans="1:5">
      <c r="A138">
        <v>25</v>
      </c>
      <c r="B138" t="s">
        <v>4299</v>
      </c>
      <c r="C138" t="s">
        <v>28</v>
      </c>
      <c r="D138" t="s">
        <v>295</v>
      </c>
      <c r="E138" s="129" t="s">
        <v>4356</v>
      </c>
    </row>
    <row r="139" spans="1:5">
      <c r="A139">
        <v>25</v>
      </c>
      <c r="B139" t="s">
        <v>4299</v>
      </c>
      <c r="C139" t="s">
        <v>28</v>
      </c>
      <c r="D139" t="s">
        <v>297</v>
      </c>
      <c r="E139" s="129" t="s">
        <v>4356</v>
      </c>
    </row>
    <row r="140" spans="1:5">
      <c r="A140">
        <v>25</v>
      </c>
      <c r="B140" t="s">
        <v>4299</v>
      </c>
      <c r="C140" t="s">
        <v>28</v>
      </c>
      <c r="D140" t="s">
        <v>298</v>
      </c>
      <c r="E140" s="129" t="s">
        <v>4356</v>
      </c>
    </row>
    <row r="141" spans="1:5">
      <c r="A141">
        <v>25</v>
      </c>
      <c r="B141" t="s">
        <v>4299</v>
      </c>
      <c r="C141" t="s">
        <v>28</v>
      </c>
      <c r="D141" t="s">
        <v>299</v>
      </c>
      <c r="E141" s="129" t="s">
        <v>4356</v>
      </c>
    </row>
    <row r="142" spans="1:5">
      <c r="A142">
        <v>25</v>
      </c>
      <c r="B142" t="s">
        <v>4299</v>
      </c>
      <c r="C142" t="s">
        <v>28</v>
      </c>
      <c r="D142" t="s">
        <v>300</v>
      </c>
      <c r="E142" s="129" t="s">
        <v>4356</v>
      </c>
    </row>
    <row r="143" spans="1:5">
      <c r="A143">
        <v>27</v>
      </c>
      <c r="B143" t="s">
        <v>4299</v>
      </c>
      <c r="C143" t="s">
        <v>28</v>
      </c>
      <c r="D143" t="s">
        <v>323</v>
      </c>
      <c r="E143" s="129" t="s">
        <v>4356</v>
      </c>
    </row>
    <row r="144" spans="1:5">
      <c r="A144">
        <v>27</v>
      </c>
      <c r="B144" t="s">
        <v>4299</v>
      </c>
      <c r="C144" t="s">
        <v>28</v>
      </c>
      <c r="D144" t="s">
        <v>325</v>
      </c>
      <c r="E144" s="129" t="s">
        <v>4356</v>
      </c>
    </row>
    <row r="145" spans="1:5">
      <c r="A145">
        <v>27</v>
      </c>
      <c r="B145" t="s">
        <v>4299</v>
      </c>
      <c r="C145" t="s">
        <v>28</v>
      </c>
      <c r="D145" t="s">
        <v>326</v>
      </c>
      <c r="E145" s="129" t="s">
        <v>4356</v>
      </c>
    </row>
    <row r="146" spans="1:5">
      <c r="A146">
        <v>27</v>
      </c>
      <c r="B146" t="s">
        <v>4299</v>
      </c>
      <c r="C146" t="s">
        <v>28</v>
      </c>
      <c r="D146" t="s">
        <v>327</v>
      </c>
      <c r="E146" s="129" t="s">
        <v>4356</v>
      </c>
    </row>
    <row r="147" spans="1:5">
      <c r="A147">
        <v>27</v>
      </c>
      <c r="B147" t="s">
        <v>4299</v>
      </c>
      <c r="C147" t="s">
        <v>28</v>
      </c>
      <c r="D147" t="s">
        <v>328</v>
      </c>
      <c r="E147" s="129" t="s">
        <v>4356</v>
      </c>
    </row>
    <row r="148" spans="1:5">
      <c r="A148">
        <v>31</v>
      </c>
      <c r="B148" t="s">
        <v>4300</v>
      </c>
      <c r="C148" t="s">
        <v>28</v>
      </c>
      <c r="D148" t="s">
        <v>364</v>
      </c>
      <c r="E148" s="1" t="s">
        <v>4356</v>
      </c>
    </row>
    <row r="149" spans="1:5">
      <c r="A149">
        <v>31</v>
      </c>
      <c r="B149" t="s">
        <v>4300</v>
      </c>
      <c r="C149" t="s">
        <v>28</v>
      </c>
      <c r="D149" t="s">
        <v>366</v>
      </c>
      <c r="E149" s="1" t="s">
        <v>4356</v>
      </c>
    </row>
    <row r="150" spans="1:5">
      <c r="A150">
        <v>31</v>
      </c>
      <c r="B150" t="s">
        <v>4300</v>
      </c>
      <c r="C150" t="s">
        <v>28</v>
      </c>
      <c r="D150" t="s">
        <v>367</v>
      </c>
      <c r="E150" s="1" t="s">
        <v>4356</v>
      </c>
    </row>
    <row r="151" spans="1:5">
      <c r="A151">
        <v>31</v>
      </c>
      <c r="B151" t="s">
        <v>4300</v>
      </c>
      <c r="C151" t="s">
        <v>28</v>
      </c>
      <c r="D151" t="s">
        <v>368</v>
      </c>
      <c r="E151" s="1" t="s">
        <v>4356</v>
      </c>
    </row>
    <row r="152" spans="1:5">
      <c r="A152">
        <v>31</v>
      </c>
      <c r="B152" t="s">
        <v>4300</v>
      </c>
      <c r="C152" t="s">
        <v>28</v>
      </c>
      <c r="D152" t="s">
        <v>369</v>
      </c>
      <c r="E152" s="1" t="s">
        <v>4356</v>
      </c>
    </row>
    <row r="153" spans="1:5">
      <c r="A153">
        <v>42</v>
      </c>
      <c r="B153" t="s">
        <v>4300</v>
      </c>
      <c r="C153" t="s">
        <v>28</v>
      </c>
      <c r="D153" t="s">
        <v>419</v>
      </c>
      <c r="E153" s="1" t="s">
        <v>4355</v>
      </c>
    </row>
    <row r="154" spans="1:5">
      <c r="A154">
        <v>42</v>
      </c>
      <c r="B154" t="s">
        <v>4300</v>
      </c>
      <c r="C154" t="s">
        <v>28</v>
      </c>
      <c r="D154" t="s">
        <v>421</v>
      </c>
      <c r="E154" s="1" t="s">
        <v>4355</v>
      </c>
    </row>
    <row r="155" spans="1:5">
      <c r="A155">
        <v>42</v>
      </c>
      <c r="B155" t="s">
        <v>4300</v>
      </c>
      <c r="C155" t="s">
        <v>28</v>
      </c>
      <c r="D155" t="s">
        <v>422</v>
      </c>
      <c r="E155" s="1" t="s">
        <v>4355</v>
      </c>
    </row>
    <row r="156" spans="1:5">
      <c r="A156">
        <v>42</v>
      </c>
      <c r="B156" t="s">
        <v>4300</v>
      </c>
      <c r="C156" t="s">
        <v>28</v>
      </c>
      <c r="D156" t="s">
        <v>423</v>
      </c>
      <c r="E156" s="1" t="s">
        <v>4355</v>
      </c>
    </row>
    <row r="157" spans="1:5">
      <c r="A157">
        <v>42</v>
      </c>
      <c r="B157" t="s">
        <v>4300</v>
      </c>
      <c r="C157" t="s">
        <v>28</v>
      </c>
      <c r="D157" t="s">
        <v>424</v>
      </c>
      <c r="E157" s="1" t="s">
        <v>4355</v>
      </c>
    </row>
    <row r="158" spans="1:5">
      <c r="A158">
        <v>51</v>
      </c>
      <c r="B158" t="s">
        <v>4300</v>
      </c>
      <c r="C158" t="s">
        <v>28</v>
      </c>
      <c r="D158" t="s">
        <v>460</v>
      </c>
      <c r="E158" s="1" t="s">
        <v>4355</v>
      </c>
    </row>
    <row r="159" spans="1:5">
      <c r="A159">
        <v>51</v>
      </c>
      <c r="B159" t="s">
        <v>4300</v>
      </c>
      <c r="C159" t="s">
        <v>28</v>
      </c>
      <c r="D159" t="s">
        <v>462</v>
      </c>
      <c r="E159" s="1" t="s">
        <v>4355</v>
      </c>
    </row>
    <row r="160" spans="1:5">
      <c r="A160">
        <v>51</v>
      </c>
      <c r="B160" t="s">
        <v>4300</v>
      </c>
      <c r="C160" t="s">
        <v>28</v>
      </c>
      <c r="D160" t="s">
        <v>463</v>
      </c>
      <c r="E160" s="1" t="s">
        <v>4355</v>
      </c>
    </row>
    <row r="161" spans="1:5">
      <c r="A161">
        <v>51</v>
      </c>
      <c r="B161" t="s">
        <v>4300</v>
      </c>
      <c r="C161" t="s">
        <v>28</v>
      </c>
      <c r="D161" t="s">
        <v>464</v>
      </c>
      <c r="E161" s="1" t="s">
        <v>4355</v>
      </c>
    </row>
    <row r="162" spans="1:5">
      <c r="A162">
        <v>51</v>
      </c>
      <c r="B162" t="s">
        <v>4300</v>
      </c>
      <c r="C162" t="s">
        <v>28</v>
      </c>
      <c r="D162" t="s">
        <v>465</v>
      </c>
      <c r="E162" s="1" t="s">
        <v>4355</v>
      </c>
    </row>
    <row r="163" spans="1:5">
      <c r="A163">
        <v>65</v>
      </c>
      <c r="B163" t="s">
        <v>4300</v>
      </c>
      <c r="C163" t="s">
        <v>28</v>
      </c>
      <c r="D163" t="s">
        <v>568</v>
      </c>
      <c r="E163" t="s">
        <v>4356</v>
      </c>
    </row>
    <row r="164" spans="1:5">
      <c r="A164">
        <v>65</v>
      </c>
      <c r="B164" t="s">
        <v>4300</v>
      </c>
      <c r="C164" t="s">
        <v>28</v>
      </c>
      <c r="D164" t="s">
        <v>570</v>
      </c>
      <c r="E164" t="s">
        <v>4356</v>
      </c>
    </row>
    <row r="165" spans="1:5">
      <c r="A165">
        <v>65</v>
      </c>
      <c r="B165" t="s">
        <v>4300</v>
      </c>
      <c r="C165" t="s">
        <v>28</v>
      </c>
      <c r="D165" t="s">
        <v>571</v>
      </c>
      <c r="E165" t="s">
        <v>4356</v>
      </c>
    </row>
    <row r="166" spans="1:5">
      <c r="A166">
        <v>65</v>
      </c>
      <c r="B166" t="s">
        <v>4300</v>
      </c>
      <c r="C166" t="s">
        <v>28</v>
      </c>
      <c r="D166" t="s">
        <v>572</v>
      </c>
      <c r="E166" t="s">
        <v>4356</v>
      </c>
    </row>
    <row r="167" spans="1:5">
      <c r="A167">
        <v>66</v>
      </c>
      <c r="B167" t="s">
        <v>4300</v>
      </c>
      <c r="C167" t="s">
        <v>28</v>
      </c>
      <c r="D167" t="s">
        <v>576</v>
      </c>
      <c r="E167" t="s">
        <v>4356</v>
      </c>
    </row>
    <row r="168" spans="1:5">
      <c r="A168">
        <v>66</v>
      </c>
      <c r="B168" t="s">
        <v>4300</v>
      </c>
      <c r="C168" t="s">
        <v>28</v>
      </c>
      <c r="D168" t="s">
        <v>578</v>
      </c>
      <c r="E168" t="s">
        <v>4356</v>
      </c>
    </row>
    <row r="169" spans="1:5">
      <c r="A169">
        <v>66</v>
      </c>
      <c r="B169" t="s">
        <v>4300</v>
      </c>
      <c r="C169" t="s">
        <v>28</v>
      </c>
      <c r="D169" t="s">
        <v>579</v>
      </c>
      <c r="E169" t="s">
        <v>4356</v>
      </c>
    </row>
    <row r="170" spans="1:5">
      <c r="A170">
        <v>66</v>
      </c>
      <c r="B170" t="s">
        <v>4300</v>
      </c>
      <c r="C170" t="s">
        <v>28</v>
      </c>
      <c r="D170" t="s">
        <v>580</v>
      </c>
      <c r="E170" t="s">
        <v>4356</v>
      </c>
    </row>
    <row r="171" spans="1:5">
      <c r="A171">
        <v>66</v>
      </c>
      <c r="B171" t="s">
        <v>4300</v>
      </c>
      <c r="C171" t="s">
        <v>28</v>
      </c>
      <c r="D171" t="s">
        <v>581</v>
      </c>
      <c r="E171" t="s">
        <v>4356</v>
      </c>
    </row>
    <row r="172" spans="1:5">
      <c r="A172">
        <v>67</v>
      </c>
      <c r="B172" t="s">
        <v>4300</v>
      </c>
      <c r="C172" t="s">
        <v>28</v>
      </c>
      <c r="D172" t="s">
        <v>582</v>
      </c>
      <c r="E172" t="s">
        <v>4356</v>
      </c>
    </row>
    <row r="173" spans="1:5">
      <c r="A173">
        <v>67</v>
      </c>
      <c r="B173" t="s">
        <v>4300</v>
      </c>
      <c r="C173" t="s">
        <v>28</v>
      </c>
      <c r="D173" t="s">
        <v>584</v>
      </c>
      <c r="E173" t="s">
        <v>4356</v>
      </c>
    </row>
    <row r="174" spans="1:5">
      <c r="A174">
        <v>67</v>
      </c>
      <c r="B174" t="s">
        <v>4300</v>
      </c>
      <c r="C174" t="s">
        <v>28</v>
      </c>
      <c r="D174" t="s">
        <v>585</v>
      </c>
      <c r="E174" t="s">
        <v>4356</v>
      </c>
    </row>
    <row r="175" spans="1:5">
      <c r="A175">
        <v>67</v>
      </c>
      <c r="B175" t="s">
        <v>4300</v>
      </c>
      <c r="C175" t="s">
        <v>28</v>
      </c>
      <c r="D175" t="s">
        <v>586</v>
      </c>
      <c r="E175" t="s">
        <v>4356</v>
      </c>
    </row>
    <row r="176" spans="1:5">
      <c r="A176">
        <v>69</v>
      </c>
      <c r="B176" t="s">
        <v>4300</v>
      </c>
      <c r="C176" t="s">
        <v>28</v>
      </c>
      <c r="D176" t="s">
        <v>601</v>
      </c>
      <c r="E176" s="1" t="s">
        <v>4356</v>
      </c>
    </row>
    <row r="177" spans="1:5">
      <c r="A177">
        <v>69</v>
      </c>
      <c r="B177" t="s">
        <v>4300</v>
      </c>
      <c r="C177" t="s">
        <v>28</v>
      </c>
      <c r="D177" t="s">
        <v>603</v>
      </c>
      <c r="E177" s="1" t="s">
        <v>4356</v>
      </c>
    </row>
    <row r="178" spans="1:5">
      <c r="A178">
        <v>69</v>
      </c>
      <c r="B178" t="s">
        <v>4300</v>
      </c>
      <c r="C178" t="s">
        <v>28</v>
      </c>
      <c r="D178" t="s">
        <v>604</v>
      </c>
      <c r="E178" s="1" t="s">
        <v>4356</v>
      </c>
    </row>
    <row r="179" spans="1:5">
      <c r="A179">
        <v>69</v>
      </c>
      <c r="B179" t="s">
        <v>4300</v>
      </c>
      <c r="C179" t="s">
        <v>28</v>
      </c>
      <c r="D179" t="s">
        <v>605</v>
      </c>
      <c r="E179" s="1" t="s">
        <v>4356</v>
      </c>
    </row>
    <row r="180" spans="1:5">
      <c r="A180">
        <v>70</v>
      </c>
      <c r="B180" t="s">
        <v>4300</v>
      </c>
      <c r="C180" t="s">
        <v>28</v>
      </c>
      <c r="D180" t="s">
        <v>612</v>
      </c>
      <c r="E180" s="1" t="s">
        <v>4356</v>
      </c>
    </row>
    <row r="181" spans="1:5">
      <c r="A181">
        <v>70</v>
      </c>
      <c r="B181" t="s">
        <v>4300</v>
      </c>
      <c r="C181" t="s">
        <v>28</v>
      </c>
      <c r="D181" t="s">
        <v>645</v>
      </c>
      <c r="E181" s="1" t="s">
        <v>4356</v>
      </c>
    </row>
    <row r="182" spans="1:5">
      <c r="A182">
        <v>70</v>
      </c>
      <c r="B182" t="s">
        <v>4300</v>
      </c>
      <c r="C182" t="s">
        <v>28</v>
      </c>
      <c r="D182" t="s">
        <v>646</v>
      </c>
      <c r="E182" s="1" t="s">
        <v>4356</v>
      </c>
    </row>
    <row r="183" spans="1:5">
      <c r="A183">
        <v>70</v>
      </c>
      <c r="B183" t="s">
        <v>4300</v>
      </c>
      <c r="C183" t="s">
        <v>28</v>
      </c>
      <c r="D183" t="s">
        <v>647</v>
      </c>
      <c r="E183" s="1" t="s">
        <v>4356</v>
      </c>
    </row>
    <row r="184" spans="1:5">
      <c r="A184">
        <v>70</v>
      </c>
      <c r="B184" t="s">
        <v>4300</v>
      </c>
      <c r="C184" t="s">
        <v>28</v>
      </c>
      <c r="D184" t="s">
        <v>719</v>
      </c>
      <c r="E184" s="1" t="s">
        <v>4356</v>
      </c>
    </row>
    <row r="185" spans="1:5">
      <c r="A185">
        <v>73</v>
      </c>
      <c r="B185" t="s">
        <v>4300</v>
      </c>
      <c r="C185" t="s">
        <v>28</v>
      </c>
      <c r="D185" t="s">
        <v>651</v>
      </c>
      <c r="E185" s="1" t="s">
        <v>4356</v>
      </c>
    </row>
    <row r="186" spans="1:5">
      <c r="A186">
        <v>73</v>
      </c>
      <c r="B186" t="s">
        <v>4300</v>
      </c>
      <c r="C186" t="s">
        <v>28</v>
      </c>
      <c r="D186" t="s">
        <v>653</v>
      </c>
      <c r="E186" s="1" t="s">
        <v>4356</v>
      </c>
    </row>
    <row r="187" spans="1:5">
      <c r="A187">
        <v>73</v>
      </c>
      <c r="B187" t="s">
        <v>4300</v>
      </c>
      <c r="C187" t="s">
        <v>28</v>
      </c>
      <c r="D187" t="s">
        <v>654</v>
      </c>
      <c r="E187" s="1" t="s">
        <v>4356</v>
      </c>
    </row>
    <row r="188" spans="1:5">
      <c r="A188">
        <v>73</v>
      </c>
      <c r="B188" t="s">
        <v>4300</v>
      </c>
      <c r="C188" t="s">
        <v>28</v>
      </c>
      <c r="D188" t="s">
        <v>655</v>
      </c>
      <c r="E188" s="1" t="s">
        <v>4356</v>
      </c>
    </row>
    <row r="189" spans="1:5">
      <c r="A189">
        <v>73</v>
      </c>
      <c r="B189" t="s">
        <v>4300</v>
      </c>
      <c r="C189" t="s">
        <v>28</v>
      </c>
      <c r="D189" t="s">
        <v>656</v>
      </c>
      <c r="E189" s="1" t="s">
        <v>4356</v>
      </c>
    </row>
    <row r="190" spans="1:5">
      <c r="A190">
        <v>205</v>
      </c>
      <c r="B190" t="s">
        <v>4300</v>
      </c>
      <c r="C190" t="s">
        <v>27</v>
      </c>
      <c r="D190" t="s">
        <v>1294</v>
      </c>
      <c r="E190" s="129" t="s">
        <v>4353</v>
      </c>
    </row>
    <row r="191" spans="1:5">
      <c r="A191">
        <v>205</v>
      </c>
      <c r="B191" t="s">
        <v>4300</v>
      </c>
      <c r="C191" t="s">
        <v>27</v>
      </c>
      <c r="D191" t="s">
        <v>1295</v>
      </c>
      <c r="E191" s="129" t="s">
        <v>4353</v>
      </c>
    </row>
    <row r="192" spans="1:5">
      <c r="A192">
        <v>205</v>
      </c>
      <c r="B192" t="s">
        <v>4300</v>
      </c>
      <c r="C192" t="s">
        <v>27</v>
      </c>
      <c r="D192" t="s">
        <v>1296</v>
      </c>
      <c r="E192" s="129" t="s">
        <v>4353</v>
      </c>
    </row>
    <row r="193" spans="1:5">
      <c r="A193">
        <v>206</v>
      </c>
      <c r="B193" t="s">
        <v>4300</v>
      </c>
      <c r="C193" t="s">
        <v>27</v>
      </c>
      <c r="D193" t="s">
        <v>1303</v>
      </c>
      <c r="E193" s="129" t="s">
        <v>4353</v>
      </c>
    </row>
    <row r="194" spans="1:5">
      <c r="A194">
        <v>206</v>
      </c>
      <c r="B194" t="s">
        <v>4300</v>
      </c>
      <c r="C194" t="s">
        <v>27</v>
      </c>
      <c r="D194" t="s">
        <v>1304</v>
      </c>
      <c r="E194" s="129" t="s">
        <v>4353</v>
      </c>
    </row>
    <row r="195" spans="1:5">
      <c r="A195">
        <v>206</v>
      </c>
      <c r="B195" t="s">
        <v>4300</v>
      </c>
      <c r="C195" t="s">
        <v>27</v>
      </c>
      <c r="D195" t="s">
        <v>1305</v>
      </c>
      <c r="E195" s="129" t="s">
        <v>4353</v>
      </c>
    </row>
    <row r="196" spans="1:5">
      <c r="A196">
        <v>207</v>
      </c>
      <c r="B196" t="s">
        <v>4300</v>
      </c>
      <c r="C196" t="s">
        <v>27</v>
      </c>
      <c r="D196" t="s">
        <v>1311</v>
      </c>
      <c r="E196" s="129" t="s">
        <v>4353</v>
      </c>
    </row>
    <row r="197" spans="1:5">
      <c r="A197">
        <v>207</v>
      </c>
      <c r="B197" t="s">
        <v>4300</v>
      </c>
      <c r="C197" t="s">
        <v>27</v>
      </c>
      <c r="D197" t="s">
        <v>1312</v>
      </c>
      <c r="E197" s="129" t="s">
        <v>4353</v>
      </c>
    </row>
    <row r="198" spans="1:5">
      <c r="A198">
        <v>207</v>
      </c>
      <c r="B198" t="s">
        <v>4300</v>
      </c>
      <c r="C198" t="s">
        <v>27</v>
      </c>
      <c r="D198" t="s">
        <v>1313</v>
      </c>
      <c r="E198" s="129" t="s">
        <v>4353</v>
      </c>
    </row>
    <row r="199" spans="1:5">
      <c r="A199">
        <v>209</v>
      </c>
      <c r="B199" t="s">
        <v>4300</v>
      </c>
      <c r="C199" t="s">
        <v>27</v>
      </c>
      <c r="D199" t="s">
        <v>1327</v>
      </c>
      <c r="E199" s="129" t="s">
        <v>4353</v>
      </c>
    </row>
    <row r="200" spans="1:5">
      <c r="A200">
        <v>209</v>
      </c>
      <c r="B200" t="s">
        <v>4300</v>
      </c>
      <c r="C200" t="s">
        <v>27</v>
      </c>
      <c r="D200" t="s">
        <v>1329</v>
      </c>
      <c r="E200" s="129" t="s">
        <v>4353</v>
      </c>
    </row>
    <row r="201" spans="1:5">
      <c r="A201">
        <v>209</v>
      </c>
      <c r="B201" t="s">
        <v>4300</v>
      </c>
      <c r="C201" t="s">
        <v>27</v>
      </c>
      <c r="D201" t="s">
        <v>1330</v>
      </c>
      <c r="E201" s="129" t="s">
        <v>4353</v>
      </c>
    </row>
    <row r="202" spans="1:5">
      <c r="A202">
        <v>210</v>
      </c>
      <c r="B202" t="s">
        <v>4300</v>
      </c>
      <c r="C202" t="s">
        <v>28</v>
      </c>
      <c r="D202" t="s">
        <v>1331</v>
      </c>
      <c r="E202" s="129" t="s">
        <v>4353</v>
      </c>
    </row>
    <row r="203" spans="1:5">
      <c r="A203">
        <v>210</v>
      </c>
      <c r="B203" t="s">
        <v>4300</v>
      </c>
      <c r="C203" t="s">
        <v>28</v>
      </c>
      <c r="D203" t="s">
        <v>1333</v>
      </c>
      <c r="E203" s="129" t="s">
        <v>4353</v>
      </c>
    </row>
    <row r="204" spans="1:5">
      <c r="A204">
        <v>210</v>
      </c>
      <c r="B204" t="s">
        <v>4300</v>
      </c>
      <c r="C204" t="s">
        <v>28</v>
      </c>
      <c r="D204" t="s">
        <v>1334</v>
      </c>
      <c r="E204" s="129" t="s">
        <v>4353</v>
      </c>
    </row>
    <row r="205" spans="1:5">
      <c r="A205">
        <v>212</v>
      </c>
      <c r="B205" t="s">
        <v>4300</v>
      </c>
      <c r="C205" t="s">
        <v>27</v>
      </c>
      <c r="D205" t="s">
        <v>1338</v>
      </c>
      <c r="E205" s="129" t="s">
        <v>4353</v>
      </c>
    </row>
    <row r="206" spans="1:5">
      <c r="A206">
        <v>212</v>
      </c>
      <c r="B206" t="s">
        <v>4300</v>
      </c>
      <c r="C206" t="s">
        <v>27</v>
      </c>
      <c r="D206" t="s">
        <v>1340</v>
      </c>
      <c r="E206" s="129" t="s">
        <v>4353</v>
      </c>
    </row>
    <row r="207" spans="1:5">
      <c r="A207">
        <v>212</v>
      </c>
      <c r="B207" t="s">
        <v>4300</v>
      </c>
      <c r="C207" t="s">
        <v>27</v>
      </c>
      <c r="D207" t="s">
        <v>1341</v>
      </c>
      <c r="E207" s="129" t="s">
        <v>4353</v>
      </c>
    </row>
    <row r="208" spans="1:5">
      <c r="A208">
        <v>217</v>
      </c>
      <c r="B208" t="s">
        <v>4300</v>
      </c>
      <c r="C208" t="s">
        <v>27</v>
      </c>
      <c r="D208" t="s">
        <v>1374</v>
      </c>
      <c r="E208" s="129" t="s">
        <v>4353</v>
      </c>
    </row>
    <row r="209" spans="1:5">
      <c r="A209">
        <v>217</v>
      </c>
      <c r="B209" t="s">
        <v>4300</v>
      </c>
      <c r="C209" t="s">
        <v>27</v>
      </c>
      <c r="D209" t="s">
        <v>1375</v>
      </c>
      <c r="E209" s="129" t="s">
        <v>4353</v>
      </c>
    </row>
    <row r="210" spans="1:5">
      <c r="A210">
        <v>217</v>
      </c>
      <c r="B210" t="s">
        <v>4300</v>
      </c>
      <c r="C210" t="s">
        <v>27</v>
      </c>
      <c r="D210" t="s">
        <v>1376</v>
      </c>
      <c r="E210" s="129" t="s">
        <v>4353</v>
      </c>
    </row>
    <row r="211" spans="1:5">
      <c r="A211">
        <v>221</v>
      </c>
      <c r="B211" t="s">
        <v>4300</v>
      </c>
      <c r="C211" t="s">
        <v>28</v>
      </c>
      <c r="D211" t="s">
        <v>1394</v>
      </c>
      <c r="E211" s="129" t="s">
        <v>4355</v>
      </c>
    </row>
    <row r="212" spans="1:5">
      <c r="A212">
        <v>221</v>
      </c>
      <c r="B212" t="s">
        <v>4300</v>
      </c>
      <c r="C212" t="s">
        <v>28</v>
      </c>
      <c r="D212" t="s">
        <v>1396</v>
      </c>
      <c r="E212" s="129" t="s">
        <v>4355</v>
      </c>
    </row>
    <row r="213" spans="1:5">
      <c r="A213">
        <v>221</v>
      </c>
      <c r="B213" t="s">
        <v>4300</v>
      </c>
      <c r="C213" t="s">
        <v>28</v>
      </c>
      <c r="D213" t="s">
        <v>1397</v>
      </c>
      <c r="E213" s="129" t="s">
        <v>4355</v>
      </c>
    </row>
    <row r="214" spans="1:5">
      <c r="A214">
        <v>221</v>
      </c>
      <c r="B214" t="s">
        <v>4300</v>
      </c>
      <c r="C214" t="s">
        <v>28</v>
      </c>
      <c r="D214" t="s">
        <v>1398</v>
      </c>
      <c r="E214" s="129" t="s">
        <v>4355</v>
      </c>
    </row>
    <row r="215" spans="1:5">
      <c r="A215">
        <v>221</v>
      </c>
      <c r="B215" t="s">
        <v>4300</v>
      </c>
      <c r="C215" t="s">
        <v>28</v>
      </c>
      <c r="D215" t="s">
        <v>1399</v>
      </c>
      <c r="E215" s="129" t="s">
        <v>4355</v>
      </c>
    </row>
    <row r="216" spans="1:5">
      <c r="A216">
        <v>221</v>
      </c>
      <c r="B216" t="s">
        <v>4300</v>
      </c>
      <c r="C216" t="s">
        <v>28</v>
      </c>
      <c r="D216" t="s">
        <v>1400</v>
      </c>
      <c r="E216" s="129" t="s">
        <v>4355</v>
      </c>
    </row>
    <row r="217" spans="1:5">
      <c r="A217">
        <v>223</v>
      </c>
      <c r="B217" t="s">
        <v>4300</v>
      </c>
      <c r="C217" t="s">
        <v>28</v>
      </c>
      <c r="D217" t="s">
        <v>1410</v>
      </c>
      <c r="E217" s="129" t="s">
        <v>4355</v>
      </c>
    </row>
    <row r="218" spans="1:5">
      <c r="A218">
        <v>223</v>
      </c>
      <c r="B218" t="s">
        <v>4300</v>
      </c>
      <c r="C218" t="s">
        <v>28</v>
      </c>
      <c r="D218" t="s">
        <v>1412</v>
      </c>
      <c r="E218" s="129" t="s">
        <v>4355</v>
      </c>
    </row>
    <row r="219" spans="1:5">
      <c r="A219">
        <v>223</v>
      </c>
      <c r="B219" t="s">
        <v>4300</v>
      </c>
      <c r="C219" t="s">
        <v>28</v>
      </c>
      <c r="D219" t="s">
        <v>1413</v>
      </c>
      <c r="E219" s="129" t="s">
        <v>4355</v>
      </c>
    </row>
    <row r="220" spans="1:5">
      <c r="A220">
        <v>223</v>
      </c>
      <c r="B220" t="s">
        <v>4300</v>
      </c>
      <c r="C220" t="s">
        <v>28</v>
      </c>
      <c r="D220" t="s">
        <v>1414</v>
      </c>
      <c r="E220" s="129" t="s">
        <v>4355</v>
      </c>
    </row>
    <row r="221" spans="1:5">
      <c r="A221">
        <v>223</v>
      </c>
      <c r="B221" t="s">
        <v>4300</v>
      </c>
      <c r="C221" t="s">
        <v>28</v>
      </c>
      <c r="D221" t="s">
        <v>1415</v>
      </c>
      <c r="E221" s="129" t="s">
        <v>4355</v>
      </c>
    </row>
    <row r="222" spans="1:5">
      <c r="A222">
        <v>225</v>
      </c>
      <c r="B222" t="s">
        <v>4300</v>
      </c>
      <c r="C222" t="s">
        <v>28</v>
      </c>
      <c r="D222" t="s">
        <v>1416</v>
      </c>
      <c r="E222" s="129" t="s">
        <v>4355</v>
      </c>
    </row>
    <row r="223" spans="1:5">
      <c r="A223">
        <v>225</v>
      </c>
      <c r="B223" t="s">
        <v>4300</v>
      </c>
      <c r="C223" t="s">
        <v>28</v>
      </c>
      <c r="D223" t="s">
        <v>1418</v>
      </c>
      <c r="E223" s="129" t="s">
        <v>4355</v>
      </c>
    </row>
    <row r="224" spans="1:5">
      <c r="A224">
        <v>225</v>
      </c>
      <c r="B224" t="s">
        <v>4300</v>
      </c>
      <c r="C224" t="s">
        <v>28</v>
      </c>
      <c r="D224" t="s">
        <v>1419</v>
      </c>
      <c r="E224" s="129" t="s">
        <v>4355</v>
      </c>
    </row>
    <row r="225" spans="1:5">
      <c r="A225">
        <v>225</v>
      </c>
      <c r="B225" t="s">
        <v>4300</v>
      </c>
      <c r="C225" t="s">
        <v>28</v>
      </c>
      <c r="D225" t="s">
        <v>1420</v>
      </c>
      <c r="E225" s="129" t="s">
        <v>4355</v>
      </c>
    </row>
    <row r="226" spans="1:5">
      <c r="A226">
        <v>225</v>
      </c>
      <c r="B226" t="s">
        <v>4300</v>
      </c>
      <c r="C226" t="s">
        <v>28</v>
      </c>
      <c r="D226" t="s">
        <v>1421</v>
      </c>
      <c r="E226" s="129" t="s">
        <v>4355</v>
      </c>
    </row>
    <row r="227" spans="1:5">
      <c r="A227">
        <v>229</v>
      </c>
      <c r="B227" t="s">
        <v>4300</v>
      </c>
      <c r="C227" t="s">
        <v>28</v>
      </c>
      <c r="D227" t="s">
        <v>1428</v>
      </c>
      <c r="E227" s="129" t="s">
        <v>4355</v>
      </c>
    </row>
    <row r="228" spans="1:5">
      <c r="A228">
        <v>229</v>
      </c>
      <c r="B228" t="s">
        <v>4300</v>
      </c>
      <c r="C228" t="s">
        <v>28</v>
      </c>
      <c r="D228" t="s">
        <v>1430</v>
      </c>
      <c r="E228" s="129" t="s">
        <v>4355</v>
      </c>
    </row>
    <row r="229" spans="1:5">
      <c r="A229">
        <v>229</v>
      </c>
      <c r="B229" t="s">
        <v>4300</v>
      </c>
      <c r="C229" t="s">
        <v>28</v>
      </c>
      <c r="D229" t="s">
        <v>1431</v>
      </c>
      <c r="E229" s="129" t="s">
        <v>4355</v>
      </c>
    </row>
    <row r="230" spans="1:5">
      <c r="A230">
        <v>229</v>
      </c>
      <c r="B230" t="s">
        <v>4300</v>
      </c>
      <c r="C230" t="s">
        <v>28</v>
      </c>
      <c r="D230" t="s">
        <v>1432</v>
      </c>
      <c r="E230" s="129" t="s">
        <v>4355</v>
      </c>
    </row>
    <row r="231" spans="1:5">
      <c r="A231">
        <v>229</v>
      </c>
      <c r="B231" t="s">
        <v>4300</v>
      </c>
      <c r="C231" t="s">
        <v>28</v>
      </c>
      <c r="D231" t="s">
        <v>1433</v>
      </c>
      <c r="E231" s="129" t="s">
        <v>4355</v>
      </c>
    </row>
    <row r="232" spans="1:5">
      <c r="A232">
        <v>230</v>
      </c>
      <c r="B232" t="s">
        <v>4300</v>
      </c>
      <c r="C232" t="s">
        <v>28</v>
      </c>
      <c r="D232" t="s">
        <v>1437</v>
      </c>
      <c r="E232" s="129" t="s">
        <v>4356</v>
      </c>
    </row>
    <row r="233" spans="1:5">
      <c r="A233">
        <v>230</v>
      </c>
      <c r="B233" t="s">
        <v>4300</v>
      </c>
      <c r="C233" t="s">
        <v>28</v>
      </c>
      <c r="D233" t="s">
        <v>1438</v>
      </c>
      <c r="E233" s="129" t="s">
        <v>4356</v>
      </c>
    </row>
    <row r="234" spans="1:5">
      <c r="A234">
        <v>230</v>
      </c>
      <c r="B234" t="s">
        <v>4300</v>
      </c>
      <c r="C234" t="s">
        <v>28</v>
      </c>
      <c r="D234" t="s">
        <v>1439</v>
      </c>
      <c r="E234" s="129" t="s">
        <v>4356</v>
      </c>
    </row>
    <row r="235" spans="1:5">
      <c r="A235">
        <v>230</v>
      </c>
      <c r="B235" t="s">
        <v>4300</v>
      </c>
      <c r="C235" t="s">
        <v>28</v>
      </c>
      <c r="D235" t="s">
        <v>1440</v>
      </c>
      <c r="E235" s="129" t="s">
        <v>4356</v>
      </c>
    </row>
    <row r="236" spans="1:5">
      <c r="A236">
        <v>230</v>
      </c>
      <c r="B236" t="s">
        <v>4300</v>
      </c>
      <c r="C236" t="s">
        <v>28</v>
      </c>
      <c r="D236" t="s">
        <v>1441</v>
      </c>
      <c r="E236" s="129" t="s">
        <v>4356</v>
      </c>
    </row>
    <row r="237" spans="1:5">
      <c r="A237">
        <v>235</v>
      </c>
      <c r="B237" t="s">
        <v>4300</v>
      </c>
      <c r="C237" t="s">
        <v>28</v>
      </c>
      <c r="D237" t="s">
        <v>1452</v>
      </c>
      <c r="E237" s="129" t="s">
        <v>4355</v>
      </c>
    </row>
    <row r="238" spans="1:5">
      <c r="A238">
        <v>235</v>
      </c>
      <c r="B238" t="s">
        <v>4300</v>
      </c>
      <c r="C238" t="s">
        <v>28</v>
      </c>
      <c r="D238" t="s">
        <v>1453</v>
      </c>
      <c r="E238" s="129" t="s">
        <v>4355</v>
      </c>
    </row>
    <row r="239" spans="1:5">
      <c r="A239">
        <v>235</v>
      </c>
      <c r="B239" t="s">
        <v>4300</v>
      </c>
      <c r="C239" t="s">
        <v>28</v>
      </c>
      <c r="D239" t="s">
        <v>1454</v>
      </c>
      <c r="E239" s="129" t="s">
        <v>4355</v>
      </c>
    </row>
    <row r="240" spans="1:5">
      <c r="A240">
        <v>235</v>
      </c>
      <c r="B240" t="s">
        <v>4300</v>
      </c>
      <c r="C240" t="s">
        <v>28</v>
      </c>
      <c r="D240" t="s">
        <v>1455</v>
      </c>
      <c r="E240" s="129" t="s">
        <v>4355</v>
      </c>
    </row>
    <row r="241" spans="1:5">
      <c r="A241">
        <v>235</v>
      </c>
      <c r="B241" t="s">
        <v>4300</v>
      </c>
      <c r="C241" t="s">
        <v>28</v>
      </c>
      <c r="D241" t="s">
        <v>1456</v>
      </c>
      <c r="E241" s="129" t="s">
        <v>4355</v>
      </c>
    </row>
    <row r="242" spans="1:5">
      <c r="A242">
        <v>236</v>
      </c>
      <c r="B242" t="s">
        <v>4300</v>
      </c>
      <c r="C242" t="s">
        <v>28</v>
      </c>
      <c r="D242" t="s">
        <v>1464</v>
      </c>
      <c r="E242" s="129" t="s">
        <v>4355</v>
      </c>
    </row>
    <row r="243" spans="1:5">
      <c r="A243">
        <v>236</v>
      </c>
      <c r="B243" t="s">
        <v>4300</v>
      </c>
      <c r="C243" t="s">
        <v>28</v>
      </c>
      <c r="D243" t="s">
        <v>1465</v>
      </c>
      <c r="E243" s="129" t="s">
        <v>4355</v>
      </c>
    </row>
    <row r="244" spans="1:5">
      <c r="A244">
        <v>236</v>
      </c>
      <c r="B244" t="s">
        <v>4300</v>
      </c>
      <c r="C244" t="s">
        <v>28</v>
      </c>
      <c r="D244" t="s">
        <v>1466</v>
      </c>
      <c r="E244" s="129" t="s">
        <v>4355</v>
      </c>
    </row>
    <row r="245" spans="1:5">
      <c r="A245">
        <v>236</v>
      </c>
      <c r="B245" t="s">
        <v>4300</v>
      </c>
      <c r="C245" t="s">
        <v>28</v>
      </c>
      <c r="D245" t="s">
        <v>1467</v>
      </c>
      <c r="E245" s="129" t="s">
        <v>4355</v>
      </c>
    </row>
    <row r="246" spans="1:5">
      <c r="A246">
        <v>236</v>
      </c>
      <c r="B246" t="s">
        <v>4300</v>
      </c>
      <c r="C246" t="s">
        <v>28</v>
      </c>
      <c r="D246" t="s">
        <v>1468</v>
      </c>
      <c r="E246" s="129" t="s">
        <v>4355</v>
      </c>
    </row>
    <row r="247" spans="1:5">
      <c r="A247">
        <v>249</v>
      </c>
      <c r="B247" t="s">
        <v>4300</v>
      </c>
      <c r="C247" t="s">
        <v>27</v>
      </c>
      <c r="D247" t="s">
        <v>1510</v>
      </c>
      <c r="E247" s="129" t="s">
        <v>4353</v>
      </c>
    </row>
    <row r="248" spans="1:5">
      <c r="A248">
        <v>249</v>
      </c>
      <c r="B248" t="s">
        <v>4300</v>
      </c>
      <c r="C248" t="s">
        <v>27</v>
      </c>
      <c r="D248" t="s">
        <v>1512</v>
      </c>
      <c r="E248" s="129" t="s">
        <v>4353</v>
      </c>
    </row>
    <row r="249" spans="1:5">
      <c r="A249">
        <v>249</v>
      </c>
      <c r="B249" t="s">
        <v>4300</v>
      </c>
      <c r="C249" t="s">
        <v>27</v>
      </c>
      <c r="D249" t="s">
        <v>1513</v>
      </c>
      <c r="E249" s="129" t="s">
        <v>4353</v>
      </c>
    </row>
    <row r="250" spans="1:5">
      <c r="A250">
        <v>252</v>
      </c>
      <c r="B250" t="s">
        <v>4300</v>
      </c>
      <c r="C250" t="s">
        <v>27</v>
      </c>
      <c r="D250" t="s">
        <v>1517</v>
      </c>
      <c r="E250" s="129" t="s">
        <v>4353</v>
      </c>
    </row>
    <row r="251" spans="1:5">
      <c r="A251">
        <v>252</v>
      </c>
      <c r="B251" t="s">
        <v>4300</v>
      </c>
      <c r="C251" t="s">
        <v>27</v>
      </c>
      <c r="D251" t="s">
        <v>1519</v>
      </c>
      <c r="E251" s="129" t="s">
        <v>4353</v>
      </c>
    </row>
    <row r="252" spans="1:5">
      <c r="A252">
        <v>252</v>
      </c>
      <c r="B252" t="s">
        <v>4300</v>
      </c>
      <c r="C252" t="s">
        <v>27</v>
      </c>
      <c r="D252" t="s">
        <v>1520</v>
      </c>
      <c r="E252" s="129" t="s">
        <v>4353</v>
      </c>
    </row>
    <row r="253" spans="1:5">
      <c r="A253">
        <v>253</v>
      </c>
      <c r="B253" t="s">
        <v>4300</v>
      </c>
      <c r="C253" t="s">
        <v>27</v>
      </c>
      <c r="D253" t="s">
        <v>1521</v>
      </c>
      <c r="E253" s="129" t="s">
        <v>4353</v>
      </c>
    </row>
    <row r="254" spans="1:5">
      <c r="A254">
        <v>253</v>
      </c>
      <c r="B254" t="s">
        <v>4300</v>
      </c>
      <c r="C254" t="s">
        <v>27</v>
      </c>
      <c r="D254" t="s">
        <v>1523</v>
      </c>
      <c r="E254" s="129" t="s">
        <v>4353</v>
      </c>
    </row>
    <row r="255" spans="1:5">
      <c r="A255">
        <v>253</v>
      </c>
      <c r="B255" t="s">
        <v>4300</v>
      </c>
      <c r="C255" t="s">
        <v>27</v>
      </c>
      <c r="D255" t="s">
        <v>1524</v>
      </c>
      <c r="E255" s="129" t="s">
        <v>4353</v>
      </c>
    </row>
    <row r="256" spans="1:5">
      <c r="A256">
        <v>2</v>
      </c>
      <c r="B256" t="s">
        <v>4303</v>
      </c>
      <c r="C256" t="s">
        <v>27</v>
      </c>
      <c r="D256" t="s">
        <v>32</v>
      </c>
      <c r="E256" t="s">
        <v>4359</v>
      </c>
    </row>
    <row r="257" spans="1:5">
      <c r="A257">
        <v>2</v>
      </c>
      <c r="B257" t="s">
        <v>4303</v>
      </c>
      <c r="C257" t="s">
        <v>27</v>
      </c>
      <c r="D257" t="s">
        <v>34</v>
      </c>
      <c r="E257" s="129" t="s">
        <v>4360</v>
      </c>
    </row>
    <row r="258" spans="1:5">
      <c r="A258">
        <v>2</v>
      </c>
      <c r="B258" t="s">
        <v>4303</v>
      </c>
      <c r="C258" t="s">
        <v>27</v>
      </c>
      <c r="D258" t="s">
        <v>36</v>
      </c>
      <c r="E258" s="129" t="s">
        <v>4360</v>
      </c>
    </row>
    <row r="259" spans="1:5">
      <c r="A259">
        <v>2</v>
      </c>
      <c r="B259" t="s">
        <v>4303</v>
      </c>
      <c r="C259" t="s">
        <v>27</v>
      </c>
      <c r="D259" t="s">
        <v>37</v>
      </c>
      <c r="E259" s="129" t="s">
        <v>4360</v>
      </c>
    </row>
    <row r="260" spans="1:5">
      <c r="A260">
        <v>3</v>
      </c>
      <c r="B260" t="s">
        <v>4303</v>
      </c>
      <c r="C260" t="s">
        <v>27</v>
      </c>
      <c r="D260" t="s">
        <v>55</v>
      </c>
      <c r="E260" t="s">
        <v>4359</v>
      </c>
    </row>
    <row r="261" spans="1:5">
      <c r="A261">
        <v>3</v>
      </c>
      <c r="B261" t="s">
        <v>4303</v>
      </c>
      <c r="C261" t="s">
        <v>27</v>
      </c>
      <c r="D261" t="s">
        <v>57</v>
      </c>
      <c r="E261" s="129" t="s">
        <v>4360</v>
      </c>
    </row>
    <row r="262" spans="1:5">
      <c r="A262">
        <v>3</v>
      </c>
      <c r="B262" t="s">
        <v>4303</v>
      </c>
      <c r="C262" t="s">
        <v>27</v>
      </c>
      <c r="D262" t="s">
        <v>58</v>
      </c>
      <c r="E262" s="129" t="s">
        <v>4360</v>
      </c>
    </row>
    <row r="263" spans="1:5">
      <c r="A263">
        <v>3</v>
      </c>
      <c r="B263" t="s">
        <v>4303</v>
      </c>
      <c r="C263" t="s">
        <v>27</v>
      </c>
      <c r="D263" t="s">
        <v>59</v>
      </c>
      <c r="E263" s="129" t="s">
        <v>4360</v>
      </c>
    </row>
    <row r="264" spans="1:5">
      <c r="A264">
        <v>5</v>
      </c>
      <c r="B264" t="s">
        <v>4303</v>
      </c>
      <c r="C264" t="s">
        <v>27</v>
      </c>
      <c r="D264" t="s">
        <v>720</v>
      </c>
      <c r="E264" t="s">
        <v>4359</v>
      </c>
    </row>
    <row r="265" spans="1:5">
      <c r="A265">
        <v>5</v>
      </c>
      <c r="B265" t="s">
        <v>4303</v>
      </c>
      <c r="C265" t="s">
        <v>27</v>
      </c>
      <c r="D265" t="s">
        <v>70</v>
      </c>
      <c r="E265" s="129" t="s">
        <v>4360</v>
      </c>
    </row>
    <row r="266" spans="1:5">
      <c r="A266">
        <v>5</v>
      </c>
      <c r="B266" t="s">
        <v>4303</v>
      </c>
      <c r="C266" t="s">
        <v>27</v>
      </c>
      <c r="D266" t="s">
        <v>72</v>
      </c>
      <c r="E266" s="129" t="s">
        <v>4360</v>
      </c>
    </row>
    <row r="267" spans="1:5">
      <c r="A267">
        <v>5</v>
      </c>
      <c r="B267" t="s">
        <v>4303</v>
      </c>
      <c r="C267" t="s">
        <v>27</v>
      </c>
      <c r="D267" t="s">
        <v>73</v>
      </c>
      <c r="E267" s="129" t="s">
        <v>4360</v>
      </c>
    </row>
    <row r="268" spans="1:5">
      <c r="A268">
        <v>7</v>
      </c>
      <c r="B268" t="s">
        <v>4303</v>
      </c>
      <c r="C268" t="s">
        <v>27</v>
      </c>
      <c r="D268" t="s">
        <v>75</v>
      </c>
      <c r="E268" t="s">
        <v>4359</v>
      </c>
    </row>
    <row r="269" spans="1:5">
      <c r="A269">
        <v>7</v>
      </c>
      <c r="B269" t="s">
        <v>4303</v>
      </c>
      <c r="C269" t="s">
        <v>27</v>
      </c>
      <c r="D269" t="s">
        <v>77</v>
      </c>
      <c r="E269" s="129" t="s">
        <v>4360</v>
      </c>
    </row>
    <row r="270" spans="1:5">
      <c r="A270">
        <v>7</v>
      </c>
      <c r="B270" t="s">
        <v>4303</v>
      </c>
      <c r="C270" t="s">
        <v>27</v>
      </c>
      <c r="D270" t="s">
        <v>79</v>
      </c>
      <c r="E270" s="129" t="s">
        <v>4360</v>
      </c>
    </row>
    <row r="271" spans="1:5">
      <c r="A271">
        <v>7</v>
      </c>
      <c r="B271" t="s">
        <v>4303</v>
      </c>
      <c r="C271" t="s">
        <v>27</v>
      </c>
      <c r="D271" t="s">
        <v>80</v>
      </c>
      <c r="E271" s="129" t="s">
        <v>4360</v>
      </c>
    </row>
    <row r="272" spans="1:5">
      <c r="A272">
        <v>182</v>
      </c>
      <c r="B272" t="s">
        <v>4303</v>
      </c>
      <c r="C272" t="s">
        <v>27</v>
      </c>
      <c r="D272" t="s">
        <v>1128</v>
      </c>
      <c r="E272" t="s">
        <v>4359</v>
      </c>
    </row>
    <row r="273" spans="1:5">
      <c r="A273">
        <v>182</v>
      </c>
      <c r="B273" t="s">
        <v>4303</v>
      </c>
      <c r="C273" t="s">
        <v>27</v>
      </c>
      <c r="D273" t="s">
        <v>753</v>
      </c>
      <c r="E273" t="s">
        <v>4361</v>
      </c>
    </row>
    <row r="274" spans="1:5">
      <c r="A274">
        <v>182</v>
      </c>
      <c r="B274" t="s">
        <v>4303</v>
      </c>
      <c r="C274" t="s">
        <v>27</v>
      </c>
      <c r="D274" t="s">
        <v>758</v>
      </c>
      <c r="E274" t="s">
        <v>4361</v>
      </c>
    </row>
    <row r="275" spans="1:5">
      <c r="A275">
        <v>182</v>
      </c>
      <c r="B275" t="s">
        <v>4303</v>
      </c>
      <c r="C275" t="s">
        <v>27</v>
      </c>
      <c r="D275" t="s">
        <v>763</v>
      </c>
      <c r="E275" t="s">
        <v>4361</v>
      </c>
    </row>
    <row r="276" spans="1:5">
      <c r="A276">
        <v>183</v>
      </c>
      <c r="B276" t="s">
        <v>4303</v>
      </c>
      <c r="C276" t="s">
        <v>27</v>
      </c>
      <c r="D276" t="s">
        <v>1150</v>
      </c>
      <c r="E276" t="s">
        <v>4359</v>
      </c>
    </row>
    <row r="277" spans="1:5">
      <c r="A277">
        <v>183</v>
      </c>
      <c r="B277" t="s">
        <v>4303</v>
      </c>
      <c r="C277" t="s">
        <v>27</v>
      </c>
      <c r="D277" t="s">
        <v>1152</v>
      </c>
      <c r="E277" t="s">
        <v>4361</v>
      </c>
    </row>
    <row r="278" spans="1:5">
      <c r="A278">
        <v>183</v>
      </c>
      <c r="B278" t="s">
        <v>4303</v>
      </c>
      <c r="C278" t="s">
        <v>27</v>
      </c>
      <c r="D278" t="s">
        <v>1153</v>
      </c>
      <c r="E278" t="s">
        <v>4361</v>
      </c>
    </row>
    <row r="279" spans="1:5">
      <c r="A279">
        <v>183</v>
      </c>
      <c r="B279" t="s">
        <v>4303</v>
      </c>
      <c r="C279" t="s">
        <v>27</v>
      </c>
      <c r="D279" t="s">
        <v>764</v>
      </c>
      <c r="E279" t="s">
        <v>4361</v>
      </c>
    </row>
    <row r="280" spans="1:5">
      <c r="A280">
        <v>184</v>
      </c>
      <c r="B280" t="s">
        <v>4303</v>
      </c>
      <c r="C280" t="s">
        <v>27</v>
      </c>
      <c r="D280" t="s">
        <v>1155</v>
      </c>
      <c r="E280" t="s">
        <v>4359</v>
      </c>
    </row>
    <row r="281" spans="1:5">
      <c r="A281">
        <v>184</v>
      </c>
      <c r="B281" t="s">
        <v>4303</v>
      </c>
      <c r="C281" t="s">
        <v>27</v>
      </c>
      <c r="D281" t="s">
        <v>1157</v>
      </c>
      <c r="E281" t="s">
        <v>4361</v>
      </c>
    </row>
    <row r="282" spans="1:5">
      <c r="A282">
        <v>184</v>
      </c>
      <c r="B282" t="s">
        <v>4303</v>
      </c>
      <c r="C282" t="s">
        <v>27</v>
      </c>
      <c r="D282" t="s">
        <v>1158</v>
      </c>
      <c r="E282" t="s">
        <v>4361</v>
      </c>
    </row>
    <row r="283" spans="1:5">
      <c r="A283">
        <v>184</v>
      </c>
      <c r="B283" t="s">
        <v>4303</v>
      </c>
      <c r="C283" t="s">
        <v>27</v>
      </c>
      <c r="D283" t="s">
        <v>1159</v>
      </c>
      <c r="E283" t="s">
        <v>4361</v>
      </c>
    </row>
    <row r="284" spans="1:5">
      <c r="A284">
        <v>185</v>
      </c>
      <c r="B284" t="s">
        <v>4303</v>
      </c>
      <c r="C284" t="s">
        <v>27</v>
      </c>
      <c r="D284" t="s">
        <v>1163</v>
      </c>
      <c r="E284" t="s">
        <v>4359</v>
      </c>
    </row>
    <row r="285" spans="1:5">
      <c r="A285">
        <v>185</v>
      </c>
      <c r="B285" t="s">
        <v>4303</v>
      </c>
      <c r="C285" t="s">
        <v>27</v>
      </c>
      <c r="D285" t="s">
        <v>1164</v>
      </c>
      <c r="E285" t="s">
        <v>4361</v>
      </c>
    </row>
    <row r="286" spans="1:5">
      <c r="A286">
        <v>185</v>
      </c>
      <c r="B286" t="s">
        <v>4303</v>
      </c>
      <c r="C286" t="s">
        <v>27</v>
      </c>
      <c r="D286" t="s">
        <v>1166</v>
      </c>
      <c r="E286" t="s">
        <v>4361</v>
      </c>
    </row>
    <row r="287" spans="1:5">
      <c r="A287">
        <v>185</v>
      </c>
      <c r="B287" t="s">
        <v>4303</v>
      </c>
      <c r="C287" t="s">
        <v>27</v>
      </c>
      <c r="D287" t="s">
        <v>1167</v>
      </c>
      <c r="E287" t="s">
        <v>4361</v>
      </c>
    </row>
    <row r="288" spans="1:5">
      <c r="A288">
        <v>186</v>
      </c>
      <c r="B288" t="s">
        <v>4303</v>
      </c>
      <c r="C288" t="s">
        <v>27</v>
      </c>
      <c r="D288" t="s">
        <v>1168</v>
      </c>
      <c r="E288" t="s">
        <v>4359</v>
      </c>
    </row>
    <row r="289" spans="1:5">
      <c r="A289">
        <v>186</v>
      </c>
      <c r="B289" t="s">
        <v>4303</v>
      </c>
      <c r="C289" t="s">
        <v>27</v>
      </c>
      <c r="D289" t="s">
        <v>1170</v>
      </c>
      <c r="E289" t="s">
        <v>4361</v>
      </c>
    </row>
    <row r="290" spans="1:5">
      <c r="A290">
        <v>186</v>
      </c>
      <c r="B290" t="s">
        <v>4303</v>
      </c>
      <c r="C290" t="s">
        <v>27</v>
      </c>
      <c r="D290" t="s">
        <v>1171</v>
      </c>
      <c r="E290" t="s">
        <v>4361</v>
      </c>
    </row>
    <row r="291" spans="1:5">
      <c r="A291">
        <v>186</v>
      </c>
      <c r="B291" t="s">
        <v>4303</v>
      </c>
      <c r="C291" t="s">
        <v>27</v>
      </c>
      <c r="D291" t="s">
        <v>1172</v>
      </c>
      <c r="E291" t="s">
        <v>4361</v>
      </c>
    </row>
    <row r="292" spans="1:5">
      <c r="A292">
        <v>187</v>
      </c>
      <c r="B292" t="s">
        <v>4303</v>
      </c>
      <c r="C292" t="s">
        <v>27</v>
      </c>
      <c r="D292" t="s">
        <v>1173</v>
      </c>
      <c r="E292" t="s">
        <v>4359</v>
      </c>
    </row>
    <row r="293" spans="1:5">
      <c r="A293">
        <v>187</v>
      </c>
      <c r="B293" t="s">
        <v>4303</v>
      </c>
      <c r="C293" t="s">
        <v>27</v>
      </c>
      <c r="D293" t="s">
        <v>1175</v>
      </c>
      <c r="E293" t="s">
        <v>4362</v>
      </c>
    </row>
    <row r="294" spans="1:5">
      <c r="A294">
        <v>187</v>
      </c>
      <c r="B294" t="s">
        <v>4303</v>
      </c>
      <c r="C294" t="s">
        <v>27</v>
      </c>
      <c r="D294" t="s">
        <v>1178</v>
      </c>
      <c r="E294" t="s">
        <v>4362</v>
      </c>
    </row>
    <row r="295" spans="1:5">
      <c r="A295">
        <v>187</v>
      </c>
      <c r="B295" t="s">
        <v>4303</v>
      </c>
      <c r="C295" t="s">
        <v>27</v>
      </c>
      <c r="D295" t="s">
        <v>1180</v>
      </c>
      <c r="E295" t="s">
        <v>4362</v>
      </c>
    </row>
    <row r="296" spans="1:5">
      <c r="A296">
        <v>102</v>
      </c>
      <c r="B296" t="s">
        <v>111</v>
      </c>
      <c r="C296" t="s">
        <v>27</v>
      </c>
      <c r="D296" t="s">
        <v>736</v>
      </c>
      <c r="E296" s="129" t="s">
        <v>4363</v>
      </c>
    </row>
    <row r="297" spans="1:5">
      <c r="A297">
        <v>102</v>
      </c>
      <c r="B297" t="s">
        <v>111</v>
      </c>
      <c r="C297" t="s">
        <v>27</v>
      </c>
      <c r="D297" t="s">
        <v>738</v>
      </c>
      <c r="E297" s="129" t="s">
        <v>4364</v>
      </c>
    </row>
    <row r="298" spans="1:5">
      <c r="A298">
        <v>102</v>
      </c>
      <c r="B298" t="s">
        <v>111</v>
      </c>
      <c r="C298" t="s">
        <v>27</v>
      </c>
      <c r="D298" t="s">
        <v>739</v>
      </c>
      <c r="E298" s="129" t="s">
        <v>4365</v>
      </c>
    </row>
    <row r="299" spans="1:5">
      <c r="A299">
        <v>103</v>
      </c>
      <c r="B299" t="s">
        <v>111</v>
      </c>
      <c r="C299" t="s">
        <v>27</v>
      </c>
      <c r="D299" t="s">
        <v>743</v>
      </c>
      <c r="E299" s="129" t="s">
        <v>4366</v>
      </c>
    </row>
    <row r="300" spans="1:5">
      <c r="A300">
        <v>103</v>
      </c>
      <c r="B300" t="s">
        <v>111</v>
      </c>
      <c r="C300" t="s">
        <v>27</v>
      </c>
      <c r="D300" t="s">
        <v>746</v>
      </c>
      <c r="E300" s="129" t="s">
        <v>4367</v>
      </c>
    </row>
    <row r="301" spans="1:5">
      <c r="A301">
        <v>103</v>
      </c>
      <c r="B301" t="s">
        <v>111</v>
      </c>
      <c r="C301" t="s">
        <v>27</v>
      </c>
      <c r="D301" t="s">
        <v>748</v>
      </c>
      <c r="E301" s="129" t="s">
        <v>4368</v>
      </c>
    </row>
    <row r="302" spans="1:5">
      <c r="A302">
        <v>103</v>
      </c>
      <c r="B302" t="s">
        <v>111</v>
      </c>
      <c r="C302" t="s">
        <v>27</v>
      </c>
      <c r="D302" t="s">
        <v>749</v>
      </c>
      <c r="E302" s="129" t="s">
        <v>4369</v>
      </c>
    </row>
    <row r="303" spans="1:5">
      <c r="A303">
        <v>104</v>
      </c>
      <c r="B303" t="s">
        <v>111</v>
      </c>
      <c r="C303" t="s">
        <v>27</v>
      </c>
      <c r="D303" t="s">
        <v>759</v>
      </c>
      <c r="E303" s="129" t="s">
        <v>4370</v>
      </c>
    </row>
    <row r="304" spans="1:5">
      <c r="A304">
        <v>104</v>
      </c>
      <c r="B304" t="s">
        <v>111</v>
      </c>
      <c r="C304" t="s">
        <v>27</v>
      </c>
      <c r="D304" t="s">
        <v>761</v>
      </c>
      <c r="E304" s="129" t="s">
        <v>4371</v>
      </c>
    </row>
    <row r="305" spans="1:5">
      <c r="A305">
        <v>104</v>
      </c>
      <c r="B305" t="s">
        <v>111</v>
      </c>
      <c r="C305" t="s">
        <v>27</v>
      </c>
      <c r="D305" t="s">
        <v>762</v>
      </c>
      <c r="E305" s="129" t="s">
        <v>4372</v>
      </c>
    </row>
    <row r="306" spans="1:5">
      <c r="A306">
        <v>105</v>
      </c>
      <c r="B306" t="s">
        <v>111</v>
      </c>
      <c r="C306" t="s">
        <v>27</v>
      </c>
      <c r="D306" t="s">
        <v>771</v>
      </c>
      <c r="E306" s="129" t="s">
        <v>4373</v>
      </c>
    </row>
    <row r="307" spans="1:5">
      <c r="A307">
        <v>105</v>
      </c>
      <c r="B307" t="s">
        <v>111</v>
      </c>
      <c r="C307" t="s">
        <v>27</v>
      </c>
      <c r="D307" t="s">
        <v>773</v>
      </c>
      <c r="E307" s="129" t="s">
        <v>4374</v>
      </c>
    </row>
    <row r="308" spans="1:5">
      <c r="A308">
        <v>105</v>
      </c>
      <c r="B308" t="s">
        <v>111</v>
      </c>
      <c r="C308" t="s">
        <v>27</v>
      </c>
      <c r="D308" t="s">
        <v>774</v>
      </c>
      <c r="E308" s="129" t="s">
        <v>4375</v>
      </c>
    </row>
    <row r="309" spans="1:5">
      <c r="A309">
        <v>107</v>
      </c>
      <c r="B309" t="s">
        <v>111</v>
      </c>
      <c r="C309" t="s">
        <v>27</v>
      </c>
      <c r="D309" t="s">
        <v>780</v>
      </c>
      <c r="E309" s="129" t="s">
        <v>4376</v>
      </c>
    </row>
    <row r="310" spans="1:5">
      <c r="A310">
        <v>107</v>
      </c>
      <c r="B310" t="s">
        <v>111</v>
      </c>
      <c r="C310" t="s">
        <v>27</v>
      </c>
      <c r="D310" t="s">
        <v>782</v>
      </c>
      <c r="E310" s="129" t="s">
        <v>4377</v>
      </c>
    </row>
    <row r="311" spans="1:5">
      <c r="A311">
        <v>107</v>
      </c>
      <c r="B311" t="s">
        <v>111</v>
      </c>
      <c r="C311" t="s">
        <v>27</v>
      </c>
      <c r="D311" t="s">
        <v>783</v>
      </c>
      <c r="E311" s="129" t="s">
        <v>4378</v>
      </c>
    </row>
    <row r="312" spans="1:5">
      <c r="A312">
        <v>108</v>
      </c>
      <c r="B312" t="s">
        <v>111</v>
      </c>
      <c r="C312" t="s">
        <v>27</v>
      </c>
      <c r="D312" t="s">
        <v>979</v>
      </c>
      <c r="E312" s="129" t="s">
        <v>4379</v>
      </c>
    </row>
    <row r="313" spans="1:5">
      <c r="A313">
        <v>108</v>
      </c>
      <c r="B313" t="s">
        <v>111</v>
      </c>
      <c r="C313" t="s">
        <v>27</v>
      </c>
      <c r="D313" t="s">
        <v>785</v>
      </c>
      <c r="E313" s="129" t="s">
        <v>4380</v>
      </c>
    </row>
    <row r="314" spans="1:5">
      <c r="A314">
        <v>108</v>
      </c>
      <c r="B314" t="s">
        <v>111</v>
      </c>
      <c r="C314" t="s">
        <v>27</v>
      </c>
      <c r="D314" t="s">
        <v>787</v>
      </c>
      <c r="E314" s="129" t="s">
        <v>4381</v>
      </c>
    </row>
    <row r="315" spans="1:5">
      <c r="A315">
        <v>109</v>
      </c>
      <c r="B315" t="s">
        <v>111</v>
      </c>
      <c r="C315" t="s">
        <v>27</v>
      </c>
      <c r="D315" t="s">
        <v>794</v>
      </c>
      <c r="E315" s="129" t="s">
        <v>4382</v>
      </c>
    </row>
    <row r="316" spans="1:5">
      <c r="A316">
        <v>109</v>
      </c>
      <c r="B316" t="s">
        <v>111</v>
      </c>
      <c r="C316" t="s">
        <v>27</v>
      </c>
      <c r="D316" t="s">
        <v>796</v>
      </c>
      <c r="E316" s="129" t="s">
        <v>4383</v>
      </c>
    </row>
    <row r="317" spans="1:5">
      <c r="A317">
        <v>109</v>
      </c>
      <c r="B317" t="s">
        <v>111</v>
      </c>
      <c r="C317" t="s">
        <v>27</v>
      </c>
      <c r="D317" t="s">
        <v>797</v>
      </c>
      <c r="E317" s="129" t="s">
        <v>4384</v>
      </c>
    </row>
    <row r="318" spans="1:5">
      <c r="A318">
        <v>110</v>
      </c>
      <c r="B318" t="s">
        <v>111</v>
      </c>
      <c r="C318" t="s">
        <v>27</v>
      </c>
      <c r="D318" t="s">
        <v>798</v>
      </c>
      <c r="E318" s="129" t="s">
        <v>4385</v>
      </c>
    </row>
    <row r="319" spans="1:5">
      <c r="A319">
        <v>110</v>
      </c>
      <c r="B319" t="s">
        <v>111</v>
      </c>
      <c r="C319" t="s">
        <v>27</v>
      </c>
      <c r="D319" t="s">
        <v>800</v>
      </c>
      <c r="E319" s="129" t="s">
        <v>4386</v>
      </c>
    </row>
    <row r="320" spans="1:5">
      <c r="A320">
        <v>110</v>
      </c>
      <c r="B320" t="s">
        <v>111</v>
      </c>
      <c r="C320" t="s">
        <v>27</v>
      </c>
      <c r="D320" t="s">
        <v>801</v>
      </c>
      <c r="E320" s="129" t="s">
        <v>4387</v>
      </c>
    </row>
    <row r="321" spans="1:3">
      <c r="A321">
        <v>108</v>
      </c>
      <c r="B321" t="s">
        <v>111</v>
      </c>
      <c r="C321" t="s">
        <v>27</v>
      </c>
    </row>
    <row r="322" spans="1:3">
      <c r="A322">
        <v>108</v>
      </c>
      <c r="B322" t="s">
        <v>111</v>
      </c>
      <c r="C322" t="s">
        <v>27</v>
      </c>
    </row>
    <row r="323" spans="1:3">
      <c r="A323">
        <v>108</v>
      </c>
      <c r="B323" t="s">
        <v>111</v>
      </c>
      <c r="C323" t="s">
        <v>27</v>
      </c>
    </row>
    <row r="324" spans="1:3">
      <c r="A324">
        <v>108</v>
      </c>
      <c r="B324" t="s">
        <v>111</v>
      </c>
      <c r="C324" t="s">
        <v>27</v>
      </c>
    </row>
    <row r="325" spans="1:3">
      <c r="A325">
        <v>108</v>
      </c>
      <c r="B325" t="s">
        <v>111</v>
      </c>
      <c r="C325" t="s">
        <v>27</v>
      </c>
    </row>
  </sheetData>
  <autoFilter ref="A1:E1" xr:uid="{00000000-0009-0000-0000-000004000000}">
    <sortState xmlns:xlrd2="http://schemas.microsoft.com/office/spreadsheetml/2017/richdata2" ref="A2:E295">
      <sortCondition ref="B1"/>
    </sortState>
  </autoFilter>
  <hyperlinks>
    <hyperlink ref="E27" r:id="rId1" xr:uid="{00000000-0004-0000-0400-000000000000}"/>
    <hyperlink ref="E37" r:id="rId2" xr:uid="{00000000-0004-0000-0400-000001000000}"/>
    <hyperlink ref="E55" r:id="rId3" xr:uid="{00000000-0004-0000-0400-000002000000}"/>
    <hyperlink ref="E64" r:id="rId4" xr:uid="{00000000-0004-0000-0400-000003000000}"/>
    <hyperlink ref="E65" r:id="rId5" xr:uid="{00000000-0004-0000-0400-000004000000}"/>
    <hyperlink ref="E66" r:id="rId6" xr:uid="{00000000-0004-0000-0400-000005000000}"/>
    <hyperlink ref="E67" r:id="rId7" xr:uid="{00000000-0004-0000-0400-000006000000}"/>
    <hyperlink ref="E68" r:id="rId8" xr:uid="{00000000-0004-0000-0400-000007000000}"/>
    <hyperlink ref="E72" r:id="rId9" xr:uid="{00000000-0004-0000-0400-000008000000}"/>
    <hyperlink ref="E73" r:id="rId10" xr:uid="{00000000-0004-0000-0400-000009000000}"/>
    <hyperlink ref="E74" r:id="rId11" xr:uid="{00000000-0004-0000-0400-00000A000000}"/>
    <hyperlink ref="E75" r:id="rId12" xr:uid="{00000000-0004-0000-0400-00000B000000}"/>
    <hyperlink ref="E76" r:id="rId13" xr:uid="{00000000-0004-0000-0400-00000C000000}"/>
    <hyperlink ref="E77" r:id="rId14" xr:uid="{00000000-0004-0000-0400-00000D000000}"/>
    <hyperlink ref="E78" r:id="rId15" xr:uid="{00000000-0004-0000-0400-00000E000000}"/>
    <hyperlink ref="E79" r:id="rId16" xr:uid="{00000000-0004-0000-0400-00000F000000}"/>
    <hyperlink ref="E80" r:id="rId17" xr:uid="{00000000-0004-0000-0400-000010000000}"/>
    <hyperlink ref="E81" r:id="rId18" xr:uid="{00000000-0004-0000-0400-000011000000}"/>
    <hyperlink ref="E82" r:id="rId19" xr:uid="{00000000-0004-0000-0400-000012000000}"/>
    <hyperlink ref="E83" r:id="rId20" xr:uid="{00000000-0004-0000-0400-000013000000}"/>
    <hyperlink ref="E84" r:id="rId21" xr:uid="{00000000-0004-0000-0400-000014000000}"/>
    <hyperlink ref="E85" r:id="rId22" xr:uid="{00000000-0004-0000-0400-000015000000}"/>
    <hyperlink ref="E86" r:id="rId23" xr:uid="{00000000-0004-0000-0400-000016000000}"/>
    <hyperlink ref="E87" r:id="rId24" xr:uid="{00000000-0004-0000-0400-000017000000}"/>
    <hyperlink ref="E88" r:id="rId25" xr:uid="{00000000-0004-0000-0400-000018000000}"/>
    <hyperlink ref="E93" r:id="rId26" xr:uid="{00000000-0004-0000-0400-000019000000}"/>
    <hyperlink ref="E94" r:id="rId27" xr:uid="{00000000-0004-0000-0400-00001A000000}"/>
    <hyperlink ref="E95" r:id="rId28" xr:uid="{00000000-0004-0000-0400-00001B000000}"/>
    <hyperlink ref="E96" r:id="rId29" xr:uid="{00000000-0004-0000-0400-00001C000000}"/>
    <hyperlink ref="E97" r:id="rId30" xr:uid="{00000000-0004-0000-0400-00001D000000}"/>
    <hyperlink ref="E114" r:id="rId31" xr:uid="{00000000-0004-0000-0400-00001E000000}"/>
    <hyperlink ref="E115" r:id="rId32" xr:uid="{00000000-0004-0000-0400-00001F000000}"/>
    <hyperlink ref="E116" r:id="rId33" xr:uid="{00000000-0004-0000-0400-000020000000}"/>
    <hyperlink ref="E117" r:id="rId34" xr:uid="{00000000-0004-0000-0400-000021000000}"/>
    <hyperlink ref="E118" r:id="rId35" xr:uid="{00000000-0004-0000-0400-000022000000}"/>
    <hyperlink ref="E119" r:id="rId36" xr:uid="{00000000-0004-0000-0400-000023000000}"/>
    <hyperlink ref="E120" r:id="rId37" xr:uid="{00000000-0004-0000-0400-000024000000}"/>
    <hyperlink ref="E121" r:id="rId38" xr:uid="{00000000-0004-0000-0400-000025000000}"/>
    <hyperlink ref="E122" r:id="rId39" xr:uid="{00000000-0004-0000-0400-000026000000}"/>
    <hyperlink ref="E123" r:id="rId40" xr:uid="{00000000-0004-0000-0400-000027000000}"/>
    <hyperlink ref="E124" r:id="rId41" xr:uid="{00000000-0004-0000-0400-000028000000}"/>
    <hyperlink ref="E125" r:id="rId42" xr:uid="{00000000-0004-0000-0400-000029000000}"/>
    <hyperlink ref="E126" r:id="rId43" xr:uid="{00000000-0004-0000-0400-00002A000000}"/>
    <hyperlink ref="E127" r:id="rId44" xr:uid="{00000000-0004-0000-0400-00002B000000}"/>
    <hyperlink ref="E128" r:id="rId45" xr:uid="{00000000-0004-0000-0400-00002C000000}"/>
    <hyperlink ref="E129" r:id="rId46" xr:uid="{00000000-0004-0000-0400-00002D000000}"/>
    <hyperlink ref="E130" r:id="rId47" xr:uid="{00000000-0004-0000-0400-00002E000000}"/>
    <hyperlink ref="E131" r:id="rId48" xr:uid="{00000000-0004-0000-0400-00002F000000}"/>
    <hyperlink ref="E132" r:id="rId49" xr:uid="{00000000-0004-0000-0400-000030000000}"/>
    <hyperlink ref="E133" r:id="rId50" xr:uid="{00000000-0004-0000-0400-000031000000}"/>
    <hyperlink ref="E134" r:id="rId51" xr:uid="{00000000-0004-0000-0400-000032000000}"/>
    <hyperlink ref="E135" r:id="rId52" xr:uid="{00000000-0004-0000-0400-000033000000}"/>
    <hyperlink ref="E136" r:id="rId53" xr:uid="{00000000-0004-0000-0400-000034000000}"/>
    <hyperlink ref="E137" r:id="rId54" xr:uid="{00000000-0004-0000-0400-000035000000}"/>
    <hyperlink ref="E138" r:id="rId55" xr:uid="{00000000-0004-0000-0400-000036000000}"/>
    <hyperlink ref="E139" r:id="rId56" xr:uid="{00000000-0004-0000-0400-000037000000}"/>
    <hyperlink ref="E140" r:id="rId57" xr:uid="{00000000-0004-0000-0400-000038000000}"/>
    <hyperlink ref="E141" r:id="rId58" xr:uid="{00000000-0004-0000-0400-000039000000}"/>
    <hyperlink ref="E142" r:id="rId59" xr:uid="{00000000-0004-0000-0400-00003A000000}"/>
    <hyperlink ref="E143" r:id="rId60" xr:uid="{00000000-0004-0000-0400-00003B000000}"/>
    <hyperlink ref="E144" r:id="rId61" xr:uid="{00000000-0004-0000-0400-00003C000000}"/>
    <hyperlink ref="E145" r:id="rId62" xr:uid="{00000000-0004-0000-0400-00003D000000}"/>
    <hyperlink ref="E146" r:id="rId63" xr:uid="{00000000-0004-0000-0400-00003E000000}"/>
    <hyperlink ref="E147" r:id="rId64" xr:uid="{00000000-0004-0000-0400-00003F000000}"/>
    <hyperlink ref="E190" r:id="rId65" xr:uid="{00000000-0004-0000-0400-000040000000}"/>
    <hyperlink ref="E191" r:id="rId66" xr:uid="{00000000-0004-0000-0400-000041000000}"/>
    <hyperlink ref="E192" r:id="rId67" xr:uid="{00000000-0004-0000-0400-000042000000}"/>
    <hyperlink ref="E193" r:id="rId68" xr:uid="{00000000-0004-0000-0400-000043000000}"/>
    <hyperlink ref="E194" r:id="rId69" xr:uid="{00000000-0004-0000-0400-000044000000}"/>
    <hyperlink ref="E195" r:id="rId70" xr:uid="{00000000-0004-0000-0400-000045000000}"/>
    <hyperlink ref="E196" r:id="rId71" xr:uid="{00000000-0004-0000-0400-000046000000}"/>
    <hyperlink ref="E197" r:id="rId72" xr:uid="{00000000-0004-0000-0400-000047000000}"/>
    <hyperlink ref="E198" r:id="rId73" xr:uid="{00000000-0004-0000-0400-000048000000}"/>
    <hyperlink ref="E199" r:id="rId74" xr:uid="{00000000-0004-0000-0400-000049000000}"/>
    <hyperlink ref="E200" r:id="rId75" xr:uid="{00000000-0004-0000-0400-00004A000000}"/>
    <hyperlink ref="E201" r:id="rId76" xr:uid="{00000000-0004-0000-0400-00004B000000}"/>
    <hyperlink ref="E202" r:id="rId77" xr:uid="{00000000-0004-0000-0400-00004C000000}"/>
    <hyperlink ref="E203" r:id="rId78" xr:uid="{00000000-0004-0000-0400-00004D000000}"/>
    <hyperlink ref="E204" r:id="rId79" xr:uid="{00000000-0004-0000-0400-00004E000000}"/>
    <hyperlink ref="E205" r:id="rId80" xr:uid="{00000000-0004-0000-0400-00004F000000}"/>
    <hyperlink ref="E206" r:id="rId81" xr:uid="{00000000-0004-0000-0400-000050000000}"/>
    <hyperlink ref="E207" r:id="rId82" xr:uid="{00000000-0004-0000-0400-000051000000}"/>
    <hyperlink ref="E208" r:id="rId83" xr:uid="{00000000-0004-0000-0400-000052000000}"/>
    <hyperlink ref="E209" r:id="rId84" xr:uid="{00000000-0004-0000-0400-000053000000}"/>
    <hyperlink ref="E210" r:id="rId85" xr:uid="{00000000-0004-0000-0400-000054000000}"/>
    <hyperlink ref="E211" r:id="rId86" xr:uid="{00000000-0004-0000-0400-000055000000}"/>
    <hyperlink ref="E212" r:id="rId87" xr:uid="{00000000-0004-0000-0400-000056000000}"/>
    <hyperlink ref="E213" r:id="rId88" xr:uid="{00000000-0004-0000-0400-000057000000}"/>
    <hyperlink ref="E214" r:id="rId89" xr:uid="{00000000-0004-0000-0400-000058000000}"/>
    <hyperlink ref="E215" r:id="rId90" xr:uid="{00000000-0004-0000-0400-000059000000}"/>
    <hyperlink ref="E216" r:id="rId91" xr:uid="{00000000-0004-0000-0400-00005A000000}"/>
    <hyperlink ref="E217" r:id="rId92" xr:uid="{00000000-0004-0000-0400-00005B000000}"/>
    <hyperlink ref="E218" r:id="rId93" xr:uid="{00000000-0004-0000-0400-00005C000000}"/>
    <hyperlink ref="E219" r:id="rId94" xr:uid="{00000000-0004-0000-0400-00005D000000}"/>
    <hyperlink ref="E220" r:id="rId95" xr:uid="{00000000-0004-0000-0400-00005E000000}"/>
    <hyperlink ref="E221" r:id="rId96" xr:uid="{00000000-0004-0000-0400-00005F000000}"/>
    <hyperlink ref="E222" r:id="rId97" xr:uid="{00000000-0004-0000-0400-000060000000}"/>
    <hyperlink ref="E223" r:id="rId98" xr:uid="{00000000-0004-0000-0400-000061000000}"/>
    <hyperlink ref="E224" r:id="rId99" xr:uid="{00000000-0004-0000-0400-000062000000}"/>
    <hyperlink ref="E225" r:id="rId100" xr:uid="{00000000-0004-0000-0400-000063000000}"/>
    <hyperlink ref="E226" r:id="rId101" xr:uid="{00000000-0004-0000-0400-000064000000}"/>
    <hyperlink ref="E227" r:id="rId102" xr:uid="{00000000-0004-0000-0400-000065000000}"/>
    <hyperlink ref="E228" r:id="rId103" xr:uid="{00000000-0004-0000-0400-000066000000}"/>
    <hyperlink ref="E229" r:id="rId104" xr:uid="{00000000-0004-0000-0400-000067000000}"/>
    <hyperlink ref="E230" r:id="rId105" xr:uid="{00000000-0004-0000-0400-000068000000}"/>
    <hyperlink ref="E231" r:id="rId106" xr:uid="{00000000-0004-0000-0400-000069000000}"/>
    <hyperlink ref="E232" r:id="rId107" xr:uid="{00000000-0004-0000-0400-00006A000000}"/>
    <hyperlink ref="E233" r:id="rId108" xr:uid="{00000000-0004-0000-0400-00006B000000}"/>
    <hyperlink ref="E234" r:id="rId109" xr:uid="{00000000-0004-0000-0400-00006C000000}"/>
    <hyperlink ref="E235" r:id="rId110" xr:uid="{00000000-0004-0000-0400-00006D000000}"/>
    <hyperlink ref="E236" r:id="rId111" xr:uid="{00000000-0004-0000-0400-00006E000000}"/>
    <hyperlink ref="E237" r:id="rId112" xr:uid="{00000000-0004-0000-0400-00006F000000}"/>
    <hyperlink ref="E238" r:id="rId113" xr:uid="{00000000-0004-0000-0400-000070000000}"/>
    <hyperlink ref="E239" r:id="rId114" xr:uid="{00000000-0004-0000-0400-000071000000}"/>
    <hyperlink ref="E240" r:id="rId115" xr:uid="{00000000-0004-0000-0400-000072000000}"/>
    <hyperlink ref="E241" r:id="rId116" xr:uid="{00000000-0004-0000-0400-000073000000}"/>
    <hyperlink ref="E242" r:id="rId117" xr:uid="{00000000-0004-0000-0400-000074000000}"/>
    <hyperlink ref="E243" r:id="rId118" xr:uid="{00000000-0004-0000-0400-000075000000}"/>
    <hyperlink ref="E244" r:id="rId119" xr:uid="{00000000-0004-0000-0400-000076000000}"/>
    <hyperlink ref="E245" r:id="rId120" xr:uid="{00000000-0004-0000-0400-000077000000}"/>
    <hyperlink ref="E246" r:id="rId121" xr:uid="{00000000-0004-0000-0400-000078000000}"/>
    <hyperlink ref="E247" r:id="rId122" xr:uid="{00000000-0004-0000-0400-000079000000}"/>
    <hyperlink ref="E248" r:id="rId123" xr:uid="{00000000-0004-0000-0400-00007A000000}"/>
    <hyperlink ref="E249" r:id="rId124" xr:uid="{00000000-0004-0000-0400-00007B000000}"/>
    <hyperlink ref="E250" r:id="rId125" xr:uid="{00000000-0004-0000-0400-00007C000000}"/>
    <hyperlink ref="E251" r:id="rId126" xr:uid="{00000000-0004-0000-0400-00007D000000}"/>
    <hyperlink ref="E252" r:id="rId127" xr:uid="{00000000-0004-0000-0400-00007E000000}"/>
    <hyperlink ref="E253" r:id="rId128" xr:uid="{00000000-0004-0000-0400-00007F000000}"/>
    <hyperlink ref="E254" r:id="rId129" xr:uid="{00000000-0004-0000-0400-000080000000}"/>
    <hyperlink ref="E255" r:id="rId130" xr:uid="{00000000-0004-0000-0400-000081000000}"/>
    <hyperlink ref="E257" r:id="rId131" xr:uid="{00000000-0004-0000-0400-000082000000}"/>
    <hyperlink ref="E296" r:id="rId132" xr:uid="{00000000-0004-0000-0400-000083000000}"/>
    <hyperlink ref="E297" r:id="rId133" xr:uid="{00000000-0004-0000-0400-000084000000}"/>
    <hyperlink ref="E298" r:id="rId134" xr:uid="{00000000-0004-0000-0400-000085000000}"/>
    <hyperlink ref="E299" r:id="rId135" xr:uid="{00000000-0004-0000-0400-000086000000}"/>
    <hyperlink ref="E300" r:id="rId136" xr:uid="{00000000-0004-0000-0400-000087000000}"/>
    <hyperlink ref="E301" r:id="rId137" xr:uid="{00000000-0004-0000-0400-000088000000}"/>
    <hyperlink ref="E302" r:id="rId138" xr:uid="{00000000-0004-0000-0400-000089000000}"/>
    <hyperlink ref="E303" r:id="rId139" xr:uid="{00000000-0004-0000-0400-00008A000000}"/>
    <hyperlink ref="E304" r:id="rId140" xr:uid="{00000000-0004-0000-0400-00008B000000}"/>
    <hyperlink ref="E305" r:id="rId141" xr:uid="{00000000-0004-0000-0400-00008C000000}"/>
    <hyperlink ref="E306" r:id="rId142" xr:uid="{00000000-0004-0000-0400-00008D000000}"/>
    <hyperlink ref="E307" r:id="rId143" xr:uid="{00000000-0004-0000-0400-00008E000000}"/>
    <hyperlink ref="E308" r:id="rId144" xr:uid="{00000000-0004-0000-0400-00008F000000}"/>
    <hyperlink ref="E309" r:id="rId145" xr:uid="{00000000-0004-0000-0400-000090000000}"/>
    <hyperlink ref="E310" r:id="rId146" xr:uid="{00000000-0004-0000-0400-000091000000}"/>
    <hyperlink ref="E311" r:id="rId147" xr:uid="{00000000-0004-0000-0400-000092000000}"/>
    <hyperlink ref="E312" r:id="rId148" xr:uid="{00000000-0004-0000-0400-000093000000}"/>
    <hyperlink ref="E313" r:id="rId149" xr:uid="{00000000-0004-0000-0400-000094000000}"/>
    <hyperlink ref="E314" r:id="rId150" xr:uid="{00000000-0004-0000-0400-000095000000}"/>
    <hyperlink ref="E315" r:id="rId151" xr:uid="{00000000-0004-0000-0400-000096000000}"/>
    <hyperlink ref="E316" r:id="rId152" xr:uid="{00000000-0004-0000-0400-000097000000}"/>
    <hyperlink ref="E317" r:id="rId153" xr:uid="{00000000-0004-0000-0400-000098000000}"/>
    <hyperlink ref="E318" r:id="rId154" xr:uid="{00000000-0004-0000-0400-000099000000}"/>
    <hyperlink ref="E319" r:id="rId155" xr:uid="{00000000-0004-0000-0400-00009A000000}"/>
    <hyperlink ref="E320" r:id="rId156" xr:uid="{00000000-0004-0000-0400-00009B000000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topLeftCell="A4" workbookViewId="0">
      <selection activeCell="I19" sqref="I19"/>
    </sheetView>
  </sheetViews>
  <sheetFormatPr defaultRowHeight="15"/>
  <cols>
    <col min="2" max="2" width="12.42578125" style="133" bestFit="1" customWidth="1"/>
    <col min="3" max="3" width="16.42578125" style="133" customWidth="1"/>
    <col min="4" max="4" width="4" style="133" bestFit="1" customWidth="1"/>
    <col min="5" max="5" width="7" style="133" hidden="1" customWidth="1"/>
    <col min="6" max="6" width="10.42578125" style="133" bestFit="1" customWidth="1"/>
    <col min="7" max="7" width="12.28515625" style="133" bestFit="1" customWidth="1"/>
    <col min="8" max="8" width="11.28515625" style="133" bestFit="1" customWidth="1"/>
    <col min="9" max="9" width="16.85546875" style="133" bestFit="1" customWidth="1"/>
    <col min="10" max="10" width="15.7109375" style="133" bestFit="1" customWidth="1"/>
  </cols>
  <sheetData>
    <row r="1" spans="1:7">
      <c r="A1" s="4"/>
      <c r="B1" s="5"/>
    </row>
    <row r="4" spans="1:7">
      <c r="B4" s="6" t="s">
        <v>4388</v>
      </c>
      <c r="C4" s="6" t="s">
        <v>4389</v>
      </c>
    </row>
    <row r="5" spans="1:7">
      <c r="B5" s="6" t="s">
        <v>4390</v>
      </c>
      <c r="C5" s="8" t="s">
        <v>27</v>
      </c>
      <c r="D5" s="8" t="s">
        <v>28</v>
      </c>
      <c r="E5" t="s">
        <v>4391</v>
      </c>
      <c r="F5" t="s">
        <v>4392</v>
      </c>
    </row>
    <row r="6" spans="1:7">
      <c r="B6" s="7" t="s">
        <v>48</v>
      </c>
      <c r="C6">
        <v>52</v>
      </c>
      <c r="F6">
        <v>52</v>
      </c>
      <c r="G6" s="3">
        <v>0.1630094043887147</v>
      </c>
    </row>
    <row r="7" spans="1:7">
      <c r="B7" s="7" t="s">
        <v>253</v>
      </c>
      <c r="D7">
        <v>10</v>
      </c>
      <c r="F7">
        <v>10</v>
      </c>
      <c r="G7" s="3">
        <v>3.1347962382445138E-2</v>
      </c>
    </row>
    <row r="8" spans="1:7">
      <c r="B8" s="7" t="s">
        <v>111</v>
      </c>
      <c r="C8">
        <v>25</v>
      </c>
      <c r="F8">
        <v>25</v>
      </c>
      <c r="G8" s="3">
        <v>7.8369905956112859E-2</v>
      </c>
    </row>
    <row r="9" spans="1:7">
      <c r="B9" s="7" t="s">
        <v>613</v>
      </c>
      <c r="C9">
        <v>3</v>
      </c>
      <c r="D9">
        <v>14</v>
      </c>
      <c r="F9">
        <v>17</v>
      </c>
      <c r="G9" s="3">
        <v>5.329153605015674E-2</v>
      </c>
    </row>
    <row r="10" spans="1:7">
      <c r="B10" s="7" t="s">
        <v>1221</v>
      </c>
      <c r="C10">
        <v>3</v>
      </c>
      <c r="F10">
        <v>3</v>
      </c>
      <c r="G10" s="3">
        <v>9.4043887147335428E-3</v>
      </c>
    </row>
    <row r="11" spans="1:7">
      <c r="B11" s="7" t="s">
        <v>4299</v>
      </c>
      <c r="C11">
        <v>3</v>
      </c>
      <c r="D11">
        <v>61</v>
      </c>
      <c r="F11">
        <v>64</v>
      </c>
      <c r="G11" s="3">
        <v>0.20062695924764889</v>
      </c>
    </row>
    <row r="12" spans="1:7">
      <c r="B12" s="7" t="s">
        <v>4300</v>
      </c>
      <c r="C12">
        <v>27</v>
      </c>
      <c r="D12">
        <v>81</v>
      </c>
      <c r="F12">
        <v>108</v>
      </c>
      <c r="G12" s="3">
        <v>0.33855799373040751</v>
      </c>
    </row>
    <row r="13" spans="1:7">
      <c r="B13" s="7" t="s">
        <v>4303</v>
      </c>
      <c r="C13">
        <v>40</v>
      </c>
      <c r="F13">
        <v>40</v>
      </c>
      <c r="G13" s="3">
        <v>0.12539184952978061</v>
      </c>
    </row>
    <row r="14" spans="1:7" hidden="1">
      <c r="B14" s="7" t="s">
        <v>4391</v>
      </c>
    </row>
    <row r="15" spans="1:7">
      <c r="B15" s="7" t="s">
        <v>4392</v>
      </c>
      <c r="C15">
        <v>153</v>
      </c>
      <c r="D15">
        <v>166</v>
      </c>
      <c r="F15">
        <v>319</v>
      </c>
      <c r="G15" s="4">
        <v>1</v>
      </c>
    </row>
    <row r="17" spans="2:7">
      <c r="B17" t="s">
        <v>48</v>
      </c>
      <c r="C17">
        <v>52</v>
      </c>
      <c r="F17">
        <v>52</v>
      </c>
      <c r="G17" s="3">
        <f t="shared" ref="G17:G24" si="0">F17/$F$26</f>
        <v>0.16300940438871472</v>
      </c>
    </row>
    <row r="18" spans="2:7">
      <c r="B18" t="s">
        <v>253</v>
      </c>
      <c r="D18">
        <v>10</v>
      </c>
      <c r="F18">
        <v>10</v>
      </c>
      <c r="G18" s="3">
        <f t="shared" si="0"/>
        <v>3.1347962382445138E-2</v>
      </c>
    </row>
    <row r="19" spans="2:7">
      <c r="B19" t="s">
        <v>111</v>
      </c>
      <c r="C19">
        <v>25</v>
      </c>
      <c r="F19">
        <v>25</v>
      </c>
      <c r="G19" s="3">
        <f t="shared" si="0"/>
        <v>7.8369905956112859E-2</v>
      </c>
    </row>
    <row r="20" spans="2:7">
      <c r="B20" t="s">
        <v>613</v>
      </c>
      <c r="C20">
        <v>3</v>
      </c>
      <c r="D20">
        <v>14</v>
      </c>
      <c r="F20">
        <v>17</v>
      </c>
      <c r="G20" s="3">
        <f t="shared" si="0"/>
        <v>5.329153605015674E-2</v>
      </c>
    </row>
    <row r="21" spans="2:7">
      <c r="B21" t="s">
        <v>1221</v>
      </c>
      <c r="C21">
        <v>3</v>
      </c>
      <c r="F21">
        <v>3</v>
      </c>
      <c r="G21" s="3">
        <f t="shared" si="0"/>
        <v>9.4043887147335428E-3</v>
      </c>
    </row>
    <row r="22" spans="2:7">
      <c r="B22" t="s">
        <v>4299</v>
      </c>
      <c r="C22">
        <v>3</v>
      </c>
      <c r="D22">
        <v>61</v>
      </c>
      <c r="F22">
        <v>64</v>
      </c>
      <c r="G22" s="3">
        <f t="shared" si="0"/>
        <v>0.20062695924764889</v>
      </c>
    </row>
    <row r="23" spans="2:7">
      <c r="B23" t="s">
        <v>4300</v>
      </c>
      <c r="C23">
        <v>27</v>
      </c>
      <c r="D23">
        <v>81</v>
      </c>
      <c r="F23">
        <v>108</v>
      </c>
      <c r="G23" s="3">
        <f t="shared" si="0"/>
        <v>0.33855799373040751</v>
      </c>
    </row>
    <row r="24" spans="2:7">
      <c r="B24" t="s">
        <v>4303</v>
      </c>
      <c r="C24">
        <v>40</v>
      </c>
      <c r="F24">
        <v>40</v>
      </c>
      <c r="G24" s="3">
        <f t="shared" si="0"/>
        <v>0.12539184952978055</v>
      </c>
    </row>
    <row r="25" spans="2:7">
      <c r="B25" t="s">
        <v>4391</v>
      </c>
    </row>
    <row r="26" spans="2:7">
      <c r="B26" t="s">
        <v>4392</v>
      </c>
      <c r="C26">
        <v>153</v>
      </c>
      <c r="D26">
        <v>166</v>
      </c>
      <c r="F26">
        <v>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8"/>
  <sheetViews>
    <sheetView workbookViewId="0">
      <selection activeCell="B5" sqref="B5:F7"/>
    </sheetView>
  </sheetViews>
  <sheetFormatPr defaultRowHeight="15"/>
  <cols>
    <col min="1" max="1" width="5.42578125" style="133" bestFit="1" customWidth="1"/>
    <col min="2" max="2" width="134" style="133" bestFit="1" customWidth="1"/>
    <col min="6" max="6" width="64.5703125" style="133" bestFit="1" customWidth="1"/>
  </cols>
  <sheetData>
    <row r="1" spans="1:6">
      <c r="A1" t="s">
        <v>4393</v>
      </c>
      <c r="B1" t="s">
        <v>4394</v>
      </c>
      <c r="C1" t="s">
        <v>4395</v>
      </c>
      <c r="D1" t="s">
        <v>4396</v>
      </c>
      <c r="E1" t="s">
        <v>4397</v>
      </c>
      <c r="F1" t="s">
        <v>4398</v>
      </c>
    </row>
    <row r="2" spans="1:6">
      <c r="A2">
        <v>40</v>
      </c>
      <c r="B2" t="s">
        <v>4399</v>
      </c>
      <c r="C2" t="s">
        <v>27</v>
      </c>
      <c r="D2" t="s">
        <v>27</v>
      </c>
      <c r="E2">
        <v>0</v>
      </c>
      <c r="F2" t="s">
        <v>4400</v>
      </c>
    </row>
    <row r="3" spans="1:6">
      <c r="A3">
        <v>40</v>
      </c>
      <c r="B3" t="s">
        <v>4401</v>
      </c>
      <c r="C3" t="s">
        <v>27</v>
      </c>
      <c r="D3" t="s">
        <v>27</v>
      </c>
      <c r="E3">
        <v>0</v>
      </c>
      <c r="F3" t="s">
        <v>4400</v>
      </c>
    </row>
    <row r="4" spans="1:6">
      <c r="A4">
        <v>40</v>
      </c>
      <c r="B4" t="s">
        <v>4402</v>
      </c>
      <c r="C4" t="s">
        <v>27</v>
      </c>
      <c r="D4" t="s">
        <v>27</v>
      </c>
      <c r="E4">
        <v>0</v>
      </c>
      <c r="F4" t="s">
        <v>4400</v>
      </c>
    </row>
    <row r="5" spans="1:6">
      <c r="A5">
        <v>49</v>
      </c>
      <c r="B5" t="s">
        <v>4403</v>
      </c>
      <c r="C5" t="s">
        <v>27</v>
      </c>
      <c r="D5" t="s">
        <v>27</v>
      </c>
      <c r="E5">
        <v>0</v>
      </c>
      <c r="F5" t="s">
        <v>4400</v>
      </c>
    </row>
    <row r="6" spans="1:6">
      <c r="A6">
        <v>49</v>
      </c>
      <c r="B6" t="s">
        <v>4404</v>
      </c>
      <c r="C6" t="s">
        <v>27</v>
      </c>
      <c r="D6" t="s">
        <v>27</v>
      </c>
      <c r="E6">
        <v>0</v>
      </c>
      <c r="F6" t="s">
        <v>4400</v>
      </c>
    </row>
    <row r="7" spans="1:6">
      <c r="A7">
        <v>49</v>
      </c>
      <c r="B7" t="s">
        <v>4405</v>
      </c>
      <c r="C7" t="s">
        <v>27</v>
      </c>
      <c r="D7" t="s">
        <v>27</v>
      </c>
      <c r="E7">
        <v>0</v>
      </c>
      <c r="F7" t="s">
        <v>4400</v>
      </c>
    </row>
    <row r="8" spans="1:6">
      <c r="A8">
        <v>51</v>
      </c>
      <c r="B8" t="s">
        <v>4406</v>
      </c>
      <c r="C8" t="s">
        <v>28</v>
      </c>
      <c r="D8" t="s">
        <v>28</v>
      </c>
      <c r="E8">
        <v>0</v>
      </c>
      <c r="F8" t="s">
        <v>4407</v>
      </c>
    </row>
    <row r="9" spans="1:6">
      <c r="A9" s="2">
        <v>57</v>
      </c>
      <c r="B9" t="s">
        <v>4408</v>
      </c>
      <c r="C9" t="s">
        <v>28</v>
      </c>
      <c r="D9" t="s">
        <v>28</v>
      </c>
      <c r="E9">
        <v>0</v>
      </c>
      <c r="F9" t="s">
        <v>4409</v>
      </c>
    </row>
    <row r="10" spans="1:6">
      <c r="A10" s="2">
        <v>57</v>
      </c>
      <c r="B10" t="s">
        <v>4410</v>
      </c>
      <c r="C10" t="s">
        <v>28</v>
      </c>
      <c r="D10" t="s">
        <v>28</v>
      </c>
      <c r="E10">
        <v>0</v>
      </c>
      <c r="F10" t="s">
        <v>4409</v>
      </c>
    </row>
    <row r="11" spans="1:6">
      <c r="A11" s="2">
        <v>57</v>
      </c>
      <c r="B11" t="s">
        <v>4411</v>
      </c>
      <c r="C11" t="s">
        <v>28</v>
      </c>
      <c r="D11" t="s">
        <v>28</v>
      </c>
      <c r="E11">
        <v>0</v>
      </c>
      <c r="F11" t="s">
        <v>4409</v>
      </c>
    </row>
    <row r="12" spans="1:6">
      <c r="A12" s="2">
        <v>57</v>
      </c>
      <c r="B12" t="s">
        <v>4412</v>
      </c>
      <c r="C12" t="s">
        <v>28</v>
      </c>
      <c r="D12" t="s">
        <v>28</v>
      </c>
      <c r="E12">
        <v>0</v>
      </c>
      <c r="F12" t="s">
        <v>4409</v>
      </c>
    </row>
    <row r="13" spans="1:6">
      <c r="A13" s="2">
        <v>57</v>
      </c>
      <c r="B13" t="s">
        <v>4413</v>
      </c>
      <c r="C13" t="s">
        <v>28</v>
      </c>
      <c r="D13" t="s">
        <v>28</v>
      </c>
      <c r="E13">
        <v>0</v>
      </c>
      <c r="F13" t="s">
        <v>4409</v>
      </c>
    </row>
    <row r="14" spans="1:6">
      <c r="A14">
        <v>61</v>
      </c>
      <c r="B14" t="s">
        <v>4414</v>
      </c>
      <c r="C14" t="s">
        <v>27</v>
      </c>
      <c r="D14" t="s">
        <v>27</v>
      </c>
      <c r="E14">
        <v>0</v>
      </c>
      <c r="F14" t="s">
        <v>4400</v>
      </c>
    </row>
    <row r="15" spans="1:6">
      <c r="A15">
        <v>61</v>
      </c>
      <c r="B15" t="s">
        <v>4415</v>
      </c>
      <c r="C15" t="s">
        <v>27</v>
      </c>
      <c r="D15" t="s">
        <v>27</v>
      </c>
      <c r="E15">
        <v>0</v>
      </c>
      <c r="F15" t="s">
        <v>4400</v>
      </c>
    </row>
    <row r="16" spans="1:6">
      <c r="A16">
        <v>61</v>
      </c>
      <c r="B16" t="s">
        <v>4416</v>
      </c>
      <c r="C16" t="s">
        <v>27</v>
      </c>
      <c r="D16" t="s">
        <v>27</v>
      </c>
      <c r="E16">
        <v>0</v>
      </c>
      <c r="F16" t="s">
        <v>4400</v>
      </c>
    </row>
    <row r="17" spans="1:6">
      <c r="A17">
        <v>68</v>
      </c>
      <c r="B17" t="s">
        <v>4417</v>
      </c>
      <c r="C17" t="s">
        <v>28</v>
      </c>
      <c r="D17" t="s">
        <v>27</v>
      </c>
      <c r="E17">
        <v>0</v>
      </c>
      <c r="F17" t="s">
        <v>4409</v>
      </c>
    </row>
    <row r="18" spans="1:6">
      <c r="A18">
        <v>68</v>
      </c>
      <c r="B18" t="s">
        <v>4418</v>
      </c>
      <c r="C18" t="s">
        <v>28</v>
      </c>
      <c r="D18" t="s">
        <v>27</v>
      </c>
      <c r="E18">
        <v>0</v>
      </c>
      <c r="F18" t="s">
        <v>4409</v>
      </c>
    </row>
    <row r="19" spans="1:6">
      <c r="A19">
        <v>68</v>
      </c>
      <c r="B19" t="s">
        <v>4419</v>
      </c>
      <c r="C19" t="s">
        <v>28</v>
      </c>
      <c r="D19" t="s">
        <v>27</v>
      </c>
      <c r="E19">
        <v>0</v>
      </c>
      <c r="F19" t="s">
        <v>4409</v>
      </c>
    </row>
    <row r="20" spans="1:6">
      <c r="A20">
        <v>69</v>
      </c>
      <c r="B20" t="s">
        <v>4420</v>
      </c>
      <c r="C20" t="s">
        <v>28</v>
      </c>
      <c r="D20" t="s">
        <v>27</v>
      </c>
      <c r="E20">
        <v>0</v>
      </c>
      <c r="F20" t="s">
        <v>607</v>
      </c>
    </row>
    <row r="21" spans="1:6">
      <c r="A21" s="2">
        <v>70</v>
      </c>
      <c r="B21" t="s">
        <v>4421</v>
      </c>
      <c r="C21" t="s">
        <v>28</v>
      </c>
      <c r="D21" t="s">
        <v>28</v>
      </c>
      <c r="E21">
        <v>0</v>
      </c>
      <c r="F21" t="s">
        <v>611</v>
      </c>
    </row>
    <row r="22" spans="1:6">
      <c r="A22" s="2">
        <v>70</v>
      </c>
      <c r="B22" t="s">
        <v>4422</v>
      </c>
      <c r="C22" t="s">
        <v>28</v>
      </c>
      <c r="D22" t="s">
        <v>28</v>
      </c>
      <c r="E22">
        <v>0</v>
      </c>
      <c r="F22" t="s">
        <v>644</v>
      </c>
    </row>
    <row r="23" spans="1:6">
      <c r="A23" s="2">
        <v>70</v>
      </c>
      <c r="B23" t="s">
        <v>4423</v>
      </c>
      <c r="C23" t="s">
        <v>28</v>
      </c>
      <c r="D23" t="s">
        <v>28</v>
      </c>
      <c r="E23">
        <v>0</v>
      </c>
      <c r="F23" t="s">
        <v>644</v>
      </c>
    </row>
    <row r="24" spans="1:6">
      <c r="A24" s="2">
        <v>70</v>
      </c>
      <c r="B24" t="s">
        <v>4424</v>
      </c>
      <c r="C24" t="s">
        <v>28</v>
      </c>
      <c r="D24" t="s">
        <v>28</v>
      </c>
      <c r="E24">
        <v>0</v>
      </c>
      <c r="F24" t="s">
        <v>611</v>
      </c>
    </row>
    <row r="25" spans="1:6">
      <c r="A25" s="2">
        <v>70</v>
      </c>
      <c r="B25" t="s">
        <v>4425</v>
      </c>
      <c r="C25" t="s">
        <v>28</v>
      </c>
      <c r="D25" t="s">
        <v>28</v>
      </c>
      <c r="E25">
        <v>0</v>
      </c>
      <c r="F25" t="s">
        <v>611</v>
      </c>
    </row>
    <row r="26" spans="1:6">
      <c r="A26">
        <v>71</v>
      </c>
      <c r="B26" t="s">
        <v>4426</v>
      </c>
      <c r="C26" t="s">
        <v>27</v>
      </c>
      <c r="D26" t="s">
        <v>27</v>
      </c>
      <c r="E26">
        <v>0</v>
      </c>
      <c r="F26" t="s">
        <v>4400</v>
      </c>
    </row>
    <row r="27" spans="1:6">
      <c r="A27">
        <v>71</v>
      </c>
      <c r="B27" t="s">
        <v>4427</v>
      </c>
      <c r="C27" t="s">
        <v>27</v>
      </c>
      <c r="D27" t="s">
        <v>27</v>
      </c>
      <c r="E27">
        <v>0</v>
      </c>
      <c r="F27" t="s">
        <v>4400</v>
      </c>
    </row>
    <row r="28" spans="1:6">
      <c r="A28">
        <v>71</v>
      </c>
      <c r="B28" t="s">
        <v>4428</v>
      </c>
      <c r="C28" t="s">
        <v>27</v>
      </c>
      <c r="D28" t="s">
        <v>27</v>
      </c>
      <c r="E28">
        <v>0</v>
      </c>
      <c r="F28" t="s">
        <v>4400</v>
      </c>
    </row>
    <row r="29" spans="1:6">
      <c r="A29">
        <v>72</v>
      </c>
      <c r="B29" t="s">
        <v>4429</v>
      </c>
      <c r="C29" t="s">
        <v>27</v>
      </c>
      <c r="D29" t="s">
        <v>27</v>
      </c>
      <c r="E29">
        <v>0</v>
      </c>
      <c r="F29" t="s">
        <v>4400</v>
      </c>
    </row>
    <row r="30" spans="1:6">
      <c r="A30">
        <v>72</v>
      </c>
      <c r="B30" t="s">
        <v>4430</v>
      </c>
      <c r="C30" t="s">
        <v>27</v>
      </c>
      <c r="D30" t="s">
        <v>27</v>
      </c>
      <c r="E30">
        <v>0</v>
      </c>
      <c r="F30" t="s">
        <v>4400</v>
      </c>
    </row>
    <row r="31" spans="1:6">
      <c r="A31">
        <v>72</v>
      </c>
      <c r="B31" t="s">
        <v>4431</v>
      </c>
      <c r="C31" t="s">
        <v>27</v>
      </c>
      <c r="D31" t="s">
        <v>27</v>
      </c>
      <c r="E31">
        <v>0</v>
      </c>
      <c r="F31" t="s">
        <v>4400</v>
      </c>
    </row>
    <row r="32" spans="1:6">
      <c r="A32">
        <v>189</v>
      </c>
      <c r="B32" t="s">
        <v>4432</v>
      </c>
      <c r="C32" t="s">
        <v>27</v>
      </c>
      <c r="D32" t="s">
        <v>27</v>
      </c>
      <c r="E32">
        <v>0</v>
      </c>
      <c r="F32" t="s">
        <v>518</v>
      </c>
    </row>
    <row r="33" spans="1:6">
      <c r="A33">
        <v>189</v>
      </c>
      <c r="B33" t="s">
        <v>4433</v>
      </c>
      <c r="C33" t="s">
        <v>27</v>
      </c>
      <c r="D33" t="s">
        <v>27</v>
      </c>
      <c r="E33">
        <v>0</v>
      </c>
      <c r="F33" t="s">
        <v>518</v>
      </c>
    </row>
    <row r="34" spans="1:6">
      <c r="A34">
        <v>189</v>
      </c>
      <c r="B34" t="s">
        <v>4434</v>
      </c>
      <c r="C34" t="s">
        <v>27</v>
      </c>
      <c r="D34" t="s">
        <v>27</v>
      </c>
      <c r="E34">
        <v>0</v>
      </c>
      <c r="F34" t="s">
        <v>518</v>
      </c>
    </row>
    <row r="35" spans="1:6">
      <c r="A35" s="2">
        <v>201</v>
      </c>
      <c r="B35" t="s">
        <v>4435</v>
      </c>
      <c r="C35" t="s">
        <v>28</v>
      </c>
      <c r="D35" t="s">
        <v>27</v>
      </c>
      <c r="E35">
        <v>0</v>
      </c>
      <c r="F35" t="s">
        <v>4436</v>
      </c>
    </row>
    <row r="36" spans="1:6">
      <c r="A36" s="2">
        <v>201</v>
      </c>
      <c r="B36" t="s">
        <v>4437</v>
      </c>
      <c r="C36" t="s">
        <v>28</v>
      </c>
      <c r="D36" t="s">
        <v>27</v>
      </c>
      <c r="E36">
        <v>0</v>
      </c>
      <c r="F36" t="s">
        <v>4436</v>
      </c>
    </row>
    <row r="37" spans="1:6">
      <c r="A37" s="2">
        <v>201</v>
      </c>
      <c r="B37" t="s">
        <v>4438</v>
      </c>
      <c r="C37" t="s">
        <v>28</v>
      </c>
      <c r="D37" t="s">
        <v>27</v>
      </c>
      <c r="E37">
        <v>0</v>
      </c>
      <c r="F37" t="s">
        <v>4436</v>
      </c>
    </row>
    <row r="38" spans="1:6">
      <c r="A38" s="2">
        <v>221</v>
      </c>
      <c r="B38" t="s">
        <v>4439</v>
      </c>
      <c r="C38" t="s">
        <v>28</v>
      </c>
      <c r="D38" t="s">
        <v>28</v>
      </c>
      <c r="E38">
        <v>0</v>
      </c>
      <c r="F38" t="s">
        <v>4409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LMBoschDocument" ma:contentTypeID="0x0101004FCD920F951C044C9D6B4A97C082AF4301004A4177A4597CD0488166B68E856FBEE3" ma:contentTypeVersion="11" ma:contentTypeDescription="Bosch Document Content Type for ILM" ma:contentTypeScope="" ma:versionID="d3d1924af2ba393d13022116fc86a913">
  <xsd:schema xmlns:xsd="http://www.w3.org/2001/XMLSchema" xmlns:xs="http://www.w3.org/2001/XMLSchema" xmlns:p="http://schemas.microsoft.com/office/2006/metadata/properties" xmlns:ns1="http://schemas.microsoft.com/sharepoint/v3" xmlns:ns2="af5b8ae2-162b-45ce-a1e8-0c2206b04c01" xmlns:ns3="bca0bc44-19d1-4824-98a4-321de56310bf" xmlns:ns4="http://schemas.microsoft.com/sharepoint/v4" targetNamespace="http://schemas.microsoft.com/office/2006/metadata/properties" ma:root="true" ma:fieldsID="dfcee799d2007fdec0c48fa7c428d3f7" ns1:_="" ns2:_="" ns3:_="" ns4:_="">
    <xsd:import namespace="http://schemas.microsoft.com/sharepoint/v3"/>
    <xsd:import namespace="af5b8ae2-162b-45ce-a1e8-0c2206b04c01"/>
    <xsd:import namespace="bca0bc44-19d1-4824-98a4-321de56310bf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CSC"/>
                <xsd:element ref="ns2:ASC"/>
                <xsd:element ref="ns2:ISC"/>
                <xsd:element ref="ns2:ArchivingPeriod"/>
                <xsd:element ref="ns2:Safeguarding"/>
                <xsd:element ref="ns2:Historicalrelevance"/>
                <xsd:element ref="ns3:OriginalSubject" minOccurs="0"/>
                <xsd:element ref="ns3:From1" minOccurs="0"/>
                <xsd:element ref="ns3:Cc" minOccurs="0"/>
                <xsd:element ref="ns3:Bcc" minOccurs="0"/>
                <xsd:element ref="ns3:Conversation-Topic" minOccurs="0"/>
                <xsd:element ref="ns3:Date1" minOccurs="0"/>
                <xsd:element ref="ns3:Reply-To" minOccurs="0"/>
                <xsd:element ref="ns3:To" minOccurs="0"/>
                <xsd:element ref="ns3:Received" minOccurs="0"/>
                <xsd:element ref="ns3:Attachment" minOccurs="0"/>
                <xsd:element ref="ns3:Sensitivity" minOccurs="0"/>
                <xsd:element ref="ns3:Importance" minOccurs="0"/>
                <xsd:element ref="ns3:In-Reply-To" minOccurs="0"/>
                <xsd:element ref="ns3:References" minOccurs="0"/>
                <xsd:element ref="ns3:Conversation-Index" minOccurs="0"/>
                <xsd:element ref="ns3:MailPreviewData" minOccurs="0"/>
                <xsd:element ref="ns2:MessageClass" minOccurs="0"/>
                <xsd:element ref="ns3:Message-ID" minOccurs="0"/>
                <xsd:element ref="ns2:IlmBasedOn" minOccurs="0"/>
                <xsd:element ref="ns2:LockedStatus" minOccurs="0"/>
                <xsd:element ref="ns2:LockedBy" minOccurs="0"/>
                <xsd:element ref="ns2:ILMItemType" minOccurs="0"/>
                <xsd:element ref="ns2:ILMCreationRevision" minOccurs="0"/>
                <xsd:element ref="ns2:Revisions" minOccurs="0"/>
                <xsd:element ref="ns4:IconOverlay" minOccurs="0"/>
                <xsd:element ref="ns1:_vti_ItemDeclaredRecord" minOccurs="0"/>
                <xsd:element ref="ns1:_vti_ItemHoldRecordStatus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42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43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5b8ae2-162b-45ce-a1e8-0c2206b04c0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CSC" ma:index="11" ma:displayName="C-SC" ma:default="1" ma:description="Security Class for Confidentiality." ma:format="Dropdown" ma:indexed="true" ma:internalName="C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SC" ma:index="12" ma:displayName="A-SC" ma:default="1" ma:description="Security Class for Availability" ma:format="Dropdown" ma:indexed="true" ma:internalName="A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ISC" ma:index="13" ma:displayName="I-SC" ma:default="1" ma:description="Security Class for Integrity" ma:format="Dropdown" ma:internalName="I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rchivingPeriod" ma:index="14" ma:displayName="Archiving Period (in years)" ma:default="35" ma:description="File will be deleted from the archive after end of the archiving" ma:format="Dropdown" ma:indexed="true" ma:internalName="ArchivingPeriod" ma:readOnly="false">
      <xsd:simpleType>
        <xsd:union memberTypes="dms:Text">
          <xsd:simpleType>
            <xsd:restriction base="dms:Choice">
              <xsd:enumeration value="1"/>
              <xsd:enumeration value="3"/>
              <xsd:enumeration value="6"/>
              <xsd:enumeration value="10"/>
              <xsd:enumeration value="15"/>
              <xsd:enumeration value="35"/>
              <xsd:enumeration value="Delete when archiving"/>
              <xsd:enumeration value="infinite"/>
            </xsd:restriction>
          </xsd:simpleType>
        </xsd:union>
      </xsd:simpleType>
    </xsd:element>
    <xsd:element name="Safeguarding" ma:index="15" ma:displayName="Safeguarding" ma:default="No" ma:description="Special safeguarding requirements" ma:format="Dropdown" ma:internalName="Safeguarding" ma:readOnly="false">
      <xsd:simpleType>
        <xsd:restriction base="dms:Choice">
          <xsd:enumeration value="Yes"/>
          <xsd:enumeration value="No"/>
        </xsd:restriction>
      </xsd:simpleType>
    </xsd:element>
    <xsd:element name="Historicalrelevance" ma:index="16" ma:displayName="Historical relevance" ma:default="No" ma:description="Handover to C/CCH" ma:format="Dropdown" ma:internalName="Historicalrelevance" ma:readOnly="false">
      <xsd:simpleType>
        <xsd:restriction base="dms:Choice">
          <xsd:enumeration value="Yes"/>
          <xsd:enumeration value="No"/>
        </xsd:restriction>
      </xsd:simpleType>
    </xsd:element>
    <xsd:element name="MessageClass" ma:index="33" nillable="true" ma:displayName="MessageClass" ma:hidden="true" ma:internalName="MessageClass">
      <xsd:simpleType>
        <xsd:restriction base="dms:Text">
          <xsd:maxLength value="255"/>
        </xsd:restriction>
      </xsd:simpleType>
    </xsd:element>
    <xsd:element name="IlmBasedOn" ma:index="35" nillable="true" ma:displayName="Based on" ma:internalName="IlmBasedOn" ma:readOnly="true">
      <xsd:simpleType>
        <xsd:restriction base="dms:Text"/>
      </xsd:simpleType>
    </xsd:element>
    <xsd:element name="LockedStatus" ma:index="36" nillable="true" ma:displayName="Locked Status" ma:default="Unlocked" ma:internalName="LockedStatus" ma:readOnly="true">
      <xsd:simpleType>
        <xsd:restriction base="dms:Text"/>
      </xsd:simpleType>
    </xsd:element>
    <xsd:element name="LockedBy" ma:index="37" nillable="true" ma:displayName="Locked By" ma:indexed="true" ma:internalName="Lock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LMItemType" ma:index="38" nillable="true" ma:displayName="ILMItemType" ma:default="ConceptualItem" ma:indexed="true" ma:internalName="ILMItemType" ma:readOnly="true">
      <xsd:simpleType>
        <xsd:restriction base="dms:Text"/>
      </xsd:simpleType>
    </xsd:element>
    <xsd:element name="ILMCreationRevision" ma:index="39" nillable="true" ma:displayName="Creating Revision" ma:internalName="ILMCreationRevision" ma:readOnly="true">
      <xsd:simpleType>
        <xsd:restriction base="dms:Boolean"/>
      </xsd:simpleType>
    </xsd:element>
    <xsd:element name="Revisions" ma:index="40" nillable="true" ma:displayName="Revision set" ma:internalName="Revisions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haredWithUsers" ma:index="4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0bc44-19d1-4824-98a4-321de56310bf" elementFormDefault="qualified">
    <xsd:import namespace="http://schemas.microsoft.com/office/2006/documentManagement/types"/>
    <xsd:import namespace="http://schemas.microsoft.com/office/infopath/2007/PartnerControls"/>
    <xsd:element name="OriginalSubject" ma:index="17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From1" ma:index="18" nillable="true" ma:displayName="From" ma:internalName="From1">
      <xsd:simpleType>
        <xsd:restriction base="dms:Text">
          <xsd:maxLength value="255"/>
        </xsd:restriction>
      </xsd:simpleType>
    </xsd:element>
    <xsd:element name="Cc" ma:index="19" nillable="true" ma:displayName="Cc" ma:internalName="Cc">
      <xsd:simpleType>
        <xsd:restriction base="dms:Note">
          <xsd:maxLength value="255"/>
        </xsd:restriction>
      </xsd:simpleType>
    </xsd:element>
    <xsd:element name="Bcc" ma:index="20" nillable="true" ma:displayName="Bcc" ma:internalName="Bcc">
      <xsd:simpleType>
        <xsd:restriction base="dms:Note">
          <xsd:maxLength value="255"/>
        </xsd:restriction>
      </xsd:simpleType>
    </xsd:element>
    <xsd:element name="Conversation-Topic" ma:index="21" nillable="true" ma:displayName="Conversation-Topic" ma:internalName="Conversation_x002d_Topic">
      <xsd:simpleType>
        <xsd:restriction base="dms:Text">
          <xsd:maxLength value="255"/>
        </xsd:restriction>
      </xsd:simpleType>
    </xsd:element>
    <xsd:element name="Date1" ma:index="22" nillable="true" ma:displayName="Date" ma:format="DateOnly" ma:internalName="Date1">
      <xsd:simpleType>
        <xsd:restriction base="dms:DateTime"/>
      </xsd:simpleType>
    </xsd:element>
    <xsd:element name="Reply-To" ma:index="23" nillable="true" ma:displayName="Reply-To" ma:internalName="Reply_x002d_To">
      <xsd:simpleType>
        <xsd:restriction base="dms:Text">
          <xsd:maxLength value="255"/>
        </xsd:restriction>
      </xsd:simpleType>
    </xsd:element>
    <xsd:element name="To" ma:index="24" nillable="true" ma:displayName="To" ma:internalName="To">
      <xsd:simpleType>
        <xsd:restriction base="dms:Note">
          <xsd:maxLength value="255"/>
        </xsd:restriction>
      </xsd:simpleType>
    </xsd:element>
    <xsd:element name="Received" ma:index="25" nillable="true" ma:displayName="Received" ma:internalName="Received">
      <xsd:simpleType>
        <xsd:restriction base="dms:Text">
          <xsd:maxLength value="255"/>
        </xsd:restriction>
      </xsd:simpleType>
    </xsd:element>
    <xsd:element name="Attachment" ma:index="26" nillable="true" ma:displayName="Attachment" ma:default="1" ma:internalName="Attachment">
      <xsd:simpleType>
        <xsd:restriction base="dms:Boolean"/>
      </xsd:simpleType>
    </xsd:element>
    <xsd:element name="Sensitivity" ma:index="27" nillable="true" ma:displayName="Sensitivity" ma:internalName="Sensitivity">
      <xsd:simpleType>
        <xsd:restriction base="dms:Text">
          <xsd:maxLength value="255"/>
        </xsd:restriction>
      </xsd:simpleType>
    </xsd:element>
    <xsd:element name="Importance" ma:index="28" nillable="true" ma:displayName="Importance" ma:internalName="Importance">
      <xsd:simpleType>
        <xsd:restriction base="dms:Text">
          <xsd:maxLength value="255"/>
        </xsd:restriction>
      </xsd:simpleType>
    </xsd:element>
    <xsd:element name="In-Reply-To" ma:index="29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References" ma:index="30" nillable="true" ma:displayName="References" ma:internalName="References">
      <xsd:simpleType>
        <xsd:restriction base="dms:Text">
          <xsd:maxLength value="255"/>
        </xsd:restriction>
      </xsd:simpleType>
    </xsd:element>
    <xsd:element name="Conversation-Index" ma:index="31" nillable="true" ma:displayName="Conversation-Index" ma:hidden="true" ma:internalName="Conversation_x002d_Index">
      <xsd:simpleType>
        <xsd:restriction base="dms:Text">
          <xsd:maxLength value="255"/>
        </xsd:restriction>
      </xsd:simpleType>
    </xsd:element>
    <xsd:element name="MailPreviewData" ma:index="32" nillable="true" ma:displayName="MailPreviewData" ma:hidden="true" ma:internalName="MailPreviewData">
      <xsd:simpleType>
        <xsd:restriction base="dms:Note"/>
      </xsd:simpleType>
    </xsd:element>
    <xsd:element name="Message-ID" ma:index="34" nillable="true" ma:displayName="Message-ID" ma:hidden="true" ma:internalName="Message_x002d_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1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ply-To xmlns="bca0bc44-19d1-4824-98a4-321de56310bf" xsi:nil="true"/>
    <OriginalSubject xmlns="bca0bc44-19d1-4824-98a4-321de56310bf" xsi:nil="true"/>
    <Revisions xmlns="af5b8ae2-162b-45ce-a1e8-0c2206b04c01">
      <Url>https://inside-share-hosted-apps.bosch.com/DMS/GetDocumentService/Document.svc/GetDocumentURL?documentID=P15S189321-1306487327-2764</Url>
      <Description>CPD_final_measurement_set_for_tuning.xlsx(1)</Description>
    </Revisions>
    <ArchivingPeriod xmlns="af5b8ae2-162b-45ce-a1e8-0c2206b04c01">35</ArchivingPeriod>
    <Conversation-Index xmlns="bca0bc44-19d1-4824-98a4-321de56310bf" xsi:nil="true"/>
    <ILMItemType xmlns="af5b8ae2-162b-45ce-a1e8-0c2206b04c01">ConceptualItem</ILMItemType>
    <LockedBy xmlns="af5b8ae2-162b-45ce-a1e8-0c2206b04c01">
      <UserInfo>
        <DisplayName/>
        <AccountId xsi:nil="true"/>
        <AccountType/>
      </UserInfo>
    </LockedBy>
    <MailPreviewData xmlns="bca0bc44-19d1-4824-98a4-321de56310bf" xsi:nil="true"/>
    <Cc xmlns="bca0bc44-19d1-4824-98a4-321de56310bf" xsi:nil="true"/>
    <From1 xmlns="bca0bc44-19d1-4824-98a4-321de56310bf" xsi:nil="true"/>
    <Message-ID xmlns="bca0bc44-19d1-4824-98a4-321de56310bf" xsi:nil="true"/>
    <ILMCreationRevision xmlns="af5b8ae2-162b-45ce-a1e8-0c2206b04c01">false</ILMCreationRevision>
    <_dlc_DocId xmlns="af5b8ae2-162b-45ce-a1e8-0c2206b04c01">P15S189321-1306487327-2279</_dlc_DocId>
    <Attachment xmlns="bca0bc44-19d1-4824-98a4-321de56310bf">true</Attachment>
    <Safeguarding xmlns="af5b8ae2-162b-45ce-a1e8-0c2206b04c01">No</Safeguarding>
    <Conversation-Topic xmlns="bca0bc44-19d1-4824-98a4-321de56310bf" xsi:nil="true"/>
    <_vti_ItemHoldRecordStatus xmlns="http://schemas.microsoft.com/sharepoint/v3" xsi:nil="true"/>
    <_vti_ItemDeclaredRecord xmlns="http://schemas.microsoft.com/sharepoint/v3" xsi:nil="true"/>
    <ASC xmlns="af5b8ae2-162b-45ce-a1e8-0c2206b04c01">2</ASC>
    <Historicalrelevance xmlns="af5b8ae2-162b-45ce-a1e8-0c2206b04c01">No</Historicalrelevance>
    <To xmlns="bca0bc44-19d1-4824-98a4-321de56310bf" xsi:nil="true"/>
    <LockedStatus xmlns="af5b8ae2-162b-45ce-a1e8-0c2206b04c01">Unlocked</LockedStatus>
    <IconOverlay xmlns="http://schemas.microsoft.com/sharepoint/v4" xsi:nil="true"/>
    <References xmlns="bca0bc44-19d1-4824-98a4-321de56310bf" xsi:nil="true"/>
    <Bcc xmlns="bca0bc44-19d1-4824-98a4-321de56310bf" xsi:nil="true"/>
    <Importance xmlns="bca0bc44-19d1-4824-98a4-321de56310bf" xsi:nil="true"/>
    <MessageClass xmlns="af5b8ae2-162b-45ce-a1e8-0c2206b04c01" xsi:nil="true"/>
    <Received xmlns="bca0bc44-19d1-4824-98a4-321de56310bf" xsi:nil="true"/>
    <In-Reply-To xmlns="bca0bc44-19d1-4824-98a4-321de56310bf" xsi:nil="true"/>
    <Date1 xmlns="bca0bc44-19d1-4824-98a4-321de56310bf" xsi:nil="true"/>
    <CSC xmlns="af5b8ae2-162b-45ce-a1e8-0c2206b04c01">2</CSC>
    <_dlc_DocIdUrl xmlns="af5b8ae2-162b-45ce-a1e8-0c2206b04c01">
      <Url>https://sites.inside-share5.bosch.com/sites/189321/_layouts/15/DocIdRedir.aspx?ID=P15S189321-1306487327-2279</Url>
      <Description>P15S189321-1306487327-2279</Description>
    </_dlc_DocIdUrl>
    <IlmBasedOn xmlns="af5b8ae2-162b-45ce-a1e8-0c2206b04c01" xsi:nil="true"/>
    <ISC xmlns="af5b8ae2-162b-45ce-a1e8-0c2206b04c01">2</ISC>
    <Sensitivity xmlns="bca0bc44-19d1-4824-98a4-321de56310bf" xsi:nil="true"/>
    <SharedWithUsers xmlns="af5b8ae2-162b-45ce-a1e8-0c2206b04c01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A24941D-DE07-4DEC-A5B2-C37C7E9E453F}"/>
</file>

<file path=customXml/itemProps2.xml><?xml version="1.0" encoding="utf-8"?>
<ds:datastoreItem xmlns:ds="http://schemas.openxmlformats.org/officeDocument/2006/customXml" ds:itemID="{1C748FDD-CCC0-41F4-A6F7-03F2C11409E2}"/>
</file>

<file path=customXml/itemProps3.xml><?xml version="1.0" encoding="utf-8"?>
<ds:datastoreItem xmlns:ds="http://schemas.openxmlformats.org/officeDocument/2006/customXml" ds:itemID="{228D926A-E919-4431-9E96-0FCBDA57A1B0}"/>
</file>

<file path=customXml/itemProps4.xml><?xml version="1.0" encoding="utf-8"?>
<ds:datastoreItem xmlns:ds="http://schemas.openxmlformats.org/officeDocument/2006/customXml" ds:itemID="{3AF6FD76-8396-42CD-8144-98F6665B334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Full_mea_list</vt:lpstr>
      <vt:lpstr>Full_mea_restruct</vt:lpstr>
      <vt:lpstr>Full_mea_csv</vt:lpstr>
      <vt:lpstr>focus+customer NCAP</vt:lpstr>
      <vt:lpstr>final</vt:lpstr>
      <vt:lpstr>Sheet2</vt:lpstr>
      <vt:lpstr>Errors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 Andras (XC-AS/EDT1-Bp)</dc:creator>
  <cp:lastModifiedBy>Toth Andras (XC-AS/ESY1-HU)</cp:lastModifiedBy>
  <dcterms:created xsi:type="dcterms:W3CDTF">2025-12-18T13:55:39Z</dcterms:created>
  <dcterms:modified xsi:type="dcterms:W3CDTF">2026-03-11T16:33:55Z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m_ItemDeleteBlockHolders">
    <vt:lpwstr/>
  </property>
  <property fmtid="{D5CDD505-2E9C-101B-9397-08002B2CF9AE}" pid="3" name="ContentTypeId">
    <vt:lpwstr>0x0101004FCD920F951C044C9D6B4A97C082AF4301004A4177A4597CD0488166B68E856FBEE3</vt:lpwstr>
  </property>
  <property fmtid="{D5CDD505-2E9C-101B-9397-08002B2CF9AE}" pid="4" name="ILMRevision">
    <vt:lpwstr/>
  </property>
  <property fmtid="{D5CDD505-2E9C-101B-9397-08002B2CF9AE}" pid="5" name="ConceptualVersionTreeview">
    <vt:lpwstr/>
  </property>
  <property fmtid="{D5CDD505-2E9C-101B-9397-08002B2CF9AE}" pid="6" name="ConceptualVersion">
    <vt:lpwstr/>
  </property>
  <property fmtid="{D5CDD505-2E9C-101B-9397-08002B2CF9AE}" pid="7" name="_dlc_DocIdItemGuid">
    <vt:lpwstr>bba46791-8981-4e36-8c89-1b86d5e595a4</vt:lpwstr>
  </property>
  <property fmtid="{D5CDD505-2E9C-101B-9397-08002B2CF9AE}" pid="8" name="ILMComments">
    <vt:lpwstr/>
  </property>
  <property fmtid="{D5CDD505-2E9C-101B-9397-08002B2CF9AE}" pid="9" name="ILMExternalReference">
    <vt:lpwstr/>
  </property>
  <property fmtid="{D5CDD505-2E9C-101B-9397-08002B2CF9AE}" pid="10" name="ecm_RecordRestrictions">
    <vt:lpwstr/>
  </property>
  <property fmtid="{D5CDD505-2E9C-101B-9397-08002B2CF9AE}" pid="11" name="ecm_ItemLockHolders">
    <vt:lpwstr/>
  </property>
  <property fmtid="{D5CDD505-2E9C-101B-9397-08002B2CF9AE}" pid="12" name="DocIdOfLinkItem">
    <vt:lpwstr/>
  </property>
</Properties>
</file>